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5-26\BIHAR\Farmer payment\FRMPMT 06_12-Mar'26\Collection data\"/>
    </mc:Choice>
  </mc:AlternateContent>
  <xr:revisionPtr revIDLastSave="0" documentId="13_ncr:1_{D78683B3-90A4-4D52-9126-3C54C10B255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2" sheetId="2" r:id="rId1"/>
    <sheet name="Sheet4" sheetId="5" r:id="rId2"/>
    <sheet name="Details" sheetId="1" r:id="rId3"/>
    <sheet name="Sheet1" sheetId="3" r:id="rId4"/>
    <sheet name="Sheet3" sheetId="4" r:id="rId5"/>
  </sheets>
  <externalReferences>
    <externalReference r:id="rId6"/>
  </externalReferences>
  <definedNames>
    <definedName name="_xlnm._FilterDatabase" localSheetId="4" hidden="1">Sheet3!$A$1:$F$626</definedName>
    <definedName name="_xlnm._FilterDatabase" localSheetId="1" hidden="1">Sheet4!$G$4:$K$337</definedName>
  </definedNames>
  <calcPr calcId="191029"/>
  <pivotCaches>
    <pivotCache cacheId="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98" i="5" l="1"/>
  <c r="L295" i="5"/>
  <c r="L302" i="5" s="1"/>
  <c r="F373" i="4"/>
  <c r="F417" i="4"/>
  <c r="F286" i="4"/>
  <c r="F409" i="4"/>
  <c r="F464" i="4"/>
  <c r="F400" i="4"/>
  <c r="F480" i="4"/>
  <c r="F426" i="4"/>
  <c r="F177" i="4"/>
  <c r="F407" i="4"/>
  <c r="F305" i="4"/>
  <c r="F325" i="4"/>
  <c r="F278" i="4"/>
  <c r="F481" i="4"/>
  <c r="F489" i="4"/>
  <c r="F492" i="4"/>
  <c r="F507" i="4"/>
  <c r="F163" i="4"/>
  <c r="F247" i="4"/>
  <c r="F292" i="4"/>
  <c r="F157" i="4"/>
  <c r="F378" i="4"/>
  <c r="F428" i="4"/>
  <c r="F333" i="4"/>
  <c r="F158" i="4"/>
  <c r="F293" i="4"/>
  <c r="F483" i="4"/>
  <c r="F274" i="4"/>
  <c r="F242" i="4"/>
  <c r="F319" i="4"/>
  <c r="F272" i="4"/>
  <c r="F408" i="4"/>
  <c r="F521" i="4"/>
  <c r="F324" i="4"/>
  <c r="F314" i="4"/>
  <c r="F517" i="4"/>
  <c r="F529" i="4"/>
  <c r="F182" i="4"/>
  <c r="G317" i="5"/>
  <c r="G316" i="5"/>
  <c r="G315" i="5"/>
  <c r="G314" i="5"/>
  <c r="G313" i="5"/>
  <c r="G312" i="5"/>
  <c r="G311" i="5"/>
  <c r="G310" i="5"/>
  <c r="G309" i="5"/>
  <c r="G308" i="5"/>
  <c r="G336" i="5"/>
  <c r="G307" i="5"/>
  <c r="G306" i="5"/>
  <c r="G335" i="5"/>
  <c r="G305" i="5"/>
  <c r="G304" i="5"/>
  <c r="G334" i="5"/>
  <c r="G333" i="5"/>
  <c r="G303" i="5"/>
  <c r="G302" i="5"/>
  <c r="G301" i="5"/>
  <c r="G300" i="5"/>
  <c r="G299" i="5"/>
  <c r="G298" i="5"/>
  <c r="G297" i="5"/>
  <c r="G296" i="5"/>
  <c r="G332" i="5"/>
  <c r="G331" i="5"/>
  <c r="G330" i="5"/>
  <c r="G329" i="5"/>
  <c r="G328" i="5"/>
  <c r="G327" i="5"/>
  <c r="G326" i="5"/>
  <c r="G325" i="5"/>
  <c r="G324" i="5"/>
  <c r="G323" i="5"/>
  <c r="G322" i="5"/>
  <c r="G321" i="5"/>
  <c r="G320" i="5"/>
  <c r="G319" i="5"/>
  <c r="G318" i="5"/>
  <c r="F626" i="4"/>
  <c r="F625" i="4"/>
  <c r="F624" i="4"/>
  <c r="F623" i="4"/>
  <c r="F622" i="4"/>
  <c r="F621" i="4"/>
  <c r="F620" i="4"/>
  <c r="F619" i="4"/>
  <c r="F618" i="4"/>
  <c r="F617" i="4"/>
  <c r="F616" i="4"/>
  <c r="F615" i="4"/>
  <c r="F614" i="4"/>
  <c r="F613" i="4"/>
  <c r="F612" i="4"/>
  <c r="F611" i="4"/>
  <c r="F610" i="4"/>
  <c r="F609" i="4"/>
  <c r="F608" i="4"/>
  <c r="F607" i="4"/>
  <c r="F606" i="4"/>
  <c r="F605" i="4"/>
  <c r="F604" i="4"/>
  <c r="F603" i="4"/>
  <c r="F602" i="4"/>
  <c r="F601" i="4"/>
  <c r="F600" i="4"/>
  <c r="F599" i="4"/>
  <c r="F598" i="4"/>
  <c r="F597" i="4"/>
  <c r="F596" i="4"/>
  <c r="F595" i="4"/>
  <c r="F594" i="4"/>
  <c r="F593" i="4"/>
  <c r="F592" i="4"/>
  <c r="F591" i="4"/>
  <c r="F590" i="4"/>
  <c r="F589" i="4"/>
  <c r="F588" i="4"/>
  <c r="F587" i="4"/>
  <c r="F586" i="4"/>
  <c r="F585" i="4"/>
  <c r="F584" i="4"/>
  <c r="F583" i="4"/>
  <c r="F582" i="4"/>
  <c r="F581" i="4"/>
  <c r="F580" i="4"/>
  <c r="F579" i="4"/>
  <c r="F578" i="4"/>
  <c r="F577" i="4"/>
  <c r="F576" i="4"/>
  <c r="F575" i="4"/>
  <c r="F574" i="4"/>
  <c r="F573" i="4"/>
  <c r="F572" i="4"/>
  <c r="F571" i="4"/>
  <c r="F570" i="4"/>
  <c r="F569" i="4"/>
  <c r="F568" i="4"/>
  <c r="F567" i="4"/>
  <c r="F566" i="4"/>
  <c r="F565" i="4"/>
  <c r="F564" i="4"/>
  <c r="F563" i="4"/>
  <c r="F558" i="4"/>
  <c r="F557" i="4"/>
  <c r="F556" i="4"/>
  <c r="F555" i="4"/>
  <c r="F553" i="4"/>
  <c r="F552" i="4"/>
  <c r="F551" i="4"/>
  <c r="F550" i="4"/>
  <c r="F549" i="4"/>
  <c r="F548" i="4"/>
  <c r="F547" i="4"/>
  <c r="F546" i="4"/>
  <c r="F545" i="4"/>
  <c r="F544" i="4"/>
  <c r="F542" i="4"/>
  <c r="F541" i="4"/>
  <c r="F540" i="4"/>
  <c r="F533" i="4"/>
  <c r="F530" i="4"/>
  <c r="F523" i="4"/>
  <c r="F522" i="4"/>
  <c r="F519" i="4"/>
  <c r="F518" i="4"/>
  <c r="F514" i="4"/>
  <c r="F513" i="4"/>
  <c r="F512" i="4"/>
  <c r="F511" i="4"/>
  <c r="F510" i="4"/>
  <c r="F509" i="4"/>
  <c r="F506" i="4"/>
  <c r="F505" i="4"/>
  <c r="F504" i="4"/>
  <c r="F503" i="4"/>
  <c r="F502" i="4"/>
  <c r="F501" i="4"/>
  <c r="F500" i="4"/>
  <c r="F499" i="4"/>
  <c r="F498" i="4"/>
  <c r="F496" i="4"/>
  <c r="F495" i="4"/>
  <c r="F494" i="4"/>
  <c r="F491" i="4"/>
  <c r="F490" i="4"/>
  <c r="F487" i="4"/>
  <c r="F486" i="4"/>
  <c r="F485" i="4"/>
  <c r="F484" i="4"/>
  <c r="F482" i="4"/>
  <c r="F479" i="4"/>
  <c r="F478" i="4"/>
  <c r="F477" i="4"/>
  <c r="F476" i="4"/>
  <c r="F471" i="4"/>
  <c r="F470" i="4"/>
  <c r="F469" i="4"/>
  <c r="F468" i="4"/>
  <c r="F467" i="4"/>
  <c r="F466" i="4"/>
  <c r="F463" i="4"/>
  <c r="F462" i="4"/>
  <c r="F461" i="4"/>
  <c r="F460" i="4"/>
  <c r="F457" i="4"/>
  <c r="F456" i="4"/>
  <c r="F455" i="4"/>
  <c r="F453" i="4"/>
  <c r="F451" i="4"/>
  <c r="F450" i="4"/>
  <c r="F448" i="4"/>
  <c r="F446" i="4"/>
  <c r="F445" i="4"/>
  <c r="F444" i="4"/>
  <c r="F443" i="4"/>
  <c r="F440" i="4"/>
  <c r="F439" i="4"/>
  <c r="F436" i="4"/>
  <c r="F435" i="4"/>
  <c r="F434" i="4"/>
  <c r="F430" i="4"/>
  <c r="F427" i="4"/>
  <c r="F424" i="4"/>
  <c r="F423" i="4"/>
  <c r="F422" i="4"/>
  <c r="F421" i="4"/>
  <c r="F420" i="4"/>
  <c r="F419" i="4"/>
  <c r="F418" i="4"/>
  <c r="F416" i="4"/>
  <c r="F415" i="4"/>
  <c r="F414" i="4"/>
  <c r="F413" i="4"/>
  <c r="F412" i="4"/>
  <c r="F411" i="4"/>
  <c r="F410" i="4"/>
  <c r="F405" i="4"/>
  <c r="F404" i="4"/>
  <c r="F402" i="4"/>
  <c r="F401" i="4"/>
  <c r="F399" i="4"/>
  <c r="F398" i="4"/>
  <c r="F391" i="4"/>
  <c r="F390" i="4"/>
  <c r="F389" i="4"/>
  <c r="F388" i="4"/>
  <c r="F387" i="4"/>
  <c r="F386" i="4"/>
  <c r="F385" i="4"/>
  <c r="F384" i="4"/>
  <c r="F383" i="4"/>
  <c r="F382" i="4"/>
  <c r="F381" i="4"/>
  <c r="F380" i="4"/>
  <c r="F377" i="4"/>
  <c r="F376" i="4"/>
  <c r="F374" i="4"/>
  <c r="F371" i="4"/>
  <c r="F369" i="4"/>
  <c r="F368" i="4"/>
  <c r="F365" i="4"/>
  <c r="F364" i="4"/>
  <c r="F363" i="4"/>
  <c r="F362" i="4"/>
  <c r="F360" i="4"/>
  <c r="F359" i="4"/>
  <c r="F358" i="4"/>
  <c r="F357" i="4"/>
  <c r="F356" i="4"/>
  <c r="F355" i="4"/>
  <c r="F353" i="4"/>
  <c r="F352" i="4"/>
  <c r="F349" i="4"/>
  <c r="F348" i="4"/>
  <c r="F347" i="4"/>
  <c r="F346" i="4"/>
  <c r="F344" i="4"/>
  <c r="F343" i="4"/>
  <c r="F340" i="4"/>
  <c r="F337" i="4"/>
  <c r="F332" i="4"/>
  <c r="F331" i="4"/>
  <c r="F326" i="4"/>
  <c r="F322" i="4"/>
  <c r="F318" i="4"/>
  <c r="F313" i="4"/>
  <c r="F312" i="4"/>
  <c r="F311" i="4"/>
  <c r="F310" i="4"/>
  <c r="F309" i="4"/>
  <c r="F308" i="4"/>
  <c r="F307" i="4"/>
  <c r="F306" i="4"/>
  <c r="F304" i="4"/>
  <c r="F303" i="4"/>
  <c r="F295" i="4"/>
  <c r="F290" i="4"/>
  <c r="F289" i="4"/>
  <c r="F288" i="4"/>
  <c r="F282" i="4"/>
  <c r="F277" i="4"/>
  <c r="F276" i="4"/>
  <c r="F275" i="4"/>
  <c r="F273" i="4"/>
  <c r="F270" i="4"/>
  <c r="F265" i="4"/>
  <c r="F264" i="4"/>
  <c r="F263" i="4"/>
  <c r="F262" i="4"/>
  <c r="F261" i="4"/>
  <c r="F259" i="4"/>
  <c r="F258" i="4"/>
  <c r="F257" i="4"/>
  <c r="F256" i="4"/>
  <c r="F255" i="4"/>
  <c r="F254" i="4"/>
  <c r="F253" i="4"/>
  <c r="F250" i="4"/>
  <c r="F249" i="4"/>
  <c r="F248" i="4"/>
  <c r="F244" i="4"/>
  <c r="F241" i="4"/>
  <c r="F240" i="4"/>
  <c r="F239" i="4"/>
  <c r="F232" i="4"/>
  <c r="F231" i="4"/>
  <c r="F230" i="4"/>
  <c r="F228" i="4"/>
  <c r="F227" i="4"/>
  <c r="F224" i="4"/>
  <c r="F222" i="4"/>
  <c r="F221" i="4"/>
  <c r="F220" i="4"/>
  <c r="F219" i="4"/>
  <c r="F218" i="4"/>
  <c r="F217" i="4"/>
  <c r="F216" i="4"/>
  <c r="F214" i="4"/>
  <c r="F213" i="4"/>
  <c r="F212" i="4"/>
  <c r="F211" i="4"/>
  <c r="F210" i="4"/>
  <c r="F209" i="4"/>
  <c r="F208" i="4"/>
  <c r="F206" i="4"/>
  <c r="F205" i="4"/>
  <c r="F204" i="4"/>
  <c r="F202" i="4"/>
  <c r="F201" i="4"/>
  <c r="F197" i="4"/>
  <c r="F195" i="4"/>
  <c r="F194" i="4"/>
  <c r="F193" i="4"/>
  <c r="F192" i="4"/>
  <c r="F190" i="4"/>
  <c r="F189" i="4"/>
  <c r="F186" i="4"/>
  <c r="F185" i="4"/>
  <c r="F178" i="4"/>
  <c r="F175" i="4"/>
  <c r="F174" i="4"/>
  <c r="F173" i="4"/>
  <c r="F170" i="4"/>
  <c r="F168" i="4"/>
  <c r="F167" i="4"/>
  <c r="F166" i="4"/>
  <c r="F164" i="4"/>
  <c r="F162" i="4"/>
  <c r="F160" i="4"/>
  <c r="F159" i="4"/>
  <c r="F155" i="4"/>
  <c r="F152" i="4"/>
  <c r="F150" i="4"/>
  <c r="F148" i="4"/>
  <c r="F146" i="4"/>
  <c r="F145" i="4"/>
  <c r="F144" i="4"/>
  <c r="F143" i="4"/>
  <c r="F142" i="4"/>
  <c r="F141" i="4"/>
  <c r="F140" i="4"/>
  <c r="F139" i="4"/>
  <c r="F138" i="4"/>
  <c r="F137" i="4"/>
  <c r="F136" i="4"/>
  <c r="F135" i="4"/>
  <c r="F134" i="4"/>
  <c r="F133" i="4"/>
  <c r="F132" i="4"/>
  <c r="F131" i="4"/>
  <c r="F130" i="4"/>
  <c r="F129" i="4"/>
  <c r="F128" i="4"/>
  <c r="F127" i="4"/>
  <c r="F126" i="4"/>
  <c r="F125" i="4"/>
  <c r="F124" i="4"/>
  <c r="F123" i="4"/>
  <c r="F122" i="4"/>
  <c r="F121" i="4"/>
  <c r="F120" i="4"/>
  <c r="F119" i="4"/>
  <c r="F118" i="4"/>
  <c r="F117" i="4"/>
  <c r="F116" i="4"/>
  <c r="F115" i="4"/>
  <c r="F114" i="4"/>
  <c r="F113" i="4"/>
  <c r="F112" i="4"/>
  <c r="F111" i="4"/>
  <c r="F110" i="4"/>
  <c r="F109" i="4"/>
  <c r="F108" i="4"/>
  <c r="F107" i="4"/>
  <c r="F106" i="4"/>
  <c r="F105" i="4"/>
  <c r="F104" i="4"/>
  <c r="F103" i="4"/>
  <c r="F102" i="4"/>
  <c r="F101" i="4"/>
  <c r="F100" i="4"/>
  <c r="F99" i="4"/>
  <c r="F98" i="4"/>
  <c r="F97" i="4"/>
  <c r="F96" i="4"/>
  <c r="F95" i="4"/>
  <c r="F94" i="4"/>
  <c r="F93" i="4"/>
  <c r="F92" i="4"/>
  <c r="F91" i="4"/>
  <c r="F90" i="4"/>
  <c r="F89" i="4"/>
  <c r="F88" i="4"/>
  <c r="F87" i="4"/>
  <c r="F86" i="4"/>
  <c r="F85" i="4"/>
  <c r="F84" i="4"/>
  <c r="F83" i="4"/>
  <c r="F82" i="4"/>
  <c r="F81" i="4"/>
  <c r="F80" i="4"/>
  <c r="F79" i="4"/>
  <c r="F78" i="4"/>
  <c r="F77" i="4"/>
  <c r="F76" i="4"/>
  <c r="F75" i="4"/>
  <c r="F74" i="4"/>
  <c r="F73" i="4"/>
  <c r="F72" i="4"/>
  <c r="F71" i="4"/>
  <c r="F70" i="4"/>
  <c r="F69" i="4"/>
  <c r="F68" i="4"/>
  <c r="F67" i="4"/>
  <c r="F66" i="4"/>
  <c r="F65" i="4"/>
  <c r="F64" i="4"/>
  <c r="F63" i="4"/>
  <c r="F62" i="4"/>
  <c r="F61" i="4"/>
  <c r="F60" i="4"/>
  <c r="F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F2" i="4"/>
  <c r="F165" i="4"/>
  <c r="F350" i="4"/>
  <c r="F543" i="4"/>
  <c r="F397" i="4"/>
  <c r="A626" i="4"/>
  <c r="A625" i="4"/>
  <c r="A624" i="4"/>
  <c r="A623" i="4"/>
  <c r="A622" i="4"/>
  <c r="A621" i="4"/>
  <c r="A620" i="4"/>
  <c r="A619" i="4"/>
  <c r="A618" i="4"/>
  <c r="A617" i="4"/>
  <c r="A616" i="4"/>
  <c r="A615" i="4"/>
  <c r="A614" i="4"/>
  <c r="A613" i="4"/>
  <c r="A612" i="4"/>
  <c r="A611" i="4"/>
  <c r="A610" i="4"/>
  <c r="A609" i="4"/>
  <c r="A608" i="4"/>
  <c r="A607" i="4"/>
  <c r="A606" i="4"/>
  <c r="A605" i="4"/>
  <c r="A604" i="4"/>
  <c r="A603" i="4"/>
  <c r="A602" i="4"/>
  <c r="A601" i="4"/>
  <c r="A600" i="4"/>
  <c r="A599" i="4"/>
  <c r="A598" i="4"/>
  <c r="A597" i="4"/>
  <c r="A596" i="4"/>
  <c r="A595" i="4"/>
  <c r="A594" i="4"/>
  <c r="A593" i="4"/>
  <c r="A592" i="4"/>
  <c r="A591" i="4"/>
  <c r="A590" i="4"/>
  <c r="A589" i="4"/>
  <c r="A588" i="4"/>
  <c r="A587" i="4"/>
  <c r="A586" i="4"/>
  <c r="A585" i="4"/>
  <c r="A584" i="4"/>
  <c r="A583" i="4"/>
  <c r="A582" i="4"/>
  <c r="A581" i="4"/>
  <c r="A580" i="4"/>
  <c r="A579" i="4"/>
  <c r="A578" i="4"/>
  <c r="A577" i="4"/>
  <c r="A576" i="4"/>
  <c r="A575" i="4"/>
  <c r="A574" i="4"/>
  <c r="A573" i="4"/>
  <c r="A572" i="4"/>
  <c r="A571" i="4"/>
  <c r="A570" i="4"/>
  <c r="A569" i="4"/>
  <c r="A568" i="4"/>
  <c r="A567" i="4"/>
  <c r="A566" i="4"/>
  <c r="A565" i="4"/>
  <c r="A564" i="4"/>
  <c r="A563" i="4"/>
  <c r="A562" i="4"/>
  <c r="A561" i="4"/>
  <c r="A560" i="4"/>
  <c r="A559" i="4"/>
  <c r="A558" i="4"/>
  <c r="A557" i="4"/>
  <c r="A556" i="4"/>
  <c r="A555" i="4"/>
  <c r="A554" i="4"/>
  <c r="A553" i="4"/>
  <c r="A552" i="4"/>
  <c r="A551" i="4"/>
  <c r="A550" i="4"/>
  <c r="A549" i="4"/>
  <c r="A548" i="4"/>
  <c r="A547" i="4"/>
  <c r="A546" i="4"/>
  <c r="A545" i="4"/>
  <c r="A544" i="4"/>
  <c r="A543" i="4"/>
  <c r="A542" i="4"/>
  <c r="A541" i="4"/>
  <c r="A540" i="4"/>
  <c r="A539" i="4"/>
  <c r="A538" i="4"/>
  <c r="A537" i="4"/>
  <c r="A536" i="4"/>
  <c r="A535" i="4"/>
  <c r="A534" i="4"/>
  <c r="A533" i="4"/>
  <c r="A532" i="4"/>
  <c r="A531" i="4"/>
  <c r="A530" i="4"/>
  <c r="A529" i="4"/>
  <c r="A528" i="4"/>
  <c r="A527" i="4"/>
  <c r="A526" i="4"/>
  <c r="A525" i="4"/>
  <c r="A524" i="4"/>
  <c r="A523" i="4"/>
  <c r="A522" i="4"/>
  <c r="A521" i="4"/>
  <c r="A520" i="4"/>
  <c r="A519" i="4"/>
  <c r="A518" i="4"/>
  <c r="A517" i="4"/>
  <c r="A516" i="4"/>
  <c r="A515" i="4"/>
  <c r="A514" i="4"/>
  <c r="A513" i="4"/>
  <c r="A512" i="4"/>
  <c r="A511" i="4"/>
  <c r="A510" i="4"/>
  <c r="A509" i="4"/>
  <c r="A508" i="4"/>
  <c r="A507" i="4"/>
  <c r="A506" i="4"/>
  <c r="A505" i="4"/>
  <c r="A504" i="4"/>
  <c r="A503" i="4"/>
  <c r="A502" i="4"/>
  <c r="A501" i="4"/>
  <c r="A500" i="4"/>
  <c r="A499" i="4"/>
  <c r="A498" i="4"/>
  <c r="A497" i="4"/>
  <c r="A496" i="4"/>
  <c r="A495" i="4"/>
  <c r="A494" i="4"/>
  <c r="A493" i="4"/>
  <c r="A492" i="4"/>
  <c r="A491" i="4"/>
  <c r="A490" i="4"/>
  <c r="A489" i="4"/>
  <c r="A488" i="4"/>
  <c r="A487" i="4"/>
  <c r="A486" i="4"/>
  <c r="A485" i="4"/>
  <c r="A484" i="4"/>
  <c r="A483" i="4"/>
  <c r="A482" i="4"/>
  <c r="A481" i="4"/>
  <c r="A480" i="4"/>
  <c r="A479" i="4"/>
  <c r="A478" i="4"/>
  <c r="A477" i="4"/>
  <c r="A476" i="4"/>
  <c r="A475" i="4"/>
  <c r="A474" i="4"/>
  <c r="A473" i="4"/>
  <c r="A472" i="4"/>
  <c r="A471" i="4"/>
  <c r="A470" i="4"/>
  <c r="A469" i="4"/>
  <c r="A468" i="4"/>
  <c r="A467" i="4"/>
  <c r="A466" i="4"/>
  <c r="A465" i="4"/>
  <c r="A464" i="4"/>
  <c r="A463" i="4"/>
  <c r="A462" i="4"/>
  <c r="A461" i="4"/>
  <c r="A460" i="4"/>
  <c r="A459" i="4"/>
  <c r="A458" i="4"/>
  <c r="A457" i="4"/>
  <c r="A456" i="4"/>
  <c r="A455" i="4"/>
  <c r="A454" i="4"/>
  <c r="A453" i="4"/>
  <c r="A452" i="4"/>
  <c r="A451" i="4"/>
  <c r="A450" i="4"/>
  <c r="A449" i="4"/>
  <c r="A448" i="4"/>
  <c r="A447" i="4"/>
  <c r="A446" i="4"/>
  <c r="A445" i="4"/>
  <c r="A444" i="4"/>
  <c r="A443" i="4"/>
  <c r="A442" i="4"/>
  <c r="A441" i="4"/>
  <c r="A440" i="4"/>
  <c r="A439" i="4"/>
  <c r="A438" i="4"/>
  <c r="A437" i="4"/>
  <c r="A436" i="4"/>
  <c r="A435" i="4"/>
  <c r="A434" i="4"/>
  <c r="A433" i="4"/>
  <c r="A432" i="4"/>
  <c r="A431" i="4"/>
  <c r="A430" i="4"/>
  <c r="A429" i="4"/>
  <c r="A428" i="4"/>
  <c r="A427" i="4"/>
  <c r="A426" i="4"/>
  <c r="A425" i="4"/>
  <c r="A424" i="4"/>
  <c r="A423" i="4"/>
  <c r="A422" i="4"/>
  <c r="A421" i="4"/>
  <c r="A420" i="4"/>
  <c r="A419" i="4"/>
  <c r="A418" i="4"/>
  <c r="A417" i="4"/>
  <c r="A416" i="4"/>
  <c r="A415" i="4"/>
  <c r="A414" i="4"/>
  <c r="A413" i="4"/>
  <c r="A412" i="4"/>
  <c r="A411" i="4"/>
  <c r="A410" i="4"/>
  <c r="A409" i="4"/>
  <c r="A408" i="4"/>
  <c r="A407" i="4"/>
  <c r="A406" i="4"/>
  <c r="A405" i="4"/>
  <c r="A404" i="4"/>
  <c r="A403" i="4"/>
  <c r="A402" i="4"/>
  <c r="A401" i="4"/>
  <c r="A400" i="4"/>
  <c r="A399" i="4"/>
  <c r="A398" i="4"/>
  <c r="A397" i="4"/>
  <c r="A396" i="4"/>
  <c r="A395" i="4"/>
  <c r="A394" i="4"/>
  <c r="A393" i="4"/>
  <c r="A392" i="4"/>
  <c r="A391" i="4"/>
  <c r="A390" i="4"/>
  <c r="A389" i="4"/>
  <c r="A388" i="4"/>
  <c r="A387" i="4"/>
  <c r="A386" i="4"/>
  <c r="A385" i="4"/>
  <c r="A384" i="4"/>
  <c r="A383" i="4"/>
  <c r="A382" i="4"/>
  <c r="A381" i="4"/>
  <c r="A380" i="4"/>
  <c r="A379" i="4"/>
  <c r="A378" i="4"/>
  <c r="A377" i="4"/>
  <c r="A376" i="4"/>
  <c r="A375" i="4"/>
  <c r="A374" i="4"/>
  <c r="A373" i="4"/>
  <c r="A372" i="4"/>
  <c r="A371" i="4"/>
  <c r="A370" i="4"/>
  <c r="A369" i="4"/>
  <c r="A368" i="4"/>
  <c r="A367" i="4"/>
  <c r="A366" i="4"/>
  <c r="A365" i="4"/>
  <c r="A364" i="4"/>
  <c r="A363" i="4"/>
  <c r="A362" i="4"/>
  <c r="A361" i="4"/>
  <c r="A360" i="4"/>
  <c r="A359" i="4"/>
  <c r="A358" i="4"/>
  <c r="A357" i="4"/>
  <c r="A356" i="4"/>
  <c r="A355" i="4"/>
  <c r="A354" i="4"/>
  <c r="A353" i="4"/>
  <c r="A352" i="4"/>
  <c r="A351" i="4"/>
  <c r="A350" i="4"/>
  <c r="A349" i="4"/>
  <c r="A348" i="4"/>
  <c r="A347" i="4"/>
  <c r="A346" i="4"/>
  <c r="A345" i="4"/>
  <c r="A344" i="4"/>
  <c r="A343" i="4"/>
  <c r="A342" i="4"/>
  <c r="A341" i="4"/>
  <c r="A340" i="4"/>
  <c r="A339" i="4"/>
  <c r="A338" i="4"/>
  <c r="A337" i="4"/>
  <c r="A336" i="4"/>
  <c r="A335" i="4"/>
  <c r="A334" i="4"/>
  <c r="A333" i="4"/>
  <c r="A332" i="4"/>
  <c r="A331" i="4"/>
  <c r="A330" i="4"/>
  <c r="A329" i="4"/>
  <c r="A328" i="4"/>
  <c r="A327" i="4"/>
  <c r="A326" i="4"/>
  <c r="A325" i="4"/>
  <c r="A324" i="4"/>
  <c r="A323" i="4"/>
  <c r="A322" i="4"/>
  <c r="A321" i="4"/>
  <c r="A320" i="4"/>
  <c r="A319" i="4"/>
  <c r="A318" i="4"/>
  <c r="A317" i="4"/>
  <c r="A316" i="4"/>
  <c r="A315" i="4"/>
  <c r="A314" i="4"/>
  <c r="A313" i="4"/>
  <c r="A312" i="4"/>
  <c r="A311" i="4"/>
  <c r="A310" i="4"/>
  <c r="A309" i="4"/>
  <c r="A308" i="4"/>
  <c r="A307" i="4"/>
  <c r="A306" i="4"/>
  <c r="A305" i="4"/>
  <c r="A304" i="4"/>
  <c r="A303" i="4"/>
  <c r="A302" i="4"/>
  <c r="A301" i="4"/>
  <c r="A300" i="4"/>
  <c r="A299" i="4"/>
  <c r="A298" i="4"/>
  <c r="A297" i="4"/>
  <c r="A296" i="4"/>
  <c r="A295" i="4"/>
  <c r="A294" i="4"/>
  <c r="A293" i="4"/>
  <c r="A292" i="4"/>
  <c r="A291" i="4"/>
  <c r="A290" i="4"/>
  <c r="A289" i="4"/>
  <c r="A288" i="4"/>
  <c r="A287" i="4"/>
  <c r="A286" i="4"/>
  <c r="A285" i="4"/>
  <c r="A284" i="4"/>
  <c r="A283" i="4"/>
  <c r="A282" i="4"/>
  <c r="A281" i="4"/>
  <c r="A280" i="4"/>
  <c r="A279" i="4"/>
  <c r="A278" i="4"/>
  <c r="A277" i="4"/>
  <c r="A276" i="4"/>
  <c r="A275" i="4"/>
  <c r="A274" i="4"/>
  <c r="A273" i="4"/>
  <c r="A272" i="4"/>
  <c r="A271" i="4"/>
  <c r="A270" i="4"/>
  <c r="A269" i="4"/>
  <c r="A268" i="4"/>
  <c r="A267" i="4"/>
  <c r="A266" i="4"/>
  <c r="A265" i="4"/>
  <c r="A264" i="4"/>
  <c r="A263" i="4"/>
  <c r="A262" i="4"/>
  <c r="A261" i="4"/>
  <c r="A260" i="4"/>
  <c r="A259" i="4"/>
  <c r="A258" i="4"/>
  <c r="A257" i="4"/>
  <c r="A256" i="4"/>
  <c r="A255" i="4"/>
  <c r="A254" i="4"/>
  <c r="A253" i="4"/>
  <c r="A252" i="4"/>
  <c r="A251" i="4"/>
  <c r="A250" i="4"/>
  <c r="A249" i="4"/>
  <c r="A248" i="4"/>
  <c r="A247" i="4"/>
  <c r="A246" i="4"/>
  <c r="A245" i="4"/>
  <c r="A244" i="4"/>
  <c r="A243" i="4"/>
  <c r="A242" i="4"/>
  <c r="A241" i="4"/>
  <c r="A240" i="4"/>
  <c r="A239" i="4"/>
  <c r="A238" i="4"/>
  <c r="A237" i="4"/>
  <c r="A236" i="4"/>
  <c r="A235" i="4"/>
  <c r="A234" i="4"/>
  <c r="A233" i="4"/>
  <c r="A232" i="4"/>
  <c r="A231" i="4"/>
  <c r="A230" i="4"/>
  <c r="A229" i="4"/>
  <c r="A228" i="4"/>
  <c r="A227" i="4"/>
  <c r="A226" i="4"/>
  <c r="A225" i="4"/>
  <c r="A224" i="4"/>
  <c r="A223" i="4"/>
  <c r="A222" i="4"/>
  <c r="A221" i="4"/>
  <c r="A220" i="4"/>
  <c r="A219" i="4"/>
  <c r="A218" i="4"/>
  <c r="A217" i="4"/>
  <c r="A216" i="4"/>
  <c r="A215" i="4"/>
  <c r="A214" i="4"/>
  <c r="A213" i="4"/>
  <c r="A212" i="4"/>
  <c r="A211" i="4"/>
  <c r="A210" i="4"/>
  <c r="A209" i="4"/>
  <c r="A208" i="4"/>
  <c r="A207" i="4"/>
  <c r="A206" i="4"/>
  <c r="A205" i="4"/>
  <c r="A204" i="4"/>
  <c r="A203" i="4"/>
  <c r="A202" i="4"/>
  <c r="A201" i="4"/>
  <c r="A200" i="4"/>
  <c r="A199" i="4"/>
  <c r="A198" i="4"/>
  <c r="A197" i="4"/>
  <c r="A196" i="4"/>
  <c r="A195" i="4"/>
  <c r="A194" i="4"/>
  <c r="A193" i="4"/>
  <c r="A192" i="4"/>
  <c r="A191" i="4"/>
  <c r="A190" i="4"/>
  <c r="A189" i="4"/>
  <c r="A188" i="4"/>
  <c r="A187" i="4"/>
  <c r="A186" i="4"/>
  <c r="A185" i="4"/>
  <c r="A184" i="4"/>
  <c r="A183" i="4"/>
  <c r="A182" i="4"/>
  <c r="A181" i="4"/>
  <c r="A180" i="4"/>
  <c r="A179" i="4"/>
  <c r="A178" i="4"/>
  <c r="A177" i="4"/>
  <c r="A176" i="4"/>
  <c r="A175" i="4"/>
  <c r="A174" i="4"/>
  <c r="A173" i="4"/>
  <c r="A172" i="4"/>
  <c r="A171" i="4"/>
  <c r="A170" i="4"/>
  <c r="A169" i="4"/>
  <c r="A168" i="4"/>
  <c r="A167" i="4"/>
  <c r="A166" i="4"/>
  <c r="A165" i="4"/>
  <c r="A164" i="4"/>
  <c r="A163" i="4"/>
  <c r="A162" i="4"/>
  <c r="A161" i="4"/>
  <c r="A160" i="4"/>
  <c r="A159" i="4"/>
  <c r="A158" i="4"/>
  <c r="A157" i="4"/>
  <c r="A156" i="4"/>
  <c r="A155" i="4"/>
  <c r="A154" i="4"/>
  <c r="A153" i="4"/>
  <c r="A152" i="4"/>
  <c r="A151" i="4"/>
  <c r="A150" i="4"/>
  <c r="A149" i="4"/>
  <c r="A148" i="4"/>
  <c r="A147" i="4"/>
  <c r="A146" i="4"/>
  <c r="A145" i="4"/>
  <c r="A144" i="4"/>
  <c r="A143" i="4"/>
  <c r="A142" i="4"/>
  <c r="A141" i="4"/>
  <c r="A140" i="4"/>
  <c r="A139" i="4"/>
  <c r="A138" i="4"/>
  <c r="A137" i="4"/>
  <c r="A136" i="4"/>
  <c r="A135" i="4"/>
  <c r="A134" i="4"/>
  <c r="A133" i="4"/>
  <c r="A132" i="4"/>
  <c r="A131" i="4"/>
  <c r="A130" i="4"/>
  <c r="A129" i="4"/>
  <c r="A128" i="4"/>
  <c r="A127" i="4"/>
  <c r="A126" i="4"/>
  <c r="A125" i="4"/>
  <c r="A124" i="4"/>
  <c r="A123" i="4"/>
  <c r="A122" i="4"/>
  <c r="A121" i="4"/>
  <c r="A120" i="4"/>
  <c r="A119" i="4"/>
  <c r="A118" i="4"/>
  <c r="A117" i="4"/>
  <c r="A116" i="4"/>
  <c r="A115" i="4"/>
  <c r="A114" i="4"/>
  <c r="A113" i="4"/>
  <c r="A112" i="4"/>
  <c r="A111" i="4"/>
  <c r="A110" i="4"/>
  <c r="A109" i="4"/>
  <c r="A108" i="4"/>
  <c r="A107" i="4"/>
  <c r="A106" i="4"/>
  <c r="A105" i="4"/>
  <c r="A104" i="4"/>
  <c r="A103" i="4"/>
  <c r="A102" i="4"/>
  <c r="A101" i="4"/>
  <c r="A100" i="4"/>
  <c r="A99" i="4"/>
  <c r="A98" i="4"/>
  <c r="A97" i="4"/>
  <c r="A96" i="4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A2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F135" i="1"/>
  <c r="F420" i="1"/>
  <c r="F422" i="1"/>
  <c r="F715" i="1"/>
  <c r="F266" i="4" l="1"/>
  <c r="F156" i="4"/>
  <c r="F431" i="4"/>
  <c r="F317" i="4"/>
  <c r="F154" i="4"/>
  <c r="F367" i="4"/>
  <c r="F560" i="4"/>
  <c r="F345" i="4"/>
  <c r="F395" i="4"/>
  <c r="F432" i="4"/>
  <c r="F528" i="4"/>
  <c r="F147" i="4"/>
  <c r="F338" i="4"/>
  <c r="F539" i="4"/>
  <c r="F187" i="4"/>
  <c r="F370" i="4"/>
  <c r="F554" i="4"/>
  <c r="F252" i="4"/>
  <c r="F196" i="4"/>
  <c r="F508" i="4"/>
  <c r="F336" i="4"/>
  <c r="F302" i="4"/>
  <c r="F271" i="4"/>
  <c r="F458" i="4"/>
  <c r="F559" i="4"/>
  <c r="F180" i="4"/>
  <c r="F329" i="4"/>
  <c r="F449" i="4"/>
  <c r="F493" i="4"/>
  <c r="F531" i="4"/>
  <c r="F287" i="4"/>
  <c r="F472" i="4"/>
  <c r="F535" i="4"/>
  <c r="F296" i="4"/>
  <c r="F315" i="4"/>
  <c r="F297" i="4"/>
  <c r="F198" i="4"/>
  <c r="F429" i="4"/>
  <c r="F327" i="4"/>
  <c r="F438" i="4"/>
  <c r="F488" i="4"/>
  <c r="F235" i="4"/>
  <c r="F260" i="4"/>
  <c r="F279" i="4"/>
  <c r="F328" i="4"/>
  <c r="F246" i="4"/>
  <c r="F330" i="4"/>
  <c r="F520" i="4"/>
  <c r="F267" i="4"/>
  <c r="F183" i="4"/>
  <c r="F316" i="4"/>
  <c r="F447" i="4"/>
  <c r="F442" i="4"/>
  <c r="F459" i="4"/>
  <c r="F299" i="4"/>
  <c r="F215" i="4"/>
  <c r="F284" i="4"/>
  <c r="F334" i="4"/>
  <c r="F188" i="4"/>
  <c r="F268" i="4"/>
  <c r="F285" i="4"/>
  <c r="F335" i="4"/>
  <c r="F526" i="4"/>
  <c r="F176" i="4"/>
  <c r="F171" i="4"/>
  <c r="F320" i="4"/>
  <c r="F294" i="4"/>
  <c r="F298" i="4"/>
  <c r="F283" i="4"/>
  <c r="F524" i="4"/>
  <c r="F300" i="4"/>
  <c r="F351" i="4"/>
  <c r="F525" i="4"/>
  <c r="F527" i="4"/>
  <c r="F172" i="4"/>
  <c r="F339" i="4"/>
  <c r="F354" i="4"/>
  <c r="F452" i="4"/>
  <c r="F207" i="4"/>
  <c r="F291" i="4"/>
  <c r="F342" i="4"/>
  <c r="F441" i="4"/>
  <c r="F225" i="4"/>
  <c r="F223" i="4"/>
  <c r="F280" i="4"/>
  <c r="F281" i="4"/>
  <c r="F515" i="4"/>
  <c r="F454" i="4"/>
  <c r="F226" i="4"/>
  <c r="F341" i="4"/>
  <c r="F203" i="4"/>
  <c r="F375" i="4"/>
  <c r="F497" i="4"/>
  <c r="F237" i="4"/>
  <c r="F236" i="4"/>
  <c r="F234" i="4"/>
  <c r="F233" i="4"/>
  <c r="F243" i="4"/>
  <c r="F149" i="4"/>
  <c r="F161" i="4"/>
  <c r="F245" i="4"/>
  <c r="F269" i="4"/>
  <c r="F425" i="4"/>
  <c r="F437" i="4"/>
  <c r="F473" i="4"/>
  <c r="F184" i="4"/>
  <c r="F532" i="4"/>
  <c r="F366" i="4"/>
  <c r="F474" i="4"/>
  <c r="F534" i="4"/>
  <c r="F151" i="4"/>
  <c r="F199" i="4"/>
  <c r="F379" i="4"/>
  <c r="F403" i="4"/>
  <c r="F475" i="4"/>
  <c r="F200" i="4"/>
  <c r="F392" i="4"/>
  <c r="F536" i="4"/>
  <c r="F153" i="4"/>
  <c r="F321" i="4"/>
  <c r="F393" i="4"/>
  <c r="F465" i="4"/>
  <c r="F537" i="4"/>
  <c r="F561" i="4"/>
  <c r="F238" i="4"/>
  <c r="F394" i="4"/>
  <c r="F406" i="4"/>
  <c r="F538" i="4"/>
  <c r="F562" i="4"/>
  <c r="F179" i="4"/>
  <c r="F191" i="4"/>
  <c r="F251" i="4"/>
  <c r="F323" i="4"/>
  <c r="F372" i="4"/>
  <c r="F396" i="4"/>
  <c r="F516" i="4"/>
  <c r="F169" i="4"/>
  <c r="F181" i="4"/>
  <c r="F229" i="4"/>
  <c r="F301" i="4"/>
  <c r="F361" i="4"/>
  <c r="F433" i="4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1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B623" i="1" l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S623" i="1"/>
  <c r="T623" i="1" s="1"/>
  <c r="S624" i="1"/>
  <c r="T624" i="1" s="1"/>
  <c r="U624" i="1" s="1"/>
  <c r="S625" i="1"/>
  <c r="T625" i="1" s="1"/>
  <c r="U625" i="1" s="1"/>
  <c r="S626" i="1"/>
  <c r="S627" i="1"/>
  <c r="S628" i="1"/>
  <c r="T628" i="1" s="1"/>
  <c r="U628" i="1" s="1"/>
  <c r="S629" i="1"/>
  <c r="T629" i="1" s="1"/>
  <c r="S630" i="1"/>
  <c r="T630" i="1" s="1"/>
  <c r="U630" i="1" s="1"/>
  <c r="S631" i="1"/>
  <c r="S632" i="1"/>
  <c r="T632" i="1" s="1"/>
  <c r="U632" i="1" s="1"/>
  <c r="S633" i="1"/>
  <c r="T633" i="1" s="1"/>
  <c r="U633" i="1" s="1"/>
  <c r="S634" i="1"/>
  <c r="S635" i="1"/>
  <c r="S636" i="1"/>
  <c r="T636" i="1" s="1"/>
  <c r="U636" i="1" s="1"/>
  <c r="S637" i="1"/>
  <c r="T637" i="1" s="1"/>
  <c r="S638" i="1"/>
  <c r="T638" i="1" s="1"/>
  <c r="U638" i="1" s="1"/>
  <c r="S639" i="1"/>
  <c r="T639" i="1" s="1"/>
  <c r="U639" i="1" s="1"/>
  <c r="S640" i="1"/>
  <c r="T640" i="1" s="1"/>
  <c r="U640" i="1" s="1"/>
  <c r="S641" i="1"/>
  <c r="T641" i="1" s="1"/>
  <c r="U641" i="1" s="1"/>
  <c r="S642" i="1"/>
  <c r="S643" i="1"/>
  <c r="S644" i="1"/>
  <c r="T644" i="1" s="1"/>
  <c r="U644" i="1" s="1"/>
  <c r="S645" i="1"/>
  <c r="T645" i="1" s="1"/>
  <c r="S646" i="1"/>
  <c r="T646" i="1" s="1"/>
  <c r="U646" i="1" s="1"/>
  <c r="S647" i="1"/>
  <c r="T647" i="1" s="1"/>
  <c r="S648" i="1"/>
  <c r="T648" i="1" s="1"/>
  <c r="U648" i="1" s="1"/>
  <c r="S649" i="1"/>
  <c r="T649" i="1" s="1"/>
  <c r="U649" i="1" s="1"/>
  <c r="S650" i="1"/>
  <c r="S651" i="1"/>
  <c r="S652" i="1"/>
  <c r="T652" i="1" s="1"/>
  <c r="U652" i="1" s="1"/>
  <c r="S653" i="1"/>
  <c r="T653" i="1" s="1"/>
  <c r="S654" i="1"/>
  <c r="T654" i="1" s="1"/>
  <c r="U654" i="1" s="1"/>
  <c r="S655" i="1"/>
  <c r="T655" i="1" s="1"/>
  <c r="U655" i="1" s="1"/>
  <c r="S656" i="1"/>
  <c r="T656" i="1" s="1"/>
  <c r="U656" i="1" s="1"/>
  <c r="S657" i="1"/>
  <c r="T657" i="1" s="1"/>
  <c r="U657" i="1" s="1"/>
  <c r="S658" i="1"/>
  <c r="S659" i="1"/>
  <c r="S660" i="1"/>
  <c r="T660" i="1" s="1"/>
  <c r="U660" i="1" s="1"/>
  <c r="S661" i="1"/>
  <c r="T661" i="1" s="1"/>
  <c r="S662" i="1"/>
  <c r="T662" i="1" s="1"/>
  <c r="U662" i="1" s="1"/>
  <c r="S663" i="1"/>
  <c r="T663" i="1" s="1"/>
  <c r="U663" i="1" s="1"/>
  <c r="S664" i="1"/>
  <c r="T664" i="1" s="1"/>
  <c r="U664" i="1" s="1"/>
  <c r="S665" i="1"/>
  <c r="T665" i="1" s="1"/>
  <c r="U665" i="1" s="1"/>
  <c r="S666" i="1"/>
  <c r="S667" i="1"/>
  <c r="S668" i="1"/>
  <c r="T668" i="1" s="1"/>
  <c r="U668" i="1" s="1"/>
  <c r="S669" i="1"/>
  <c r="T669" i="1" s="1"/>
  <c r="S670" i="1"/>
  <c r="T670" i="1" s="1"/>
  <c r="U670" i="1" s="1"/>
  <c r="S671" i="1"/>
  <c r="T671" i="1" s="1"/>
  <c r="U671" i="1" s="1"/>
  <c r="S672" i="1"/>
  <c r="T672" i="1" s="1"/>
  <c r="U672" i="1" s="1"/>
  <c r="S673" i="1"/>
  <c r="T673" i="1" s="1"/>
  <c r="U673" i="1" s="1"/>
  <c r="S674" i="1"/>
  <c r="S675" i="1"/>
  <c r="S676" i="1"/>
  <c r="T676" i="1" s="1"/>
  <c r="U676" i="1" s="1"/>
  <c r="S677" i="1"/>
  <c r="T677" i="1" s="1"/>
  <c r="S678" i="1"/>
  <c r="T678" i="1" s="1"/>
  <c r="U678" i="1" s="1"/>
  <c r="S679" i="1"/>
  <c r="T679" i="1" s="1"/>
  <c r="U679" i="1" s="1"/>
  <c r="S680" i="1"/>
  <c r="T680" i="1" s="1"/>
  <c r="U680" i="1" s="1"/>
  <c r="S681" i="1"/>
  <c r="T681" i="1" s="1"/>
  <c r="U681" i="1" s="1"/>
  <c r="S682" i="1"/>
  <c r="S683" i="1"/>
  <c r="S684" i="1"/>
  <c r="T684" i="1" s="1"/>
  <c r="U684" i="1" s="1"/>
  <c r="S685" i="1"/>
  <c r="T685" i="1" s="1"/>
  <c r="S686" i="1"/>
  <c r="T686" i="1" s="1"/>
  <c r="U686" i="1" s="1"/>
  <c r="S687" i="1"/>
  <c r="T687" i="1" s="1"/>
  <c r="S688" i="1"/>
  <c r="T688" i="1" s="1"/>
  <c r="U688" i="1" s="1"/>
  <c r="S689" i="1"/>
  <c r="T689" i="1" s="1"/>
  <c r="U689" i="1" s="1"/>
  <c r="S690" i="1"/>
  <c r="S691" i="1"/>
  <c r="S692" i="1"/>
  <c r="T692" i="1" s="1"/>
  <c r="U692" i="1" s="1"/>
  <c r="S693" i="1"/>
  <c r="T693" i="1" s="1"/>
  <c r="S694" i="1"/>
  <c r="T694" i="1" s="1"/>
  <c r="U694" i="1" s="1"/>
  <c r="S695" i="1"/>
  <c r="S696" i="1"/>
  <c r="T696" i="1" s="1"/>
  <c r="U696" i="1" s="1"/>
  <c r="S697" i="1"/>
  <c r="T697" i="1" s="1"/>
  <c r="U697" i="1" s="1"/>
  <c r="S698" i="1"/>
  <c r="S699" i="1"/>
  <c r="S700" i="1"/>
  <c r="T700" i="1" s="1"/>
  <c r="U700" i="1" s="1"/>
  <c r="S701" i="1"/>
  <c r="T701" i="1" s="1"/>
  <c r="S702" i="1"/>
  <c r="T702" i="1" s="1"/>
  <c r="U702" i="1" s="1"/>
  <c r="S703" i="1"/>
  <c r="T703" i="1" s="1"/>
  <c r="U703" i="1" s="1"/>
  <c r="S704" i="1"/>
  <c r="T704" i="1" s="1"/>
  <c r="U704" i="1" s="1"/>
  <c r="S705" i="1"/>
  <c r="T705" i="1" s="1"/>
  <c r="U705" i="1" s="1"/>
  <c r="S706" i="1"/>
  <c r="S707" i="1"/>
  <c r="S708" i="1"/>
  <c r="T708" i="1" s="1"/>
  <c r="U708" i="1" s="1"/>
  <c r="S709" i="1"/>
  <c r="T709" i="1" s="1"/>
  <c r="S710" i="1"/>
  <c r="T710" i="1" s="1"/>
  <c r="U710" i="1" s="1"/>
  <c r="S711" i="1"/>
  <c r="T711" i="1" s="1"/>
  <c r="S712" i="1"/>
  <c r="T712" i="1" s="1"/>
  <c r="U712" i="1" s="1"/>
  <c r="S713" i="1"/>
  <c r="T713" i="1" s="1"/>
  <c r="U713" i="1" s="1"/>
  <c r="S714" i="1"/>
  <c r="S715" i="1"/>
  <c r="S716" i="1"/>
  <c r="T716" i="1" s="1"/>
  <c r="U716" i="1" s="1"/>
  <c r="S717" i="1"/>
  <c r="T717" i="1" s="1"/>
  <c r="S718" i="1"/>
  <c r="T718" i="1" s="1"/>
  <c r="U718" i="1" s="1"/>
  <c r="S719" i="1"/>
  <c r="T719" i="1" s="1"/>
  <c r="U719" i="1" s="1"/>
  <c r="S720" i="1"/>
  <c r="T720" i="1" s="1"/>
  <c r="U720" i="1" s="1"/>
  <c r="S721" i="1"/>
  <c r="T721" i="1" s="1"/>
  <c r="U721" i="1" s="1"/>
  <c r="S722" i="1"/>
  <c r="S723" i="1"/>
  <c r="S724" i="1"/>
  <c r="T724" i="1" s="1"/>
  <c r="U724" i="1" s="1"/>
  <c r="S725" i="1"/>
  <c r="T725" i="1" s="1"/>
  <c r="S726" i="1"/>
  <c r="T726" i="1" s="1"/>
  <c r="U726" i="1" s="1"/>
  <c r="S727" i="1"/>
  <c r="T727" i="1" s="1"/>
  <c r="U727" i="1" s="1"/>
  <c r="S728" i="1"/>
  <c r="T728" i="1" s="1"/>
  <c r="U728" i="1" s="1"/>
  <c r="S729" i="1"/>
  <c r="T729" i="1" s="1"/>
  <c r="U729" i="1" s="1"/>
  <c r="S730" i="1"/>
  <c r="S731" i="1"/>
  <c r="S732" i="1"/>
  <c r="T732" i="1" s="1"/>
  <c r="U732" i="1" s="1"/>
  <c r="S733" i="1"/>
  <c r="T733" i="1" s="1"/>
  <c r="S734" i="1"/>
  <c r="T734" i="1" s="1"/>
  <c r="U734" i="1" s="1"/>
  <c r="S735" i="1"/>
  <c r="T735" i="1" s="1"/>
  <c r="U735" i="1" s="1"/>
  <c r="S736" i="1"/>
  <c r="T736" i="1" s="1"/>
  <c r="U736" i="1" s="1"/>
  <c r="S737" i="1"/>
  <c r="T737" i="1" s="1"/>
  <c r="U737" i="1" s="1"/>
  <c r="S738" i="1"/>
  <c r="S739" i="1"/>
  <c r="B622" i="1"/>
  <c r="S622" i="1"/>
  <c r="T622" i="1" s="1"/>
  <c r="U622" i="1" s="1"/>
  <c r="U687" i="1" l="1"/>
  <c r="U623" i="1"/>
  <c r="U711" i="1"/>
  <c r="U647" i="1"/>
  <c r="T695" i="1"/>
  <c r="U695" i="1" s="1"/>
  <c r="T631" i="1"/>
  <c r="U631" i="1" s="1"/>
  <c r="U733" i="1"/>
  <c r="U725" i="1"/>
  <c r="U717" i="1"/>
  <c r="U709" i="1"/>
  <c r="U701" i="1"/>
  <c r="U693" i="1"/>
  <c r="U685" i="1"/>
  <c r="U677" i="1"/>
  <c r="U669" i="1"/>
  <c r="U661" i="1"/>
  <c r="U653" i="1"/>
  <c r="U645" i="1"/>
  <c r="U637" i="1"/>
  <c r="U629" i="1"/>
  <c r="T731" i="1"/>
  <c r="U731" i="1" s="1"/>
  <c r="T715" i="1"/>
  <c r="U715" i="1" s="1"/>
  <c r="T699" i="1"/>
  <c r="U699" i="1" s="1"/>
  <c r="T683" i="1"/>
  <c r="U683" i="1" s="1"/>
  <c r="T659" i="1"/>
  <c r="U659" i="1" s="1"/>
  <c r="T643" i="1"/>
  <c r="U643" i="1" s="1"/>
  <c r="T627" i="1"/>
  <c r="U627" i="1" s="1"/>
  <c r="T738" i="1"/>
  <c r="U738" i="1" s="1"/>
  <c r="T730" i="1"/>
  <c r="U730" i="1" s="1"/>
  <c r="T722" i="1"/>
  <c r="U722" i="1" s="1"/>
  <c r="T714" i="1"/>
  <c r="U714" i="1" s="1"/>
  <c r="T706" i="1"/>
  <c r="U706" i="1" s="1"/>
  <c r="T698" i="1"/>
  <c r="U698" i="1" s="1"/>
  <c r="T690" i="1"/>
  <c r="U690" i="1" s="1"/>
  <c r="T682" i="1"/>
  <c r="U682" i="1" s="1"/>
  <c r="T674" i="1"/>
  <c r="U674" i="1" s="1"/>
  <c r="T666" i="1"/>
  <c r="U666" i="1" s="1"/>
  <c r="T658" i="1"/>
  <c r="U658" i="1" s="1"/>
  <c r="T650" i="1"/>
  <c r="U650" i="1" s="1"/>
  <c r="T642" i="1"/>
  <c r="U642" i="1" s="1"/>
  <c r="T634" i="1"/>
  <c r="U634" i="1" s="1"/>
  <c r="T626" i="1"/>
  <c r="U626" i="1" s="1"/>
  <c r="T675" i="1"/>
  <c r="U675" i="1" s="1"/>
  <c r="T739" i="1"/>
  <c r="U739" i="1" s="1"/>
  <c r="T723" i="1"/>
  <c r="U723" i="1" s="1"/>
  <c r="T707" i="1"/>
  <c r="U707" i="1" s="1"/>
  <c r="T691" i="1"/>
  <c r="U691" i="1" s="1"/>
  <c r="T667" i="1"/>
  <c r="U667" i="1" s="1"/>
  <c r="T651" i="1"/>
  <c r="U651" i="1" s="1"/>
  <c r="T635" i="1"/>
  <c r="U635" i="1" s="1"/>
  <c r="S285" i="1" l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578" i="1" l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S578" i="1"/>
  <c r="T578" i="1" s="1"/>
  <c r="U578" i="1" s="1"/>
  <c r="S579" i="1"/>
  <c r="T579" i="1" s="1"/>
  <c r="U579" i="1" s="1"/>
  <c r="S580" i="1"/>
  <c r="S581" i="1"/>
  <c r="T581" i="1" s="1"/>
  <c r="S582" i="1"/>
  <c r="T582" i="1" s="1"/>
  <c r="S583" i="1"/>
  <c r="T583" i="1" s="1"/>
  <c r="S584" i="1"/>
  <c r="T584" i="1" s="1"/>
  <c r="U584" i="1" s="1"/>
  <c r="S585" i="1"/>
  <c r="T585" i="1" s="1"/>
  <c r="U585" i="1" s="1"/>
  <c r="S586" i="1"/>
  <c r="T586" i="1" s="1"/>
  <c r="S587" i="1"/>
  <c r="S588" i="1"/>
  <c r="T588" i="1" s="1"/>
  <c r="S589" i="1"/>
  <c r="S590" i="1"/>
  <c r="T590" i="1" s="1"/>
  <c r="S591" i="1"/>
  <c r="T591" i="1" s="1"/>
  <c r="U591" i="1" s="1"/>
  <c r="S592" i="1"/>
  <c r="T592" i="1" s="1"/>
  <c r="U592" i="1" s="1"/>
  <c r="S593" i="1"/>
  <c r="T593" i="1" s="1"/>
  <c r="U593" i="1" s="1"/>
  <c r="S594" i="1"/>
  <c r="T594" i="1" s="1"/>
  <c r="S595" i="1"/>
  <c r="S596" i="1"/>
  <c r="T596" i="1" s="1"/>
  <c r="S597" i="1"/>
  <c r="T597" i="1" s="1"/>
  <c r="S598" i="1"/>
  <c r="T598" i="1" s="1"/>
  <c r="S599" i="1"/>
  <c r="T599" i="1" s="1"/>
  <c r="U599" i="1" s="1"/>
  <c r="S600" i="1"/>
  <c r="T600" i="1" s="1"/>
  <c r="U600" i="1" s="1"/>
  <c r="S601" i="1"/>
  <c r="T601" i="1" s="1"/>
  <c r="U601" i="1" s="1"/>
  <c r="S602" i="1"/>
  <c r="T602" i="1" s="1"/>
  <c r="U602" i="1" s="1"/>
  <c r="S603" i="1"/>
  <c r="S604" i="1"/>
  <c r="T604" i="1" s="1"/>
  <c r="S605" i="1"/>
  <c r="S606" i="1"/>
  <c r="T606" i="1" s="1"/>
  <c r="S607" i="1"/>
  <c r="T607" i="1" s="1"/>
  <c r="U607" i="1" s="1"/>
  <c r="S608" i="1"/>
  <c r="T608" i="1" s="1"/>
  <c r="U608" i="1" s="1"/>
  <c r="S609" i="1"/>
  <c r="T609" i="1" s="1"/>
  <c r="U609" i="1" s="1"/>
  <c r="S610" i="1"/>
  <c r="T610" i="1" s="1"/>
  <c r="U610" i="1" s="1"/>
  <c r="S611" i="1"/>
  <c r="S612" i="1"/>
  <c r="T612" i="1" s="1"/>
  <c r="S613" i="1"/>
  <c r="T613" i="1" s="1"/>
  <c r="S614" i="1"/>
  <c r="T614" i="1" s="1"/>
  <c r="S615" i="1"/>
  <c r="T615" i="1" s="1"/>
  <c r="U615" i="1" s="1"/>
  <c r="S616" i="1"/>
  <c r="T616" i="1" s="1"/>
  <c r="U616" i="1" s="1"/>
  <c r="S617" i="1"/>
  <c r="T617" i="1" s="1"/>
  <c r="U617" i="1" s="1"/>
  <c r="S618" i="1"/>
  <c r="T618" i="1" s="1"/>
  <c r="U618" i="1" s="1"/>
  <c r="S619" i="1"/>
  <c r="S620" i="1"/>
  <c r="T620" i="1" s="1"/>
  <c r="S621" i="1"/>
  <c r="U586" i="1" l="1"/>
  <c r="U594" i="1"/>
  <c r="T605" i="1"/>
  <c r="U605" i="1" s="1"/>
  <c r="U613" i="1"/>
  <c r="U597" i="1"/>
  <c r="U582" i="1"/>
  <c r="T621" i="1"/>
  <c r="U621" i="1" s="1"/>
  <c r="T589" i="1"/>
  <c r="U589" i="1" s="1"/>
  <c r="U614" i="1"/>
  <c r="U606" i="1"/>
  <c r="U598" i="1"/>
  <c r="U590" i="1"/>
  <c r="U583" i="1"/>
  <c r="U620" i="1"/>
  <c r="U612" i="1"/>
  <c r="U604" i="1"/>
  <c r="U596" i="1"/>
  <c r="U588" i="1"/>
  <c r="U581" i="1"/>
  <c r="T619" i="1"/>
  <c r="U619" i="1" s="1"/>
  <c r="T611" i="1"/>
  <c r="U611" i="1" s="1"/>
  <c r="T603" i="1"/>
  <c r="U603" i="1" s="1"/>
  <c r="T595" i="1"/>
  <c r="U595" i="1" s="1"/>
  <c r="T587" i="1"/>
  <c r="U587" i="1" s="1"/>
  <c r="T580" i="1"/>
  <c r="U580" i="1" s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S504" i="1"/>
  <c r="T504" i="1" s="1"/>
  <c r="U504" i="1" s="1"/>
  <c r="S505" i="1"/>
  <c r="T505" i="1" s="1"/>
  <c r="U505" i="1" s="1"/>
  <c r="S506" i="1"/>
  <c r="T506" i="1" s="1"/>
  <c r="U506" i="1" s="1"/>
  <c r="S507" i="1"/>
  <c r="T507" i="1" s="1"/>
  <c r="U507" i="1" s="1"/>
  <c r="S508" i="1"/>
  <c r="T508" i="1" s="1"/>
  <c r="U508" i="1" s="1"/>
  <c r="S509" i="1"/>
  <c r="S510" i="1"/>
  <c r="T510" i="1" s="1"/>
  <c r="U510" i="1" s="1"/>
  <c r="S511" i="1"/>
  <c r="T511" i="1" s="1"/>
  <c r="S512" i="1"/>
  <c r="T512" i="1" s="1"/>
  <c r="U512" i="1" s="1"/>
  <c r="S513" i="1"/>
  <c r="S514" i="1"/>
  <c r="T514" i="1" s="1"/>
  <c r="S515" i="1"/>
  <c r="S516" i="1"/>
  <c r="T516" i="1" s="1"/>
  <c r="S517" i="1"/>
  <c r="S518" i="1"/>
  <c r="T518" i="1" s="1"/>
  <c r="U518" i="1" s="1"/>
  <c r="S519" i="1"/>
  <c r="T519" i="1" s="1"/>
  <c r="S520" i="1"/>
  <c r="T520" i="1" s="1"/>
  <c r="U520" i="1" s="1"/>
  <c r="S521" i="1"/>
  <c r="T521" i="1" s="1"/>
  <c r="U521" i="1" s="1"/>
  <c r="S522" i="1"/>
  <c r="T522" i="1" s="1"/>
  <c r="U522" i="1" s="1"/>
  <c r="S523" i="1"/>
  <c r="S524" i="1"/>
  <c r="S525" i="1"/>
  <c r="S526" i="1"/>
  <c r="T526" i="1" s="1"/>
  <c r="U526" i="1" s="1"/>
  <c r="S527" i="1"/>
  <c r="T527" i="1" s="1"/>
  <c r="S528" i="1"/>
  <c r="T528" i="1" s="1"/>
  <c r="U528" i="1" s="1"/>
  <c r="S529" i="1"/>
  <c r="T529" i="1" s="1"/>
  <c r="U529" i="1" s="1"/>
  <c r="S530" i="1"/>
  <c r="T530" i="1" s="1"/>
  <c r="U530" i="1" s="1"/>
  <c r="S531" i="1"/>
  <c r="T531" i="1" s="1"/>
  <c r="U531" i="1" s="1"/>
  <c r="S532" i="1"/>
  <c r="T532" i="1" s="1"/>
  <c r="U532" i="1" s="1"/>
  <c r="S533" i="1"/>
  <c r="S534" i="1"/>
  <c r="T534" i="1" s="1"/>
  <c r="U534" i="1" s="1"/>
  <c r="S535" i="1"/>
  <c r="T535" i="1" s="1"/>
  <c r="S536" i="1"/>
  <c r="T536" i="1" s="1"/>
  <c r="S537" i="1"/>
  <c r="T537" i="1" s="1"/>
  <c r="S538" i="1"/>
  <c r="T538" i="1" s="1"/>
  <c r="S539" i="1"/>
  <c r="T539" i="1" s="1"/>
  <c r="S540" i="1"/>
  <c r="T540" i="1" s="1"/>
  <c r="S541" i="1"/>
  <c r="S542" i="1"/>
  <c r="S543" i="1"/>
  <c r="T543" i="1" s="1"/>
  <c r="S544" i="1"/>
  <c r="T544" i="1" s="1"/>
  <c r="U544" i="1" s="1"/>
  <c r="S545" i="1"/>
  <c r="T545" i="1" s="1"/>
  <c r="S546" i="1"/>
  <c r="T546" i="1" s="1"/>
  <c r="S547" i="1"/>
  <c r="T547" i="1" s="1"/>
  <c r="S548" i="1"/>
  <c r="S549" i="1"/>
  <c r="S550" i="1"/>
  <c r="T550" i="1" s="1"/>
  <c r="S551" i="1"/>
  <c r="T551" i="1" s="1"/>
  <c r="S552" i="1"/>
  <c r="T552" i="1" s="1"/>
  <c r="S553" i="1"/>
  <c r="T553" i="1" s="1"/>
  <c r="U553" i="1" s="1"/>
  <c r="S554" i="1"/>
  <c r="T554" i="1" s="1"/>
  <c r="U554" i="1" s="1"/>
  <c r="S555" i="1"/>
  <c r="T555" i="1" s="1"/>
  <c r="S556" i="1"/>
  <c r="T556" i="1" s="1"/>
  <c r="S557" i="1"/>
  <c r="T557" i="1" s="1"/>
  <c r="S558" i="1"/>
  <c r="S559" i="1"/>
  <c r="T559" i="1" s="1"/>
  <c r="S560" i="1"/>
  <c r="T560" i="1" s="1"/>
  <c r="U560" i="1" s="1"/>
  <c r="S561" i="1"/>
  <c r="T561" i="1" s="1"/>
  <c r="U561" i="1" s="1"/>
  <c r="S562" i="1"/>
  <c r="T562" i="1" s="1"/>
  <c r="U562" i="1" s="1"/>
  <c r="S563" i="1"/>
  <c r="T563" i="1" s="1"/>
  <c r="U563" i="1" s="1"/>
  <c r="S564" i="1"/>
  <c r="T564" i="1" s="1"/>
  <c r="U564" i="1" s="1"/>
  <c r="S565" i="1"/>
  <c r="S566" i="1"/>
  <c r="T566" i="1" s="1"/>
  <c r="U566" i="1" s="1"/>
  <c r="S567" i="1"/>
  <c r="T567" i="1" s="1"/>
  <c r="S568" i="1"/>
  <c r="T568" i="1" s="1"/>
  <c r="S569" i="1"/>
  <c r="T569" i="1" s="1"/>
  <c r="S570" i="1"/>
  <c r="T570" i="1" s="1"/>
  <c r="S571" i="1"/>
  <c r="T571" i="1" s="1"/>
  <c r="S572" i="1"/>
  <c r="T572" i="1" s="1"/>
  <c r="S573" i="1"/>
  <c r="T573" i="1" s="1"/>
  <c r="S574" i="1"/>
  <c r="S575" i="1"/>
  <c r="T575" i="1" s="1"/>
  <c r="S576" i="1"/>
  <c r="T576" i="1" s="1"/>
  <c r="U576" i="1" s="1"/>
  <c r="S577" i="1"/>
  <c r="U552" i="1" l="1"/>
  <c r="T542" i="1"/>
  <c r="U542" i="1" s="1"/>
  <c r="U572" i="1"/>
  <c r="T574" i="1"/>
  <c r="U574" i="1" s="1"/>
  <c r="U570" i="1"/>
  <c r="U546" i="1"/>
  <c r="U550" i="1"/>
  <c r="T558" i="1"/>
  <c r="U558" i="1" s="1"/>
  <c r="U571" i="1"/>
  <c r="U555" i="1"/>
  <c r="U569" i="1"/>
  <c r="U545" i="1"/>
  <c r="U537" i="1"/>
  <c r="U568" i="1"/>
  <c r="U536" i="1"/>
  <c r="T517" i="1"/>
  <c r="U517" i="1" s="1"/>
  <c r="T525" i="1"/>
  <c r="U525" i="1" s="1"/>
  <c r="U539" i="1"/>
  <c r="T524" i="1"/>
  <c r="U524" i="1" s="1"/>
  <c r="U538" i="1"/>
  <c r="U516" i="1"/>
  <c r="T541" i="1"/>
  <c r="U541" i="1" s="1"/>
  <c r="T523" i="1"/>
  <c r="U523" i="1" s="1"/>
  <c r="U547" i="1"/>
  <c r="T577" i="1"/>
  <c r="U577" i="1" s="1"/>
  <c r="T513" i="1"/>
  <c r="U513" i="1" s="1"/>
  <c r="U556" i="1"/>
  <c r="U514" i="1"/>
  <c r="T548" i="1"/>
  <c r="U548" i="1" s="1"/>
  <c r="U573" i="1"/>
  <c r="U557" i="1"/>
  <c r="U540" i="1"/>
  <c r="T533" i="1"/>
  <c r="U533" i="1" s="1"/>
  <c r="T515" i="1"/>
  <c r="U515" i="1" s="1"/>
  <c r="T549" i="1"/>
  <c r="U549" i="1" s="1"/>
  <c r="T565" i="1"/>
  <c r="U565" i="1" s="1"/>
  <c r="T509" i="1"/>
  <c r="U509" i="1" s="1"/>
  <c r="U575" i="1"/>
  <c r="U567" i="1"/>
  <c r="U559" i="1"/>
  <c r="U551" i="1"/>
  <c r="U543" i="1"/>
  <c r="U535" i="1"/>
  <c r="U527" i="1"/>
  <c r="U519" i="1"/>
  <c r="U511" i="1"/>
  <c r="B414" i="1" l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T413" i="1"/>
  <c r="U413" i="1" s="1"/>
  <c r="S414" i="1"/>
  <c r="T414" i="1" s="1"/>
  <c r="S415" i="1"/>
  <c r="T415" i="1" s="1"/>
  <c r="S416" i="1"/>
  <c r="T416" i="1" s="1"/>
  <c r="U416" i="1" s="1"/>
  <c r="S417" i="1"/>
  <c r="T417" i="1" s="1"/>
  <c r="S418" i="1"/>
  <c r="T418" i="1" s="1"/>
  <c r="S419" i="1"/>
  <c r="T419" i="1" s="1"/>
  <c r="S420" i="1"/>
  <c r="T420" i="1" s="1"/>
  <c r="U420" i="1" s="1"/>
  <c r="S421" i="1"/>
  <c r="T421" i="1" s="1"/>
  <c r="U421" i="1" s="1"/>
  <c r="S422" i="1"/>
  <c r="S423" i="1"/>
  <c r="S424" i="1"/>
  <c r="T424" i="1" s="1"/>
  <c r="U424" i="1" s="1"/>
  <c r="S425" i="1"/>
  <c r="T425" i="1" s="1"/>
  <c r="S426" i="1"/>
  <c r="T426" i="1" s="1"/>
  <c r="U426" i="1" s="1"/>
  <c r="S427" i="1"/>
  <c r="S428" i="1"/>
  <c r="S429" i="1"/>
  <c r="T429" i="1" s="1"/>
  <c r="U429" i="1" s="1"/>
  <c r="S430" i="1"/>
  <c r="S431" i="1"/>
  <c r="S432" i="1"/>
  <c r="T432" i="1" s="1"/>
  <c r="U432" i="1" s="1"/>
  <c r="S433" i="1"/>
  <c r="T433" i="1" s="1"/>
  <c r="S434" i="1"/>
  <c r="T434" i="1" s="1"/>
  <c r="U434" i="1" s="1"/>
  <c r="S435" i="1"/>
  <c r="T435" i="1" s="1"/>
  <c r="S436" i="1"/>
  <c r="T436" i="1" s="1"/>
  <c r="S437" i="1"/>
  <c r="T437" i="1" s="1"/>
  <c r="S438" i="1"/>
  <c r="T438" i="1" s="1"/>
  <c r="S439" i="1"/>
  <c r="T439" i="1" s="1"/>
  <c r="S440" i="1"/>
  <c r="T440" i="1" s="1"/>
  <c r="U440" i="1" s="1"/>
  <c r="S441" i="1"/>
  <c r="T441" i="1" s="1"/>
  <c r="S442" i="1"/>
  <c r="T442" i="1" s="1"/>
  <c r="U442" i="1" s="1"/>
  <c r="S443" i="1"/>
  <c r="S444" i="1"/>
  <c r="T444" i="1" s="1"/>
  <c r="U444" i="1" s="1"/>
  <c r="S445" i="1"/>
  <c r="T445" i="1" s="1"/>
  <c r="U445" i="1" s="1"/>
  <c r="S446" i="1"/>
  <c r="S447" i="1"/>
  <c r="T447" i="1" s="1"/>
  <c r="S448" i="1"/>
  <c r="T448" i="1" s="1"/>
  <c r="U448" i="1" s="1"/>
  <c r="S449" i="1"/>
  <c r="T449" i="1" s="1"/>
  <c r="S450" i="1"/>
  <c r="T450" i="1" s="1"/>
  <c r="U450" i="1" s="1"/>
  <c r="S451" i="1"/>
  <c r="T451" i="1" s="1"/>
  <c r="S452" i="1"/>
  <c r="T452" i="1" s="1"/>
  <c r="U452" i="1" s="1"/>
  <c r="S453" i="1"/>
  <c r="T453" i="1" s="1"/>
  <c r="U453" i="1" s="1"/>
  <c r="S454" i="1"/>
  <c r="T454" i="1" s="1"/>
  <c r="S455" i="1"/>
  <c r="S456" i="1"/>
  <c r="T456" i="1" s="1"/>
  <c r="U456" i="1" s="1"/>
  <c r="S457" i="1"/>
  <c r="T457" i="1" s="1"/>
  <c r="S458" i="1"/>
  <c r="T458" i="1" s="1"/>
  <c r="U458" i="1" s="1"/>
  <c r="S459" i="1"/>
  <c r="S460" i="1"/>
  <c r="T460" i="1" s="1"/>
  <c r="U460" i="1" s="1"/>
  <c r="S461" i="1"/>
  <c r="T461" i="1" s="1"/>
  <c r="U461" i="1" s="1"/>
  <c r="S462" i="1"/>
  <c r="T462" i="1" s="1"/>
  <c r="S463" i="1"/>
  <c r="T463" i="1" s="1"/>
  <c r="S464" i="1"/>
  <c r="T464" i="1" s="1"/>
  <c r="U464" i="1" s="1"/>
  <c r="S465" i="1"/>
  <c r="T465" i="1" s="1"/>
  <c r="S466" i="1"/>
  <c r="T466" i="1" s="1"/>
  <c r="U466" i="1" s="1"/>
  <c r="S467" i="1"/>
  <c r="T467" i="1" s="1"/>
  <c r="S468" i="1"/>
  <c r="T468" i="1" s="1"/>
  <c r="U468" i="1" s="1"/>
  <c r="S469" i="1"/>
  <c r="T469" i="1" s="1"/>
  <c r="U469" i="1" s="1"/>
  <c r="S470" i="1"/>
  <c r="S471" i="1"/>
  <c r="S472" i="1"/>
  <c r="T472" i="1" s="1"/>
  <c r="U472" i="1" s="1"/>
  <c r="S473" i="1"/>
  <c r="T473" i="1" s="1"/>
  <c r="S474" i="1"/>
  <c r="T474" i="1" s="1"/>
  <c r="U474" i="1" s="1"/>
  <c r="S475" i="1"/>
  <c r="T475" i="1" s="1"/>
  <c r="S476" i="1"/>
  <c r="T476" i="1" s="1"/>
  <c r="U476" i="1" s="1"/>
  <c r="S477" i="1"/>
  <c r="T477" i="1" s="1"/>
  <c r="U477" i="1" s="1"/>
  <c r="S478" i="1"/>
  <c r="T478" i="1" s="1"/>
  <c r="S479" i="1"/>
  <c r="S480" i="1"/>
  <c r="T480" i="1" s="1"/>
  <c r="U480" i="1" s="1"/>
  <c r="S481" i="1"/>
  <c r="T481" i="1" s="1"/>
  <c r="S482" i="1"/>
  <c r="T482" i="1" s="1"/>
  <c r="U482" i="1" s="1"/>
  <c r="S483" i="1"/>
  <c r="T483" i="1" s="1"/>
  <c r="S484" i="1"/>
  <c r="S485" i="1"/>
  <c r="T485" i="1" s="1"/>
  <c r="U485" i="1" s="1"/>
  <c r="S486" i="1"/>
  <c r="T486" i="1" s="1"/>
  <c r="S487" i="1"/>
  <c r="S488" i="1"/>
  <c r="T488" i="1" s="1"/>
  <c r="U488" i="1" s="1"/>
  <c r="S489" i="1"/>
  <c r="T489" i="1" s="1"/>
  <c r="S490" i="1"/>
  <c r="T490" i="1" s="1"/>
  <c r="U490" i="1" s="1"/>
  <c r="S491" i="1"/>
  <c r="S492" i="1"/>
  <c r="T492" i="1" s="1"/>
  <c r="U492" i="1" s="1"/>
  <c r="S493" i="1"/>
  <c r="T493" i="1" s="1"/>
  <c r="U493" i="1" s="1"/>
  <c r="S494" i="1"/>
  <c r="T494" i="1" s="1"/>
  <c r="S495" i="1"/>
  <c r="T495" i="1" s="1"/>
  <c r="S496" i="1"/>
  <c r="T496" i="1" s="1"/>
  <c r="U496" i="1" s="1"/>
  <c r="S497" i="1"/>
  <c r="T497" i="1" s="1"/>
  <c r="S498" i="1"/>
  <c r="T498" i="1" s="1"/>
  <c r="U498" i="1" s="1"/>
  <c r="S499" i="1"/>
  <c r="T499" i="1" s="1"/>
  <c r="S500" i="1"/>
  <c r="T500" i="1" s="1"/>
  <c r="U500" i="1" s="1"/>
  <c r="S501" i="1"/>
  <c r="T501" i="1" s="1"/>
  <c r="U501" i="1" s="1"/>
  <c r="S502" i="1"/>
  <c r="T502" i="1" s="1"/>
  <c r="S503" i="1"/>
  <c r="T503" i="1" s="1"/>
  <c r="U437" i="1" l="1"/>
  <c r="T428" i="1"/>
  <c r="U428" i="1" s="1"/>
  <c r="U436" i="1"/>
  <c r="T484" i="1"/>
  <c r="U484" i="1" s="1"/>
  <c r="T479" i="1"/>
  <c r="U479" i="1" s="1"/>
  <c r="U494" i="1"/>
  <c r="U454" i="1"/>
  <c r="T422" i="1"/>
  <c r="U422" i="1" s="1"/>
  <c r="U439" i="1"/>
  <c r="T487" i="1"/>
  <c r="U487" i="1" s="1"/>
  <c r="U502" i="1"/>
  <c r="U478" i="1"/>
  <c r="U462" i="1"/>
  <c r="U438" i="1"/>
  <c r="U414" i="1"/>
  <c r="T471" i="1"/>
  <c r="U471" i="1" s="1"/>
  <c r="T446" i="1"/>
  <c r="U446" i="1" s="1"/>
  <c r="U503" i="1"/>
  <c r="U463" i="1"/>
  <c r="T423" i="1"/>
  <c r="U423" i="1" s="1"/>
  <c r="U486" i="1"/>
  <c r="T470" i="1"/>
  <c r="U470" i="1" s="1"/>
  <c r="T431" i="1"/>
  <c r="U431" i="1" s="1"/>
  <c r="U495" i="1"/>
  <c r="U447" i="1"/>
  <c r="T455" i="1"/>
  <c r="U455" i="1" s="1"/>
  <c r="T430" i="1"/>
  <c r="U430" i="1" s="1"/>
  <c r="U467" i="1"/>
  <c r="U418" i="1"/>
  <c r="U489" i="1"/>
  <c r="T491" i="1"/>
  <c r="U491" i="1" s="1"/>
  <c r="U499" i="1"/>
  <c r="U475" i="1"/>
  <c r="U451" i="1"/>
  <c r="U435" i="1"/>
  <c r="U419" i="1"/>
  <c r="U481" i="1"/>
  <c r="U465" i="1"/>
  <c r="U441" i="1"/>
  <c r="U425" i="1"/>
  <c r="T459" i="1"/>
  <c r="U459" i="1" s="1"/>
  <c r="T443" i="1"/>
  <c r="U443" i="1" s="1"/>
  <c r="T427" i="1"/>
  <c r="U427" i="1" s="1"/>
  <c r="U415" i="1"/>
  <c r="U483" i="1"/>
  <c r="U497" i="1"/>
  <c r="U473" i="1"/>
  <c r="U457" i="1"/>
  <c r="U449" i="1"/>
  <c r="U433" i="1"/>
  <c r="U417" i="1"/>
  <c r="T288" i="1" l="1"/>
  <c r="T305" i="1"/>
  <c r="T306" i="1"/>
  <c r="U306" i="1" s="1"/>
  <c r="T307" i="1"/>
  <c r="U307" i="1" s="1"/>
  <c r="T308" i="1"/>
  <c r="U308" i="1" s="1"/>
  <c r="T309" i="1"/>
  <c r="U309" i="1" s="1"/>
  <c r="T312" i="1"/>
  <c r="U312" i="1" s="1"/>
  <c r="T314" i="1"/>
  <c r="U314" i="1" s="1"/>
  <c r="T315" i="1"/>
  <c r="U315" i="1" s="1"/>
  <c r="T316" i="1"/>
  <c r="U316" i="1" s="1"/>
  <c r="T317" i="1"/>
  <c r="U317" i="1" s="1"/>
  <c r="T318" i="1"/>
  <c r="U318" i="1" s="1"/>
  <c r="T320" i="1"/>
  <c r="U320" i="1" s="1"/>
  <c r="T322" i="1"/>
  <c r="U322" i="1" s="1"/>
  <c r="T323" i="1"/>
  <c r="U323" i="1" s="1"/>
  <c r="T324" i="1"/>
  <c r="U324" i="1" s="1"/>
  <c r="T325" i="1"/>
  <c r="T328" i="1"/>
  <c r="U328" i="1" s="1"/>
  <c r="T330" i="1"/>
  <c r="U330" i="1" s="1"/>
  <c r="T331" i="1"/>
  <c r="U331" i="1" s="1"/>
  <c r="T332" i="1"/>
  <c r="U332" i="1" s="1"/>
  <c r="T333" i="1"/>
  <c r="U333" i="1" s="1"/>
  <c r="T334" i="1"/>
  <c r="U334" i="1" s="1"/>
  <c r="T336" i="1"/>
  <c r="U336" i="1" s="1"/>
  <c r="T338" i="1"/>
  <c r="U338" i="1" s="1"/>
  <c r="T339" i="1"/>
  <c r="U339" i="1" s="1"/>
  <c r="T340" i="1"/>
  <c r="U340" i="1" s="1"/>
  <c r="T341" i="1"/>
  <c r="U341" i="1" s="1"/>
  <c r="T344" i="1"/>
  <c r="U344" i="1" s="1"/>
  <c r="T346" i="1"/>
  <c r="U346" i="1" s="1"/>
  <c r="T347" i="1"/>
  <c r="U347" i="1" s="1"/>
  <c r="T348" i="1"/>
  <c r="U348" i="1" s="1"/>
  <c r="T349" i="1"/>
  <c r="U349" i="1" s="1"/>
  <c r="T350" i="1"/>
  <c r="U350" i="1" s="1"/>
  <c r="T352" i="1"/>
  <c r="U352" i="1" s="1"/>
  <c r="T354" i="1"/>
  <c r="U354" i="1" s="1"/>
  <c r="T355" i="1"/>
  <c r="U355" i="1" s="1"/>
  <c r="T356" i="1"/>
  <c r="U356" i="1" s="1"/>
  <c r="T357" i="1"/>
  <c r="U357" i="1" s="1"/>
  <c r="T360" i="1"/>
  <c r="U360" i="1" s="1"/>
  <c r="T362" i="1"/>
  <c r="U362" i="1" s="1"/>
  <c r="T363" i="1"/>
  <c r="U363" i="1" s="1"/>
  <c r="T364" i="1"/>
  <c r="U364" i="1" s="1"/>
  <c r="T365" i="1"/>
  <c r="U365" i="1" s="1"/>
  <c r="T366" i="1"/>
  <c r="U366" i="1" s="1"/>
  <c r="T368" i="1"/>
  <c r="U368" i="1" s="1"/>
  <c r="T370" i="1"/>
  <c r="U370" i="1" s="1"/>
  <c r="T371" i="1"/>
  <c r="U371" i="1" s="1"/>
  <c r="T372" i="1"/>
  <c r="U372" i="1" s="1"/>
  <c r="T373" i="1"/>
  <c r="U373" i="1" s="1"/>
  <c r="T374" i="1"/>
  <c r="T376" i="1"/>
  <c r="U376" i="1" s="1"/>
  <c r="T378" i="1"/>
  <c r="U378" i="1" s="1"/>
  <c r="T379" i="1"/>
  <c r="U379" i="1" s="1"/>
  <c r="T380" i="1"/>
  <c r="U380" i="1" s="1"/>
  <c r="T381" i="1"/>
  <c r="U381" i="1" s="1"/>
  <c r="T382" i="1"/>
  <c r="U382" i="1" s="1"/>
  <c r="T384" i="1"/>
  <c r="U384" i="1" s="1"/>
  <c r="T386" i="1"/>
  <c r="U386" i="1" s="1"/>
  <c r="T387" i="1"/>
  <c r="U387" i="1" s="1"/>
  <c r="T388" i="1"/>
  <c r="U388" i="1" s="1"/>
  <c r="T389" i="1"/>
  <c r="T390" i="1"/>
  <c r="T392" i="1"/>
  <c r="U392" i="1" s="1"/>
  <c r="T394" i="1"/>
  <c r="U394" i="1" s="1"/>
  <c r="T395" i="1"/>
  <c r="U395" i="1" s="1"/>
  <c r="T396" i="1"/>
  <c r="U396" i="1" s="1"/>
  <c r="T397" i="1"/>
  <c r="U397" i="1" s="1"/>
  <c r="T398" i="1"/>
  <c r="U398" i="1" s="1"/>
  <c r="T400" i="1"/>
  <c r="U400" i="1" s="1"/>
  <c r="T402" i="1"/>
  <c r="U402" i="1" s="1"/>
  <c r="T403" i="1"/>
  <c r="U403" i="1" s="1"/>
  <c r="T404" i="1"/>
  <c r="U404" i="1" s="1"/>
  <c r="T405" i="1"/>
  <c r="U405" i="1" s="1"/>
  <c r="T406" i="1"/>
  <c r="T407" i="1"/>
  <c r="U407" i="1" s="1"/>
  <c r="T408" i="1"/>
  <c r="U408" i="1" s="1"/>
  <c r="T410" i="1"/>
  <c r="U410" i="1" s="1"/>
  <c r="T411" i="1"/>
  <c r="U411" i="1" s="1"/>
  <c r="T412" i="1"/>
  <c r="U412" i="1" s="1"/>
  <c r="T285" i="1"/>
  <c r="T286" i="1"/>
  <c r="U286" i="1" s="1"/>
  <c r="T287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U302" i="1" s="1"/>
  <c r="T303" i="1"/>
  <c r="T304" i="1"/>
  <c r="U298" i="1" l="1"/>
  <c r="U291" i="1"/>
  <c r="U300" i="1"/>
  <c r="U293" i="1"/>
  <c r="U285" i="1"/>
  <c r="U296" i="1"/>
  <c r="U325" i="1"/>
  <c r="U295" i="1"/>
  <c r="U287" i="1"/>
  <c r="U389" i="1"/>
  <c r="U304" i="1"/>
  <c r="U289" i="1"/>
  <c r="U390" i="1"/>
  <c r="U301" i="1"/>
  <c r="U294" i="1"/>
  <c r="U374" i="1"/>
  <c r="T326" i="1"/>
  <c r="U326" i="1" s="1"/>
  <c r="T310" i="1"/>
  <c r="U310" i="1" s="1"/>
  <c r="U299" i="1"/>
  <c r="U292" i="1"/>
  <c r="U406" i="1"/>
  <c r="T358" i="1"/>
  <c r="U358" i="1" s="1"/>
  <c r="T342" i="1"/>
  <c r="U342" i="1" s="1"/>
  <c r="U303" i="1"/>
  <c r="U288" i="1"/>
  <c r="U290" i="1"/>
  <c r="U297" i="1"/>
  <c r="T409" i="1"/>
  <c r="U409" i="1" s="1"/>
  <c r="T401" i="1"/>
  <c r="U401" i="1" s="1"/>
  <c r="T393" i="1"/>
  <c r="U393" i="1" s="1"/>
  <c r="T385" i="1"/>
  <c r="U385" i="1" s="1"/>
  <c r="T377" i="1"/>
  <c r="U377" i="1" s="1"/>
  <c r="T369" i="1"/>
  <c r="U369" i="1" s="1"/>
  <c r="T361" i="1"/>
  <c r="U361" i="1" s="1"/>
  <c r="T353" i="1"/>
  <c r="U353" i="1" s="1"/>
  <c r="T345" i="1"/>
  <c r="U345" i="1" s="1"/>
  <c r="T337" i="1"/>
  <c r="U337" i="1" s="1"/>
  <c r="T329" i="1"/>
  <c r="U329" i="1" s="1"/>
  <c r="T321" i="1"/>
  <c r="U321" i="1" s="1"/>
  <c r="T313" i="1"/>
  <c r="U313" i="1" s="1"/>
  <c r="T399" i="1"/>
  <c r="U399" i="1" s="1"/>
  <c r="T391" i="1"/>
  <c r="U391" i="1" s="1"/>
  <c r="T383" i="1"/>
  <c r="U383" i="1" s="1"/>
  <c r="T375" i="1"/>
  <c r="U375" i="1" s="1"/>
  <c r="T367" i="1"/>
  <c r="U367" i="1" s="1"/>
  <c r="T359" i="1"/>
  <c r="U359" i="1" s="1"/>
  <c r="T351" i="1"/>
  <c r="U351" i="1" s="1"/>
  <c r="T343" i="1"/>
  <c r="U343" i="1" s="1"/>
  <c r="T335" i="1"/>
  <c r="U335" i="1" s="1"/>
  <c r="T327" i="1"/>
  <c r="U327" i="1" s="1"/>
  <c r="T319" i="1"/>
  <c r="U319" i="1" s="1"/>
  <c r="T311" i="1"/>
  <c r="U311" i="1" s="1"/>
  <c r="U305" i="1"/>
  <c r="B279" i="1"/>
  <c r="B280" i="1"/>
  <c r="B281" i="1"/>
  <c r="B282" i="1"/>
  <c r="B283" i="1"/>
  <c r="B284" i="1"/>
  <c r="S279" i="1"/>
  <c r="S280" i="1"/>
  <c r="S281" i="1"/>
  <c r="T281" i="1" s="1"/>
  <c r="S282" i="1"/>
  <c r="T282" i="1" s="1"/>
  <c r="U282" i="1" s="1"/>
  <c r="S283" i="1"/>
  <c r="T283" i="1" s="1"/>
  <c r="S284" i="1"/>
  <c r="B275" i="1"/>
  <c r="B276" i="1"/>
  <c r="B277" i="1"/>
  <c r="B278" i="1"/>
  <c r="S275" i="1"/>
  <c r="T275" i="1" s="1"/>
  <c r="U275" i="1" s="1"/>
  <c r="S276" i="1"/>
  <c r="T276" i="1" s="1"/>
  <c r="U276" i="1" s="1"/>
  <c r="S277" i="1"/>
  <c r="T277" i="1" s="1"/>
  <c r="U277" i="1" s="1"/>
  <c r="S278" i="1"/>
  <c r="T278" i="1" s="1"/>
  <c r="U278" i="1" s="1"/>
  <c r="B274" i="1"/>
  <c r="S274" i="1"/>
  <c r="T274" i="1" s="1"/>
  <c r="B269" i="1"/>
  <c r="B270" i="1"/>
  <c r="B271" i="1"/>
  <c r="B272" i="1"/>
  <c r="B273" i="1"/>
  <c r="S269" i="1"/>
  <c r="T269" i="1" s="1"/>
  <c r="U269" i="1" s="1"/>
  <c r="S270" i="1"/>
  <c r="T270" i="1" s="1"/>
  <c r="U270" i="1" s="1"/>
  <c r="S271" i="1"/>
  <c r="T271" i="1" s="1"/>
  <c r="U271" i="1" s="1"/>
  <c r="S272" i="1"/>
  <c r="T272" i="1" s="1"/>
  <c r="U272" i="1" s="1"/>
  <c r="S273" i="1"/>
  <c r="T273" i="1" s="1"/>
  <c r="U273" i="1" s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S246" i="1"/>
  <c r="T246" i="1" s="1"/>
  <c r="U246" i="1" s="1"/>
  <c r="S247" i="1"/>
  <c r="T247" i="1" s="1"/>
  <c r="U247" i="1" s="1"/>
  <c r="S248" i="1"/>
  <c r="T248" i="1" s="1"/>
  <c r="U248" i="1" s="1"/>
  <c r="S249" i="1"/>
  <c r="S250" i="1"/>
  <c r="T250" i="1" s="1"/>
  <c r="U250" i="1" s="1"/>
  <c r="S251" i="1"/>
  <c r="S252" i="1"/>
  <c r="S253" i="1"/>
  <c r="S254" i="1"/>
  <c r="T254" i="1" s="1"/>
  <c r="U254" i="1" s="1"/>
  <c r="S255" i="1"/>
  <c r="T255" i="1" s="1"/>
  <c r="U255" i="1" s="1"/>
  <c r="S256" i="1"/>
  <c r="T256" i="1" s="1"/>
  <c r="S257" i="1"/>
  <c r="S258" i="1"/>
  <c r="T258" i="1" s="1"/>
  <c r="U258" i="1" s="1"/>
  <c r="S259" i="1"/>
  <c r="T259" i="1" s="1"/>
  <c r="U259" i="1" s="1"/>
  <c r="S260" i="1"/>
  <c r="S261" i="1"/>
  <c r="S262" i="1"/>
  <c r="T262" i="1" s="1"/>
  <c r="U262" i="1" s="1"/>
  <c r="S263" i="1"/>
  <c r="T263" i="1" s="1"/>
  <c r="U263" i="1" s="1"/>
  <c r="S264" i="1"/>
  <c r="T264" i="1" s="1"/>
  <c r="S265" i="1"/>
  <c r="T265" i="1" s="1"/>
  <c r="S266" i="1"/>
  <c r="T266" i="1" s="1"/>
  <c r="S267" i="1"/>
  <c r="T267" i="1" s="1"/>
  <c r="S268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S228" i="1"/>
  <c r="T228" i="1" s="1"/>
  <c r="U228" i="1" s="1"/>
  <c r="S229" i="1"/>
  <c r="T229" i="1" s="1"/>
  <c r="U229" i="1" s="1"/>
  <c r="S230" i="1"/>
  <c r="S231" i="1"/>
  <c r="T231" i="1" s="1"/>
  <c r="S232" i="1"/>
  <c r="T232" i="1" s="1"/>
  <c r="U232" i="1" s="1"/>
  <c r="S233" i="1"/>
  <c r="T233" i="1" s="1"/>
  <c r="S234" i="1"/>
  <c r="T234" i="1" s="1"/>
  <c r="U234" i="1" s="1"/>
  <c r="S235" i="1"/>
  <c r="T235" i="1" s="1"/>
  <c r="U235" i="1" s="1"/>
  <c r="S236" i="1"/>
  <c r="T236" i="1" s="1"/>
  <c r="U236" i="1" s="1"/>
  <c r="S237" i="1"/>
  <c r="T237" i="1" s="1"/>
  <c r="U237" i="1" s="1"/>
  <c r="S238" i="1"/>
  <c r="S239" i="1"/>
  <c r="S240" i="1"/>
  <c r="T240" i="1" s="1"/>
  <c r="U240" i="1" s="1"/>
  <c r="S241" i="1"/>
  <c r="S242" i="1"/>
  <c r="T242" i="1" s="1"/>
  <c r="U242" i="1" s="1"/>
  <c r="S243" i="1"/>
  <c r="T243" i="1" s="1"/>
  <c r="U243" i="1" s="1"/>
  <c r="S244" i="1"/>
  <c r="T244" i="1" s="1"/>
  <c r="U244" i="1" s="1"/>
  <c r="S245" i="1"/>
  <c r="T245" i="1" s="1"/>
  <c r="U245" i="1" s="1"/>
  <c r="B223" i="1"/>
  <c r="B224" i="1"/>
  <c r="B225" i="1"/>
  <c r="B226" i="1"/>
  <c r="B227" i="1"/>
  <c r="S223" i="1"/>
  <c r="T223" i="1" s="1"/>
  <c r="U223" i="1" s="1"/>
  <c r="S224" i="1"/>
  <c r="T224" i="1" s="1"/>
  <c r="U224" i="1" s="1"/>
  <c r="S225" i="1"/>
  <c r="T225" i="1" s="1"/>
  <c r="U225" i="1" s="1"/>
  <c r="S226" i="1"/>
  <c r="T226" i="1" s="1"/>
  <c r="U226" i="1" s="1"/>
  <c r="S227" i="1"/>
  <c r="T227" i="1" s="1"/>
  <c r="U227" i="1" s="1"/>
  <c r="B217" i="1"/>
  <c r="B218" i="1"/>
  <c r="B219" i="1"/>
  <c r="B220" i="1"/>
  <c r="B221" i="1"/>
  <c r="B222" i="1"/>
  <c r="S217" i="1"/>
  <c r="S218" i="1"/>
  <c r="T218" i="1" s="1"/>
  <c r="U218" i="1" s="1"/>
  <c r="S219" i="1"/>
  <c r="T219" i="1" s="1"/>
  <c r="U219" i="1" s="1"/>
  <c r="S220" i="1"/>
  <c r="T220" i="1" s="1"/>
  <c r="U220" i="1" s="1"/>
  <c r="S221" i="1"/>
  <c r="T221" i="1" s="1"/>
  <c r="U221" i="1" s="1"/>
  <c r="S222" i="1"/>
  <c r="T222" i="1" s="1"/>
  <c r="U222" i="1" s="1"/>
  <c r="S206" i="1"/>
  <c r="T206" i="1" s="1"/>
  <c r="S207" i="1"/>
  <c r="T207" i="1" s="1"/>
  <c r="U207" i="1" s="1"/>
  <c r="S208" i="1"/>
  <c r="T208" i="1" s="1"/>
  <c r="U208" i="1" s="1"/>
  <c r="S209" i="1"/>
  <c r="T209" i="1" s="1"/>
  <c r="U209" i="1" s="1"/>
  <c r="S210" i="1"/>
  <c r="T210" i="1" s="1"/>
  <c r="S211" i="1"/>
  <c r="T211" i="1" s="1"/>
  <c r="U211" i="1" s="1"/>
  <c r="S212" i="1"/>
  <c r="T212" i="1" s="1"/>
  <c r="U212" i="1" s="1"/>
  <c r="S213" i="1"/>
  <c r="T213" i="1" s="1"/>
  <c r="U213" i="1" s="1"/>
  <c r="S214" i="1"/>
  <c r="T214" i="1" s="1"/>
  <c r="U214" i="1" s="1"/>
  <c r="S215" i="1"/>
  <c r="T215" i="1" s="1"/>
  <c r="U215" i="1" s="1"/>
  <c r="S216" i="1"/>
  <c r="T216" i="1" s="1"/>
  <c r="B216" i="1"/>
  <c r="B215" i="1"/>
  <c r="B214" i="1"/>
  <c r="B212" i="1"/>
  <c r="B213" i="1"/>
  <c r="B210" i="1"/>
  <c r="B211" i="1"/>
  <c r="B207" i="1"/>
  <c r="B208" i="1"/>
  <c r="B209" i="1"/>
  <c r="B206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S142" i="1"/>
  <c r="T142" i="1" s="1"/>
  <c r="U142" i="1" s="1"/>
  <c r="S143" i="1"/>
  <c r="T143" i="1" s="1"/>
  <c r="U143" i="1" s="1"/>
  <c r="S144" i="1"/>
  <c r="T144" i="1" s="1"/>
  <c r="S145" i="1"/>
  <c r="T145" i="1" s="1"/>
  <c r="U145" i="1" s="1"/>
  <c r="S146" i="1"/>
  <c r="T146" i="1" s="1"/>
  <c r="U146" i="1" s="1"/>
  <c r="S147" i="1"/>
  <c r="T147" i="1" s="1"/>
  <c r="S148" i="1"/>
  <c r="T148" i="1" s="1"/>
  <c r="S149" i="1"/>
  <c r="T149" i="1" s="1"/>
  <c r="S150" i="1"/>
  <c r="T150" i="1" s="1"/>
  <c r="U150" i="1" s="1"/>
  <c r="S151" i="1"/>
  <c r="T151" i="1" s="1"/>
  <c r="U151" i="1" s="1"/>
  <c r="S152" i="1"/>
  <c r="T152" i="1" s="1"/>
  <c r="S153" i="1"/>
  <c r="T153" i="1" s="1"/>
  <c r="U153" i="1" s="1"/>
  <c r="S154" i="1"/>
  <c r="T154" i="1" s="1"/>
  <c r="S155" i="1"/>
  <c r="T155" i="1" s="1"/>
  <c r="S156" i="1"/>
  <c r="T156" i="1" s="1"/>
  <c r="S157" i="1"/>
  <c r="T157" i="1" s="1"/>
  <c r="S158" i="1"/>
  <c r="T158" i="1" s="1"/>
  <c r="U158" i="1" s="1"/>
  <c r="S159" i="1"/>
  <c r="T159" i="1" s="1"/>
  <c r="U159" i="1" s="1"/>
  <c r="S160" i="1"/>
  <c r="T160" i="1" s="1"/>
  <c r="S161" i="1"/>
  <c r="T161" i="1" s="1"/>
  <c r="U161" i="1" s="1"/>
  <c r="S162" i="1"/>
  <c r="T162" i="1" s="1"/>
  <c r="U162" i="1" s="1"/>
  <c r="S163" i="1"/>
  <c r="T163" i="1" s="1"/>
  <c r="S164" i="1"/>
  <c r="T164" i="1" s="1"/>
  <c r="S165" i="1"/>
  <c r="T165" i="1" s="1"/>
  <c r="S166" i="1"/>
  <c r="T166" i="1" s="1"/>
  <c r="U166" i="1" s="1"/>
  <c r="S167" i="1"/>
  <c r="T167" i="1" s="1"/>
  <c r="U167" i="1" s="1"/>
  <c r="S168" i="1"/>
  <c r="T168" i="1" s="1"/>
  <c r="S169" i="1"/>
  <c r="T169" i="1" s="1"/>
  <c r="U169" i="1" s="1"/>
  <c r="S170" i="1"/>
  <c r="T170" i="1" s="1"/>
  <c r="S171" i="1"/>
  <c r="T171" i="1" s="1"/>
  <c r="S172" i="1"/>
  <c r="T172" i="1" s="1"/>
  <c r="S173" i="1"/>
  <c r="T173" i="1" s="1"/>
  <c r="S174" i="1"/>
  <c r="T174" i="1" s="1"/>
  <c r="U174" i="1" s="1"/>
  <c r="S175" i="1"/>
  <c r="T175" i="1" s="1"/>
  <c r="U175" i="1" s="1"/>
  <c r="S176" i="1"/>
  <c r="T176" i="1" s="1"/>
  <c r="S177" i="1"/>
  <c r="T177" i="1" s="1"/>
  <c r="U177" i="1" s="1"/>
  <c r="S178" i="1"/>
  <c r="T178" i="1" s="1"/>
  <c r="U178" i="1" s="1"/>
  <c r="S179" i="1"/>
  <c r="T179" i="1" s="1"/>
  <c r="S180" i="1"/>
  <c r="T180" i="1" s="1"/>
  <c r="S181" i="1"/>
  <c r="T181" i="1" s="1"/>
  <c r="S182" i="1"/>
  <c r="T182" i="1" s="1"/>
  <c r="U182" i="1" s="1"/>
  <c r="S183" i="1"/>
  <c r="T183" i="1" s="1"/>
  <c r="U183" i="1" s="1"/>
  <c r="S184" i="1"/>
  <c r="T184" i="1" s="1"/>
  <c r="S185" i="1"/>
  <c r="T185" i="1" s="1"/>
  <c r="U185" i="1" s="1"/>
  <c r="S186" i="1"/>
  <c r="T186" i="1" s="1"/>
  <c r="S187" i="1"/>
  <c r="T187" i="1" s="1"/>
  <c r="S188" i="1"/>
  <c r="T188" i="1" s="1"/>
  <c r="S189" i="1"/>
  <c r="T189" i="1" s="1"/>
  <c r="S190" i="1"/>
  <c r="T190" i="1" s="1"/>
  <c r="U190" i="1" s="1"/>
  <c r="S191" i="1"/>
  <c r="T191" i="1" s="1"/>
  <c r="U191" i="1" s="1"/>
  <c r="S192" i="1"/>
  <c r="T192" i="1" s="1"/>
  <c r="S193" i="1"/>
  <c r="T193" i="1" s="1"/>
  <c r="U193" i="1" s="1"/>
  <c r="S194" i="1"/>
  <c r="T194" i="1" s="1"/>
  <c r="U194" i="1" s="1"/>
  <c r="S195" i="1"/>
  <c r="T195" i="1" s="1"/>
  <c r="S196" i="1"/>
  <c r="T196" i="1" s="1"/>
  <c r="S197" i="1"/>
  <c r="T197" i="1" s="1"/>
  <c r="S198" i="1"/>
  <c r="T198" i="1" s="1"/>
  <c r="U198" i="1" s="1"/>
  <c r="S199" i="1"/>
  <c r="T199" i="1" s="1"/>
  <c r="U199" i="1" s="1"/>
  <c r="S200" i="1"/>
  <c r="T200" i="1" s="1"/>
  <c r="S201" i="1"/>
  <c r="T201" i="1" s="1"/>
  <c r="U201" i="1" s="1"/>
  <c r="S202" i="1"/>
  <c r="T202" i="1" s="1"/>
  <c r="S203" i="1"/>
  <c r="T203" i="1" s="1"/>
  <c r="S204" i="1"/>
  <c r="T204" i="1" s="1"/>
  <c r="S205" i="1"/>
  <c r="T205" i="1" s="1"/>
  <c r="S69" i="1"/>
  <c r="T69" i="1" s="1"/>
  <c r="S70" i="1"/>
  <c r="T70" i="1" s="1"/>
  <c r="S71" i="1"/>
  <c r="T71" i="1" s="1"/>
  <c r="S72" i="1"/>
  <c r="T72" i="1" s="1"/>
  <c r="S73" i="1"/>
  <c r="T73" i="1" s="1"/>
  <c r="S74" i="1"/>
  <c r="T74" i="1" s="1"/>
  <c r="S75" i="1"/>
  <c r="T75" i="1" s="1"/>
  <c r="U75" i="1" s="1"/>
  <c r="S76" i="1"/>
  <c r="T76" i="1" s="1"/>
  <c r="S77" i="1"/>
  <c r="T77" i="1" s="1"/>
  <c r="U77" i="1" s="1"/>
  <c r="S78" i="1"/>
  <c r="T78" i="1" s="1"/>
  <c r="S79" i="1"/>
  <c r="T79" i="1" s="1"/>
  <c r="S80" i="1"/>
  <c r="T80" i="1" s="1"/>
  <c r="S81" i="1"/>
  <c r="T81" i="1" s="1"/>
  <c r="S82" i="1"/>
  <c r="T82" i="1" s="1"/>
  <c r="S83" i="1"/>
  <c r="T83" i="1" s="1"/>
  <c r="U83" i="1" s="1"/>
  <c r="S84" i="1"/>
  <c r="T84" i="1" s="1"/>
  <c r="S85" i="1"/>
  <c r="T85" i="1" s="1"/>
  <c r="U85" i="1" s="1"/>
  <c r="S86" i="1"/>
  <c r="T86" i="1" s="1"/>
  <c r="S87" i="1"/>
  <c r="T87" i="1" s="1"/>
  <c r="S88" i="1"/>
  <c r="T88" i="1" s="1"/>
  <c r="S89" i="1"/>
  <c r="T89" i="1" s="1"/>
  <c r="S90" i="1"/>
  <c r="T90" i="1" s="1"/>
  <c r="S91" i="1"/>
  <c r="T91" i="1" s="1"/>
  <c r="U91" i="1" s="1"/>
  <c r="S92" i="1"/>
  <c r="T92" i="1" s="1"/>
  <c r="S93" i="1"/>
  <c r="T93" i="1" s="1"/>
  <c r="U93" i="1" s="1"/>
  <c r="S94" i="1"/>
  <c r="T94" i="1" s="1"/>
  <c r="S95" i="1"/>
  <c r="T95" i="1" s="1"/>
  <c r="S96" i="1"/>
  <c r="T96" i="1" s="1"/>
  <c r="S97" i="1"/>
  <c r="T97" i="1" s="1"/>
  <c r="S98" i="1"/>
  <c r="T98" i="1" s="1"/>
  <c r="S99" i="1"/>
  <c r="T99" i="1" s="1"/>
  <c r="U99" i="1" s="1"/>
  <c r="S100" i="1"/>
  <c r="S101" i="1"/>
  <c r="T101" i="1" s="1"/>
  <c r="U101" i="1" s="1"/>
  <c r="S102" i="1"/>
  <c r="T102" i="1" s="1"/>
  <c r="S103" i="1"/>
  <c r="T103" i="1" s="1"/>
  <c r="S104" i="1"/>
  <c r="S105" i="1"/>
  <c r="T105" i="1" s="1"/>
  <c r="S106" i="1"/>
  <c r="T106" i="1" s="1"/>
  <c r="S107" i="1"/>
  <c r="T107" i="1" s="1"/>
  <c r="U107" i="1" s="1"/>
  <c r="S108" i="1"/>
  <c r="T108" i="1" s="1"/>
  <c r="S109" i="1"/>
  <c r="T109" i="1" s="1"/>
  <c r="U109" i="1" s="1"/>
  <c r="S110" i="1"/>
  <c r="T110" i="1" s="1"/>
  <c r="S111" i="1"/>
  <c r="T111" i="1" s="1"/>
  <c r="S112" i="1"/>
  <c r="T112" i="1" s="1"/>
  <c r="S113" i="1"/>
  <c r="T113" i="1" s="1"/>
  <c r="S114" i="1"/>
  <c r="T114" i="1" s="1"/>
  <c r="S115" i="1"/>
  <c r="T115" i="1" s="1"/>
  <c r="U115" i="1" s="1"/>
  <c r="S116" i="1"/>
  <c r="T116" i="1" s="1"/>
  <c r="U116" i="1" s="1"/>
  <c r="S117" i="1"/>
  <c r="T117" i="1" s="1"/>
  <c r="S118" i="1"/>
  <c r="T118" i="1" s="1"/>
  <c r="S119" i="1"/>
  <c r="T119" i="1" s="1"/>
  <c r="S120" i="1"/>
  <c r="T120" i="1" s="1"/>
  <c r="S121" i="1"/>
  <c r="T121" i="1" s="1"/>
  <c r="S122" i="1"/>
  <c r="T122" i="1" s="1"/>
  <c r="S123" i="1"/>
  <c r="T123" i="1" s="1"/>
  <c r="U123" i="1" s="1"/>
  <c r="S124" i="1"/>
  <c r="T124" i="1" s="1"/>
  <c r="S125" i="1"/>
  <c r="T125" i="1" s="1"/>
  <c r="S126" i="1"/>
  <c r="T126" i="1" s="1"/>
  <c r="U126" i="1" s="1"/>
  <c r="S127" i="1"/>
  <c r="T127" i="1" s="1"/>
  <c r="S128" i="1"/>
  <c r="T128" i="1" s="1"/>
  <c r="S129" i="1"/>
  <c r="S130" i="1"/>
  <c r="T130" i="1" s="1"/>
  <c r="S131" i="1"/>
  <c r="T131" i="1" s="1"/>
  <c r="U131" i="1" s="1"/>
  <c r="S132" i="1"/>
  <c r="T132" i="1" s="1"/>
  <c r="U132" i="1" s="1"/>
  <c r="S133" i="1"/>
  <c r="T133" i="1" s="1"/>
  <c r="S134" i="1"/>
  <c r="T134" i="1" s="1"/>
  <c r="S135" i="1"/>
  <c r="T135" i="1" s="1"/>
  <c r="S136" i="1"/>
  <c r="T136" i="1" s="1"/>
  <c r="U136" i="1" s="1"/>
  <c r="S137" i="1"/>
  <c r="T137" i="1" s="1"/>
  <c r="S138" i="1"/>
  <c r="T138" i="1" s="1"/>
  <c r="S139" i="1"/>
  <c r="T139" i="1" s="1"/>
  <c r="S140" i="1"/>
  <c r="T140" i="1" s="1"/>
  <c r="S141" i="1"/>
  <c r="T141" i="1" s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2" i="1"/>
  <c r="S3" i="1"/>
  <c r="T3" i="1" s="1"/>
  <c r="S4" i="1"/>
  <c r="T4" i="1" s="1"/>
  <c r="U4" i="1" s="1"/>
  <c r="S5" i="1"/>
  <c r="T5" i="1" s="1"/>
  <c r="S6" i="1"/>
  <c r="T6" i="1" s="1"/>
  <c r="U6" i="1" s="1"/>
  <c r="S7" i="1"/>
  <c r="T7" i="1" s="1"/>
  <c r="U7" i="1" s="1"/>
  <c r="S8" i="1"/>
  <c r="T8" i="1" s="1"/>
  <c r="U8" i="1" s="1"/>
  <c r="S9" i="1"/>
  <c r="T9" i="1" s="1"/>
  <c r="U9" i="1" s="1"/>
  <c r="S10" i="1"/>
  <c r="T10" i="1" s="1"/>
  <c r="S11" i="1"/>
  <c r="T11" i="1" s="1"/>
  <c r="S12" i="1"/>
  <c r="T12" i="1" s="1"/>
  <c r="S13" i="1"/>
  <c r="T13" i="1" s="1"/>
  <c r="S14" i="1"/>
  <c r="T14" i="1" s="1"/>
  <c r="U14" i="1" s="1"/>
  <c r="S15" i="1"/>
  <c r="T15" i="1" s="1"/>
  <c r="U15" i="1" s="1"/>
  <c r="S16" i="1"/>
  <c r="T16" i="1" s="1"/>
  <c r="S17" i="1"/>
  <c r="T17" i="1" s="1"/>
  <c r="U17" i="1" s="1"/>
  <c r="S18" i="1"/>
  <c r="T18" i="1" s="1"/>
  <c r="U18" i="1" s="1"/>
  <c r="S19" i="1"/>
  <c r="T19" i="1" s="1"/>
  <c r="S20" i="1"/>
  <c r="T20" i="1" s="1"/>
  <c r="S21" i="1"/>
  <c r="T21" i="1" s="1"/>
  <c r="S22" i="1"/>
  <c r="T22" i="1" s="1"/>
  <c r="U22" i="1" s="1"/>
  <c r="S23" i="1"/>
  <c r="T23" i="1" s="1"/>
  <c r="S24" i="1"/>
  <c r="T24" i="1" s="1"/>
  <c r="S25" i="1"/>
  <c r="T25" i="1" s="1"/>
  <c r="U25" i="1" s="1"/>
  <c r="S26" i="1"/>
  <c r="T26" i="1" s="1"/>
  <c r="S27" i="1"/>
  <c r="T27" i="1" s="1"/>
  <c r="U27" i="1" s="1"/>
  <c r="S28" i="1"/>
  <c r="T28" i="1" s="1"/>
  <c r="S29" i="1"/>
  <c r="T29" i="1" s="1"/>
  <c r="S30" i="1"/>
  <c r="T30" i="1" s="1"/>
  <c r="U30" i="1" s="1"/>
  <c r="S31" i="1"/>
  <c r="T31" i="1" s="1"/>
  <c r="S32" i="1"/>
  <c r="T32" i="1" s="1"/>
  <c r="S33" i="1"/>
  <c r="T33" i="1" s="1"/>
  <c r="U33" i="1" s="1"/>
  <c r="S34" i="1"/>
  <c r="T34" i="1" s="1"/>
  <c r="U34" i="1" s="1"/>
  <c r="S35" i="1"/>
  <c r="T35" i="1" s="1"/>
  <c r="S36" i="1"/>
  <c r="T36" i="1" s="1"/>
  <c r="S37" i="1"/>
  <c r="T37" i="1" s="1"/>
  <c r="S38" i="1"/>
  <c r="T38" i="1" s="1"/>
  <c r="S39" i="1"/>
  <c r="T39" i="1" s="1"/>
  <c r="U39" i="1" s="1"/>
  <c r="S40" i="1"/>
  <c r="T40" i="1" s="1"/>
  <c r="S41" i="1"/>
  <c r="T41" i="1" s="1"/>
  <c r="S42" i="1"/>
  <c r="T42" i="1" s="1"/>
  <c r="U42" i="1" s="1"/>
  <c r="S43" i="1"/>
  <c r="T43" i="1" s="1"/>
  <c r="U43" i="1" s="1"/>
  <c r="S44" i="1"/>
  <c r="T44" i="1" s="1"/>
  <c r="S45" i="1"/>
  <c r="T45" i="1" s="1"/>
  <c r="S46" i="1"/>
  <c r="T46" i="1" s="1"/>
  <c r="U46" i="1" s="1"/>
  <c r="S47" i="1"/>
  <c r="T47" i="1" s="1"/>
  <c r="S48" i="1"/>
  <c r="T48" i="1" s="1"/>
  <c r="S49" i="1"/>
  <c r="S50" i="1"/>
  <c r="T50" i="1" s="1"/>
  <c r="S51" i="1"/>
  <c r="T51" i="1" s="1"/>
  <c r="U51" i="1" s="1"/>
  <c r="S52" i="1"/>
  <c r="T52" i="1" s="1"/>
  <c r="U52" i="1" s="1"/>
  <c r="S53" i="1"/>
  <c r="S54" i="1"/>
  <c r="T54" i="1" s="1"/>
  <c r="U54" i="1" s="1"/>
  <c r="S55" i="1"/>
  <c r="T55" i="1" s="1"/>
  <c r="U55" i="1" s="1"/>
  <c r="S56" i="1"/>
  <c r="T56" i="1" s="1"/>
  <c r="S57" i="1"/>
  <c r="T57" i="1" s="1"/>
  <c r="S58" i="1"/>
  <c r="T58" i="1" s="1"/>
  <c r="S59" i="1"/>
  <c r="T59" i="1" s="1"/>
  <c r="S60" i="1"/>
  <c r="T60" i="1" s="1"/>
  <c r="U60" i="1" s="1"/>
  <c r="S61" i="1"/>
  <c r="T61" i="1" s="1"/>
  <c r="S62" i="1"/>
  <c r="T62" i="1" s="1"/>
  <c r="S63" i="1"/>
  <c r="T63" i="1" s="1"/>
  <c r="U63" i="1" s="1"/>
  <c r="S64" i="1"/>
  <c r="T64" i="1" s="1"/>
  <c r="S65" i="1"/>
  <c r="T65" i="1" s="1"/>
  <c r="S66" i="1"/>
  <c r="T66" i="1" s="1"/>
  <c r="S67" i="1"/>
  <c r="T67" i="1" s="1"/>
  <c r="S68" i="1"/>
  <c r="T68" i="1" s="1"/>
  <c r="S2" i="1"/>
  <c r="U266" i="1" l="1"/>
  <c r="T249" i="1"/>
  <c r="U249" i="1" s="1"/>
  <c r="T257" i="1"/>
  <c r="U257" i="1" s="1"/>
  <c r="U283" i="1"/>
  <c r="U267" i="1"/>
  <c r="T284" i="1"/>
  <c r="U284" i="1" s="1"/>
  <c r="U231" i="1"/>
  <c r="U265" i="1"/>
  <c r="T251" i="1"/>
  <c r="U251" i="1" s="1"/>
  <c r="U264" i="1"/>
  <c r="U256" i="1"/>
  <c r="T239" i="1"/>
  <c r="U239" i="1" s="1"/>
  <c r="U281" i="1"/>
  <c r="T280" i="1"/>
  <c r="U280" i="1" s="1"/>
  <c r="T279" i="1"/>
  <c r="U279" i="1" s="1"/>
  <c r="U274" i="1"/>
  <c r="T261" i="1"/>
  <c r="U261" i="1" s="1"/>
  <c r="T253" i="1"/>
  <c r="U253" i="1" s="1"/>
  <c r="T268" i="1"/>
  <c r="U268" i="1" s="1"/>
  <c r="T260" i="1"/>
  <c r="U260" i="1" s="1"/>
  <c r="T252" i="1"/>
  <c r="U252" i="1" s="1"/>
  <c r="T238" i="1"/>
  <c r="U238" i="1" s="1"/>
  <c r="T230" i="1"/>
  <c r="U230" i="1" s="1"/>
  <c r="U233" i="1"/>
  <c r="T241" i="1"/>
  <c r="U241" i="1" s="1"/>
  <c r="T217" i="1"/>
  <c r="U217" i="1" s="1"/>
  <c r="U216" i="1"/>
  <c r="U210" i="1"/>
  <c r="U206" i="1"/>
  <c r="U140" i="1"/>
  <c r="U92" i="1"/>
  <c r="U84" i="1"/>
  <c r="U181" i="1"/>
  <c r="U149" i="1"/>
  <c r="U137" i="1"/>
  <c r="U124" i="1"/>
  <c r="U108" i="1"/>
  <c r="U76" i="1"/>
  <c r="U70" i="1"/>
  <c r="T129" i="1"/>
  <c r="U129" i="1" s="1"/>
  <c r="U113" i="1"/>
  <c r="T100" i="1"/>
  <c r="U100" i="1" s="1"/>
  <c r="U186" i="1"/>
  <c r="U154" i="1"/>
  <c r="U134" i="1"/>
  <c r="U121" i="1"/>
  <c r="U205" i="1"/>
  <c r="U173" i="1"/>
  <c r="T104" i="1"/>
  <c r="U104" i="1" s="1"/>
  <c r="U192" i="1"/>
  <c r="U160" i="1"/>
  <c r="U88" i="1"/>
  <c r="U111" i="1"/>
  <c r="U103" i="1"/>
  <c r="U95" i="1"/>
  <c r="U87" i="1"/>
  <c r="U79" i="1"/>
  <c r="U189" i="1"/>
  <c r="U157" i="1"/>
  <c r="U71" i="1"/>
  <c r="U119" i="1"/>
  <c r="U110" i="1"/>
  <c r="U102" i="1"/>
  <c r="U94" i="1"/>
  <c r="U86" i="1"/>
  <c r="U78" i="1"/>
  <c r="U202" i="1"/>
  <c r="U176" i="1"/>
  <c r="U170" i="1"/>
  <c r="U144" i="1"/>
  <c r="U168" i="1"/>
  <c r="U139" i="1"/>
  <c r="U127" i="1"/>
  <c r="U118" i="1"/>
  <c r="U105" i="1"/>
  <c r="U97" i="1"/>
  <c r="U89" i="1"/>
  <c r="U81" i="1"/>
  <c r="U73" i="1"/>
  <c r="U197" i="1"/>
  <c r="U165" i="1"/>
  <c r="U96" i="1"/>
  <c r="U80" i="1"/>
  <c r="U200" i="1"/>
  <c r="U135" i="1"/>
  <c r="U184" i="1"/>
  <c r="U152" i="1"/>
  <c r="U204" i="1"/>
  <c r="U196" i="1"/>
  <c r="U188" i="1"/>
  <c r="U180" i="1"/>
  <c r="U172" i="1"/>
  <c r="U164" i="1"/>
  <c r="U156" i="1"/>
  <c r="U148" i="1"/>
  <c r="U203" i="1"/>
  <c r="U195" i="1"/>
  <c r="U187" i="1"/>
  <c r="U179" i="1"/>
  <c r="U171" i="1"/>
  <c r="U163" i="1"/>
  <c r="U155" i="1"/>
  <c r="U147" i="1"/>
  <c r="U128" i="1"/>
  <c r="U120" i="1"/>
  <c r="U112" i="1"/>
  <c r="U72" i="1"/>
  <c r="U141" i="1"/>
  <c r="U133" i="1"/>
  <c r="U125" i="1"/>
  <c r="U117" i="1"/>
  <c r="U69" i="1"/>
  <c r="U138" i="1"/>
  <c r="U130" i="1"/>
  <c r="U122" i="1"/>
  <c r="U114" i="1"/>
  <c r="U106" i="1"/>
  <c r="U98" i="1"/>
  <c r="U90" i="1"/>
  <c r="U82" i="1"/>
  <c r="U74" i="1"/>
  <c r="U65" i="1"/>
  <c r="U5" i="1"/>
  <c r="U36" i="1"/>
  <c r="U31" i="1"/>
  <c r="U28" i="1"/>
  <c r="U59" i="1"/>
  <c r="U41" i="1"/>
  <c r="U20" i="1"/>
  <c r="U23" i="1"/>
  <c r="U11" i="1"/>
  <c r="U58" i="1"/>
  <c r="U68" i="1"/>
  <c r="U67" i="1"/>
  <c r="U62" i="1"/>
  <c r="U57" i="1"/>
  <c r="U50" i="1"/>
  <c r="U66" i="1"/>
  <c r="T49" i="1"/>
  <c r="U49" i="1" s="1"/>
  <c r="U37" i="1"/>
  <c r="U12" i="1"/>
  <c r="U19" i="1"/>
  <c r="T2" i="1"/>
  <c r="U2" i="1" s="1"/>
  <c r="U45" i="1"/>
  <c r="U61" i="1"/>
  <c r="U21" i="1"/>
  <c r="U47" i="1"/>
  <c r="U44" i="1"/>
  <c r="U38" i="1"/>
  <c r="U35" i="1"/>
  <c r="U26" i="1"/>
  <c r="U10" i="1"/>
  <c r="U3" i="1"/>
  <c r="T53" i="1"/>
  <c r="U53" i="1" s="1"/>
  <c r="U29" i="1"/>
  <c r="U13" i="1"/>
  <c r="U16" i="1"/>
  <c r="U64" i="1"/>
  <c r="U56" i="1"/>
  <c r="U48" i="1"/>
  <c r="U40" i="1"/>
  <c r="U32" i="1"/>
  <c r="U24" i="1"/>
  <c r="D263" i="4" l="1"/>
  <c r="D262" i="4"/>
  <c r="D325" i="4"/>
  <c r="D471" i="4"/>
  <c r="D422" i="4"/>
  <c r="D423" i="4"/>
  <c r="D345" i="4"/>
  <c r="D324" i="4"/>
  <c r="D195" i="4"/>
  <c r="D510" i="4"/>
  <c r="D435" i="4"/>
  <c r="D434" i="4"/>
  <c r="D194" i="4"/>
  <c r="D436" i="4"/>
  <c r="D146" i="4"/>
  <c r="D509" i="4"/>
  <c r="D426" i="4"/>
  <c r="D154" i="4"/>
  <c r="D586" i="4"/>
  <c r="D595" i="4"/>
  <c r="D594" i="4"/>
  <c r="D614" i="4"/>
  <c r="D147" i="4"/>
  <c r="D446" i="4"/>
  <c r="D208" i="4"/>
  <c r="D164" i="4"/>
  <c r="D211" i="4"/>
  <c r="D210" i="4"/>
  <c r="D209" i="4"/>
  <c r="D334" i="4"/>
  <c r="D333" i="4"/>
  <c r="D335" i="4"/>
  <c r="D526" i="4"/>
  <c r="D525" i="4"/>
  <c r="D158" i="4"/>
  <c r="D527" i="4"/>
  <c r="D524" i="4"/>
  <c r="D429" i="4"/>
  <c r="D518" i="4"/>
  <c r="D550" i="4"/>
  <c r="D549" i="4"/>
  <c r="D548" i="4"/>
  <c r="D547" i="4"/>
  <c r="D419" i="4"/>
  <c r="D418" i="4"/>
  <c r="D197" i="4"/>
  <c r="D190" i="4"/>
  <c r="D275" i="4"/>
  <c r="D273" i="4"/>
  <c r="D205" i="4"/>
  <c r="D206" i="4"/>
  <c r="D204" i="4"/>
  <c r="D314" i="4"/>
  <c r="D503" i="4"/>
  <c r="D357" i="4"/>
  <c r="D505" i="4"/>
  <c r="D504" i="4"/>
  <c r="D356" i="4"/>
  <c r="D355" i="4"/>
  <c r="D506" i="4"/>
  <c r="D296" i="4"/>
  <c r="D298" i="4"/>
  <c r="D297" i="4"/>
  <c r="D417" i="4"/>
  <c r="D460" i="4"/>
  <c r="D541" i="4"/>
  <c r="D542" i="4"/>
  <c r="D155" i="4"/>
  <c r="D448" i="4"/>
  <c r="D615" i="4"/>
  <c r="D530" i="4"/>
  <c r="D290" i="4"/>
  <c r="D289" i="4"/>
  <c r="D617" i="4"/>
  <c r="D611" i="4"/>
  <c r="D597" i="4"/>
  <c r="D610" i="4"/>
  <c r="D609" i="4"/>
  <c r="D508" i="4"/>
  <c r="D507" i="4"/>
  <c r="D326" i="4"/>
  <c r="D496" i="4"/>
  <c r="D559" i="4"/>
  <c r="D347" i="4"/>
  <c r="D346" i="4"/>
  <c r="D348" i="4"/>
  <c r="D222" i="4"/>
  <c r="D365" i="4"/>
  <c r="D218" i="4"/>
  <c r="D217" i="4"/>
  <c r="D399" i="4"/>
  <c r="D322" i="4"/>
  <c r="D398" i="4"/>
  <c r="D483" i="4"/>
  <c r="D502" i="4"/>
  <c r="D369" i="4"/>
  <c r="D272" i="4"/>
  <c r="D281" i="4"/>
  <c r="D280" i="4"/>
  <c r="D223" i="4"/>
  <c r="D225" i="4"/>
  <c r="D244" i="4"/>
  <c r="D216" i="4"/>
  <c r="D487" i="4"/>
  <c r="D576" i="4"/>
  <c r="D619" i="4"/>
  <c r="D620" i="4"/>
  <c r="D616" i="4"/>
  <c r="D590" i="4"/>
  <c r="D589" i="4"/>
  <c r="D591" i="4"/>
  <c r="D588" i="4"/>
  <c r="D587" i="4"/>
  <c r="D472" i="4"/>
  <c r="D251" i="4"/>
  <c r="D561" i="4"/>
  <c r="D323" i="4"/>
  <c r="D199" i="4"/>
  <c r="D562" i="4"/>
  <c r="D252" i="4"/>
  <c r="D612" i="4"/>
  <c r="D607" i="4"/>
  <c r="D600" i="4"/>
  <c r="D603" i="4"/>
  <c r="D271" i="4"/>
  <c r="D283" i="4"/>
  <c r="D316" i="4"/>
  <c r="D198" i="4"/>
  <c r="D317" i="4"/>
  <c r="D220" i="4"/>
  <c r="D545" i="4"/>
  <c r="D565" i="4"/>
  <c r="D564" i="4"/>
  <c r="D546" i="4"/>
  <c r="D381" i="4"/>
  <c r="D380" i="4"/>
  <c r="D495" i="4"/>
  <c r="D342" i="4"/>
  <c r="D285" i="4"/>
  <c r="D284" i="4"/>
  <c r="D286" i="4"/>
  <c r="D260" i="4"/>
  <c r="D577" i="4"/>
  <c r="D578" i="4"/>
  <c r="D582" i="4"/>
  <c r="D373" i="4"/>
  <c r="D372" i="4"/>
  <c r="D456" i="4"/>
  <c r="D404" i="4"/>
  <c r="D523" i="4"/>
  <c r="D522" i="4"/>
  <c r="D287" i="4"/>
  <c r="D532" i="4"/>
  <c r="D327" i="4"/>
  <c r="D464" i="4"/>
  <c r="D501" i="4"/>
  <c r="D308" i="4"/>
  <c r="D430" i="4"/>
  <c r="D277" i="4"/>
  <c r="D309" i="4"/>
  <c r="D307" i="4"/>
  <c r="D306" i="4"/>
  <c r="D276" i="4"/>
  <c r="D170" i="4"/>
  <c r="D148" i="4"/>
  <c r="D478" i="4"/>
  <c r="D568" i="4"/>
  <c r="D567" i="4"/>
  <c r="D566" i="4"/>
  <c r="D583" i="4"/>
  <c r="D584" i="4"/>
  <c r="D395" i="4"/>
  <c r="D213" i="4"/>
  <c r="D214" i="4"/>
  <c r="D212" i="4"/>
  <c r="D519" i="4"/>
  <c r="D424" i="4"/>
  <c r="D408" i="4"/>
  <c r="D517" i="4"/>
  <c r="D516" i="4"/>
  <c r="D172" i="4"/>
  <c r="D358" i="4"/>
  <c r="D295" i="4"/>
  <c r="D451" i="4"/>
  <c r="D453" i="4"/>
  <c r="D177" i="4"/>
  <c r="D176" i="4"/>
  <c r="D608" i="4"/>
  <c r="D621" i="4"/>
  <c r="D624" i="4"/>
  <c r="D622" i="4"/>
  <c r="D623" i="4"/>
  <c r="D338" i="4"/>
  <c r="D425" i="4"/>
  <c r="D245" i="4"/>
  <c r="D379" i="4"/>
  <c r="D269" i="4"/>
  <c r="D481" i="4"/>
  <c r="D189" i="4"/>
  <c r="D363" i="4"/>
  <c r="D362" i="4"/>
  <c r="D303" i="4"/>
  <c r="D178" i="4"/>
  <c r="D330" i="4"/>
  <c r="D329" i="4"/>
  <c r="D162" i="4"/>
  <c r="D511" i="4"/>
  <c r="D491" i="4"/>
  <c r="D513" i="4"/>
  <c r="D512" i="4"/>
  <c r="D248" i="4"/>
  <c r="D443" i="4"/>
  <c r="D444" i="4"/>
  <c r="D606" i="4"/>
  <c r="D515" i="4"/>
  <c r="D454" i="4"/>
  <c r="D226" i="4"/>
  <c r="D341" i="4"/>
  <c r="D544" i="4"/>
  <c r="D492" i="4"/>
  <c r="D151" i="4"/>
  <c r="D370" i="4"/>
  <c r="D149" i="4"/>
  <c r="D153" i="4"/>
  <c r="D256" i="4"/>
  <c r="D389" i="4"/>
  <c r="D467" i="4"/>
  <c r="D336" i="4"/>
  <c r="D349" i="4"/>
  <c r="D337" i="4"/>
  <c r="D593" i="4"/>
  <c r="D391" i="4"/>
  <c r="D390" i="4"/>
  <c r="D258" i="4"/>
  <c r="D259" i="4"/>
  <c r="D257" i="4"/>
  <c r="D477" i="4"/>
  <c r="D476" i="4"/>
  <c r="D274" i="4"/>
  <c r="D533" i="4"/>
  <c r="D575" i="4"/>
  <c r="D574" i="4"/>
  <c r="D270" i="4"/>
  <c r="D374" i="4"/>
  <c r="D457" i="4"/>
  <c r="D224" i="4"/>
  <c r="D160" i="4"/>
  <c r="D159" i="4"/>
  <c r="D320" i="4"/>
  <c r="D305" i="4"/>
  <c r="D415" i="4"/>
  <c r="D414" i="4"/>
  <c r="D416" i="4"/>
  <c r="D255" i="4"/>
  <c r="D535" i="4"/>
  <c r="D449" i="4"/>
  <c r="D536" i="4"/>
  <c r="D339" i="4"/>
  <c r="D196" i="4"/>
  <c r="D266" i="4"/>
  <c r="D267" i="4"/>
  <c r="D279" i="4"/>
  <c r="D268" i="4"/>
  <c r="D278" i="4"/>
  <c r="D438" i="4"/>
  <c r="D437" i="4"/>
  <c r="D175" i="4"/>
  <c r="D500" i="4"/>
  <c r="D227" i="4"/>
  <c r="D193" i="4"/>
  <c r="D192" i="4"/>
  <c r="D174" i="4"/>
  <c r="D173" i="4"/>
  <c r="D228" i="4"/>
  <c r="D499" i="4"/>
  <c r="D230" i="4"/>
  <c r="D232" i="4"/>
  <c r="D231" i="4"/>
  <c r="D168" i="4"/>
  <c r="D167" i="4"/>
  <c r="D514" i="4"/>
  <c r="D455" i="4"/>
  <c r="D203" i="4"/>
  <c r="D497" i="4"/>
  <c r="D375" i="4"/>
  <c r="D294" i="4"/>
  <c r="D293" i="4"/>
  <c r="D313" i="4"/>
  <c r="D243" i="4"/>
  <c r="D242" i="4"/>
  <c r="D304" i="4"/>
  <c r="D352" i="4"/>
  <c r="D353" i="4"/>
  <c r="D385" i="4"/>
  <c r="D534" i="4"/>
  <c r="D191" i="4"/>
  <c r="D480" i="4"/>
  <c r="D247" i="4"/>
  <c r="D396" i="4"/>
  <c r="D397" i="4"/>
  <c r="D432" i="4"/>
  <c r="D592" i="4"/>
  <c r="D401" i="4"/>
  <c r="D400" i="4"/>
  <c r="D554" i="4"/>
  <c r="D392" i="4"/>
  <c r="D475" i="4"/>
  <c r="D394" i="4"/>
  <c r="D393" i="4"/>
  <c r="D474" i="4"/>
  <c r="D407" i="4"/>
  <c r="D406" i="4"/>
  <c r="D573" i="4"/>
  <c r="D571" i="4"/>
  <c r="D572" i="4"/>
  <c r="D543" i="4"/>
  <c r="D468" i="4"/>
  <c r="D188" i="4"/>
  <c r="D187" i="4"/>
  <c r="D382" i="4"/>
  <c r="D331" i="4"/>
  <c r="D384" i="4"/>
  <c r="D470" i="4"/>
  <c r="D383" i="4"/>
  <c r="D469" i="4"/>
  <c r="D332" i="4"/>
  <c r="D596" i="4"/>
  <c r="D520" i="4"/>
  <c r="D521" i="4"/>
  <c r="D528" i="4"/>
  <c r="D540" i="4"/>
  <c r="D450" i="4"/>
  <c r="D241" i="4"/>
  <c r="D240" i="4"/>
  <c r="D319" i="4"/>
  <c r="D531" i="4"/>
  <c r="D461" i="4"/>
  <c r="D311" i="4"/>
  <c r="D310" i="4"/>
  <c r="D221" i="4"/>
  <c r="D463" i="4"/>
  <c r="D462" i="4"/>
  <c r="D427" i="4"/>
  <c r="D493" i="4"/>
  <c r="D409" i="4"/>
  <c r="D321" i="4"/>
  <c r="D185" i="4"/>
  <c r="D552" i="4"/>
  <c r="D551" i="4"/>
  <c r="D340" i="4"/>
  <c r="D553" i="4"/>
  <c r="D201" i="4"/>
  <c r="D186" i="4"/>
  <c r="D202" i="4"/>
  <c r="D580" i="4"/>
  <c r="D601" i="4"/>
  <c r="D579" i="4"/>
  <c r="D598" i="4"/>
  <c r="D602" i="4"/>
  <c r="D581" i="4"/>
  <c r="D599" i="4"/>
  <c r="D386" i="4"/>
  <c r="D156" i="4"/>
  <c r="D560" i="4"/>
  <c r="D403" i="4"/>
  <c r="D360" i="4"/>
  <c r="D359" i="4"/>
  <c r="D250" i="4"/>
  <c r="D152" i="4"/>
  <c r="D459" i="4"/>
  <c r="D433" i="4"/>
  <c r="D458" i="4"/>
  <c r="D452" i="4"/>
  <c r="D282" i="4"/>
  <c r="D366" i="4"/>
  <c r="D367" i="4"/>
  <c r="D254" i="4"/>
  <c r="D261" i="4"/>
  <c r="D585" i="4"/>
  <c r="D165" i="4"/>
  <c r="D351" i="4"/>
  <c r="D350" i="4"/>
  <c r="D354" i="4"/>
  <c r="D402" i="4"/>
  <c r="D490" i="4"/>
  <c r="D411" i="4"/>
  <c r="D604" i="4"/>
  <c r="D605" i="4"/>
  <c r="D413" i="4"/>
  <c r="D364" i="4"/>
  <c r="D219" i="4"/>
  <c r="D412" i="4"/>
  <c r="D288" i="4"/>
  <c r="D253" i="4"/>
  <c r="D207" i="4"/>
  <c r="D180" i="4"/>
  <c r="D179" i="4"/>
  <c r="D163" i="4"/>
  <c r="D246" i="4"/>
  <c r="D292" i="4"/>
  <c r="D291" i="4"/>
  <c r="D157" i="4"/>
  <c r="D161" i="4"/>
  <c r="D613" i="4"/>
  <c r="D378" i="4"/>
  <c r="D482" i="4"/>
  <c r="D570" i="4"/>
  <c r="D569" i="4"/>
  <c r="D249" i="4"/>
  <c r="D421" i="4"/>
  <c r="D420" i="4"/>
  <c r="D376" i="4"/>
  <c r="D318" i="4"/>
  <c r="D377" i="4"/>
  <c r="D368" i="4"/>
  <c r="D479" i="4"/>
  <c r="D312" i="4"/>
  <c r="D466" i="4"/>
  <c r="D387" i="4"/>
  <c r="D388" i="4"/>
  <c r="D410" i="4"/>
  <c r="D405" i="4"/>
  <c r="D264" i="4"/>
  <c r="D265" i="4"/>
  <c r="D145" i="4"/>
  <c r="D498" i="4"/>
  <c r="D537" i="4"/>
  <c r="D539" i="4"/>
  <c r="D538" i="4"/>
  <c r="D299" i="4"/>
  <c r="D473" i="4"/>
  <c r="D300" i="4"/>
  <c r="D169" i="4"/>
  <c r="D442" i="4"/>
  <c r="D441" i="4"/>
  <c r="D302" i="4"/>
  <c r="D301" i="4"/>
  <c r="D215" i="4"/>
  <c r="D489" i="4"/>
  <c r="D488" i="4"/>
  <c r="D233" i="4"/>
  <c r="D236" i="4"/>
  <c r="D234" i="4"/>
  <c r="D237" i="4"/>
  <c r="D445" i="4"/>
  <c r="D371" i="4"/>
  <c r="D494" i="4"/>
  <c r="D431" i="4"/>
  <c r="D171" i="4"/>
  <c r="D447" i="4"/>
  <c r="D555" i="4"/>
  <c r="D626" i="4"/>
  <c r="D625" i="4"/>
  <c r="D618" i="4"/>
  <c r="D315" i="4"/>
  <c r="D328" i="4"/>
  <c r="D200" i="4"/>
  <c r="D428" i="4"/>
  <c r="D344" i="4"/>
  <c r="D486" i="4"/>
  <c r="D343" i="4"/>
  <c r="D485" i="4"/>
  <c r="D484" i="4"/>
  <c r="D239" i="4"/>
  <c r="D558" i="4"/>
  <c r="D150" i="4"/>
  <c r="D440" i="4"/>
  <c r="D557" i="4"/>
  <c r="D556" i="4"/>
  <c r="D563" i="4"/>
  <c r="D439" i="4"/>
  <c r="D166" i="4"/>
  <c r="D229" i="4"/>
  <c r="D238" i="4"/>
  <c r="D529" i="4"/>
  <c r="D465" i="4"/>
  <c r="D235" i="4"/>
  <c r="D361" i="4"/>
  <c r="D184" i="4" l="1"/>
  <c r="D183" i="4"/>
  <c r="D182" i="4"/>
  <c r="D181" i="4"/>
</calcChain>
</file>

<file path=xl/sharedStrings.xml><?xml version="1.0" encoding="utf-8"?>
<sst xmlns="http://schemas.openxmlformats.org/spreadsheetml/2006/main" count="8227" uniqueCount="1319">
  <si>
    <t>BMC</t>
  </si>
  <si>
    <t>vlcc_name</t>
  </si>
  <si>
    <t>gomukh bharamahapur</t>
  </si>
  <si>
    <t>Jaganathpur</t>
  </si>
  <si>
    <t>gomukh khanjapur bangali tola</t>
  </si>
  <si>
    <t>gomukh Machidih</t>
  </si>
  <si>
    <t>Dumduma</t>
  </si>
  <si>
    <t>Teghra BMC in plant lab</t>
  </si>
  <si>
    <t>tetarhat</t>
  </si>
  <si>
    <t>Ramanath pur</t>
  </si>
  <si>
    <t>GOMUKH THATHA PURVI</t>
  </si>
  <si>
    <t>Darisir</t>
  </si>
  <si>
    <t xml:space="preserve">Gomukh Beghamsarai </t>
  </si>
  <si>
    <t>AKOWAHI puri tol</t>
  </si>
  <si>
    <t>malda babhangama</t>
  </si>
  <si>
    <t xml:space="preserve">Sharma </t>
  </si>
  <si>
    <t>Sarswati nager</t>
  </si>
  <si>
    <t>Gomukh Shrirampur thuthi</t>
  </si>
  <si>
    <t>shijhauri</t>
  </si>
  <si>
    <t xml:space="preserve">S Kamal bmc store </t>
  </si>
  <si>
    <t>Gomukh Gauchhari</t>
  </si>
  <si>
    <t xml:space="preserve">gachhi tola </t>
  </si>
  <si>
    <t>Itki</t>
  </si>
  <si>
    <t>laldiyara BMC</t>
  </si>
  <si>
    <t>SAHIYAR</t>
  </si>
  <si>
    <t>Manjhaul</t>
  </si>
  <si>
    <t>In Bmc Halsi</t>
  </si>
  <si>
    <t xml:space="preserve">balahpur </t>
  </si>
  <si>
    <t xml:space="preserve">Sondiya </t>
  </si>
  <si>
    <t>Laxmipur</t>
  </si>
  <si>
    <t>khuryari</t>
  </si>
  <si>
    <t>Basadhiya east</t>
  </si>
  <si>
    <t xml:space="preserve">gohri </t>
  </si>
  <si>
    <t>Contact_Person</t>
  </si>
  <si>
    <t>Contact_Person_No</t>
  </si>
  <si>
    <t>chandan Kumar</t>
  </si>
  <si>
    <t xml:space="preserve">Ram Prvesh Ray </t>
  </si>
  <si>
    <t>kumari asha varma</t>
  </si>
  <si>
    <t>Bablu yadav</t>
  </si>
  <si>
    <t>Amod Bharti</t>
  </si>
  <si>
    <t>Pirinc kumar</t>
  </si>
  <si>
    <t>ravindar kumar</t>
  </si>
  <si>
    <t>Mukesh Kumar</t>
  </si>
  <si>
    <t xml:space="preserve">Birjnandan thakur </t>
  </si>
  <si>
    <t xml:space="preserve">Rajeev Kumar Ranjan </t>
  </si>
  <si>
    <t>Chandan Yadav</t>
  </si>
  <si>
    <t xml:space="preserve">Ram Sundar kumar </t>
  </si>
  <si>
    <t>kundan</t>
  </si>
  <si>
    <t>Manju devi</t>
  </si>
  <si>
    <t xml:space="preserve">bipin kumar </t>
  </si>
  <si>
    <t>Monaj kumar</t>
  </si>
  <si>
    <t>Bhupesh kumar</t>
  </si>
  <si>
    <t>ranjay kumar sharma</t>
  </si>
  <si>
    <t xml:space="preserve">GAURAV SHARMA </t>
  </si>
  <si>
    <t>Khagesh</t>
  </si>
  <si>
    <t xml:space="preserve">vikash kumar </t>
  </si>
  <si>
    <t xml:space="preserve">Amit Tiwari </t>
  </si>
  <si>
    <t>AKASH KUMAR</t>
  </si>
  <si>
    <t>Satish Kumar Thakur</t>
  </si>
  <si>
    <t>chaitanya</t>
  </si>
  <si>
    <t>kunal kumar dev</t>
  </si>
  <si>
    <t xml:space="preserve">rambilash yadav </t>
  </si>
  <si>
    <t>Chandra shekher kuma</t>
  </si>
  <si>
    <t>Rajive Kumar</t>
  </si>
  <si>
    <t>Mantu Kumar</t>
  </si>
  <si>
    <t>SONU KUMAR</t>
  </si>
  <si>
    <t xml:space="preserve">jay nandan yadav </t>
  </si>
  <si>
    <t>machine</t>
  </si>
  <si>
    <t>WEIGHING SCALE 60 KG</t>
  </si>
  <si>
    <t>EKOMILK ULTRA PRO ANALYSER</t>
  </si>
  <si>
    <t>Everest Smart Tab-based Android Terminal (Table-top) with Inbuilt Printer</t>
  </si>
  <si>
    <t>STIRRER UNIT EV5600</t>
  </si>
  <si>
    <t>Indicator DC Powder Coated (Ver. 2)</t>
  </si>
  <si>
    <t>serial_no</t>
  </si>
  <si>
    <t>E-17116772</t>
  </si>
  <si>
    <t>E-215026635</t>
  </si>
  <si>
    <t>GTD-23024219</t>
  </si>
  <si>
    <t>GTD-22122525</t>
  </si>
  <si>
    <t>GTD-23014060</t>
  </si>
  <si>
    <t>gtd-22071326</t>
  </si>
  <si>
    <t>S-22092422</t>
  </si>
  <si>
    <t>GTD-23024152</t>
  </si>
  <si>
    <t>GTD-23024139</t>
  </si>
  <si>
    <t>GNE-23024512</t>
  </si>
  <si>
    <t>GTD-23024180</t>
  </si>
  <si>
    <t>GE-20034016</t>
  </si>
  <si>
    <t>GS-23022535</t>
  </si>
  <si>
    <t>gne-23024488</t>
  </si>
  <si>
    <t>GTD-23024204</t>
  </si>
  <si>
    <t>GNE-22102090</t>
  </si>
  <si>
    <t>GNE-23024479</t>
  </si>
  <si>
    <t>S-17096199</t>
  </si>
  <si>
    <t>GTD-23024170</t>
  </si>
  <si>
    <t>GTD-23024122</t>
  </si>
  <si>
    <t>E-214082399</t>
  </si>
  <si>
    <t>GTD-23060345</t>
  </si>
  <si>
    <t>gtd-23014016</t>
  </si>
  <si>
    <t>gne-23024491</t>
  </si>
  <si>
    <t>GNIDP-23035429</t>
  </si>
  <si>
    <t>GNE-23024496</t>
  </si>
  <si>
    <t>GTD-23014059</t>
  </si>
  <si>
    <t>GE-19122123</t>
  </si>
  <si>
    <t>GTD-23014014</t>
  </si>
  <si>
    <t>GTD-23024176</t>
  </si>
  <si>
    <t>Replace Parts</t>
  </si>
  <si>
    <t>SAP Code</t>
  </si>
  <si>
    <t>Qty</t>
  </si>
  <si>
    <t>Rate</t>
  </si>
  <si>
    <t>Basic</t>
  </si>
  <si>
    <t>GST</t>
  </si>
  <si>
    <t>Total</t>
  </si>
  <si>
    <t>Keyboard For Weighing Scale (Repaired)</t>
  </si>
  <si>
    <t>SF00048</t>
  </si>
  <si>
    <t>Connector 5 Pin Metal M/F</t>
  </si>
  <si>
    <t>RM00727</t>
  </si>
  <si>
    <t>FatScan Double Sensor Measuring Mini PCB (4 para) with Sensor (Repaired)</t>
  </si>
  <si>
    <t>SF00130</t>
  </si>
  <si>
    <t>Ekomilk Keyboard</t>
  </si>
  <si>
    <t>RM00512</t>
  </si>
  <si>
    <t>Fatscan " Y " Pipe</t>
  </si>
  <si>
    <t>SF00145</t>
  </si>
  <si>
    <t>Ekomilk Sieringe With Plunger</t>
  </si>
  <si>
    <t>RM00530</t>
  </si>
  <si>
    <t>Battery 3.7V/2600Mah</t>
  </si>
  <si>
    <t>RM00980</t>
  </si>
  <si>
    <t>Dongle with WiFi 12V ( Wysense  )</t>
  </si>
  <si>
    <t>RM01543</t>
  </si>
  <si>
    <t>Ekomilk Sensor To Sieringe Pipe</t>
  </si>
  <si>
    <t>RM00528</t>
  </si>
  <si>
    <t>Stirrer Power Board</t>
  </si>
  <si>
    <t>RM00477</t>
  </si>
  <si>
    <t>DPU Thermal Printer EPM 207</t>
  </si>
  <si>
    <t>RM00282</t>
  </si>
  <si>
    <t>SWS Motherboard (Version 1.1)</t>
  </si>
  <si>
    <t>RM00973</t>
  </si>
  <si>
    <t>EWS Battery Backup SMPS (BBLC)</t>
  </si>
  <si>
    <t>RM00241</t>
  </si>
  <si>
    <t>Load Cell 100 Kg 60310</t>
  </si>
  <si>
    <t>RM00006</t>
  </si>
  <si>
    <t>Keyboard For Weighing Scale New Design</t>
  </si>
  <si>
    <t>RM01176</t>
  </si>
  <si>
    <t>Stirrer Timer PCB</t>
  </si>
  <si>
    <t>RM00478</t>
  </si>
  <si>
    <t>Eko Motor Pump Pipe</t>
  </si>
  <si>
    <t>RM00856</t>
  </si>
  <si>
    <t>Ekomilk Bush</t>
  </si>
  <si>
    <t>RM00510</t>
  </si>
  <si>
    <t>Tablet 8 Inch</t>
  </si>
  <si>
    <t>RM01369</t>
  </si>
  <si>
    <t>WiFi Serial Device (Wysence)</t>
  </si>
  <si>
    <t>SF00056</t>
  </si>
  <si>
    <t>State</t>
  </si>
  <si>
    <t>Jharkhand</t>
  </si>
  <si>
    <t>Bihar</t>
  </si>
  <si>
    <t>VLCC_Code</t>
  </si>
  <si>
    <t>Month</t>
  </si>
  <si>
    <t>Invoice No</t>
  </si>
  <si>
    <t>Invoice Date</t>
  </si>
  <si>
    <t>AR2526E1079</t>
  </si>
  <si>
    <t>AR2526E1091</t>
  </si>
  <si>
    <t>DUMRI PURVI</t>
  </si>
  <si>
    <t xml:space="preserve">Gomukh Khaira </t>
  </si>
  <si>
    <t>musrigharai store</t>
  </si>
  <si>
    <t>Gomukh Bandhera</t>
  </si>
  <si>
    <t>Beri</t>
  </si>
  <si>
    <t>Arniya ganj</t>
  </si>
  <si>
    <t>pateliya</t>
  </si>
  <si>
    <t>Mathar word 10 bmc S kamal</t>
  </si>
  <si>
    <t>Jounapur</t>
  </si>
  <si>
    <t>Bhatgama</t>
  </si>
  <si>
    <t xml:space="preserve">bhanpur </t>
  </si>
  <si>
    <t>Tabhaka</t>
  </si>
  <si>
    <t>Gomukh repura</t>
  </si>
  <si>
    <t>Husina</t>
  </si>
  <si>
    <t>Sherpur (Manjhaul. bmc)</t>
  </si>
  <si>
    <t>Gomukh Chandpura</t>
  </si>
  <si>
    <t>kumbhi</t>
  </si>
  <si>
    <t xml:space="preserve">gansagar </t>
  </si>
  <si>
    <t>Sarmaspura</t>
  </si>
  <si>
    <t>berauri</t>
  </si>
  <si>
    <t xml:space="preserve">mahepura </t>
  </si>
  <si>
    <t>Rohua</t>
  </si>
  <si>
    <t xml:space="preserve">Teghra Barauni bariyarpur </t>
  </si>
  <si>
    <t>NAYAGAON  2</t>
  </si>
  <si>
    <t xml:space="preserve">Gomukh launa  </t>
  </si>
  <si>
    <t>CHAVGAIN</t>
  </si>
  <si>
    <t>MSK MPG gauripur</t>
  </si>
  <si>
    <t>Gomukh Bochaha</t>
  </si>
  <si>
    <t xml:space="preserve">launa </t>
  </si>
  <si>
    <t xml:space="preserve">Shikaritola </t>
  </si>
  <si>
    <t>BORNA RASALPUR</t>
  </si>
  <si>
    <t xml:space="preserve">Ballopur </t>
  </si>
  <si>
    <t xml:space="preserve">Rasalpur </t>
  </si>
  <si>
    <t>banderha purbi</t>
  </si>
  <si>
    <t>MSK chatmadih</t>
  </si>
  <si>
    <t>Arioan</t>
  </si>
  <si>
    <t>tal Saharsa</t>
  </si>
  <si>
    <t>Dwarika Kumar</t>
  </si>
  <si>
    <t>Bipin kumar</t>
  </si>
  <si>
    <t>prakash</t>
  </si>
  <si>
    <t>Jaikishan kumar</t>
  </si>
  <si>
    <t>pavan ray</t>
  </si>
  <si>
    <t>Navin Kumar ray</t>
  </si>
  <si>
    <t xml:space="preserve">abhinish </t>
  </si>
  <si>
    <t xml:space="preserve">Manish Kumar </t>
  </si>
  <si>
    <t>Lalan singh</t>
  </si>
  <si>
    <t>shyamakant Jha</t>
  </si>
  <si>
    <t xml:space="preserve">Pritam Kumari </t>
  </si>
  <si>
    <t>Rahul Kumar</t>
  </si>
  <si>
    <t xml:space="preserve"> shayam</t>
  </si>
  <si>
    <t>Vivek Kumar</t>
  </si>
  <si>
    <t xml:space="preserve">Vinay Kumar </t>
  </si>
  <si>
    <t xml:space="preserve">Rajeev Kumar </t>
  </si>
  <si>
    <t xml:space="preserve">Archna Kumari </t>
  </si>
  <si>
    <t xml:space="preserve">ramashish Kumar </t>
  </si>
  <si>
    <t>ranjeet kumar</t>
  </si>
  <si>
    <t xml:space="preserve">Ajay Kumar </t>
  </si>
  <si>
    <t>Baliram ray</t>
  </si>
  <si>
    <t xml:space="preserve">bittu kumar </t>
  </si>
  <si>
    <t>RAUSHAN KUMAR</t>
  </si>
  <si>
    <t xml:space="preserve">niraj kumar nirala </t>
  </si>
  <si>
    <t>Puspa Devi</t>
  </si>
  <si>
    <t>Chandan Kumar</t>
  </si>
  <si>
    <t xml:space="preserve"> sopander ray</t>
  </si>
  <si>
    <t xml:space="preserve">Niraj Kumar </t>
  </si>
  <si>
    <t xml:space="preserve">pramod Kumar </t>
  </si>
  <si>
    <t>PANKAJ RAY</t>
  </si>
  <si>
    <t xml:space="preserve">jitendra Kumar </t>
  </si>
  <si>
    <t xml:space="preserve">prabhat Kumar </t>
  </si>
  <si>
    <t>manish kumar bharti</t>
  </si>
  <si>
    <t>Vidya prasad singh</t>
  </si>
  <si>
    <t>Holin Singh</t>
  </si>
  <si>
    <t xml:space="preserve">Sunil Kumar </t>
  </si>
  <si>
    <t>WEIGHING SCALE 200Kg</t>
  </si>
  <si>
    <t>GNE-23024422</t>
  </si>
  <si>
    <t>GS-23011720</t>
  </si>
  <si>
    <t>GNE-23024444</t>
  </si>
  <si>
    <t>E-17116795</t>
  </si>
  <si>
    <t>GNE-23013738</t>
  </si>
  <si>
    <t>GTD-23024127</t>
  </si>
  <si>
    <t>E-17127299</t>
  </si>
  <si>
    <t>GTD-22122524</t>
  </si>
  <si>
    <t>GE-19122149</t>
  </si>
  <si>
    <t>GTD-23014010</t>
  </si>
  <si>
    <t>GS-23033763</t>
  </si>
  <si>
    <t>GTD-23024225</t>
  </si>
  <si>
    <t>GTD-23013983</t>
  </si>
  <si>
    <t>E-17116848</t>
  </si>
  <si>
    <t>E-214082361</t>
  </si>
  <si>
    <t>GTD-23013963</t>
  </si>
  <si>
    <t>GTD-23014013</t>
  </si>
  <si>
    <t>GTD-23014090</t>
  </si>
  <si>
    <t>GTD-23013953</t>
  </si>
  <si>
    <t>GTD-23013958</t>
  </si>
  <si>
    <t>Ekomilk Motorpump Set New</t>
  </si>
  <si>
    <t>TR00181</t>
  </si>
  <si>
    <t>Load Cell 200 Kg 60310</t>
  </si>
  <si>
    <t>RM00009</t>
  </si>
  <si>
    <t>IC AT 89S52 Programing</t>
  </si>
  <si>
    <t>RM00194</t>
  </si>
  <si>
    <t>Weighing Scale Motherboard Old</t>
  </si>
  <si>
    <t>RM00420</t>
  </si>
  <si>
    <t>Ekomilk Switch Small</t>
  </si>
  <si>
    <t>RM00536</t>
  </si>
  <si>
    <t>Ekomilk LCD Display</t>
  </si>
  <si>
    <t>RM00511</t>
  </si>
  <si>
    <t>DPU DC To DC Converter 12V To 5V</t>
  </si>
  <si>
    <t>RM00493</t>
  </si>
  <si>
    <t>AR2526E1090</t>
  </si>
  <si>
    <t>Jaadi</t>
  </si>
  <si>
    <t>Pali</t>
  </si>
  <si>
    <t xml:space="preserve">GOMUKH VIJAY LALGANJ </t>
  </si>
  <si>
    <t>Baryahi chanann</t>
  </si>
  <si>
    <t>Khajuri</t>
  </si>
  <si>
    <t>Gomukh Kamatpur</t>
  </si>
  <si>
    <t>Gomukh Mahdmadpur</t>
  </si>
  <si>
    <t>paroreya</t>
  </si>
  <si>
    <t>sabikpur</t>
  </si>
  <si>
    <t xml:space="preserve">dariyapur </t>
  </si>
  <si>
    <t xml:space="preserve">CHHOTKA SINGHANPURA </t>
  </si>
  <si>
    <t>Gomukh Pahadpur</t>
  </si>
  <si>
    <t xml:space="preserve">urain </t>
  </si>
  <si>
    <t xml:space="preserve">Gomukh sonbarsa </t>
  </si>
  <si>
    <t>mpg Sahebpur kamal</t>
  </si>
  <si>
    <t>Gomukh bheet</t>
  </si>
  <si>
    <t xml:space="preserve">Mathar </t>
  </si>
  <si>
    <t>Basariya kurni</t>
  </si>
  <si>
    <t xml:space="preserve">Gomukh cheria bariyarpur </t>
  </si>
  <si>
    <t xml:space="preserve">maliya </t>
  </si>
  <si>
    <t>GOMUKH KANAUSI</t>
  </si>
  <si>
    <t>Mordiwa east</t>
  </si>
  <si>
    <t>Gomukh Dumariya Bujurg</t>
  </si>
  <si>
    <t xml:space="preserve">Gomukh Nayagaun </t>
  </si>
  <si>
    <t xml:space="preserve">tilthi </t>
  </si>
  <si>
    <t>telgama</t>
  </si>
  <si>
    <t xml:space="preserve">mahsauni </t>
  </si>
  <si>
    <t>Hisrithakugaw</t>
  </si>
  <si>
    <t>Jamtli</t>
  </si>
  <si>
    <t xml:space="preserve">dira pipariya </t>
  </si>
  <si>
    <t>Andhaha</t>
  </si>
  <si>
    <t xml:space="preserve">arma </t>
  </si>
  <si>
    <t>chaksikandar east</t>
  </si>
  <si>
    <t>shushila devi</t>
  </si>
  <si>
    <t>Ashok Sahu</t>
  </si>
  <si>
    <t xml:space="preserve">ANIL KUMAR PATEL </t>
  </si>
  <si>
    <t>Anuj Kumar Singh</t>
  </si>
  <si>
    <t>Brajesh kumar</t>
  </si>
  <si>
    <t>Rajeev kumar</t>
  </si>
  <si>
    <t>Ajay Kumar</t>
  </si>
  <si>
    <t>vikash Kumar</t>
  </si>
  <si>
    <t>puntu kumar</t>
  </si>
  <si>
    <t>MANBODH OJHA</t>
  </si>
  <si>
    <t>Arvind Pal</t>
  </si>
  <si>
    <t xml:space="preserve">Sonu Kumar </t>
  </si>
  <si>
    <t xml:space="preserve">Rahul Kumar </t>
  </si>
  <si>
    <t>Sunita devi</t>
  </si>
  <si>
    <t xml:space="preserve">Dharamveer kumar </t>
  </si>
  <si>
    <t>chintu sharma</t>
  </si>
  <si>
    <t xml:space="preserve">Anil kumar </t>
  </si>
  <si>
    <t xml:space="preserve">dhirndhar mahto </t>
  </si>
  <si>
    <t xml:space="preserve">Ram bachan yadav </t>
  </si>
  <si>
    <t xml:space="preserve">BAMBAM SINGH </t>
  </si>
  <si>
    <t xml:space="preserve"> vivek </t>
  </si>
  <si>
    <t>Sakshi kumari</t>
  </si>
  <si>
    <t>Gopal singh</t>
  </si>
  <si>
    <t>jitendra kumar</t>
  </si>
  <si>
    <t xml:space="preserve">Rajesh </t>
  </si>
  <si>
    <t xml:space="preserve">niranaj Kumar </t>
  </si>
  <si>
    <t xml:space="preserve">Channdan Tiwari </t>
  </si>
  <si>
    <t>Ravindra Gop</t>
  </si>
  <si>
    <t xml:space="preserve">mintu Ray </t>
  </si>
  <si>
    <t>Binay kumar singh</t>
  </si>
  <si>
    <t xml:space="preserve">govind Kumar </t>
  </si>
  <si>
    <t>rupesh</t>
  </si>
  <si>
    <t>GNE-22123342</t>
  </si>
  <si>
    <t>GTD-23013951</t>
  </si>
  <si>
    <t>s-17096143</t>
  </si>
  <si>
    <t>GTD-23013966</t>
  </si>
  <si>
    <t>E-17127280</t>
  </si>
  <si>
    <t>GNIDP-23035423</t>
  </si>
  <si>
    <t>S-14040500</t>
  </si>
  <si>
    <t>Solar Power Controller Unit</t>
  </si>
  <si>
    <t>ESC-14040031</t>
  </si>
  <si>
    <t>s-22040031</t>
  </si>
  <si>
    <t>gtd-23014057</t>
  </si>
  <si>
    <t>GTD-23034384</t>
  </si>
  <si>
    <t>GNE-23024518</t>
  </si>
  <si>
    <t>GTD-23060372</t>
  </si>
  <si>
    <t>GTD-23025237</t>
  </si>
  <si>
    <t>GTD-23013916</t>
  </si>
  <si>
    <t>GTD-23014089</t>
  </si>
  <si>
    <t>s-17096166</t>
  </si>
  <si>
    <t>GTD-23024220</t>
  </si>
  <si>
    <t>GNE-23024505</t>
  </si>
  <si>
    <t>GTD-23024228</t>
  </si>
  <si>
    <t>E-215026638</t>
  </si>
  <si>
    <t>E-17127324</t>
  </si>
  <si>
    <t>GTD-23060304</t>
  </si>
  <si>
    <t>GNE-22102072</t>
  </si>
  <si>
    <t>S-22092437</t>
  </si>
  <si>
    <t>Fatscan Sensor to Syringe Pipe</t>
  </si>
  <si>
    <t>SF00146</t>
  </si>
  <si>
    <t>AR2526E1098</t>
  </si>
  <si>
    <t>AR2526E1094</t>
  </si>
  <si>
    <t>Grand Total</t>
  </si>
  <si>
    <t>Sum of Basic</t>
  </si>
  <si>
    <t>Sum of GST</t>
  </si>
  <si>
    <t>Sum of Total</t>
  </si>
  <si>
    <t>Type</t>
  </si>
  <si>
    <t>MPG</t>
  </si>
  <si>
    <t>Sursa</t>
  </si>
  <si>
    <t xml:space="preserve">Etachildri </t>
  </si>
  <si>
    <t>TERO</t>
  </si>
  <si>
    <t>Bijuliya</t>
  </si>
  <si>
    <t>Rani khatnga</t>
  </si>
  <si>
    <t>Thakur Gaw</t>
  </si>
  <si>
    <t>CHUTHU</t>
  </si>
  <si>
    <t>Dighiya</t>
  </si>
  <si>
    <t xml:space="preserve">Daspur </t>
  </si>
  <si>
    <t>Naya Oraon</t>
  </si>
  <si>
    <t>Sanju devi</t>
  </si>
  <si>
    <t>BIRSA ORAON</t>
  </si>
  <si>
    <t>Ajit kumar sahu</t>
  </si>
  <si>
    <t>Chand Ansari</t>
  </si>
  <si>
    <t>Raj Kumar sahu</t>
  </si>
  <si>
    <t>SHEETAL KUMAR MAHTO</t>
  </si>
  <si>
    <t>Sohel Ansari</t>
  </si>
  <si>
    <t>Kakuli Singha Roy</t>
  </si>
  <si>
    <t>GTD-23060323</t>
  </si>
  <si>
    <t>GTD-23060317</t>
  </si>
  <si>
    <t>GTD-23060314</t>
  </si>
  <si>
    <t>GNE-23060577</t>
  </si>
  <si>
    <t>GNE-23060583</t>
  </si>
  <si>
    <t>GTD-23060319</t>
  </si>
  <si>
    <t>RM01787</t>
  </si>
  <si>
    <t>RM01076</t>
  </si>
  <si>
    <t>RM01040</t>
  </si>
  <si>
    <t>RM01371</t>
  </si>
  <si>
    <t>AR2526E1262</t>
  </si>
  <si>
    <t>West Bengal</t>
  </si>
  <si>
    <t xml:space="preserve">Brahmpur </t>
  </si>
  <si>
    <t>GOMUKH KANT</t>
  </si>
  <si>
    <t xml:space="preserve">dhobina basa </t>
  </si>
  <si>
    <t>Masariya</t>
  </si>
  <si>
    <t>Sibutol naya tola</t>
  </si>
  <si>
    <t xml:space="preserve">jaitpur </t>
  </si>
  <si>
    <t>gomukh Muskipur</t>
  </si>
  <si>
    <t xml:space="preserve">KAITHI PACHIM </t>
  </si>
  <si>
    <t>Gomukh Suraundha</t>
  </si>
  <si>
    <t>Mano 2</t>
  </si>
  <si>
    <t>GOMUKH KHARUI</t>
  </si>
  <si>
    <t>Narayanpur</t>
  </si>
  <si>
    <t>Bisai</t>
  </si>
  <si>
    <t>Basaon Kala</t>
  </si>
  <si>
    <t>Musapur purvi tola</t>
  </si>
  <si>
    <t xml:space="preserve">desuaa </t>
  </si>
  <si>
    <t xml:space="preserve">Gomukh Kanhaiyachak pachhim </t>
  </si>
  <si>
    <t xml:space="preserve">purvi araria </t>
  </si>
  <si>
    <t>Gomukh Kabela</t>
  </si>
  <si>
    <t>MSK mpg khudia</t>
  </si>
  <si>
    <t>pokharma</t>
  </si>
  <si>
    <t>Gomukh goriyarI</t>
  </si>
  <si>
    <t>gomukh Gauchhari</t>
  </si>
  <si>
    <t>Gomukh chorgown</t>
  </si>
  <si>
    <t xml:space="preserve">soharthi </t>
  </si>
  <si>
    <t xml:space="preserve">Mohit Kumar </t>
  </si>
  <si>
    <t>Ali Hasan ansari</t>
  </si>
  <si>
    <t xml:space="preserve">shatrodhan yadav </t>
  </si>
  <si>
    <t xml:space="preserve">Mukesh Kumar </t>
  </si>
  <si>
    <t>ashwani kumar</t>
  </si>
  <si>
    <t xml:space="preserve">Bablu yadav </t>
  </si>
  <si>
    <t xml:space="preserve">Manju Devi </t>
  </si>
  <si>
    <t>Puja Kumari</t>
  </si>
  <si>
    <t xml:space="preserve">Rakesh Kumar </t>
  </si>
  <si>
    <t>RISHIDEV YADAV</t>
  </si>
  <si>
    <t>CHANDAN</t>
  </si>
  <si>
    <t>Arvind</t>
  </si>
  <si>
    <t xml:space="preserve">Shivji Singh </t>
  </si>
  <si>
    <t>sharwan</t>
  </si>
  <si>
    <t>diraj</t>
  </si>
  <si>
    <t>Sanjeev Kumar</t>
  </si>
  <si>
    <t xml:space="preserve">yogesh yadav </t>
  </si>
  <si>
    <t>Arvind kumar</t>
  </si>
  <si>
    <t>Nirmal Kumar</t>
  </si>
  <si>
    <t>khushbu kumari</t>
  </si>
  <si>
    <t>Sanjay kumar</t>
  </si>
  <si>
    <t>Ashok kumar</t>
  </si>
  <si>
    <t xml:space="preserve">hemant singh </t>
  </si>
  <si>
    <t>s-22040027</t>
  </si>
  <si>
    <t>GNE-23035175</t>
  </si>
  <si>
    <t>GS-23051141</t>
  </si>
  <si>
    <t>GS-23033796</t>
  </si>
  <si>
    <t>S-22040060</t>
  </si>
  <si>
    <t>GTD-22122534</t>
  </si>
  <si>
    <t>GTD-23014028</t>
  </si>
  <si>
    <t>GTD-22122396</t>
  </si>
  <si>
    <t>E-214082367</t>
  </si>
  <si>
    <t>GTD-23024238</t>
  </si>
  <si>
    <t>GNE-22123326</t>
  </si>
  <si>
    <t>GTD-23013950</t>
  </si>
  <si>
    <t>GNE-23061084</t>
  </si>
  <si>
    <t>GNE-22050115</t>
  </si>
  <si>
    <t>GTD-23013945</t>
  </si>
  <si>
    <t>GTD-22122539</t>
  </si>
  <si>
    <t>GNE-22050109</t>
  </si>
  <si>
    <t>gne-21101014</t>
  </si>
  <si>
    <t>GNIDP-23035431</t>
  </si>
  <si>
    <t>E-17127259</t>
  </si>
  <si>
    <t>GTD-23024188</t>
  </si>
  <si>
    <t>GTD-23013930</t>
  </si>
  <si>
    <t>GE-19122117</t>
  </si>
  <si>
    <t>RM01050</t>
  </si>
  <si>
    <t>RM01018</t>
  </si>
  <si>
    <t>RM01060</t>
  </si>
  <si>
    <t>RM01004</t>
  </si>
  <si>
    <t>Fatscan Motor Pump Pipe</t>
  </si>
  <si>
    <t>SF00147</t>
  </si>
  <si>
    <t>RM01020</t>
  </si>
  <si>
    <t>RM01302</t>
  </si>
  <si>
    <t>RM01036</t>
  </si>
  <si>
    <t>AR2526E1263</t>
  </si>
  <si>
    <t xml:space="preserve">Dhuran Yadav </t>
  </si>
  <si>
    <t>SUJIT KUMAR SAHU</t>
  </si>
  <si>
    <t>Satendra</t>
  </si>
  <si>
    <t>Sashi kumar</t>
  </si>
  <si>
    <t>Rinku devi</t>
  </si>
  <si>
    <t xml:space="preserve">Doli Devi </t>
  </si>
  <si>
    <t>surendu bhaskar</t>
  </si>
  <si>
    <t>Gaurav</t>
  </si>
  <si>
    <t>manju devi</t>
  </si>
  <si>
    <t xml:space="preserve">Anand raj </t>
  </si>
  <si>
    <t xml:space="preserve">Sushil Gupta </t>
  </si>
  <si>
    <t xml:space="preserve">Santi Devi </t>
  </si>
  <si>
    <t>MIRAJ BHAGAT</t>
  </si>
  <si>
    <t xml:space="preserve">GAUTAM KUMAR </t>
  </si>
  <si>
    <t xml:space="preserve">Aman kumar </t>
  </si>
  <si>
    <t>Ranju devi</t>
  </si>
  <si>
    <t>Nandu Babu</t>
  </si>
  <si>
    <t xml:space="preserve">Nisha devi </t>
  </si>
  <si>
    <t>ANITA KUMARI</t>
  </si>
  <si>
    <t>krishana</t>
  </si>
  <si>
    <t>Nasim Ansari</t>
  </si>
  <si>
    <t>divakar kumar</t>
  </si>
  <si>
    <t xml:space="preserve">rabit kumar </t>
  </si>
  <si>
    <t>ramasish roy</t>
  </si>
  <si>
    <t xml:space="preserve">Ajeet kumar </t>
  </si>
  <si>
    <t xml:space="preserve">Vikas Kumar </t>
  </si>
  <si>
    <t xml:space="preserve">Munna Kumar </t>
  </si>
  <si>
    <t xml:space="preserve">Rajesh Kumar </t>
  </si>
  <si>
    <t>Pinki Kumari</t>
  </si>
  <si>
    <t>Ranjay singh</t>
  </si>
  <si>
    <t>SUSHMA DEVI</t>
  </si>
  <si>
    <t>VIJAY XALXO</t>
  </si>
  <si>
    <t>CHHOTU KUMAR</t>
  </si>
  <si>
    <t xml:space="preserve">Raushan Kumar </t>
  </si>
  <si>
    <t xml:space="preserve">nitu Devi </t>
  </si>
  <si>
    <t xml:space="preserve">Niraj Singh </t>
  </si>
  <si>
    <t xml:space="preserve">vinod kumar </t>
  </si>
  <si>
    <t xml:space="preserve">Firoj Ansari </t>
  </si>
  <si>
    <t xml:space="preserve">Raj Kumar </t>
  </si>
  <si>
    <t>vishnu Parshad Gupta</t>
  </si>
  <si>
    <t>Arvind Choudhary</t>
  </si>
  <si>
    <t xml:space="preserve">Krishnand ray </t>
  </si>
  <si>
    <t xml:space="preserve">surendar yadav </t>
  </si>
  <si>
    <t xml:space="preserve">Pokharaha </t>
  </si>
  <si>
    <t>HOCHER</t>
  </si>
  <si>
    <t>Ranchi store</t>
  </si>
  <si>
    <t>GOMUKH MIRATTHI</t>
  </si>
  <si>
    <t>losghani</t>
  </si>
  <si>
    <t xml:space="preserve">laxmipur </t>
  </si>
  <si>
    <t xml:space="preserve">kishanpur </t>
  </si>
  <si>
    <t>Parvaha store</t>
  </si>
  <si>
    <t>BANGAMA</t>
  </si>
  <si>
    <t>Gomukh mohaddipur</t>
  </si>
  <si>
    <t xml:space="preserve">Dumraon </t>
  </si>
  <si>
    <t>Levadh</t>
  </si>
  <si>
    <t>SITHIO</t>
  </si>
  <si>
    <t>Gomukh Fatepur</t>
  </si>
  <si>
    <t xml:space="preserve">Gomukh KATHNI </t>
  </si>
  <si>
    <t>chhuchhipur</t>
  </si>
  <si>
    <t>Kuralu</t>
  </si>
  <si>
    <t>Gomukh Kalyanpur</t>
  </si>
  <si>
    <t>KUCHU</t>
  </si>
  <si>
    <t>GOMUKH KISHANPUR TABHKA</t>
  </si>
  <si>
    <t>Nagri</t>
  </si>
  <si>
    <t>jakarpura Rmc</t>
  </si>
  <si>
    <t>ANANDPUR</t>
  </si>
  <si>
    <t>farda Ravi Roy tola</t>
  </si>
  <si>
    <t>Hajipur</t>
  </si>
  <si>
    <t>Gomukh Rani</t>
  </si>
  <si>
    <t xml:space="preserve">adarsh laxmipur 3 </t>
  </si>
  <si>
    <t xml:space="preserve"> pipariya dih 2</t>
  </si>
  <si>
    <t>Ghatoh east</t>
  </si>
  <si>
    <t>Gomukh Gehuni 2</t>
  </si>
  <si>
    <t>BASKI 2</t>
  </si>
  <si>
    <t>RONHE</t>
  </si>
  <si>
    <t>KARAUT</t>
  </si>
  <si>
    <t xml:space="preserve">aure </t>
  </si>
  <si>
    <t xml:space="preserve">gobind bigha </t>
  </si>
  <si>
    <t xml:space="preserve">jakhaur </t>
  </si>
  <si>
    <t xml:space="preserve">tajpur </t>
  </si>
  <si>
    <t>Narkopi 2</t>
  </si>
  <si>
    <t>Murto</t>
  </si>
  <si>
    <t xml:space="preserve">Girjatoli </t>
  </si>
  <si>
    <t>Dshna</t>
  </si>
  <si>
    <t>Gomukh Dulhar</t>
  </si>
  <si>
    <t xml:space="preserve">rata </t>
  </si>
  <si>
    <t>gtd-23014026</t>
  </si>
  <si>
    <t>GTD-23014007</t>
  </si>
  <si>
    <t>GE-20033998</t>
  </si>
  <si>
    <t>GTD-23060401</t>
  </si>
  <si>
    <t>GTD-23060425</t>
  </si>
  <si>
    <t>GTD-22122519</t>
  </si>
  <si>
    <t>E-17116790</t>
  </si>
  <si>
    <t>GS-23040752</t>
  </si>
  <si>
    <t>gtd-23014013</t>
  </si>
  <si>
    <t>GNE-22123331</t>
  </si>
  <si>
    <t>GTD-23024210</t>
  </si>
  <si>
    <t>GNE-23024499</t>
  </si>
  <si>
    <t>GTD-23060398</t>
  </si>
  <si>
    <t>GTD-23013903</t>
  </si>
  <si>
    <t>Ge-19122117</t>
  </si>
  <si>
    <t>S-22092446</t>
  </si>
  <si>
    <t>GNE-23060585</t>
  </si>
  <si>
    <t>GNE-23024403</t>
  </si>
  <si>
    <t>GTD-23013917</t>
  </si>
  <si>
    <t>E-215026700</t>
  </si>
  <si>
    <t>GTD-23014057</t>
  </si>
  <si>
    <t>GTD-23060362</t>
  </si>
  <si>
    <t>GTD-23060375</t>
  </si>
  <si>
    <t>GTD-23024206</t>
  </si>
  <si>
    <t>S-22092425</t>
  </si>
  <si>
    <t>GNE-23024517</t>
  </si>
  <si>
    <t>GTD-23060320</t>
  </si>
  <si>
    <t>gtd-23014036</t>
  </si>
  <si>
    <t>GE-19122132</t>
  </si>
  <si>
    <t>gne-23024414</t>
  </si>
  <si>
    <t>E-214082359</t>
  </si>
  <si>
    <t>GNE-23061061</t>
  </si>
  <si>
    <t>GTD-23060356</t>
  </si>
  <si>
    <t>GS-19111794</t>
  </si>
  <si>
    <t>gtd-23013906</t>
  </si>
  <si>
    <t>GS-23033761</t>
  </si>
  <si>
    <t>S-17096122</t>
  </si>
  <si>
    <t>GNE-22050120</t>
  </si>
  <si>
    <t>e-17127297</t>
  </si>
  <si>
    <t>GNE-23061080</t>
  </si>
  <si>
    <t>GTD-23013893</t>
  </si>
  <si>
    <t>E-17116788</t>
  </si>
  <si>
    <t>GTD-22122532</t>
  </si>
  <si>
    <t>GTD-23060305</t>
  </si>
  <si>
    <t>GNE-23060589</t>
  </si>
  <si>
    <t>GS-19111818</t>
  </si>
  <si>
    <t>GNE-23060582</t>
  </si>
  <si>
    <t>E-214040228</t>
  </si>
  <si>
    <t>Fatscan 9 Pin Connector with Cable</t>
  </si>
  <si>
    <t>SF00144</t>
  </si>
  <si>
    <t>Eko Y-Pipe</t>
  </si>
  <si>
    <t>RM00846</t>
  </si>
  <si>
    <t>EWZ MOTHERBOARD FOR WS</t>
  </si>
  <si>
    <t>Ekomilk Air Bubble</t>
  </si>
  <si>
    <t>RM00509</t>
  </si>
  <si>
    <t>Gehuni</t>
  </si>
  <si>
    <t>simri BMC</t>
  </si>
  <si>
    <t>pacham</t>
  </si>
  <si>
    <t>baikantpur</t>
  </si>
  <si>
    <t>Chowki (bmc s kamal)</t>
  </si>
  <si>
    <t xml:space="preserve">Rohuaa S Kamal </t>
  </si>
  <si>
    <t>Gomukh Shobhipura</t>
  </si>
  <si>
    <t>JALALPUR CHHITRAOUR</t>
  </si>
  <si>
    <t xml:space="preserve">Dafadihari </t>
  </si>
  <si>
    <t>Hutar</t>
  </si>
  <si>
    <t>Subhanipur</t>
  </si>
  <si>
    <t>kairama</t>
  </si>
  <si>
    <t>uksi</t>
  </si>
  <si>
    <t>juwsh</t>
  </si>
  <si>
    <t>KADAM TOLI</t>
  </si>
  <si>
    <t>Musrigharari bmc</t>
  </si>
  <si>
    <t>MSk MPG Shiv shakti MPG Tilakpur</t>
  </si>
  <si>
    <t>Chaidha Banni (S kamal bmc)</t>
  </si>
  <si>
    <t xml:space="preserve">virupur </t>
  </si>
  <si>
    <t xml:space="preserve">lohara </t>
  </si>
  <si>
    <t>dagaruya</t>
  </si>
  <si>
    <t xml:space="preserve">Gomukh Thatha </t>
  </si>
  <si>
    <t>Ranganv</t>
  </si>
  <si>
    <t>godih</t>
  </si>
  <si>
    <t>Bargari</t>
  </si>
  <si>
    <t>GUTUA</t>
  </si>
  <si>
    <t>Darhatand</t>
  </si>
  <si>
    <t xml:space="preserve">Katarpa </t>
  </si>
  <si>
    <t xml:space="preserve">AKALUPUR </t>
  </si>
  <si>
    <t>Navrang Rai ke Dera</t>
  </si>
  <si>
    <t>Bakiya (bmc S kamal)</t>
  </si>
  <si>
    <t>BANDHEYA</t>
  </si>
  <si>
    <t>gohar nagar</t>
  </si>
  <si>
    <t xml:space="preserve"> Marachi</t>
  </si>
  <si>
    <t>gomukh mahdadpur</t>
  </si>
  <si>
    <t>dhobina basa</t>
  </si>
  <si>
    <t>desua balo tol</t>
  </si>
  <si>
    <t>sondha uttru</t>
  </si>
  <si>
    <t xml:space="preserve">kharhat </t>
  </si>
  <si>
    <t xml:space="preserve">nijampur </t>
  </si>
  <si>
    <t xml:space="preserve">Gomukh sahuri Sharma tol </t>
  </si>
  <si>
    <t>gomukh Sajua1</t>
  </si>
  <si>
    <t>Bero</t>
  </si>
  <si>
    <t xml:space="preserve">Rajeev Kumar Singh </t>
  </si>
  <si>
    <t>Ankit Kumar</t>
  </si>
  <si>
    <t xml:space="preserve">ramdayal yadav </t>
  </si>
  <si>
    <t>Sambhu saran</t>
  </si>
  <si>
    <t>Sarita devi</t>
  </si>
  <si>
    <t>Manoj Kumar sah</t>
  </si>
  <si>
    <t xml:space="preserve">Deepak Kumar </t>
  </si>
  <si>
    <t>ARCHANA KUMARI</t>
  </si>
  <si>
    <t xml:space="preserve">Rasbihari singh </t>
  </si>
  <si>
    <t>Chinki Devi</t>
  </si>
  <si>
    <t>Anik kumar</t>
  </si>
  <si>
    <t>omkar Singh</t>
  </si>
  <si>
    <t xml:space="preserve">ravish prasad </t>
  </si>
  <si>
    <t xml:space="preserve">mairtyumjay Kumar </t>
  </si>
  <si>
    <t>ATUL KUMAR</t>
  </si>
  <si>
    <t>Angad sharma</t>
  </si>
  <si>
    <t>Anupam kumar</t>
  </si>
  <si>
    <t xml:space="preserve">chandan kumar </t>
  </si>
  <si>
    <t xml:space="preserve">Nitesh </t>
  </si>
  <si>
    <t>Balbir kumar biru</t>
  </si>
  <si>
    <t>kumar avinash</t>
  </si>
  <si>
    <t xml:space="preserve">Ajit Kumar </t>
  </si>
  <si>
    <t>Magan Mahto</t>
  </si>
  <si>
    <t>ANKIT KUMAR SAHU</t>
  </si>
  <si>
    <t>Tetri Devi</t>
  </si>
  <si>
    <t xml:space="preserve">Budhram Munda </t>
  </si>
  <si>
    <t xml:space="preserve">Sarvjeet Kumar </t>
  </si>
  <si>
    <t>Bablu Rai</t>
  </si>
  <si>
    <t xml:space="preserve">Mukesh paswan </t>
  </si>
  <si>
    <t>SULENDRA ORAON</t>
  </si>
  <si>
    <t xml:space="preserve">Amit Kumar </t>
  </si>
  <si>
    <t xml:space="preserve">ram parvesh yadav </t>
  </si>
  <si>
    <t xml:space="preserve"> Mirtunjay</t>
  </si>
  <si>
    <t>sunil kumar</t>
  </si>
  <si>
    <t>shatrodhan yadav</t>
  </si>
  <si>
    <t>niranjan</t>
  </si>
  <si>
    <t>kanchan kumari</t>
  </si>
  <si>
    <t xml:space="preserve">prabhavati kumari </t>
  </si>
  <si>
    <t xml:space="preserve">Dharmendra Mahato </t>
  </si>
  <si>
    <t>Krishna Kumar Sharma</t>
  </si>
  <si>
    <t>Ravikant kumar</t>
  </si>
  <si>
    <t xml:space="preserve">Ganesh Mahtha </t>
  </si>
  <si>
    <t>GE-20034001</t>
  </si>
  <si>
    <t>ge-19122138</t>
  </si>
  <si>
    <t>E-214071968</t>
  </si>
  <si>
    <t>E-214040257</t>
  </si>
  <si>
    <t>GTD-23060397</t>
  </si>
  <si>
    <t>GTD-22122568</t>
  </si>
  <si>
    <t>GTD-22122577</t>
  </si>
  <si>
    <t>GTD-23013971</t>
  </si>
  <si>
    <t>GTD-23013988</t>
  </si>
  <si>
    <t>GNE-23060581</t>
  </si>
  <si>
    <t>E-17127323</t>
  </si>
  <si>
    <t>E-215026696</t>
  </si>
  <si>
    <t>Ge-19122127</t>
  </si>
  <si>
    <t>GS-23040743</t>
  </si>
  <si>
    <t>GTD-23013885</t>
  </si>
  <si>
    <t>S-15017709</t>
  </si>
  <si>
    <t>GTD-23013947</t>
  </si>
  <si>
    <t>GNE-22123355</t>
  </si>
  <si>
    <t>GNE-22123387</t>
  </si>
  <si>
    <t>GE-19122144</t>
  </si>
  <si>
    <t>GTD-23060344</t>
  </si>
  <si>
    <t>GTD-23024144</t>
  </si>
  <si>
    <t>GE-20033995</t>
  </si>
  <si>
    <t>gs-23040758</t>
  </si>
  <si>
    <t>GTD-23014100</t>
  </si>
  <si>
    <t>GTD-23060384</t>
  </si>
  <si>
    <t>S-22040049</t>
  </si>
  <si>
    <t>E-214082385</t>
  </si>
  <si>
    <t>E-17127306</t>
  </si>
  <si>
    <t>GTD-23024148</t>
  </si>
  <si>
    <t>GS-23033775</t>
  </si>
  <si>
    <t>GNE-23060594</t>
  </si>
  <si>
    <t>RM01896</t>
  </si>
  <si>
    <t>Battery 6V 4.5 Ah</t>
  </si>
  <si>
    <t>RM00360</t>
  </si>
  <si>
    <t>TR00182</t>
  </si>
  <si>
    <t>AR2526E2170</t>
  </si>
  <si>
    <t>AR2526E2169</t>
  </si>
  <si>
    <t xml:space="preserve">batta rampur </t>
  </si>
  <si>
    <t>LUNDRI 1</t>
  </si>
  <si>
    <t xml:space="preserve"> jhaura tabhak</t>
  </si>
  <si>
    <t>Gonai</t>
  </si>
  <si>
    <t xml:space="preserve">NANDAN </t>
  </si>
  <si>
    <t>Gomukh Rajpur</t>
  </si>
  <si>
    <t xml:space="preserve">pohe </t>
  </si>
  <si>
    <t xml:space="preserve">Murtuzapur </t>
  </si>
  <si>
    <t>Goha  1</t>
  </si>
  <si>
    <t>koriya</t>
  </si>
  <si>
    <t>khuthadih</t>
  </si>
  <si>
    <t>Gomukh Motichak</t>
  </si>
  <si>
    <t>GOMUKH MURTUZAPUR EAST</t>
  </si>
  <si>
    <t>bachha</t>
  </si>
  <si>
    <t>dapadi</t>
  </si>
  <si>
    <t xml:space="preserve">Barkhanditol-2 </t>
  </si>
  <si>
    <t xml:space="preserve">raway </t>
  </si>
  <si>
    <t xml:space="preserve">GANGAULI </t>
  </si>
  <si>
    <t>GOMUKH PATHAKTOL</t>
  </si>
  <si>
    <t xml:space="preserve">pathua </t>
  </si>
  <si>
    <t>Khesrahiya</t>
  </si>
  <si>
    <t xml:space="preserve">Kulhariya </t>
  </si>
  <si>
    <t>DUBAKI</t>
  </si>
  <si>
    <t>Gomukh Amarpur</t>
  </si>
  <si>
    <t>ARAK</t>
  </si>
  <si>
    <t>bahrama</t>
  </si>
  <si>
    <t xml:space="preserve">Goumukh Raghunathpur </t>
  </si>
  <si>
    <t>HENWA</t>
  </si>
  <si>
    <t xml:space="preserve">SIMARI RAMPATTI </t>
  </si>
  <si>
    <t xml:space="preserve">kanhaiya kumar </t>
  </si>
  <si>
    <t>GEETA DEVI</t>
  </si>
  <si>
    <t xml:space="preserve">Adita Kumar </t>
  </si>
  <si>
    <t xml:space="preserve">Rambahadur Singh </t>
  </si>
  <si>
    <t>Dhirendar Thakur</t>
  </si>
  <si>
    <t xml:space="preserve">gulshan Kumar </t>
  </si>
  <si>
    <t>Bhushan ray</t>
  </si>
  <si>
    <t>kamal kumar</t>
  </si>
  <si>
    <t>sintu kumar</t>
  </si>
  <si>
    <t>Nivas kumar</t>
  </si>
  <si>
    <t>chandayser ray</t>
  </si>
  <si>
    <t>Subham kumar</t>
  </si>
  <si>
    <t xml:space="preserve">niranjan kumar </t>
  </si>
  <si>
    <t xml:space="preserve">Dilkhush Kumar </t>
  </si>
  <si>
    <t xml:space="preserve">ratandev kumar </t>
  </si>
  <si>
    <t xml:space="preserve">Shreeram Yadav </t>
  </si>
  <si>
    <t>chandan</t>
  </si>
  <si>
    <t xml:space="preserve">Nitish Kumar </t>
  </si>
  <si>
    <t>Nitesh Kumar</t>
  </si>
  <si>
    <t xml:space="preserve">Nitu Devi </t>
  </si>
  <si>
    <t xml:space="preserve">Saroj Kumar </t>
  </si>
  <si>
    <t>Ajay ram</t>
  </si>
  <si>
    <t xml:space="preserve">Chandan kumar singh </t>
  </si>
  <si>
    <t>mahesh sharma</t>
  </si>
  <si>
    <t xml:space="preserve">Sudama Kumar </t>
  </si>
  <si>
    <t xml:space="preserve">Abhishek Kumar </t>
  </si>
  <si>
    <t xml:space="preserve">Amit Kumar Pandey </t>
  </si>
  <si>
    <t>GTD-23024143</t>
  </si>
  <si>
    <t>GS-23040760</t>
  </si>
  <si>
    <t>GTD-22122571</t>
  </si>
  <si>
    <t>ge-20033997</t>
  </si>
  <si>
    <t>GS-23011707</t>
  </si>
  <si>
    <t>GTD-23013985</t>
  </si>
  <si>
    <t>E-215026646</t>
  </si>
  <si>
    <t>E-215026606</t>
  </si>
  <si>
    <t>GNE-23024516</t>
  </si>
  <si>
    <t>GTD-23013873</t>
  </si>
  <si>
    <t>GTD-23024160</t>
  </si>
  <si>
    <t>GTD-23024226</t>
  </si>
  <si>
    <t>GTD-23024224</t>
  </si>
  <si>
    <t>GTD-23060400</t>
  </si>
  <si>
    <t>e-17116836</t>
  </si>
  <si>
    <t>GNE-23014021</t>
  </si>
  <si>
    <t>GNE-23061099</t>
  </si>
  <si>
    <t>gne-23024493</t>
  </si>
  <si>
    <t>GNE-22102055</t>
  </si>
  <si>
    <t>s-17095698</t>
  </si>
  <si>
    <t>GNE-22050098</t>
  </si>
  <si>
    <t>GE-19122146</t>
  </si>
  <si>
    <t>GNE-23024445</t>
  </si>
  <si>
    <t>GTD-23060391</t>
  </si>
  <si>
    <t>GTD-23013936</t>
  </si>
  <si>
    <t>GNE-22123322</t>
  </si>
  <si>
    <t>GNE-22102050</t>
  </si>
  <si>
    <t>E-215026682</t>
  </si>
  <si>
    <t>GS-23022606</t>
  </si>
  <si>
    <t>GTD-23060404</t>
  </si>
  <si>
    <t>GTD-23013854</t>
  </si>
  <si>
    <t>AR2526E2346</t>
  </si>
  <si>
    <t>AR2526E2347</t>
  </si>
  <si>
    <t xml:space="preserve">malpur </t>
  </si>
  <si>
    <t>MAJHWARI</t>
  </si>
  <si>
    <t xml:space="preserve">ramnagar </t>
  </si>
  <si>
    <t>kevasjagir</t>
  </si>
  <si>
    <t>gomukh tulsitol</t>
  </si>
  <si>
    <t>Matiyour</t>
  </si>
  <si>
    <t xml:space="preserve">Malhipurpg </t>
  </si>
  <si>
    <t>chandanpura</t>
  </si>
  <si>
    <t xml:space="preserve">KAITHI </t>
  </si>
  <si>
    <t>Supol</t>
  </si>
  <si>
    <t xml:space="preserve">barui </t>
  </si>
  <si>
    <t>Vishnupatti 2</t>
  </si>
  <si>
    <t>Gomukh jangli tol</t>
  </si>
  <si>
    <t xml:space="preserve">Baswar </t>
  </si>
  <si>
    <t xml:space="preserve">Rajesh kumar </t>
  </si>
  <si>
    <t>Ashok kumar Pathak</t>
  </si>
  <si>
    <t xml:space="preserve">Subhash Kumar </t>
  </si>
  <si>
    <t xml:space="preserve">Niranjan Kumar </t>
  </si>
  <si>
    <t>Arti kumari</t>
  </si>
  <si>
    <t xml:space="preserve">Sanjeev </t>
  </si>
  <si>
    <t xml:space="preserve">Ranbeer kumar </t>
  </si>
  <si>
    <t xml:space="preserve">Santosh Yadav </t>
  </si>
  <si>
    <t>Sudersan Kumar</t>
  </si>
  <si>
    <t xml:space="preserve">sanoj Kumar </t>
  </si>
  <si>
    <t>Kamlesh ray</t>
  </si>
  <si>
    <t>Poonam Devi</t>
  </si>
  <si>
    <t>dharmendra kumar</t>
  </si>
  <si>
    <t xml:space="preserve">Anand Jaiswal </t>
  </si>
  <si>
    <t>GTD-23060405</t>
  </si>
  <si>
    <t>GTD-23013957</t>
  </si>
  <si>
    <t>e-17127243</t>
  </si>
  <si>
    <t>S-22092427</t>
  </si>
  <si>
    <t>GTD-23013974</t>
  </si>
  <si>
    <t>GTD-23024230</t>
  </si>
  <si>
    <t>GS-23022530</t>
  </si>
  <si>
    <t>gs-23051147</t>
  </si>
  <si>
    <t>GNE-22102070</t>
  </si>
  <si>
    <t>GNE-23061087</t>
  </si>
  <si>
    <t>GS-23011705</t>
  </si>
  <si>
    <t>GE-19122138</t>
  </si>
  <si>
    <t>GNE-21101030</t>
  </si>
  <si>
    <t>GE-20034021</t>
  </si>
  <si>
    <t>E-17116849</t>
  </si>
  <si>
    <t>ge-20033990</t>
  </si>
  <si>
    <t>GTD-23013868</t>
  </si>
  <si>
    <t>GNE-23061103</t>
  </si>
  <si>
    <t>GE-19122124</t>
  </si>
  <si>
    <t>GTD-23060390</t>
  </si>
  <si>
    <t>gtd-22122577</t>
  </si>
  <si>
    <t>GTD-23060411</t>
  </si>
  <si>
    <t>gtd-23014090</t>
  </si>
  <si>
    <t>SWS Display 2*16 Big</t>
  </si>
  <si>
    <t>Weighing Scale Display Old (Repaired)</t>
  </si>
  <si>
    <t>RM01090</t>
  </si>
  <si>
    <t>RM01026</t>
  </si>
  <si>
    <t>AR2526E2845</t>
  </si>
  <si>
    <t>AR2526E2846</t>
  </si>
  <si>
    <t>RM01792</t>
  </si>
  <si>
    <t>RM00466</t>
  </si>
  <si>
    <t>AR2526E1464</t>
  </si>
  <si>
    <t>AR2526E1465</t>
  </si>
  <si>
    <t>Recoverable</t>
  </si>
  <si>
    <t>Godown</t>
  </si>
  <si>
    <t>Gomukh nirpur</t>
  </si>
  <si>
    <t>Ramovariya</t>
  </si>
  <si>
    <t xml:space="preserve">pawai </t>
  </si>
  <si>
    <t>SAHIBPUR KAMA</t>
  </si>
  <si>
    <t xml:space="preserve">dumari </t>
  </si>
  <si>
    <t>Gomukh Muradpur</t>
  </si>
  <si>
    <t>Pandra</t>
  </si>
  <si>
    <t xml:space="preserve">ketha </t>
  </si>
  <si>
    <t>shar maf 2</t>
  </si>
  <si>
    <t>bachrukhi</t>
  </si>
  <si>
    <t>Gomukh rani-3</t>
  </si>
  <si>
    <t xml:space="preserve">Gomukh Sajua2 </t>
  </si>
  <si>
    <t>Gomukh Kaudesari</t>
  </si>
  <si>
    <t>kaithi</t>
  </si>
  <si>
    <t>BMC asarganj</t>
  </si>
  <si>
    <t>singarpur</t>
  </si>
  <si>
    <t xml:space="preserve">Sikraul Lak </t>
  </si>
  <si>
    <t>prashpur kadwa gomukh</t>
  </si>
  <si>
    <t>GOMUKH RAMAIYA</t>
  </si>
  <si>
    <t xml:space="preserve">gangasarai </t>
  </si>
  <si>
    <t xml:space="preserve">Gomukh Samastipur </t>
  </si>
  <si>
    <t>Makunda</t>
  </si>
  <si>
    <t>ENGLISH DUBAULI</t>
  </si>
  <si>
    <t>karari pipariya 2</t>
  </si>
  <si>
    <t>gawpur Bhagbatpur</t>
  </si>
  <si>
    <t>ALAULI BMC</t>
  </si>
  <si>
    <t>govindpur</t>
  </si>
  <si>
    <t xml:space="preserve">bandar </t>
  </si>
  <si>
    <t xml:space="preserve">surari </t>
  </si>
  <si>
    <t xml:space="preserve">beldariya </t>
  </si>
  <si>
    <t>Vijay ray</t>
  </si>
  <si>
    <t>Santosh Kumar Singh</t>
  </si>
  <si>
    <t xml:space="preserve">ritesh Kumar </t>
  </si>
  <si>
    <t>Aaditya kumar</t>
  </si>
  <si>
    <t xml:space="preserve">shiv kumar </t>
  </si>
  <si>
    <t>GOPAL KUMAR</t>
  </si>
  <si>
    <t>Dhruv kumar singh</t>
  </si>
  <si>
    <t>Ravi Gop</t>
  </si>
  <si>
    <t xml:space="preserve">Gautam Kumar </t>
  </si>
  <si>
    <t xml:space="preserve">manoj yadav </t>
  </si>
  <si>
    <t>arbind jha</t>
  </si>
  <si>
    <t xml:space="preserve">Saurab kumar </t>
  </si>
  <si>
    <t>Satyam viswas</t>
  </si>
  <si>
    <t xml:space="preserve">Ramakant Singh </t>
  </si>
  <si>
    <t>mithun kumar</t>
  </si>
  <si>
    <t>Dheeraj Kumar</t>
  </si>
  <si>
    <t xml:space="preserve">Manoj Kumar Paswan </t>
  </si>
  <si>
    <t>Nawal kishor rai</t>
  </si>
  <si>
    <t>INDU DEVI</t>
  </si>
  <si>
    <t xml:space="preserve">amarjit kumar </t>
  </si>
  <si>
    <t xml:space="preserve">Kundan kumar </t>
  </si>
  <si>
    <t>Bal Kishor Tiwari</t>
  </si>
  <si>
    <t>Akshay kumar Yadav</t>
  </si>
  <si>
    <t xml:space="preserve"> jabahar ray</t>
  </si>
  <si>
    <t>AMIT KUMAR</t>
  </si>
  <si>
    <t>Guddu kumar</t>
  </si>
  <si>
    <t xml:space="preserve">manish kumar </t>
  </si>
  <si>
    <t xml:space="preserve">Dipak kumar </t>
  </si>
  <si>
    <t xml:space="preserve">Rohit Kumar </t>
  </si>
  <si>
    <t>GNE-22123343</t>
  </si>
  <si>
    <t>SN/E00390594</t>
  </si>
  <si>
    <t>s-22033310</t>
  </si>
  <si>
    <t>S-14062633</t>
  </si>
  <si>
    <t>GNIDP-23035424</t>
  </si>
  <si>
    <t>GTD-23013968</t>
  </si>
  <si>
    <t>SN/E00391603</t>
  </si>
  <si>
    <t>GTD-23024128</t>
  </si>
  <si>
    <t>GTD-23013986</t>
  </si>
  <si>
    <t>GNE-23024409</t>
  </si>
  <si>
    <t>E-214082404</t>
  </si>
  <si>
    <t>GTD-23060303</t>
  </si>
  <si>
    <t>GNE-23114066</t>
  </si>
  <si>
    <t>E-17127303</t>
  </si>
  <si>
    <t>gne-23114051</t>
  </si>
  <si>
    <t>S-22033305</t>
  </si>
  <si>
    <t>GNE-22102066</t>
  </si>
  <si>
    <t>GNE-22123327</t>
  </si>
  <si>
    <t>ge-19122133</t>
  </si>
  <si>
    <t>GNE-23114035</t>
  </si>
  <si>
    <t>GTD-23014063</t>
  </si>
  <si>
    <t>GNE-23060576</t>
  </si>
  <si>
    <t>GTD-23060325</t>
  </si>
  <si>
    <t>GNE-21101016</t>
  </si>
  <si>
    <t>E-214082363</t>
  </si>
  <si>
    <t>GTD-23060419</t>
  </si>
  <si>
    <t>GTD-23111293</t>
  </si>
  <si>
    <t>GS-23104595</t>
  </si>
  <si>
    <t>GNE-23024433</t>
  </si>
  <si>
    <t>S-22040033</t>
  </si>
  <si>
    <t>GTD-23014097</t>
  </si>
  <si>
    <t>GTD-23111282</t>
  </si>
  <si>
    <t>Fatscan 4pin Female Connector with 6" cable</t>
  </si>
  <si>
    <t>RM01658</t>
  </si>
  <si>
    <t>WI-FI SERIAL DEVICE WITH EXTERNAL POWER SUPPLY (WI-SENSE)</t>
  </si>
  <si>
    <t>SF00082</t>
  </si>
  <si>
    <t>(blank)</t>
  </si>
  <si>
    <t>MPG Ope Date</t>
  </si>
  <si>
    <t>Complain Month</t>
  </si>
  <si>
    <t>L</t>
  </si>
  <si>
    <t>Sabikpur</t>
  </si>
  <si>
    <t>VIKASH KUMAR</t>
  </si>
  <si>
    <t>BADARKHA</t>
  </si>
  <si>
    <t>AJEET KUMAR CHAUDHARY</t>
  </si>
  <si>
    <t>Gauripur</t>
  </si>
  <si>
    <t xml:space="preserve">Chandan Kumar </t>
  </si>
  <si>
    <t xml:space="preserve">Gomukh Kalyanpur                                                                                    </t>
  </si>
  <si>
    <t>Nisha devi</t>
  </si>
  <si>
    <t>Status</t>
  </si>
  <si>
    <t>Running</t>
  </si>
  <si>
    <t>Nov'25 Closed</t>
  </si>
  <si>
    <t>Oct '25 Closed</t>
  </si>
  <si>
    <t>Sep'25 Closed</t>
  </si>
  <si>
    <t>May '25 Closed</t>
  </si>
  <si>
    <t>Apr'25 Closed</t>
  </si>
  <si>
    <t>Oct '24 Closed</t>
  </si>
  <si>
    <t>GOMUKH SAIDPUR SAMASTIPUR</t>
  </si>
  <si>
    <t>KAITHA</t>
  </si>
  <si>
    <t>Aug '25 closed</t>
  </si>
  <si>
    <t>Bhandar</t>
  </si>
  <si>
    <t>Jankidih</t>
  </si>
  <si>
    <t>MIRATHI 2</t>
  </si>
  <si>
    <t>Deduction</t>
  </si>
  <si>
    <t>Payment type</t>
  </si>
  <si>
    <t>0002</t>
  </si>
  <si>
    <t>ID</t>
  </si>
  <si>
    <t>Due</t>
  </si>
  <si>
    <t>Can Deduction</t>
  </si>
  <si>
    <t>Bio Gas</t>
  </si>
  <si>
    <t>10120002</t>
  </si>
  <si>
    <t>10540002</t>
  </si>
  <si>
    <t>20010002</t>
  </si>
  <si>
    <t>20020002</t>
  </si>
  <si>
    <t>20050002</t>
  </si>
  <si>
    <t>100100710002</t>
  </si>
  <si>
    <t>100200220002</t>
  </si>
  <si>
    <t>100200280002</t>
  </si>
  <si>
    <t>100200370002</t>
  </si>
  <si>
    <t>100300620002</t>
  </si>
  <si>
    <t>100600250002</t>
  </si>
  <si>
    <t>100600340002</t>
  </si>
  <si>
    <t>100600360002</t>
  </si>
  <si>
    <t>100600640002</t>
  </si>
  <si>
    <t>100700490002</t>
  </si>
  <si>
    <t>100800700002</t>
  </si>
  <si>
    <t>100801060002</t>
  </si>
  <si>
    <t>100900040002</t>
  </si>
  <si>
    <t>100900230002</t>
  </si>
  <si>
    <t>100900300002</t>
  </si>
  <si>
    <t>100900390002</t>
  </si>
  <si>
    <t>100900570002</t>
  </si>
  <si>
    <t>101000560002</t>
  </si>
  <si>
    <t>101100170002</t>
  </si>
  <si>
    <t>101100440002</t>
  </si>
  <si>
    <t>101100560002</t>
  </si>
  <si>
    <t>101200420002</t>
  </si>
  <si>
    <t>101200650002</t>
  </si>
  <si>
    <t>101200820002</t>
  </si>
  <si>
    <t>101300070002</t>
  </si>
  <si>
    <t>101300130002</t>
  </si>
  <si>
    <t>101301080002</t>
  </si>
  <si>
    <t>101400040002</t>
  </si>
  <si>
    <t>101400100002</t>
  </si>
  <si>
    <t>101400510002</t>
  </si>
  <si>
    <t>101401450002</t>
  </si>
  <si>
    <t>101401590002</t>
  </si>
  <si>
    <t>101401680002</t>
  </si>
  <si>
    <t>105500030002</t>
  </si>
  <si>
    <t>200100030002</t>
  </si>
  <si>
    <t>200100040002</t>
  </si>
  <si>
    <t>200100090002</t>
  </si>
  <si>
    <t>200100120002</t>
  </si>
  <si>
    <t>200100160002</t>
  </si>
  <si>
    <t>200100170002</t>
  </si>
  <si>
    <t>200100230002</t>
  </si>
  <si>
    <t>200100270002</t>
  </si>
  <si>
    <t>200100410002</t>
  </si>
  <si>
    <t>200100420002</t>
  </si>
  <si>
    <t>200100510002</t>
  </si>
  <si>
    <t>200100540002</t>
  </si>
  <si>
    <t>200200020002</t>
  </si>
  <si>
    <t>200200030002</t>
  </si>
  <si>
    <t>200200040002</t>
  </si>
  <si>
    <t>200200060002</t>
  </si>
  <si>
    <t>200200070002</t>
  </si>
  <si>
    <t>200200140002</t>
  </si>
  <si>
    <t>200300050002</t>
  </si>
  <si>
    <t>200400040002</t>
  </si>
  <si>
    <t>200400060002</t>
  </si>
  <si>
    <t>200600040002</t>
  </si>
  <si>
    <t>200600070002</t>
  </si>
  <si>
    <t>200600090002</t>
  </si>
  <si>
    <t>200700100002</t>
  </si>
  <si>
    <t>200800180002</t>
  </si>
  <si>
    <t>200900120002</t>
  </si>
  <si>
    <t>200900140002</t>
  </si>
  <si>
    <t>302000280002</t>
  </si>
  <si>
    <t>100101020002</t>
  </si>
  <si>
    <t>100300300002</t>
  </si>
  <si>
    <t>10080002</t>
  </si>
  <si>
    <t>100600730002</t>
  </si>
  <si>
    <t>100101000002</t>
  </si>
  <si>
    <t>10110002</t>
  </si>
  <si>
    <t>10020002</t>
  </si>
  <si>
    <t>10010002</t>
  </si>
  <si>
    <t>10090002</t>
  </si>
  <si>
    <t>101300960002</t>
  </si>
  <si>
    <t>10130002</t>
  </si>
  <si>
    <t>10070002</t>
  </si>
  <si>
    <t>101101130002</t>
  </si>
  <si>
    <t>20030002</t>
  </si>
  <si>
    <t>200100020002</t>
  </si>
  <si>
    <t>00002</t>
  </si>
  <si>
    <t>10140002</t>
  </si>
  <si>
    <t>100300670002</t>
  </si>
  <si>
    <t>10030002</t>
  </si>
  <si>
    <t>100100380002</t>
  </si>
  <si>
    <t>Direct</t>
  </si>
  <si>
    <t>100100440002</t>
  </si>
  <si>
    <t>100100820002</t>
  </si>
  <si>
    <t>100100950002</t>
  </si>
  <si>
    <t>100101030002</t>
  </si>
  <si>
    <t>100200020002</t>
  </si>
  <si>
    <t>100200230002</t>
  </si>
  <si>
    <t>100200260002</t>
  </si>
  <si>
    <t>100200290002</t>
  </si>
  <si>
    <t>100200320002</t>
  </si>
  <si>
    <t>100200340002</t>
  </si>
  <si>
    <t>100200350002</t>
  </si>
  <si>
    <t>100200410002</t>
  </si>
  <si>
    <t>100200420002</t>
  </si>
  <si>
    <t>100200430002</t>
  </si>
  <si>
    <t>100200590002</t>
  </si>
  <si>
    <t>100200620002</t>
  </si>
  <si>
    <t>100200630002</t>
  </si>
  <si>
    <t>100200760002</t>
  </si>
  <si>
    <t>100200780002</t>
  </si>
  <si>
    <t>100200790002</t>
  </si>
  <si>
    <t>100300030002</t>
  </si>
  <si>
    <t>100300130002</t>
  </si>
  <si>
    <t>100300180002</t>
  </si>
  <si>
    <t>100300230002</t>
  </si>
  <si>
    <t>100300630002</t>
  </si>
  <si>
    <t>100300640002</t>
  </si>
  <si>
    <t>100300650002</t>
  </si>
  <si>
    <t>100300660002</t>
  </si>
  <si>
    <t>100300700002</t>
  </si>
  <si>
    <t>100300710002</t>
  </si>
  <si>
    <t>100600110002</t>
  </si>
  <si>
    <t>100600220002</t>
  </si>
  <si>
    <t>100600260002</t>
  </si>
  <si>
    <t>100600290002</t>
  </si>
  <si>
    <t>100600310002</t>
  </si>
  <si>
    <t>100600320002</t>
  </si>
  <si>
    <t>100600330002</t>
  </si>
  <si>
    <t>100600490002</t>
  </si>
  <si>
    <t>100600580002</t>
  </si>
  <si>
    <t>100600690002</t>
  </si>
  <si>
    <t>100600740002</t>
  </si>
  <si>
    <t>100601090002</t>
  </si>
  <si>
    <t>100601140002</t>
  </si>
  <si>
    <t>100601160002</t>
  </si>
  <si>
    <t>100700480002</t>
  </si>
  <si>
    <t>100700630002</t>
  </si>
  <si>
    <t>100800150002</t>
  </si>
  <si>
    <t>100800160002</t>
  </si>
  <si>
    <t>100800320002</t>
  </si>
  <si>
    <t>100800480002</t>
  </si>
  <si>
    <t>100800550002</t>
  </si>
  <si>
    <t>100800770002</t>
  </si>
  <si>
    <t>100800870002</t>
  </si>
  <si>
    <t>100800880002</t>
  </si>
  <si>
    <t>100801000002</t>
  </si>
  <si>
    <t>100900020002</t>
  </si>
  <si>
    <t>100900060002</t>
  </si>
  <si>
    <t>100900070002</t>
  </si>
  <si>
    <t>100900080002</t>
  </si>
  <si>
    <t>100900290002</t>
  </si>
  <si>
    <t>100900330002</t>
  </si>
  <si>
    <t>100900360002</t>
  </si>
  <si>
    <t>100900420002</t>
  </si>
  <si>
    <t>100900460002</t>
  </si>
  <si>
    <t>100900590002</t>
  </si>
  <si>
    <t>100900650002</t>
  </si>
  <si>
    <t>100900660002</t>
  </si>
  <si>
    <t>101000490002</t>
  </si>
  <si>
    <t>101100190002</t>
  </si>
  <si>
    <t>101100210002</t>
  </si>
  <si>
    <t>101100490002</t>
  </si>
  <si>
    <t>101100550002</t>
  </si>
  <si>
    <t>101100650002</t>
  </si>
  <si>
    <t>101100660002</t>
  </si>
  <si>
    <t>101100780002</t>
  </si>
  <si>
    <t>101100940002</t>
  </si>
  <si>
    <t>101101050002</t>
  </si>
  <si>
    <t>101101640002</t>
  </si>
  <si>
    <t>101200060002</t>
  </si>
  <si>
    <t>101200140002</t>
  </si>
  <si>
    <t>101200180002</t>
  </si>
  <si>
    <t>101200250002</t>
  </si>
  <si>
    <t>101200290002</t>
  </si>
  <si>
    <t>101200300002</t>
  </si>
  <si>
    <t>101200310002</t>
  </si>
  <si>
    <t>101200340002</t>
  </si>
  <si>
    <t>101200510002</t>
  </si>
  <si>
    <t>101200830002</t>
  </si>
  <si>
    <t>101200890002</t>
  </si>
  <si>
    <t>101200940002</t>
  </si>
  <si>
    <t>101201040002</t>
  </si>
  <si>
    <t>101201070002</t>
  </si>
  <si>
    <t>101201110002</t>
  </si>
  <si>
    <t>101201140002</t>
  </si>
  <si>
    <t>101300030002</t>
  </si>
  <si>
    <t>101300060002</t>
  </si>
  <si>
    <t>101300120002</t>
  </si>
  <si>
    <t>101300260002</t>
  </si>
  <si>
    <t>101300300002</t>
  </si>
  <si>
    <t>101300320002</t>
  </si>
  <si>
    <t>101300700002</t>
  </si>
  <si>
    <t>101300730002</t>
  </si>
  <si>
    <t>101300980002</t>
  </si>
  <si>
    <t>101400010002</t>
  </si>
  <si>
    <t>101400030002</t>
  </si>
  <si>
    <t>101400070002</t>
  </si>
  <si>
    <t>101400080002</t>
  </si>
  <si>
    <t>101400120002</t>
  </si>
  <si>
    <t>101400180002</t>
  </si>
  <si>
    <t>101400340002</t>
  </si>
  <si>
    <t>101400410002</t>
  </si>
  <si>
    <t>101400430002</t>
  </si>
  <si>
    <t>101400470002</t>
  </si>
  <si>
    <t>101400690002</t>
  </si>
  <si>
    <t>101400980002</t>
  </si>
  <si>
    <t>101401190002</t>
  </si>
  <si>
    <t>101401200002</t>
  </si>
  <si>
    <t>101401260002</t>
  </si>
  <si>
    <t>101401290002</t>
  </si>
  <si>
    <t>101401310002</t>
  </si>
  <si>
    <t>101401530002</t>
  </si>
  <si>
    <t>101401550002</t>
  </si>
  <si>
    <t>101401560002</t>
  </si>
  <si>
    <t>101401790002</t>
  </si>
  <si>
    <t>102500010002</t>
  </si>
  <si>
    <t>103600010002</t>
  </si>
  <si>
    <t>104000010002</t>
  </si>
  <si>
    <t>104100010002</t>
  </si>
  <si>
    <t>104600010002</t>
  </si>
  <si>
    <t>104800080002</t>
  </si>
  <si>
    <t>104800220002</t>
  </si>
  <si>
    <t>105100010002</t>
  </si>
  <si>
    <t>105100040002</t>
  </si>
  <si>
    <t>101200170002</t>
  </si>
  <si>
    <t>101300900002</t>
  </si>
  <si>
    <t>101000140002</t>
  </si>
  <si>
    <t>100900640002</t>
  </si>
  <si>
    <t>101000510002</t>
  </si>
  <si>
    <t>100900210002</t>
  </si>
  <si>
    <t>100300210002</t>
  </si>
  <si>
    <t>101000210002</t>
  </si>
  <si>
    <t>101300850002</t>
  </si>
  <si>
    <t>101101160002</t>
  </si>
  <si>
    <t>100100130002</t>
  </si>
  <si>
    <t>100800930002</t>
  </si>
  <si>
    <t>101101110002</t>
  </si>
  <si>
    <t>100300370002</t>
  </si>
  <si>
    <t>101400320002</t>
  </si>
  <si>
    <t>104800050002</t>
  </si>
  <si>
    <t>100300320002</t>
  </si>
  <si>
    <t>100200680002</t>
  </si>
  <si>
    <t>100100760002</t>
  </si>
  <si>
    <t>101200050002</t>
  </si>
  <si>
    <t>100100970002</t>
  </si>
  <si>
    <t>101000150002</t>
  </si>
  <si>
    <t>100300350002</t>
  </si>
  <si>
    <t>101400660002</t>
  </si>
  <si>
    <t>100300340002</t>
  </si>
  <si>
    <t>100300190002</t>
  </si>
  <si>
    <t>101000090002</t>
  </si>
  <si>
    <t>100700330002</t>
  </si>
  <si>
    <t>100700160002</t>
  </si>
  <si>
    <t>100300270002</t>
  </si>
  <si>
    <t>100300530002</t>
  </si>
  <si>
    <t>100200700002</t>
  </si>
  <si>
    <t>100300560002</t>
  </si>
  <si>
    <t>101400580002</t>
  </si>
  <si>
    <t>100700130002</t>
  </si>
  <si>
    <t>100300100002</t>
  </si>
  <si>
    <t>101400330002</t>
  </si>
  <si>
    <t>100300310002</t>
  </si>
  <si>
    <t>100300250002</t>
  </si>
  <si>
    <t>100300380002</t>
  </si>
  <si>
    <t>100300510002</t>
  </si>
  <si>
    <t>100601210002</t>
  </si>
  <si>
    <t>100900470002</t>
  </si>
  <si>
    <t>101300910002</t>
  </si>
  <si>
    <t>100200250002</t>
  </si>
  <si>
    <t>101101460002</t>
  </si>
  <si>
    <t>100300260002</t>
  </si>
  <si>
    <t>104800010002</t>
  </si>
  <si>
    <t>100200080002</t>
  </si>
  <si>
    <t>Indirect</t>
  </si>
  <si>
    <t>100600040002</t>
  </si>
  <si>
    <t>100900010002</t>
  </si>
  <si>
    <t>100900150002</t>
  </si>
  <si>
    <t>100900240002</t>
  </si>
  <si>
    <t>101200010002</t>
  </si>
  <si>
    <t>101200220002</t>
  </si>
  <si>
    <t>101200350002</t>
  </si>
  <si>
    <t>101300160002</t>
  </si>
  <si>
    <t>101300250002</t>
  </si>
  <si>
    <t>101800010002</t>
  </si>
  <si>
    <t>103200010002</t>
  </si>
  <si>
    <t>103300010002</t>
  </si>
  <si>
    <t>101200100002</t>
  </si>
  <si>
    <t>101300440002</t>
  </si>
  <si>
    <t>101200230002</t>
  </si>
  <si>
    <t>101200130002</t>
  </si>
  <si>
    <t>100101310002</t>
  </si>
  <si>
    <t>101100430002</t>
  </si>
  <si>
    <t>101300150002</t>
  </si>
  <si>
    <t>101000040002</t>
  </si>
  <si>
    <t xml:space="preserve">Total </t>
  </si>
  <si>
    <t>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</si>
</sst>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4"/>
      </top>
      <bottom/>
      <diagonal/>
    </border>
    <border>
      <left style="thin">
        <color theme="0"/>
      </left>
      <right/>
      <top style="thin">
        <color theme="4"/>
      </top>
      <bottom/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4">
    <xf numFmtId="0" fontId="0" fillId="0" borderId="0" xfId="0"/>
    <xf numFmtId="0" fontId="3" fillId="3" borderId="1" xfId="0" applyFont="1" applyFill="1" applyBorder="1"/>
    <xf numFmtId="43" fontId="3" fillId="3" borderId="1" xfId="1" applyFont="1" applyFill="1" applyBorder="1"/>
    <xf numFmtId="43" fontId="3" fillId="3" borderId="2" xfId="1" applyFont="1" applyFill="1" applyBorder="1"/>
    <xf numFmtId="16" fontId="0" fillId="0" borderId="0" xfId="0" applyNumberFormat="1"/>
    <xf numFmtId="0" fontId="0" fillId="0" borderId="0" xfId="0" pivotButton="1"/>
    <xf numFmtId="43" fontId="0" fillId="0" borderId="0" xfId="0" applyNumberFormat="1"/>
    <xf numFmtId="0" fontId="0" fillId="0" borderId="0" xfId="0" applyAlignment="1">
      <alignment horizontal="center" vertical="center"/>
    </xf>
    <xf numFmtId="43" fontId="0" fillId="0" borderId="0" xfId="1" applyFont="1"/>
    <xf numFmtId="0" fontId="0" fillId="5" borderId="5" xfId="0" applyFill="1" applyBorder="1" applyAlignment="1">
      <alignment horizontal="center" vertical="center"/>
    </xf>
    <xf numFmtId="0" fontId="0" fillId="4" borderId="5" xfId="0" applyFill="1" applyBorder="1" applyAlignment="1">
      <alignment horizontal="left" vertical="center" wrapText="1"/>
    </xf>
    <xf numFmtId="0" fontId="0" fillId="4" borderId="5" xfId="0" applyFill="1" applyBorder="1" applyAlignment="1">
      <alignment vertical="center"/>
    </xf>
    <xf numFmtId="0" fontId="0" fillId="5" borderId="6" xfId="0" applyFill="1" applyBorder="1" applyAlignment="1">
      <alignment horizontal="center" vertical="center"/>
    </xf>
    <xf numFmtId="0" fontId="0" fillId="0" borderId="6" xfId="0" applyBorder="1" applyAlignment="1">
      <alignment horizontal="left" vertical="center" wrapText="1"/>
    </xf>
    <xf numFmtId="0" fontId="0" fillId="0" borderId="6" xfId="0" applyBorder="1" applyAlignment="1">
      <alignment vertical="center"/>
    </xf>
    <xf numFmtId="0" fontId="0" fillId="4" borderId="5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5" borderId="5" xfId="0" applyFill="1" applyBorder="1" applyAlignment="1">
      <alignment horizontal="center"/>
    </xf>
    <xf numFmtId="0" fontId="0" fillId="0" borderId="5" xfId="0" applyBorder="1" applyAlignment="1">
      <alignment horizontal="left"/>
    </xf>
    <xf numFmtId="0" fontId="0" fillId="0" borderId="5" xfId="0" applyBorder="1"/>
    <xf numFmtId="0" fontId="0" fillId="0" borderId="5" xfId="0" applyBorder="1" applyAlignment="1">
      <alignment horizontal="center" vertical="center"/>
    </xf>
    <xf numFmtId="0" fontId="5" fillId="6" borderId="7" xfId="0" applyFont="1" applyFill="1" applyBorder="1" applyAlignment="1">
      <alignment horizontal="center"/>
    </xf>
    <xf numFmtId="43" fontId="3" fillId="3" borderId="0" xfId="1" applyFont="1" applyFill="1" applyBorder="1"/>
    <xf numFmtId="0" fontId="0" fillId="0" borderId="3" xfId="0" applyBorder="1"/>
    <xf numFmtId="0" fontId="3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2" fillId="2" borderId="4" xfId="0" applyFont="1" applyFill="1" applyBorder="1"/>
    <xf numFmtId="0" fontId="2" fillId="2" borderId="8" xfId="0" applyFont="1" applyFill="1" applyBorder="1"/>
    <xf numFmtId="0" fontId="2" fillId="2" borderId="9" xfId="0" applyFont="1" applyFill="1" applyBorder="1"/>
    <xf numFmtId="14" fontId="3" fillId="0" borderId="3" xfId="0" applyNumberFormat="1" applyFont="1" applyBorder="1"/>
    <xf numFmtId="0" fontId="3" fillId="0" borderId="3" xfId="0" applyFont="1" applyBorder="1"/>
    <xf numFmtId="16" fontId="3" fillId="0" borderId="3" xfId="0" applyNumberFormat="1" applyFont="1" applyBorder="1"/>
    <xf numFmtId="43" fontId="3" fillId="0" borderId="3" xfId="1" applyFont="1" applyFill="1" applyBorder="1"/>
    <xf numFmtId="0" fontId="3" fillId="0" borderId="3" xfId="0" applyFont="1" applyBorder="1" applyAlignment="1">
      <alignment horizontal="left"/>
    </xf>
    <xf numFmtId="0" fontId="3" fillId="0" borderId="3" xfId="0" quotePrefix="1" applyFont="1" applyBorder="1" applyAlignment="1">
      <alignment horizontal="center" vertical="center"/>
    </xf>
    <xf numFmtId="16" fontId="0" fillId="0" borderId="3" xfId="0" applyNumberFormat="1" applyBorder="1"/>
    <xf numFmtId="0" fontId="0" fillId="0" borderId="3" xfId="0" quotePrefix="1" applyBorder="1" applyAlignment="1">
      <alignment horizontal="center" vertical="center"/>
    </xf>
    <xf numFmtId="14" fontId="0" fillId="0" borderId="3" xfId="0" applyNumberFormat="1" applyBorder="1"/>
    <xf numFmtId="0" fontId="0" fillId="0" borderId="3" xfId="0" applyBorder="1" applyAlignment="1">
      <alignment horizontal="left" vertical="center" wrapText="1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43" fontId="0" fillId="0" borderId="3" xfId="1" applyFont="1" applyFill="1" applyBorder="1" applyAlignment="1">
      <alignment vertical="center"/>
    </xf>
    <xf numFmtId="0" fontId="4" fillId="0" borderId="3" xfId="0" applyFont="1" applyBorder="1" applyAlignment="1">
      <alignment vertical="center"/>
    </xf>
    <xf numFmtId="0" fontId="0" fillId="0" borderId="3" xfId="0" applyBorder="1" applyAlignment="1">
      <alignment horizontal="center"/>
    </xf>
    <xf numFmtId="43" fontId="0" fillId="0" borderId="3" xfId="1" applyFont="1" applyFill="1" applyBorder="1" applyAlignment="1">
      <alignment horizontal="center"/>
    </xf>
    <xf numFmtId="43" fontId="0" fillId="0" borderId="3" xfId="1" applyFont="1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horizontal="left"/>
    </xf>
    <xf numFmtId="43" fontId="0" fillId="0" borderId="3" xfId="1" applyFont="1" applyFill="1" applyBorder="1"/>
    <xf numFmtId="0" fontId="6" fillId="0" borderId="3" xfId="0" applyFont="1" applyBorder="1"/>
    <xf numFmtId="0" fontId="2" fillId="2" borderId="10" xfId="0" applyFont="1" applyFill="1" applyBorder="1"/>
    <xf numFmtId="0" fontId="2" fillId="2" borderId="11" xfId="0" applyFont="1" applyFill="1" applyBorder="1"/>
    <xf numFmtId="43" fontId="3" fillId="0" borderId="3" xfId="1" applyFont="1" applyBorder="1"/>
    <xf numFmtId="0" fontId="7" fillId="4" borderId="12" xfId="0" applyFont="1" applyFill="1" applyBorder="1"/>
    <xf numFmtId="43" fontId="7" fillId="4" borderId="12" xfId="0" applyNumberFormat="1" applyFont="1" applyFill="1" applyBorder="1"/>
    <xf numFmtId="0" fontId="0" fillId="0" borderId="0" xfId="0" quotePrefix="1"/>
    <xf numFmtId="0" fontId="7" fillId="4" borderId="3" xfId="0" applyFont="1" applyFill="1" applyBorder="1"/>
    <xf numFmtId="43" fontId="0" fillId="0" borderId="3" xfId="0" quotePrefix="1" applyNumberFormat="1" applyBorder="1"/>
    <xf numFmtId="43" fontId="0" fillId="0" borderId="3" xfId="0" applyNumberFormat="1" applyBorder="1"/>
    <xf numFmtId="43" fontId="7" fillId="4" borderId="3" xfId="0" applyNumberFormat="1" applyFont="1" applyFill="1" applyBorder="1"/>
    <xf numFmtId="43" fontId="0" fillId="0" borderId="3" xfId="1" applyFont="1" applyBorder="1"/>
  </cellXfs>
  <cellStyles count="2">
    <cellStyle name="Comma" xfId="1" builtinId="3"/>
    <cellStyle name="Normal" xfId="0" builtinId="0"/>
  </cellStyles>
  <dxfs count="1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1" formatCode="dd/mmm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d/mm/yyyy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59.%20Farmer%20Payment-06-12%20Mar.xlsb" TargetMode="External"/><Relationship Id="rId2" Type="http://schemas.openxmlformats.org/officeDocument/2006/relationships/externalLinkPath" Target="file:///C:\Users\rahul\Desktop\Rahul%20Backup\Farmer%20Payment\FYI-25-26\BIHAR\Farmer%20payment\FRMPMT%2006_12-Mar'26\59.%20Farmer%20Payment-06-12%20Mar.xlsb" TargetMode="External"/><Relationship Id="rId1" Type="http://schemas.openxmlformats.org/officeDocument/2006/relationships/externalLinkPath" Target="/Users/rahul/Desktop/Rahul%20Backup/Farmer%20Payment/FYI-25-26/BIHAR/Farmer%20payment/FRMPMT%2006_12-Mar'26/59.%20Farmer%20Payment-06-12%20Mar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armer PDF"/>
      <sheetName val="MPG PDF"/>
      <sheetName val="MPG Performance"/>
      <sheetName val="MPG Payment"/>
      <sheetName val="Farmer Payment Calc"/>
      <sheetName val="Farmer Bank"/>
      <sheetName val="MPG Bank"/>
      <sheetName val="MCC-BMC"/>
      <sheetName val="LOSS"/>
    </sheetNames>
    <sheetDataSet>
      <sheetData sheetId="0"/>
      <sheetData sheetId="1"/>
      <sheetData sheetId="2"/>
      <sheetData sheetId="3">
        <row r="3">
          <cell r="C3" t="str">
            <v xml:space="preserve">Code </v>
          </cell>
          <cell r="D3" t="str">
            <v xml:space="preserve">MPG NAME </v>
          </cell>
          <cell r="E3" t="str">
            <v>Type</v>
          </cell>
          <cell r="F3" t="str">
            <v>Farmer Payment</v>
          </cell>
        </row>
        <row r="4">
          <cell r="C4">
            <v>10010013</v>
          </cell>
          <cell r="D4" t="str">
            <v>Gomukh Kumbhi</v>
          </cell>
          <cell r="E4" t="str">
            <v>MPG</v>
          </cell>
          <cell r="F4" t="str">
            <v>Direct</v>
          </cell>
        </row>
        <row r="5">
          <cell r="C5">
            <v>10010017</v>
          </cell>
          <cell r="D5" t="str">
            <v>Gomukh Amba</v>
          </cell>
          <cell r="E5" t="str">
            <v>MPG</v>
          </cell>
          <cell r="F5" t="str">
            <v>Direct</v>
          </cell>
        </row>
        <row r="6">
          <cell r="C6">
            <v>10010019</v>
          </cell>
          <cell r="D6" t="str">
            <v xml:space="preserve">Gomukh Jagdar                                                                                       </v>
          </cell>
          <cell r="E6" t="str">
            <v>MPG</v>
          </cell>
          <cell r="F6" t="str">
            <v>Direct</v>
          </cell>
        </row>
        <row r="7">
          <cell r="C7">
            <v>10010021</v>
          </cell>
          <cell r="D7" t="str">
            <v xml:space="preserve">Gomukh Moradpur                                                                                     </v>
          </cell>
          <cell r="E7" t="str">
            <v>MPG</v>
          </cell>
          <cell r="F7" t="str">
            <v>Direct</v>
          </cell>
        </row>
        <row r="8">
          <cell r="C8">
            <v>10010047</v>
          </cell>
          <cell r="D8" t="str">
            <v>Mohanpur - Chandan</v>
          </cell>
          <cell r="E8" t="str">
            <v>MPG</v>
          </cell>
          <cell r="F8" t="str">
            <v>Indirect</v>
          </cell>
        </row>
        <row r="9">
          <cell r="C9">
            <v>10010049</v>
          </cell>
          <cell r="D9" t="str">
            <v>Birpur-2 - Pankaj</v>
          </cell>
          <cell r="E9" t="str">
            <v>MPG</v>
          </cell>
          <cell r="F9" t="str">
            <v>Indirect</v>
          </cell>
        </row>
        <row r="10">
          <cell r="C10">
            <v>10010055</v>
          </cell>
          <cell r="D10" t="str">
            <v xml:space="preserve">GOMUKH BIRPUR PASCHIM                                                                               </v>
          </cell>
          <cell r="E10" t="str">
            <v>MPG</v>
          </cell>
          <cell r="F10" t="str">
            <v>Direct</v>
          </cell>
        </row>
        <row r="11">
          <cell r="C11">
            <v>10010057</v>
          </cell>
          <cell r="D11" t="str">
            <v xml:space="preserve">Manish Dairy                                                                                        </v>
          </cell>
          <cell r="E11" t="str">
            <v>MPG</v>
          </cell>
          <cell r="F11" t="str">
            <v>Indirect</v>
          </cell>
        </row>
        <row r="12">
          <cell r="C12">
            <v>10010076</v>
          </cell>
          <cell r="D12" t="str">
            <v>Gomukh Bhith-02</v>
          </cell>
          <cell r="E12" t="str">
            <v>MPG</v>
          </cell>
          <cell r="F12" t="str">
            <v>Direct</v>
          </cell>
        </row>
        <row r="13">
          <cell r="C13">
            <v>10010082</v>
          </cell>
          <cell r="D13" t="str">
            <v>Gomukh Sharmatola Sahuri</v>
          </cell>
          <cell r="E13" t="str">
            <v>MPG</v>
          </cell>
          <cell r="F13" t="str">
            <v>Direct</v>
          </cell>
        </row>
        <row r="14">
          <cell r="C14">
            <v>10010084</v>
          </cell>
          <cell r="D14" t="str">
            <v>Sangat- Sanjeev Kumar</v>
          </cell>
          <cell r="E14" t="str">
            <v>MPG</v>
          </cell>
          <cell r="F14" t="str">
            <v>Indirect</v>
          </cell>
        </row>
        <row r="15">
          <cell r="C15">
            <v>10010092</v>
          </cell>
          <cell r="D15" t="str">
            <v>Kamla- Amarjeet</v>
          </cell>
          <cell r="E15" t="str">
            <v>MPG</v>
          </cell>
          <cell r="F15" t="str">
            <v>Indirect</v>
          </cell>
        </row>
        <row r="16">
          <cell r="C16">
            <v>10010097</v>
          </cell>
          <cell r="D16" t="str">
            <v>Gomukh Cheria Bariarpur</v>
          </cell>
          <cell r="E16" t="str">
            <v>MPG</v>
          </cell>
          <cell r="F16" t="str">
            <v>Direct</v>
          </cell>
        </row>
        <row r="17">
          <cell r="C17">
            <v>10010108</v>
          </cell>
          <cell r="D17" t="str">
            <v>Gomukh Pirauna</v>
          </cell>
          <cell r="E17" t="str">
            <v>MPG</v>
          </cell>
          <cell r="F17" t="str">
            <v>Direct</v>
          </cell>
        </row>
        <row r="18">
          <cell r="C18">
            <v>10010109</v>
          </cell>
          <cell r="D18" t="str">
            <v>Parra- Nagendra Kumar</v>
          </cell>
          <cell r="E18" t="str">
            <v>MPG</v>
          </cell>
          <cell r="F18" t="str">
            <v>Indirect</v>
          </cell>
        </row>
        <row r="19">
          <cell r="C19">
            <v>10010113</v>
          </cell>
          <cell r="D19" t="str">
            <v>Gomukh Basahi</v>
          </cell>
          <cell r="E19" t="str">
            <v>MPG</v>
          </cell>
          <cell r="F19" t="str">
            <v>Direct</v>
          </cell>
        </row>
        <row r="20">
          <cell r="C20">
            <v>10010116</v>
          </cell>
          <cell r="D20" t="str">
            <v>Mohanpur- Mukesh Kumar</v>
          </cell>
          <cell r="E20" t="str">
            <v>MPG</v>
          </cell>
          <cell r="F20" t="str">
            <v>Indirect</v>
          </cell>
        </row>
        <row r="21">
          <cell r="C21">
            <v>10010121</v>
          </cell>
          <cell r="D21" t="str">
            <v>Gomukh Sawantpur</v>
          </cell>
          <cell r="E21" t="str">
            <v>MPG</v>
          </cell>
          <cell r="F21" t="str">
            <v>Direct</v>
          </cell>
        </row>
        <row r="22">
          <cell r="C22">
            <v>10010125</v>
          </cell>
          <cell r="D22" t="str">
            <v>Maida- Ram Kumar</v>
          </cell>
          <cell r="E22" t="str">
            <v>MPG</v>
          </cell>
          <cell r="F22" t="str">
            <v>Indirect</v>
          </cell>
        </row>
        <row r="23">
          <cell r="C23">
            <v>10010128</v>
          </cell>
          <cell r="D23" t="str">
            <v>Gomukh Aure Bikrampur</v>
          </cell>
          <cell r="E23" t="str">
            <v>MPG</v>
          </cell>
          <cell r="F23" t="str">
            <v>Direct</v>
          </cell>
        </row>
        <row r="24">
          <cell r="C24">
            <v>10010129</v>
          </cell>
          <cell r="D24" t="str">
            <v>Manjhaul- Gulshan Kumar</v>
          </cell>
          <cell r="E24" t="str">
            <v>MPG</v>
          </cell>
          <cell r="F24" t="str">
            <v>Indirect</v>
          </cell>
        </row>
        <row r="25">
          <cell r="C25">
            <v>10010130</v>
          </cell>
          <cell r="D25" t="str">
            <v>Khaira Manjhaul</v>
          </cell>
          <cell r="E25" t="str">
            <v>MPG</v>
          </cell>
          <cell r="F25" t="str">
            <v>Indirect</v>
          </cell>
        </row>
        <row r="26">
          <cell r="C26">
            <v>10010131</v>
          </cell>
          <cell r="D26" t="str">
            <v>Mehda Shahpur</v>
          </cell>
          <cell r="E26" t="str">
            <v>MPG</v>
          </cell>
          <cell r="F26" t="str">
            <v>Indirect</v>
          </cell>
        </row>
        <row r="27">
          <cell r="C27">
            <v>10010134</v>
          </cell>
          <cell r="D27" t="str">
            <v>Gomukh Sakrauli</v>
          </cell>
          <cell r="E27" t="str">
            <v>MPG</v>
          </cell>
          <cell r="F27" t="str">
            <v>Direct</v>
          </cell>
        </row>
        <row r="28">
          <cell r="C28">
            <v>10010140</v>
          </cell>
          <cell r="D28" t="str">
            <v>Shri Bhairav Laxmipur</v>
          </cell>
          <cell r="E28" t="str">
            <v>MPG</v>
          </cell>
          <cell r="F28" t="str">
            <v>Direct</v>
          </cell>
        </row>
        <row r="29">
          <cell r="C29">
            <v>10010141</v>
          </cell>
          <cell r="D29" t="str">
            <v>Goapalpur</v>
          </cell>
          <cell r="E29" t="str">
            <v>MPG</v>
          </cell>
          <cell r="F29" t="str">
            <v>Direct</v>
          </cell>
        </row>
        <row r="30">
          <cell r="C30">
            <v>10020002</v>
          </cell>
          <cell r="D30" t="str">
            <v>PIPARIYA DIH -2</v>
          </cell>
          <cell r="E30" t="str">
            <v>MPG</v>
          </cell>
          <cell r="F30" t="str">
            <v>Direct</v>
          </cell>
        </row>
        <row r="31">
          <cell r="C31">
            <v>10020004</v>
          </cell>
          <cell r="D31" t="str">
            <v>LAL DIYARA -1</v>
          </cell>
          <cell r="E31" t="str">
            <v>MPG</v>
          </cell>
          <cell r="F31" t="str">
            <v>Direct</v>
          </cell>
        </row>
        <row r="32">
          <cell r="C32">
            <v>10020006</v>
          </cell>
          <cell r="D32" t="str">
            <v>GANGA KINARE KHUTHA</v>
          </cell>
          <cell r="E32" t="str">
            <v>MPG</v>
          </cell>
          <cell r="F32" t="str">
            <v>Indirect</v>
          </cell>
        </row>
        <row r="33">
          <cell r="C33">
            <v>10020007</v>
          </cell>
          <cell r="D33" t="str">
            <v>Gomukh ID Khutaha Ganga</v>
          </cell>
          <cell r="E33" t="str">
            <v>MPG</v>
          </cell>
          <cell r="F33" t="str">
            <v>Indirect</v>
          </cell>
        </row>
        <row r="34">
          <cell r="C34">
            <v>10020008</v>
          </cell>
          <cell r="D34" t="str">
            <v>Gomukh ID Khutaha Dhih</v>
          </cell>
          <cell r="E34" t="str">
            <v>MPG</v>
          </cell>
          <cell r="F34" t="str">
            <v>Indirect</v>
          </cell>
        </row>
        <row r="35">
          <cell r="C35">
            <v>10020010</v>
          </cell>
          <cell r="D35" t="str">
            <v>GOMUKH RAHATPUR</v>
          </cell>
          <cell r="E35" t="str">
            <v>MPG</v>
          </cell>
          <cell r="F35" t="str">
            <v>Direct</v>
          </cell>
        </row>
        <row r="36">
          <cell r="C36">
            <v>10020012</v>
          </cell>
          <cell r="D36" t="str">
            <v>KANHAIYA YADAV</v>
          </cell>
          <cell r="E36" t="str">
            <v>MPG</v>
          </cell>
          <cell r="F36" t="str">
            <v>Indirect</v>
          </cell>
        </row>
        <row r="37">
          <cell r="C37">
            <v>10020013</v>
          </cell>
          <cell r="D37" t="str">
            <v>Vikash Kumar</v>
          </cell>
          <cell r="E37" t="str">
            <v>MPG</v>
          </cell>
          <cell r="F37" t="str">
            <v>Indirect</v>
          </cell>
        </row>
        <row r="38">
          <cell r="C38">
            <v>10020015</v>
          </cell>
          <cell r="D38" t="str">
            <v xml:space="preserve">GOMUKH  LALDIYARA TIRASHI                                                                           </v>
          </cell>
          <cell r="E38" t="str">
            <v>MPG</v>
          </cell>
          <cell r="F38" t="str">
            <v>Indirect</v>
          </cell>
        </row>
        <row r="39">
          <cell r="C39">
            <v>10020016</v>
          </cell>
          <cell r="D39" t="str">
            <v>GOMUKH  LALDIYARA PURBI</v>
          </cell>
          <cell r="E39" t="str">
            <v>MPG</v>
          </cell>
          <cell r="F39" t="str">
            <v>Indirect</v>
          </cell>
        </row>
        <row r="40">
          <cell r="C40">
            <v>10020017</v>
          </cell>
          <cell r="D40" t="str">
            <v>GOMUKH RAMCHANDARPUR II</v>
          </cell>
          <cell r="E40" t="str">
            <v>MPG</v>
          </cell>
          <cell r="F40" t="str">
            <v>Direct</v>
          </cell>
        </row>
        <row r="41">
          <cell r="C41">
            <v>10020018</v>
          </cell>
          <cell r="D41" t="str">
            <v>WAKIL YADAV VLC</v>
          </cell>
          <cell r="E41" t="str">
            <v>MPG</v>
          </cell>
          <cell r="F41" t="str">
            <v>Indirect</v>
          </cell>
        </row>
        <row r="42">
          <cell r="C42">
            <v>10020020</v>
          </cell>
          <cell r="D42" t="str">
            <v>MUKTAR YADAV</v>
          </cell>
          <cell r="E42" t="str">
            <v>MPG</v>
          </cell>
          <cell r="F42" t="str">
            <v>Indirect</v>
          </cell>
        </row>
        <row r="43">
          <cell r="C43">
            <v>10020021</v>
          </cell>
          <cell r="D43" t="str">
            <v>MOHANPUR</v>
          </cell>
          <cell r="E43" t="str">
            <v>MPG</v>
          </cell>
          <cell r="F43" t="str">
            <v>Direct</v>
          </cell>
        </row>
        <row r="44">
          <cell r="C44">
            <v>10020023</v>
          </cell>
          <cell r="D44" t="str">
            <v>Juwas</v>
          </cell>
          <cell r="E44" t="str">
            <v>MPG</v>
          </cell>
          <cell r="F44" t="str">
            <v>Direct</v>
          </cell>
        </row>
        <row r="45">
          <cell r="C45">
            <v>10020024</v>
          </cell>
          <cell r="D45" t="str">
            <v>Morwariya</v>
          </cell>
          <cell r="E45" t="str">
            <v>MPG</v>
          </cell>
          <cell r="F45" t="str">
            <v>Direct</v>
          </cell>
        </row>
        <row r="46">
          <cell r="C46">
            <v>10020025</v>
          </cell>
          <cell r="D46" t="str">
            <v>Dumri 2</v>
          </cell>
          <cell r="E46" t="str">
            <v>MPG</v>
          </cell>
          <cell r="F46" t="str">
            <v>Direct</v>
          </cell>
        </row>
        <row r="47">
          <cell r="C47">
            <v>10020026</v>
          </cell>
          <cell r="D47" t="str">
            <v>Gomukh Jhakhaur</v>
          </cell>
          <cell r="E47" t="str">
            <v>MPG</v>
          </cell>
          <cell r="F47" t="str">
            <v>Direct</v>
          </cell>
        </row>
        <row r="48">
          <cell r="C48">
            <v>10020027</v>
          </cell>
          <cell r="D48" t="str">
            <v>Gomukh Repura</v>
          </cell>
          <cell r="E48" t="str">
            <v>MPG</v>
          </cell>
          <cell r="F48" t="str">
            <v>Direct</v>
          </cell>
        </row>
        <row r="49">
          <cell r="C49">
            <v>10020029</v>
          </cell>
          <cell r="D49" t="str">
            <v>Gomukh Virupur</v>
          </cell>
          <cell r="E49" t="str">
            <v>MPG</v>
          </cell>
          <cell r="F49" t="str">
            <v>Direct</v>
          </cell>
        </row>
        <row r="50">
          <cell r="C50">
            <v>10020032</v>
          </cell>
          <cell r="D50" t="str">
            <v xml:space="preserve">Gomukh Diyarapipariya                                                                               </v>
          </cell>
          <cell r="E50" t="str">
            <v>MPG</v>
          </cell>
          <cell r="F50" t="str">
            <v>Direct</v>
          </cell>
        </row>
        <row r="51">
          <cell r="C51">
            <v>10020034</v>
          </cell>
          <cell r="D51" t="str">
            <v>TAJPUR</v>
          </cell>
          <cell r="E51" t="str">
            <v>MPG</v>
          </cell>
          <cell r="F51" t="str">
            <v>Direct</v>
          </cell>
        </row>
        <row r="52">
          <cell r="C52">
            <v>10020035</v>
          </cell>
          <cell r="D52" t="str">
            <v>PATHUA</v>
          </cell>
          <cell r="E52" t="str">
            <v>MPG</v>
          </cell>
          <cell r="F52" t="str">
            <v>Direct</v>
          </cell>
        </row>
        <row r="53">
          <cell r="C53">
            <v>10020038</v>
          </cell>
          <cell r="D53" t="str">
            <v>LODIYA</v>
          </cell>
          <cell r="E53" t="str">
            <v>MPG</v>
          </cell>
          <cell r="F53" t="str">
            <v>Direct</v>
          </cell>
        </row>
        <row r="54">
          <cell r="C54">
            <v>10020041</v>
          </cell>
          <cell r="D54" t="str">
            <v>ADARSH LAXMIPUR-3</v>
          </cell>
          <cell r="E54" t="str">
            <v>MPG</v>
          </cell>
          <cell r="F54" t="str">
            <v>Direct</v>
          </cell>
        </row>
        <row r="55">
          <cell r="C55">
            <v>10020042</v>
          </cell>
          <cell r="D55" t="str">
            <v>BHANPUR</v>
          </cell>
          <cell r="E55" t="str">
            <v>MPG</v>
          </cell>
          <cell r="F55" t="str">
            <v>Direct</v>
          </cell>
        </row>
        <row r="56">
          <cell r="C56">
            <v>10020043</v>
          </cell>
          <cell r="D56" t="str">
            <v>Karari Pipariya 2</v>
          </cell>
          <cell r="E56" t="str">
            <v>MPG</v>
          </cell>
          <cell r="F56" t="str">
            <v>Direct</v>
          </cell>
        </row>
        <row r="57">
          <cell r="C57">
            <v>10020044</v>
          </cell>
          <cell r="D57" t="str">
            <v xml:space="preserve">DIYARA PIPARIYA-THANA                                                                               </v>
          </cell>
          <cell r="E57" t="str">
            <v>MPG</v>
          </cell>
          <cell r="F57" t="str">
            <v>Direct</v>
          </cell>
        </row>
        <row r="58">
          <cell r="C58">
            <v>10020047</v>
          </cell>
          <cell r="D58" t="str">
            <v>SRI RAM SINGH(VLC)</v>
          </cell>
          <cell r="E58" t="str">
            <v>MPG</v>
          </cell>
          <cell r="F58" t="str">
            <v>Indirect</v>
          </cell>
        </row>
        <row r="59">
          <cell r="C59">
            <v>10020050</v>
          </cell>
          <cell r="D59" t="str">
            <v>GADHTOLA</v>
          </cell>
          <cell r="E59" t="str">
            <v>MPG</v>
          </cell>
          <cell r="F59" t="str">
            <v>Direct</v>
          </cell>
        </row>
        <row r="60">
          <cell r="C60">
            <v>10020051</v>
          </cell>
          <cell r="D60" t="str">
            <v>Golapaar - Ramnandan</v>
          </cell>
          <cell r="E60" t="str">
            <v>MPG</v>
          </cell>
          <cell r="F60" t="str">
            <v>Indirect</v>
          </cell>
        </row>
        <row r="61">
          <cell r="C61">
            <v>10020054</v>
          </cell>
          <cell r="D61" t="str">
            <v>Diyara-Pipariya-Utri - Chandan</v>
          </cell>
          <cell r="E61" t="str">
            <v>MPG</v>
          </cell>
          <cell r="F61" t="str">
            <v>Indirect</v>
          </cell>
        </row>
        <row r="62">
          <cell r="C62">
            <v>10020057</v>
          </cell>
          <cell r="D62" t="str">
            <v>KANHARPUR-2</v>
          </cell>
          <cell r="E62" t="str">
            <v>MPG</v>
          </cell>
          <cell r="F62" t="str">
            <v>Direct</v>
          </cell>
        </row>
        <row r="63">
          <cell r="C63">
            <v>10020058</v>
          </cell>
          <cell r="D63" t="str">
            <v>BASAUNA</v>
          </cell>
          <cell r="E63" t="str">
            <v>MPG</v>
          </cell>
          <cell r="F63" t="str">
            <v>Direct</v>
          </cell>
        </row>
        <row r="64">
          <cell r="C64">
            <v>10020059</v>
          </cell>
          <cell r="D64" t="str">
            <v>GANGA-SARAI</v>
          </cell>
          <cell r="E64" t="str">
            <v>MPG</v>
          </cell>
          <cell r="F64" t="str">
            <v>Direct</v>
          </cell>
        </row>
        <row r="65">
          <cell r="C65">
            <v>10020062</v>
          </cell>
          <cell r="D65" t="str">
            <v xml:space="preserve">GOVIND-BIGHA                                                                                        </v>
          </cell>
          <cell r="E65" t="str">
            <v>MPG</v>
          </cell>
          <cell r="F65" t="str">
            <v>Direct</v>
          </cell>
        </row>
        <row r="66">
          <cell r="C66">
            <v>10020063</v>
          </cell>
          <cell r="D66" t="str">
            <v>MALPUR                                                                                              </v>
          </cell>
          <cell r="E66" t="str">
            <v>MPG</v>
          </cell>
          <cell r="F66" t="str">
            <v>Direct</v>
          </cell>
        </row>
        <row r="67">
          <cell r="C67">
            <v>10020064</v>
          </cell>
          <cell r="D67" t="str">
            <v>Gomukh Hasanpur</v>
          </cell>
          <cell r="E67" t="str">
            <v>MPG</v>
          </cell>
          <cell r="F67" t="str">
            <v>Indirect</v>
          </cell>
        </row>
        <row r="68">
          <cell r="C68">
            <v>10020067</v>
          </cell>
          <cell r="D68" t="str">
            <v>ADARSH LAXMIPUR-2</v>
          </cell>
          <cell r="E68" t="str">
            <v>MPG</v>
          </cell>
          <cell r="F68" t="str">
            <v>Indirect</v>
          </cell>
        </row>
        <row r="69">
          <cell r="C69">
            <v>10020068</v>
          </cell>
          <cell r="D69" t="str">
            <v>SABIKPUR</v>
          </cell>
          <cell r="E69" t="str">
            <v>MPG</v>
          </cell>
          <cell r="F69" t="str">
            <v>Direct</v>
          </cell>
        </row>
        <row r="70">
          <cell r="C70">
            <v>10020069</v>
          </cell>
          <cell r="D70" t="str">
            <v>CHETAN-TOLA-KHUTHA</v>
          </cell>
          <cell r="E70" t="str">
            <v>MPG</v>
          </cell>
          <cell r="F70" t="str">
            <v>Direct</v>
          </cell>
        </row>
        <row r="71">
          <cell r="C71">
            <v>10020070</v>
          </cell>
          <cell r="D71" t="str">
            <v>LAXMIPUR</v>
          </cell>
          <cell r="E71" t="str">
            <v>MPG</v>
          </cell>
          <cell r="F71" t="str">
            <v>Direct</v>
          </cell>
        </row>
        <row r="72">
          <cell r="C72">
            <v>10020073</v>
          </cell>
          <cell r="D72" t="str">
            <v>REHUA RK</v>
          </cell>
          <cell r="E72" t="str">
            <v>MPG</v>
          </cell>
          <cell r="F72" t="str">
            <v>Indirect</v>
          </cell>
        </row>
        <row r="73">
          <cell r="C73">
            <v>10020075</v>
          </cell>
          <cell r="D73" t="str">
            <v>RAMNAGAR</v>
          </cell>
          <cell r="E73" t="str">
            <v>MPG</v>
          </cell>
          <cell r="F73" t="str">
            <v>Direct</v>
          </cell>
        </row>
        <row r="74">
          <cell r="C74">
            <v>10020076</v>
          </cell>
          <cell r="D74" t="str">
            <v>PACHAM</v>
          </cell>
          <cell r="E74" t="str">
            <v>MPG</v>
          </cell>
          <cell r="F74" t="str">
            <v>Direct</v>
          </cell>
        </row>
        <row r="75">
          <cell r="C75">
            <v>10020078</v>
          </cell>
          <cell r="D75" t="str">
            <v>GODIH</v>
          </cell>
          <cell r="E75" t="str">
            <v>MPG</v>
          </cell>
          <cell r="F75" t="str">
            <v>Direct</v>
          </cell>
        </row>
        <row r="76">
          <cell r="C76">
            <v>10020079</v>
          </cell>
          <cell r="D76" t="str">
            <v>SINGARPUR</v>
          </cell>
          <cell r="E76" t="str">
            <v>MPG</v>
          </cell>
          <cell r="F76" t="str">
            <v>Direct</v>
          </cell>
        </row>
        <row r="77">
          <cell r="C77">
            <v>10020080</v>
          </cell>
          <cell r="D77" t="str">
            <v>ADARSH PULPAR</v>
          </cell>
          <cell r="E77" t="str">
            <v>MPG</v>
          </cell>
          <cell r="F77" t="str">
            <v>Direct</v>
          </cell>
        </row>
        <row r="78">
          <cell r="C78">
            <v>10020081</v>
          </cell>
          <cell r="D78" t="str">
            <v>G WOLIPUR</v>
          </cell>
          <cell r="E78" t="str">
            <v>MPG</v>
          </cell>
          <cell r="F78" t="str">
            <v>Indirect</v>
          </cell>
        </row>
        <row r="79">
          <cell r="C79">
            <v>10020082</v>
          </cell>
          <cell r="D79" t="str">
            <v>REHUA 3</v>
          </cell>
          <cell r="E79" t="str">
            <v>MPG</v>
          </cell>
          <cell r="F79" t="str">
            <v>Indirect</v>
          </cell>
        </row>
        <row r="80">
          <cell r="C80">
            <v>10020083</v>
          </cell>
          <cell r="D80" t="str">
            <v>BICHWAY</v>
          </cell>
          <cell r="E80" t="str">
            <v>MPG</v>
          </cell>
          <cell r="F80" t="str">
            <v>Direct</v>
          </cell>
        </row>
        <row r="81">
          <cell r="C81">
            <v>10020084</v>
          </cell>
          <cell r="D81" t="str">
            <v>MANOHARPUR</v>
          </cell>
          <cell r="E81" t="str">
            <v>MPG</v>
          </cell>
          <cell r="F81" t="str">
            <v>Direct</v>
          </cell>
        </row>
        <row r="82">
          <cell r="C82">
            <v>10030002</v>
          </cell>
          <cell r="D82" t="str">
            <v>MOHANPUR</v>
          </cell>
          <cell r="E82" t="str">
            <v>MPG</v>
          </cell>
          <cell r="F82" t="str">
            <v>Indirect</v>
          </cell>
        </row>
        <row r="83">
          <cell r="C83">
            <v>10030003</v>
          </cell>
          <cell r="D83" t="str">
            <v>CHATMADIH</v>
          </cell>
          <cell r="E83" t="str">
            <v>MPG</v>
          </cell>
          <cell r="F83" t="str">
            <v>Direct</v>
          </cell>
        </row>
        <row r="84">
          <cell r="C84">
            <v>10030007</v>
          </cell>
          <cell r="D84" t="str">
            <v>SIYADIH</v>
          </cell>
          <cell r="E84" t="str">
            <v>MPG</v>
          </cell>
          <cell r="F84" t="str">
            <v>Indirect</v>
          </cell>
        </row>
        <row r="85">
          <cell r="C85">
            <v>10030008</v>
          </cell>
          <cell r="D85" t="str">
            <v>HARPUR M</v>
          </cell>
          <cell r="E85" t="str">
            <v>MPG</v>
          </cell>
          <cell r="F85" t="str">
            <v>Direct</v>
          </cell>
        </row>
        <row r="86">
          <cell r="C86">
            <v>10030009</v>
          </cell>
          <cell r="D86" t="str">
            <v>Gomukh ID Laldiyara</v>
          </cell>
          <cell r="E86" t="str">
            <v>MPG</v>
          </cell>
          <cell r="F86" t="str">
            <v>Indirect</v>
          </cell>
        </row>
        <row r="87">
          <cell r="C87">
            <v>10030010</v>
          </cell>
          <cell r="D87" t="str">
            <v>KATHNI</v>
          </cell>
          <cell r="E87" t="str">
            <v>MPG</v>
          </cell>
          <cell r="F87" t="str">
            <v>Direct</v>
          </cell>
        </row>
        <row r="88">
          <cell r="C88">
            <v>10030011</v>
          </cell>
          <cell r="D88" t="str">
            <v>DEVDHA GOMUKH MPG</v>
          </cell>
          <cell r="E88" t="str">
            <v>MPG</v>
          </cell>
          <cell r="F88" t="str">
            <v>Direct</v>
          </cell>
        </row>
        <row r="89">
          <cell r="C89">
            <v>10030012</v>
          </cell>
          <cell r="D89" t="str">
            <v>KASBA(MANGOAN)</v>
          </cell>
          <cell r="E89" t="str">
            <v>MPG</v>
          </cell>
          <cell r="F89" t="str">
            <v>Indirect</v>
          </cell>
        </row>
        <row r="90">
          <cell r="C90">
            <v>10030013</v>
          </cell>
          <cell r="D90" t="str">
            <v>LOHRA</v>
          </cell>
          <cell r="E90" t="str">
            <v>MPG</v>
          </cell>
          <cell r="F90" t="str">
            <v>Direct</v>
          </cell>
        </row>
        <row r="91">
          <cell r="C91">
            <v>10030015</v>
          </cell>
          <cell r="D91" t="str">
            <v>KAMATPUR</v>
          </cell>
          <cell r="E91" t="str">
            <v>MPG</v>
          </cell>
          <cell r="F91" t="str">
            <v>Direct</v>
          </cell>
        </row>
        <row r="92">
          <cell r="C92">
            <v>10030016</v>
          </cell>
          <cell r="D92" t="str">
            <v>GIRDHARA</v>
          </cell>
          <cell r="E92" t="str">
            <v>MPG</v>
          </cell>
          <cell r="F92" t="str">
            <v>Direct</v>
          </cell>
        </row>
        <row r="93">
          <cell r="C93">
            <v>10030017</v>
          </cell>
          <cell r="D93" t="str">
            <v>RATNI</v>
          </cell>
          <cell r="E93" t="str">
            <v>MPG</v>
          </cell>
          <cell r="F93" t="str">
            <v>Direct</v>
          </cell>
        </row>
        <row r="94">
          <cell r="C94">
            <v>10030018</v>
          </cell>
          <cell r="D94" t="str">
            <v>DHAPARI</v>
          </cell>
          <cell r="E94" t="str">
            <v>MPG</v>
          </cell>
          <cell r="F94" t="str">
            <v>Direct</v>
          </cell>
        </row>
        <row r="95">
          <cell r="C95">
            <v>10030019</v>
          </cell>
          <cell r="D95" t="str">
            <v>KHARUI</v>
          </cell>
          <cell r="E95" t="str">
            <v>MPG</v>
          </cell>
          <cell r="F95" t="str">
            <v>Direct</v>
          </cell>
        </row>
        <row r="96">
          <cell r="C96">
            <v>10030021</v>
          </cell>
          <cell r="D96" t="str">
            <v>KHAIRA</v>
          </cell>
          <cell r="E96" t="str">
            <v>MPG</v>
          </cell>
          <cell r="F96" t="str">
            <v>Direct</v>
          </cell>
        </row>
        <row r="97">
          <cell r="C97">
            <v>10030022</v>
          </cell>
          <cell r="D97" t="str">
            <v>SISUA</v>
          </cell>
          <cell r="E97" t="str">
            <v>MPG</v>
          </cell>
          <cell r="F97" t="str">
            <v>Direct</v>
          </cell>
        </row>
        <row r="98">
          <cell r="C98">
            <v>10030023</v>
          </cell>
          <cell r="D98" t="str">
            <v>BISAI</v>
          </cell>
          <cell r="E98" t="str">
            <v>MPG</v>
          </cell>
          <cell r="F98" t="str">
            <v>Direct</v>
          </cell>
        </row>
        <row r="99">
          <cell r="C99">
            <v>10030025</v>
          </cell>
          <cell r="D99" t="str">
            <v>SAJUA-1</v>
          </cell>
          <cell r="E99" t="str">
            <v>MPG</v>
          </cell>
          <cell r="F99" t="str">
            <v>Direct</v>
          </cell>
        </row>
        <row r="100">
          <cell r="C100">
            <v>10030026</v>
          </cell>
          <cell r="D100" t="str">
            <v>SAJUA-2</v>
          </cell>
          <cell r="E100" t="str">
            <v>MPG</v>
          </cell>
          <cell r="F100" t="str">
            <v>Direct</v>
          </cell>
        </row>
        <row r="101">
          <cell r="C101">
            <v>10030027</v>
          </cell>
          <cell r="D101" t="str">
            <v>CHORGAUN</v>
          </cell>
          <cell r="E101" t="str">
            <v>MPG</v>
          </cell>
          <cell r="F101" t="str">
            <v>Direct</v>
          </cell>
        </row>
        <row r="102">
          <cell r="C102">
            <v>10030028</v>
          </cell>
          <cell r="D102" t="str">
            <v>PADARATHPUR</v>
          </cell>
          <cell r="E102" t="str">
            <v>MPG</v>
          </cell>
          <cell r="F102" t="str">
            <v>Direct</v>
          </cell>
        </row>
        <row r="103">
          <cell r="C103">
            <v>10030031</v>
          </cell>
          <cell r="D103" t="str">
            <v>BADARKHA</v>
          </cell>
          <cell r="E103" t="str">
            <v>MPG</v>
          </cell>
          <cell r="F103" t="str">
            <v>Direct</v>
          </cell>
        </row>
        <row r="104">
          <cell r="C104">
            <v>10030032</v>
          </cell>
          <cell r="D104" t="str">
            <v xml:space="preserve">MAHDMADPUR                                                                                          </v>
          </cell>
          <cell r="E104" t="str">
            <v>MPG</v>
          </cell>
          <cell r="F104" t="str">
            <v>Direct</v>
          </cell>
        </row>
        <row r="105">
          <cell r="C105">
            <v>10030034</v>
          </cell>
          <cell r="D105" t="str">
            <v xml:space="preserve">MUSKIPUR                                                                                            </v>
          </cell>
          <cell r="E105" t="str">
            <v>MPG</v>
          </cell>
          <cell r="F105" t="str">
            <v>Direct</v>
          </cell>
        </row>
        <row r="106">
          <cell r="C106">
            <v>10030035</v>
          </cell>
          <cell r="D106" t="str">
            <v xml:space="preserve">NAYAGAUN                                                                                            </v>
          </cell>
          <cell r="E106" t="str">
            <v>MPG</v>
          </cell>
          <cell r="F106" t="str">
            <v>Direct</v>
          </cell>
        </row>
        <row r="107">
          <cell r="C107">
            <v>10030037</v>
          </cell>
          <cell r="D107" t="str">
            <v xml:space="preserve">LAUNA                                                                                               </v>
          </cell>
          <cell r="E107" t="str">
            <v>MPG</v>
          </cell>
          <cell r="F107" t="str">
            <v>Direct</v>
          </cell>
        </row>
        <row r="108">
          <cell r="C108">
            <v>10030038</v>
          </cell>
          <cell r="D108" t="str">
            <v>DULHAR</v>
          </cell>
          <cell r="E108" t="str">
            <v>MPG</v>
          </cell>
          <cell r="F108" t="str">
            <v>Direct</v>
          </cell>
        </row>
        <row r="109">
          <cell r="C109">
            <v>10030040</v>
          </cell>
          <cell r="D109" t="str">
            <v>Ghorpithiya - Vikas</v>
          </cell>
          <cell r="E109" t="str">
            <v>MPG</v>
          </cell>
          <cell r="F109" t="str">
            <v>Indirect</v>
          </cell>
        </row>
        <row r="110">
          <cell r="C110">
            <v>10030041</v>
          </cell>
          <cell r="D110" t="str">
            <v>Akbarnagar - Rakhi</v>
          </cell>
          <cell r="E110" t="str">
            <v>MPG</v>
          </cell>
          <cell r="F110" t="str">
            <v>Indirect</v>
          </cell>
        </row>
        <row r="111">
          <cell r="C111">
            <v>10030042</v>
          </cell>
          <cell r="D111" t="str">
            <v>Maheshi - Chamcham</v>
          </cell>
          <cell r="E111" t="str">
            <v>MPG</v>
          </cell>
          <cell r="F111" t="str">
            <v>Indirect</v>
          </cell>
        </row>
        <row r="112">
          <cell r="C112">
            <v>10030043</v>
          </cell>
          <cell r="D112" t="str">
            <v>Ghorpithiya - Dheeraj</v>
          </cell>
          <cell r="E112" t="str">
            <v>MPG</v>
          </cell>
          <cell r="F112" t="str">
            <v>Indirect</v>
          </cell>
        </row>
        <row r="113">
          <cell r="C113">
            <v>10030044</v>
          </cell>
          <cell r="D113" t="str">
            <v>Asarganj Chhotki Tola - Akash</v>
          </cell>
          <cell r="E113" t="str">
            <v>MPG</v>
          </cell>
          <cell r="F113" t="str">
            <v>Indirect</v>
          </cell>
        </row>
        <row r="114">
          <cell r="C114">
            <v>10030045</v>
          </cell>
          <cell r="D114" t="str">
            <v>Manikpur - Golu</v>
          </cell>
          <cell r="E114" t="str">
            <v>MPG</v>
          </cell>
          <cell r="F114" t="str">
            <v>Indirect</v>
          </cell>
        </row>
        <row r="115">
          <cell r="C115">
            <v>10030046</v>
          </cell>
          <cell r="D115" t="str">
            <v>Rangaon - Jayram</v>
          </cell>
          <cell r="E115" t="str">
            <v>MPG</v>
          </cell>
          <cell r="F115" t="str">
            <v>Indirect</v>
          </cell>
        </row>
        <row r="116">
          <cell r="C116">
            <v>10030047</v>
          </cell>
          <cell r="D116" t="str">
            <v>Karso - Aparajita</v>
          </cell>
          <cell r="E116" t="str">
            <v>MPG</v>
          </cell>
          <cell r="F116" t="str">
            <v>Indirect</v>
          </cell>
        </row>
        <row r="117">
          <cell r="C117">
            <v>10030048</v>
          </cell>
          <cell r="D117" t="str">
            <v>Unchagaon - Niraj</v>
          </cell>
          <cell r="E117" t="str">
            <v>MPG</v>
          </cell>
          <cell r="F117" t="str">
            <v>Indirect</v>
          </cell>
        </row>
        <row r="118">
          <cell r="C118">
            <v>10030049</v>
          </cell>
          <cell r="D118" t="str">
            <v>SRIRAMPUR</v>
          </cell>
          <cell r="E118" t="str">
            <v>MPG</v>
          </cell>
          <cell r="F118" t="str">
            <v>Direct</v>
          </cell>
        </row>
        <row r="119">
          <cell r="C119">
            <v>10030050</v>
          </cell>
          <cell r="D119" t="str">
            <v>PAIN</v>
          </cell>
          <cell r="E119" t="str">
            <v>MPG</v>
          </cell>
          <cell r="F119" t="str">
            <v>Direct</v>
          </cell>
        </row>
        <row r="120">
          <cell r="C120">
            <v>10030051</v>
          </cell>
          <cell r="D120" t="str">
            <v>MOTICHAK</v>
          </cell>
          <cell r="E120" t="str">
            <v>MPG</v>
          </cell>
          <cell r="F120" t="str">
            <v>Direct</v>
          </cell>
        </row>
        <row r="121">
          <cell r="C121">
            <v>10030053</v>
          </cell>
          <cell r="D121" t="str">
            <v>MIRATTHI</v>
          </cell>
          <cell r="E121" t="str">
            <v>MPG</v>
          </cell>
          <cell r="F121" t="str">
            <v>Direct</v>
          </cell>
        </row>
        <row r="122">
          <cell r="C122">
            <v>10030055</v>
          </cell>
          <cell r="D122" t="str">
            <v>DAULATPUR</v>
          </cell>
          <cell r="E122" t="str">
            <v>MPG</v>
          </cell>
          <cell r="F122" t="str">
            <v>Direct</v>
          </cell>
        </row>
        <row r="123">
          <cell r="C123">
            <v>10030056</v>
          </cell>
          <cell r="D123" t="str">
            <v>MOHADDIPUR</v>
          </cell>
          <cell r="E123" t="str">
            <v>MPG</v>
          </cell>
          <cell r="F123" t="str">
            <v>Direct</v>
          </cell>
        </row>
        <row r="124">
          <cell r="C124">
            <v>10030059</v>
          </cell>
          <cell r="D124" t="str">
            <v>JHAJHA</v>
          </cell>
          <cell r="E124" t="str">
            <v>MPG</v>
          </cell>
          <cell r="F124" t="str">
            <v>Direct</v>
          </cell>
        </row>
        <row r="125">
          <cell r="C125">
            <v>10030060</v>
          </cell>
          <cell r="D125" t="str">
            <v>KAMARDUH</v>
          </cell>
          <cell r="E125" t="str">
            <v>MPG</v>
          </cell>
          <cell r="F125" t="str">
            <v>Direct</v>
          </cell>
        </row>
        <row r="126">
          <cell r="C126">
            <v>10030061</v>
          </cell>
          <cell r="D126" t="str">
            <v>BARSABAD</v>
          </cell>
          <cell r="E126" t="str">
            <v>MPG</v>
          </cell>
          <cell r="F126" t="str">
            <v>Direct</v>
          </cell>
        </row>
        <row r="127">
          <cell r="C127">
            <v>10030063</v>
          </cell>
          <cell r="D127" t="str">
            <v>GONAI</v>
          </cell>
          <cell r="E127" t="str">
            <v>MPG</v>
          </cell>
          <cell r="F127" t="str">
            <v>Direct</v>
          </cell>
        </row>
        <row r="128">
          <cell r="C128">
            <v>10030064</v>
          </cell>
          <cell r="D128" t="str">
            <v>SHIKARITOLA</v>
          </cell>
          <cell r="E128" t="str">
            <v>MPG</v>
          </cell>
          <cell r="F128" t="str">
            <v>Direct</v>
          </cell>
        </row>
        <row r="129">
          <cell r="C129">
            <v>10030065</v>
          </cell>
          <cell r="D129" t="str">
            <v>BAIKUNTHPUR</v>
          </cell>
          <cell r="E129" t="str">
            <v>MPG</v>
          </cell>
          <cell r="F129" t="str">
            <v>Direct</v>
          </cell>
        </row>
        <row r="130">
          <cell r="C130">
            <v>10030066</v>
          </cell>
          <cell r="D130" t="str">
            <v>KAITHA</v>
          </cell>
          <cell r="E130" t="str">
            <v>MPG</v>
          </cell>
          <cell r="F130" t="str">
            <v>Direct</v>
          </cell>
        </row>
        <row r="131">
          <cell r="C131">
            <v>10030068</v>
          </cell>
          <cell r="D131" t="str">
            <v>DORAI</v>
          </cell>
          <cell r="E131" t="str">
            <v>MPG</v>
          </cell>
          <cell r="F131" t="str">
            <v>Direct</v>
          </cell>
        </row>
        <row r="132">
          <cell r="C132">
            <v>10030069</v>
          </cell>
          <cell r="D132" t="str">
            <v>RAGHUNATHPUR</v>
          </cell>
          <cell r="E132" t="str">
            <v>MPG</v>
          </cell>
          <cell r="F132" t="str">
            <v>Indirect</v>
          </cell>
        </row>
        <row r="133">
          <cell r="C133">
            <v>10030070</v>
          </cell>
          <cell r="D133" t="str">
            <v>BANGAMA</v>
          </cell>
          <cell r="E133" t="str">
            <v>MPG</v>
          </cell>
          <cell r="F133" t="str">
            <v>Direct</v>
          </cell>
        </row>
        <row r="134">
          <cell r="C134">
            <v>10030071</v>
          </cell>
          <cell r="D134" t="str">
            <v>KORIYA</v>
          </cell>
          <cell r="E134" t="str">
            <v>MPG</v>
          </cell>
          <cell r="F134" t="str">
            <v>Direct</v>
          </cell>
        </row>
        <row r="135">
          <cell r="C135">
            <v>10030072</v>
          </cell>
          <cell r="D135" t="str">
            <v>HARLACHAK</v>
          </cell>
          <cell r="E135" t="str">
            <v>MPG</v>
          </cell>
          <cell r="F135" t="str">
            <v>Direct</v>
          </cell>
        </row>
        <row r="136">
          <cell r="C136">
            <v>10030074</v>
          </cell>
          <cell r="D136" t="str">
            <v>Jangle Jhakra</v>
          </cell>
          <cell r="E136" t="str">
            <v>MPG</v>
          </cell>
          <cell r="F136" t="str">
            <v>Direct</v>
          </cell>
        </row>
        <row r="137">
          <cell r="C137">
            <v>10030075</v>
          </cell>
          <cell r="D137" t="str">
            <v>KATAHRA</v>
          </cell>
          <cell r="E137" t="str">
            <v>MPG</v>
          </cell>
          <cell r="F137" t="str">
            <v>Direct</v>
          </cell>
        </row>
        <row r="138">
          <cell r="C138">
            <v>10030077</v>
          </cell>
          <cell r="D138" t="str">
            <v>KARHARIA V</v>
          </cell>
          <cell r="E138" t="str">
            <v>MPG</v>
          </cell>
          <cell r="F138" t="str">
            <v>Indirect</v>
          </cell>
        </row>
        <row r="139">
          <cell r="C139">
            <v>10030078</v>
          </cell>
          <cell r="D139" t="str">
            <v>BALADEV ITAHARI</v>
          </cell>
          <cell r="E139" t="str">
            <v>MPG</v>
          </cell>
          <cell r="F139" t="str">
            <v>Direct</v>
          </cell>
        </row>
        <row r="140">
          <cell r="C140">
            <v>10030079</v>
          </cell>
          <cell r="D140" t="str">
            <v>GOMUKH KODAND</v>
          </cell>
          <cell r="E140" t="str">
            <v>MPG</v>
          </cell>
          <cell r="F140" t="str">
            <v>Indirect</v>
          </cell>
        </row>
        <row r="141">
          <cell r="C141">
            <v>10030080</v>
          </cell>
          <cell r="D141" t="str">
            <v>PAHALANPUR</v>
          </cell>
          <cell r="E141" t="str">
            <v>MPG</v>
          </cell>
          <cell r="F141" t="str">
            <v>Direct</v>
          </cell>
        </row>
        <row r="142">
          <cell r="C142">
            <v>10030081</v>
          </cell>
          <cell r="D142" t="str">
            <v>TETARIYA</v>
          </cell>
          <cell r="E142" t="str">
            <v>MPG</v>
          </cell>
          <cell r="F142" t="str">
            <v>Indirect</v>
          </cell>
        </row>
        <row r="143">
          <cell r="C143">
            <v>10030082</v>
          </cell>
          <cell r="D143" t="str">
            <v>RAMBRAN YADAV</v>
          </cell>
          <cell r="E143" t="str">
            <v>MPG</v>
          </cell>
          <cell r="F143" t="str">
            <v>Direct</v>
          </cell>
        </row>
        <row r="144">
          <cell r="C144">
            <v>10030084</v>
          </cell>
          <cell r="D144" t="str">
            <v>Gomukh Beldra</v>
          </cell>
          <cell r="E144" t="str">
            <v>MPG</v>
          </cell>
          <cell r="F144" t="str">
            <v>Indirect</v>
          </cell>
        </row>
        <row r="145">
          <cell r="C145">
            <v>10030085</v>
          </cell>
          <cell r="D145" t="str">
            <v>Gomukh Chandanpura</v>
          </cell>
          <cell r="E145" t="str">
            <v>MPG</v>
          </cell>
          <cell r="F145" t="str">
            <v>Indirect</v>
          </cell>
        </row>
        <row r="146">
          <cell r="C146">
            <v>10060002</v>
          </cell>
          <cell r="D146" t="str">
            <v>MANO</v>
          </cell>
          <cell r="E146" t="str">
            <v>MPG</v>
          </cell>
          <cell r="F146" t="str">
            <v>Indirect</v>
          </cell>
        </row>
        <row r="147">
          <cell r="C147">
            <v>10060003</v>
          </cell>
          <cell r="D147" t="str">
            <v>PURANI SALEMPUR</v>
          </cell>
          <cell r="E147" t="str">
            <v>MPG</v>
          </cell>
          <cell r="F147" t="str">
            <v>Indirect</v>
          </cell>
        </row>
        <row r="148">
          <cell r="C148">
            <v>10060004</v>
          </cell>
          <cell r="D148" t="str">
            <v>DHANDHHA</v>
          </cell>
          <cell r="E148" t="str">
            <v>MPG</v>
          </cell>
          <cell r="F148" t="str">
            <v>Indirect</v>
          </cell>
        </row>
        <row r="149">
          <cell r="C149">
            <v>10060005</v>
          </cell>
          <cell r="D149" t="str">
            <v>CHALISH</v>
          </cell>
          <cell r="E149" t="str">
            <v>MPG</v>
          </cell>
          <cell r="F149" t="str">
            <v>Indirect</v>
          </cell>
        </row>
        <row r="150">
          <cell r="C150">
            <v>10060007</v>
          </cell>
          <cell r="D150" t="str">
            <v>MAA BHAGWATI</v>
          </cell>
          <cell r="E150" t="str">
            <v>MPG</v>
          </cell>
          <cell r="F150" t="str">
            <v>Indirect</v>
          </cell>
        </row>
        <row r="151">
          <cell r="C151">
            <v>10060008</v>
          </cell>
          <cell r="D151" t="str">
            <v>MAIDINICHOKI</v>
          </cell>
          <cell r="E151" t="str">
            <v>MPG</v>
          </cell>
          <cell r="F151" t="str">
            <v>Indirect</v>
          </cell>
        </row>
        <row r="152">
          <cell r="C152">
            <v>10060009</v>
          </cell>
          <cell r="D152" t="str">
            <v>GOMUKH JAJWARA</v>
          </cell>
          <cell r="E152" t="str">
            <v>MPG</v>
          </cell>
          <cell r="F152" t="str">
            <v>Indirect</v>
          </cell>
        </row>
        <row r="153">
          <cell r="C153">
            <v>10060010</v>
          </cell>
          <cell r="D153" t="str">
            <v>Gomukh ID Sonvarsha</v>
          </cell>
          <cell r="E153" t="str">
            <v>MPG</v>
          </cell>
          <cell r="F153" t="str">
            <v>Indirect</v>
          </cell>
        </row>
        <row r="154">
          <cell r="C154">
            <v>10060011</v>
          </cell>
          <cell r="D154" t="str">
            <v>BALHAPUR</v>
          </cell>
          <cell r="E154" t="str">
            <v>MPG</v>
          </cell>
          <cell r="F154" t="str">
            <v>Direct</v>
          </cell>
        </row>
        <row r="155">
          <cell r="C155">
            <v>10060013</v>
          </cell>
          <cell r="D155" t="str">
            <v>Gomukh ID Khawa</v>
          </cell>
          <cell r="E155" t="str">
            <v>MPG</v>
          </cell>
          <cell r="F155" t="str">
            <v>Indirect</v>
          </cell>
        </row>
        <row r="156">
          <cell r="C156">
            <v>10060014</v>
          </cell>
          <cell r="D156" t="str">
            <v>Gomukh ID Husaina</v>
          </cell>
          <cell r="E156" t="str">
            <v>MPG</v>
          </cell>
          <cell r="F156" t="str">
            <v>Indirect</v>
          </cell>
        </row>
        <row r="157">
          <cell r="C157">
            <v>10060015</v>
          </cell>
          <cell r="D157" t="str">
            <v>Gomukh ID Prarotol</v>
          </cell>
          <cell r="E157" t="str">
            <v>MPG</v>
          </cell>
          <cell r="F157" t="str">
            <v>Indirect</v>
          </cell>
        </row>
        <row r="158">
          <cell r="C158">
            <v>10060020</v>
          </cell>
          <cell r="D158" t="str">
            <v>MAA SARDE</v>
          </cell>
          <cell r="E158" t="str">
            <v>MPG</v>
          </cell>
          <cell r="F158" t="str">
            <v>Indirect</v>
          </cell>
        </row>
        <row r="159">
          <cell r="C159">
            <v>10060021</v>
          </cell>
          <cell r="D159" t="str">
            <v>PURANI DIH</v>
          </cell>
          <cell r="E159" t="str">
            <v>MPG</v>
          </cell>
          <cell r="F159" t="str">
            <v>Indirect</v>
          </cell>
        </row>
        <row r="160">
          <cell r="C160">
            <v>10060022</v>
          </cell>
          <cell r="D160" t="str">
            <v>Farda Ravi Tola</v>
          </cell>
          <cell r="E160" t="str">
            <v>MPG</v>
          </cell>
          <cell r="F160" t="str">
            <v>Direct</v>
          </cell>
        </row>
        <row r="161">
          <cell r="C161">
            <v>10060023</v>
          </cell>
          <cell r="D161" t="str">
            <v>Gomukh Puranidih 2</v>
          </cell>
          <cell r="E161" t="str">
            <v>MPG</v>
          </cell>
          <cell r="F161" t="str">
            <v>Indirect</v>
          </cell>
        </row>
        <row r="162">
          <cell r="C162">
            <v>10060026</v>
          </cell>
          <cell r="D162" t="str">
            <v>Gomukh Arma</v>
          </cell>
          <cell r="E162" t="str">
            <v>MPG</v>
          </cell>
          <cell r="F162" t="str">
            <v>Direct</v>
          </cell>
        </row>
        <row r="163">
          <cell r="C163">
            <v>10060027</v>
          </cell>
          <cell r="D163" t="str">
            <v>Singhchak</v>
          </cell>
          <cell r="E163" t="str">
            <v>MPG</v>
          </cell>
          <cell r="F163" t="str">
            <v>Direct</v>
          </cell>
        </row>
        <row r="164">
          <cell r="C164">
            <v>10060028</v>
          </cell>
          <cell r="D164" t="str">
            <v>MAHA-LAXMI</v>
          </cell>
          <cell r="E164" t="str">
            <v>MPG</v>
          </cell>
          <cell r="F164" t="str">
            <v>Indirect</v>
          </cell>
        </row>
        <row r="165">
          <cell r="C165">
            <v>10060029</v>
          </cell>
          <cell r="D165" t="str">
            <v>PAWAI</v>
          </cell>
          <cell r="E165" t="str">
            <v>MPG</v>
          </cell>
          <cell r="F165" t="str">
            <v>Direct</v>
          </cell>
        </row>
        <row r="166">
          <cell r="C166">
            <v>10060031</v>
          </cell>
          <cell r="D166" t="str">
            <v xml:space="preserve">LAKHOCHAK                                                                                           </v>
          </cell>
          <cell r="E166" t="str">
            <v>MPG</v>
          </cell>
          <cell r="F166" t="str">
            <v>Direct</v>
          </cell>
        </row>
        <row r="167">
          <cell r="C167">
            <v>10060032</v>
          </cell>
          <cell r="D167" t="str">
            <v xml:space="preserve">BATTA RAMPUR                                                                                        </v>
          </cell>
          <cell r="E167" t="str">
            <v>MPG</v>
          </cell>
          <cell r="F167" t="str">
            <v>Direct</v>
          </cell>
        </row>
        <row r="168">
          <cell r="C168">
            <v>10060033</v>
          </cell>
          <cell r="D168" t="str">
            <v>DARISHIR</v>
          </cell>
          <cell r="E168" t="str">
            <v>MPG</v>
          </cell>
          <cell r="F168" t="str">
            <v>Direct</v>
          </cell>
        </row>
        <row r="169">
          <cell r="C169">
            <v>10060037</v>
          </cell>
          <cell r="D169" t="str">
            <v>NIRAJ KUMAR</v>
          </cell>
          <cell r="E169" t="str">
            <v>MPG</v>
          </cell>
          <cell r="F169" t="str">
            <v>Indirect</v>
          </cell>
        </row>
        <row r="170">
          <cell r="C170">
            <v>10060041</v>
          </cell>
          <cell r="D170" t="str">
            <v>RANDHIR KUMAR(VLC)</v>
          </cell>
          <cell r="E170" t="str">
            <v>MPG</v>
          </cell>
          <cell r="F170" t="str">
            <v>Indirect</v>
          </cell>
        </row>
        <row r="171">
          <cell r="C171">
            <v>10060044</v>
          </cell>
          <cell r="D171" t="str">
            <v>Abgil Rampur - Rohit</v>
          </cell>
          <cell r="E171" t="str">
            <v>MPG</v>
          </cell>
          <cell r="F171" t="str">
            <v>Indirect</v>
          </cell>
        </row>
        <row r="172">
          <cell r="C172">
            <v>10060045</v>
          </cell>
          <cell r="D172" t="str">
            <v>Abgil-2 - Sheshnath</v>
          </cell>
          <cell r="E172" t="str">
            <v>MPG</v>
          </cell>
          <cell r="F172" t="str">
            <v>Indirect</v>
          </cell>
        </row>
        <row r="173">
          <cell r="C173">
            <v>10060049</v>
          </cell>
          <cell r="D173" t="str">
            <v>MALIYA</v>
          </cell>
          <cell r="E173" t="str">
            <v>MPG</v>
          </cell>
          <cell r="F173" t="str">
            <v>Direct</v>
          </cell>
        </row>
        <row r="174">
          <cell r="C174">
            <v>10060050</v>
          </cell>
          <cell r="D174" t="str">
            <v>MAHULIYA</v>
          </cell>
          <cell r="E174" t="str">
            <v>MPG</v>
          </cell>
          <cell r="F174" t="str">
            <v>Direct</v>
          </cell>
        </row>
        <row r="175">
          <cell r="C175">
            <v>10060051</v>
          </cell>
          <cell r="D175" t="str">
            <v>ABGIL RAMPUR</v>
          </cell>
          <cell r="E175" t="str">
            <v>MPG</v>
          </cell>
          <cell r="F175" t="str">
            <v>Indirect</v>
          </cell>
        </row>
        <row r="176">
          <cell r="C176">
            <v>10060052</v>
          </cell>
          <cell r="D176" t="str">
            <v>ABGIL</v>
          </cell>
          <cell r="E176" t="str">
            <v>MPG</v>
          </cell>
          <cell r="F176" t="str">
            <v>Indirect</v>
          </cell>
        </row>
        <row r="177">
          <cell r="C177">
            <v>10060055</v>
          </cell>
          <cell r="D177" t="str">
            <v>RUPESH KUMAR</v>
          </cell>
          <cell r="E177" t="str">
            <v>MPG</v>
          </cell>
          <cell r="F177" t="str">
            <v>Indirect</v>
          </cell>
        </row>
        <row r="178">
          <cell r="C178">
            <v>10060058</v>
          </cell>
          <cell r="D178" t="str">
            <v xml:space="preserve">ABGIL HUSSAINA-2                                                                                    </v>
          </cell>
          <cell r="E178" t="str">
            <v>MPG</v>
          </cell>
          <cell r="F178" t="str">
            <v>Direct</v>
          </cell>
        </row>
        <row r="179">
          <cell r="C179">
            <v>10060062</v>
          </cell>
          <cell r="D179" t="str">
            <v>AKHA-KURHA</v>
          </cell>
          <cell r="E179" t="str">
            <v>MPG</v>
          </cell>
          <cell r="F179" t="str">
            <v>Indirect</v>
          </cell>
        </row>
        <row r="180">
          <cell r="C180">
            <v>10060069</v>
          </cell>
          <cell r="D180" t="str">
            <v>BHANDAR</v>
          </cell>
          <cell r="E180" t="str">
            <v>MPG</v>
          </cell>
          <cell r="F180" t="str">
            <v>Direct</v>
          </cell>
        </row>
        <row r="181">
          <cell r="C181">
            <v>10060074</v>
          </cell>
          <cell r="D181" t="str">
            <v>BASMATIYA</v>
          </cell>
          <cell r="E181" t="str">
            <v>MPG</v>
          </cell>
          <cell r="F181" t="str">
            <v>Direct</v>
          </cell>
        </row>
        <row r="182">
          <cell r="C182">
            <v>10060077</v>
          </cell>
          <cell r="D182" t="str">
            <v>TILATHI</v>
          </cell>
          <cell r="E182" t="str">
            <v>MPG</v>
          </cell>
          <cell r="F182" t="str">
            <v>Direct</v>
          </cell>
        </row>
        <row r="183">
          <cell r="C183">
            <v>10060083</v>
          </cell>
          <cell r="D183" t="str">
            <v>GOMUKH WESTOL</v>
          </cell>
          <cell r="E183" t="str">
            <v>MPG</v>
          </cell>
          <cell r="F183" t="str">
            <v>Indirect</v>
          </cell>
        </row>
        <row r="184">
          <cell r="C184">
            <v>10060090</v>
          </cell>
          <cell r="D184" t="str">
            <v>SANGRAMPUR</v>
          </cell>
          <cell r="E184" t="str">
            <v>MPG</v>
          </cell>
          <cell r="F184" t="str">
            <v>Direct</v>
          </cell>
        </row>
        <row r="185">
          <cell r="C185">
            <v>10060096</v>
          </cell>
          <cell r="D185" t="str">
            <v>GOMUKH CHASMASKAN</v>
          </cell>
          <cell r="E185" t="str">
            <v>MPG</v>
          </cell>
          <cell r="F185" t="str">
            <v>Indirect</v>
          </cell>
        </row>
        <row r="186">
          <cell r="C186">
            <v>10060097</v>
          </cell>
          <cell r="D186" t="str">
            <v>GOMUKH KAJITOLA</v>
          </cell>
          <cell r="E186" t="str">
            <v>MPG</v>
          </cell>
          <cell r="F186" t="str">
            <v>Indirect</v>
          </cell>
        </row>
        <row r="187">
          <cell r="C187">
            <v>10060098</v>
          </cell>
          <cell r="D187" t="str">
            <v>RAMDEV TOLA</v>
          </cell>
          <cell r="E187" t="str">
            <v>MPG</v>
          </cell>
          <cell r="F187" t="str">
            <v>Direct</v>
          </cell>
        </row>
        <row r="188">
          <cell r="C188">
            <v>10060104</v>
          </cell>
          <cell r="D188" t="str">
            <v>GOMUKH KATEHAR</v>
          </cell>
          <cell r="E188" t="str">
            <v>MPG</v>
          </cell>
          <cell r="F188" t="str">
            <v>Indirect</v>
          </cell>
        </row>
        <row r="189">
          <cell r="C189">
            <v>10060106</v>
          </cell>
          <cell r="D189" t="str">
            <v>PIPARPATI</v>
          </cell>
          <cell r="E189" t="str">
            <v>MPG</v>
          </cell>
          <cell r="F189" t="str">
            <v>Direct</v>
          </cell>
        </row>
        <row r="190">
          <cell r="C190">
            <v>10060107</v>
          </cell>
          <cell r="D190" t="str">
            <v>GOMUKH JAGMAGLA</v>
          </cell>
          <cell r="E190" t="str">
            <v>MPG</v>
          </cell>
          <cell r="F190" t="str">
            <v>Indirect</v>
          </cell>
        </row>
        <row r="191">
          <cell r="C191">
            <v>10060109</v>
          </cell>
          <cell r="D191" t="str">
            <v>PACHRUKHI</v>
          </cell>
          <cell r="E191" t="str">
            <v>MPG</v>
          </cell>
          <cell r="F191" t="str">
            <v>Direct</v>
          </cell>
        </row>
        <row r="192">
          <cell r="C192">
            <v>10060110</v>
          </cell>
          <cell r="D192" t="str">
            <v>ORABAGICHA</v>
          </cell>
          <cell r="E192" t="str">
            <v>MPG</v>
          </cell>
          <cell r="F192" t="str">
            <v>Direct</v>
          </cell>
        </row>
        <row r="193">
          <cell r="C193">
            <v>10060111</v>
          </cell>
          <cell r="D193" t="str">
            <v>KHAJURIYA</v>
          </cell>
          <cell r="E193" t="str">
            <v>MPG</v>
          </cell>
          <cell r="F193" t="str">
            <v>Direct</v>
          </cell>
        </row>
        <row r="194">
          <cell r="C194">
            <v>10060113</v>
          </cell>
          <cell r="D194" t="str">
            <v>NAYA SALEMPUR</v>
          </cell>
          <cell r="E194" t="str">
            <v>MPG</v>
          </cell>
          <cell r="F194" t="str">
            <v>Indirect</v>
          </cell>
        </row>
        <row r="195">
          <cell r="C195">
            <v>10060114</v>
          </cell>
          <cell r="D195" t="str">
            <v>MANO 2</v>
          </cell>
          <cell r="E195" t="str">
            <v>MPG</v>
          </cell>
          <cell r="F195" t="str">
            <v>Direct</v>
          </cell>
        </row>
        <row r="196">
          <cell r="C196">
            <v>10060115</v>
          </cell>
          <cell r="D196" t="str">
            <v>Champanagar</v>
          </cell>
          <cell r="E196" t="str">
            <v>MPG</v>
          </cell>
          <cell r="F196" t="str">
            <v>Direct</v>
          </cell>
        </row>
        <row r="197">
          <cell r="C197">
            <v>10060116</v>
          </cell>
          <cell r="D197" t="str">
            <v>LOSDHANI</v>
          </cell>
          <cell r="E197" t="str">
            <v>MPG</v>
          </cell>
          <cell r="F197" t="str">
            <v>Direct</v>
          </cell>
        </row>
        <row r="198">
          <cell r="C198">
            <v>10060117</v>
          </cell>
          <cell r="D198" t="str">
            <v>GOMUKH MAHGAMA</v>
          </cell>
          <cell r="E198" t="str">
            <v>MPG</v>
          </cell>
          <cell r="F198" t="str">
            <v>Indirect</v>
          </cell>
        </row>
        <row r="199">
          <cell r="C199">
            <v>10060118</v>
          </cell>
          <cell r="D199" t="str">
            <v>GOMUKH BAGALWA</v>
          </cell>
          <cell r="E199" t="str">
            <v>MPG</v>
          </cell>
          <cell r="F199" t="str">
            <v>Indirect</v>
          </cell>
        </row>
        <row r="200">
          <cell r="C200">
            <v>10060120</v>
          </cell>
          <cell r="D200" t="str">
            <v>GOMUKH LARYATAL</v>
          </cell>
          <cell r="E200" t="str">
            <v>MPG</v>
          </cell>
          <cell r="F200" t="str">
            <v>Indirect</v>
          </cell>
        </row>
        <row r="201">
          <cell r="C201">
            <v>10060121</v>
          </cell>
          <cell r="D201" t="str">
            <v>CHANDANPURA</v>
          </cell>
          <cell r="E201" t="str">
            <v>MPG</v>
          </cell>
          <cell r="F201" t="str">
            <v>Direct</v>
          </cell>
        </row>
        <row r="202">
          <cell r="C202">
            <v>10060122</v>
          </cell>
          <cell r="D202" t="str">
            <v>GOMUKH BHITAKITA</v>
          </cell>
          <cell r="E202" t="str">
            <v>MPG</v>
          </cell>
          <cell r="F202" t="str">
            <v>Indirect</v>
          </cell>
        </row>
        <row r="203">
          <cell r="C203">
            <v>10060123</v>
          </cell>
          <cell r="D203" t="str">
            <v>GOMUKH KOYLO</v>
          </cell>
          <cell r="E203" t="str">
            <v>MPG</v>
          </cell>
          <cell r="F203" t="str">
            <v>Indirect</v>
          </cell>
        </row>
        <row r="204">
          <cell r="C204">
            <v>10060124</v>
          </cell>
          <cell r="D204" t="str">
            <v>SINGHOL</v>
          </cell>
          <cell r="E204" t="str">
            <v>MPG</v>
          </cell>
          <cell r="F204" t="str">
            <v>Direct</v>
          </cell>
        </row>
        <row r="205">
          <cell r="C205">
            <v>10060125</v>
          </cell>
          <cell r="D205" t="str">
            <v>GOMUKH OJONTOLA</v>
          </cell>
          <cell r="E205" t="str">
            <v>MPG</v>
          </cell>
          <cell r="F205" t="str">
            <v>Indirect</v>
          </cell>
        </row>
        <row r="206">
          <cell r="C206">
            <v>10060126</v>
          </cell>
          <cell r="D206" t="str">
            <v>KHUDDIBAN SHIVNAGAR</v>
          </cell>
          <cell r="E206" t="str">
            <v>MPG</v>
          </cell>
          <cell r="F206" t="str">
            <v>Direct</v>
          </cell>
        </row>
        <row r="207">
          <cell r="C207">
            <v>10060129</v>
          </cell>
          <cell r="D207" t="str">
            <v>BARIYARPUR</v>
          </cell>
          <cell r="E207" t="str">
            <v>MPG</v>
          </cell>
          <cell r="F207" t="str">
            <v>Direct</v>
          </cell>
        </row>
        <row r="208">
          <cell r="C208">
            <v>10060130</v>
          </cell>
          <cell r="D208" t="str">
            <v>MASUDAN</v>
          </cell>
          <cell r="E208" t="str">
            <v>MPG</v>
          </cell>
          <cell r="F208" t="str">
            <v>Direct</v>
          </cell>
        </row>
        <row r="209">
          <cell r="C209">
            <v>10070002</v>
          </cell>
          <cell r="D209" t="str">
            <v>Gomukh ID Araria</v>
          </cell>
          <cell r="E209" t="str">
            <v>MPG</v>
          </cell>
          <cell r="F209" t="str">
            <v>Indirect</v>
          </cell>
        </row>
        <row r="210">
          <cell r="C210">
            <v>10070003</v>
          </cell>
          <cell r="D210" t="str">
            <v>Gomukh ID Chaidha</v>
          </cell>
          <cell r="E210" t="str">
            <v>MPG</v>
          </cell>
          <cell r="F210" t="str">
            <v>Indirect</v>
          </cell>
        </row>
        <row r="211">
          <cell r="C211">
            <v>10070004</v>
          </cell>
          <cell r="D211" t="str">
            <v>Gomukh ID Pakrail</v>
          </cell>
          <cell r="E211" t="str">
            <v>MPG</v>
          </cell>
          <cell r="F211" t="str">
            <v>Indirect</v>
          </cell>
        </row>
        <row r="212">
          <cell r="C212">
            <v>10070008</v>
          </cell>
          <cell r="D212" t="str">
            <v>Gomukh ID Pipra</v>
          </cell>
          <cell r="E212" t="str">
            <v>MPG</v>
          </cell>
          <cell r="F212" t="str">
            <v>Indirect</v>
          </cell>
        </row>
        <row r="213">
          <cell r="C213">
            <v>10070013</v>
          </cell>
          <cell r="D213" t="str">
            <v xml:space="preserve">Gomukh Fatepur                                                                                      </v>
          </cell>
          <cell r="E213" t="str">
            <v>MPG</v>
          </cell>
          <cell r="F213" t="str">
            <v>Direct</v>
          </cell>
        </row>
        <row r="214">
          <cell r="C214">
            <v>10070016</v>
          </cell>
          <cell r="D214" t="str">
            <v>Gomukh Gauchhari</v>
          </cell>
          <cell r="E214" t="str">
            <v>MPG</v>
          </cell>
          <cell r="F214" t="str">
            <v>Direct</v>
          </cell>
        </row>
        <row r="215">
          <cell r="C215">
            <v>10070018</v>
          </cell>
          <cell r="D215" t="str">
            <v>Gomukh Arariya Karjaniya</v>
          </cell>
          <cell r="E215" t="str">
            <v>MPG</v>
          </cell>
          <cell r="F215" t="str">
            <v>Indirect</v>
          </cell>
        </row>
        <row r="216">
          <cell r="C216">
            <v>10070019</v>
          </cell>
          <cell r="D216" t="str">
            <v>Gomukh Aariya Dummer Kothi</v>
          </cell>
          <cell r="E216" t="str">
            <v>MPG</v>
          </cell>
          <cell r="F216" t="str">
            <v>Indirect</v>
          </cell>
        </row>
        <row r="217">
          <cell r="C217">
            <v>10070020</v>
          </cell>
          <cell r="D217" t="str">
            <v>Gomukh Balha</v>
          </cell>
          <cell r="E217" t="str">
            <v>MPG</v>
          </cell>
          <cell r="F217" t="str">
            <v>Indirect</v>
          </cell>
        </row>
        <row r="218">
          <cell r="C218">
            <v>10070024</v>
          </cell>
          <cell r="D218" t="str">
            <v>Haripur - Sanjay</v>
          </cell>
          <cell r="E218" t="str">
            <v>MPG</v>
          </cell>
          <cell r="F218" t="str">
            <v>Indirect</v>
          </cell>
        </row>
        <row r="219">
          <cell r="C219">
            <v>10070026</v>
          </cell>
          <cell r="D219" t="str">
            <v>Araria - Ankesh</v>
          </cell>
          <cell r="E219" t="str">
            <v>MPG</v>
          </cell>
          <cell r="F219" t="str">
            <v>Indirect</v>
          </cell>
        </row>
        <row r="220">
          <cell r="C220">
            <v>10070031</v>
          </cell>
          <cell r="D220" t="str">
            <v>Gomukh Bari Maliya(Indirect)</v>
          </cell>
          <cell r="E220" t="str">
            <v>MPG</v>
          </cell>
          <cell r="F220" t="str">
            <v>Direct</v>
          </cell>
        </row>
        <row r="221">
          <cell r="C221">
            <v>10070033</v>
          </cell>
          <cell r="D221" t="str">
            <v>Gomukh Kabela                                                                                       </v>
          </cell>
          <cell r="E221" t="str">
            <v>MPG</v>
          </cell>
          <cell r="F221" t="str">
            <v>Direct</v>
          </cell>
        </row>
        <row r="222">
          <cell r="C222">
            <v>10070039</v>
          </cell>
          <cell r="D222" t="str">
            <v xml:space="preserve">Gomukh Malpa Uttari                                                                                 </v>
          </cell>
          <cell r="E222" t="str">
            <v>MPG</v>
          </cell>
          <cell r="F222" t="str">
            <v>Indirect</v>
          </cell>
        </row>
        <row r="223">
          <cell r="C223">
            <v>10070042</v>
          </cell>
          <cell r="D223" t="str">
            <v>Gomukh Sapha</v>
          </cell>
          <cell r="E223" t="str">
            <v>MPG</v>
          </cell>
          <cell r="F223" t="str">
            <v>Direct</v>
          </cell>
        </row>
        <row r="224">
          <cell r="C224">
            <v>10070043</v>
          </cell>
          <cell r="D224" t="str">
            <v>Araria</v>
          </cell>
          <cell r="E224" t="str">
            <v>MPG</v>
          </cell>
          <cell r="F224" t="str">
            <v>Indirect</v>
          </cell>
        </row>
        <row r="225">
          <cell r="C225">
            <v>10070045</v>
          </cell>
          <cell r="D225" t="str">
            <v>Gomukh Gauchhari</v>
          </cell>
          <cell r="E225" t="str">
            <v>MPG</v>
          </cell>
          <cell r="F225" t="str">
            <v>Direct</v>
          </cell>
        </row>
        <row r="226">
          <cell r="C226">
            <v>10070046</v>
          </cell>
          <cell r="D226" t="str">
            <v>Telouch</v>
          </cell>
          <cell r="E226" t="str">
            <v>MPG</v>
          </cell>
          <cell r="F226" t="str">
            <v>Direct</v>
          </cell>
        </row>
        <row r="227">
          <cell r="C227">
            <v>10070048</v>
          </cell>
          <cell r="D227" t="str">
            <v>Gomukh Jhangara B</v>
          </cell>
          <cell r="E227" t="str">
            <v>MPG</v>
          </cell>
          <cell r="F227" t="str">
            <v>Direct</v>
          </cell>
        </row>
        <row r="228">
          <cell r="C228">
            <v>10070053</v>
          </cell>
          <cell r="D228" t="str">
            <v>Gomukh Saraiya</v>
          </cell>
          <cell r="E228" t="str">
            <v>MPG</v>
          </cell>
          <cell r="F228" t="str">
            <v>Direct</v>
          </cell>
        </row>
        <row r="229">
          <cell r="C229">
            <v>10070058</v>
          </cell>
          <cell r="D229" t="str">
            <v>Gomukh Malpa Dhutauli VLC</v>
          </cell>
          <cell r="E229" t="str">
            <v>MPG</v>
          </cell>
          <cell r="F229" t="str">
            <v>Indirect</v>
          </cell>
        </row>
        <row r="230">
          <cell r="C230">
            <v>10070059</v>
          </cell>
          <cell r="D230" t="str">
            <v>Gomukh Pakrail Vijay Nagar VLC</v>
          </cell>
          <cell r="E230" t="str">
            <v>MPG</v>
          </cell>
          <cell r="F230" t="str">
            <v>Indirect</v>
          </cell>
        </row>
        <row r="231">
          <cell r="C231">
            <v>10070060</v>
          </cell>
          <cell r="D231" t="str">
            <v>Gomukh Pakrail Shirnia VLC</v>
          </cell>
          <cell r="E231" t="str">
            <v>MPG</v>
          </cell>
          <cell r="F231" t="str">
            <v>Indirect</v>
          </cell>
        </row>
        <row r="232">
          <cell r="C232">
            <v>10070061</v>
          </cell>
          <cell r="D232" t="str">
            <v>Gomukh Godhiyasi Nayagow VLC</v>
          </cell>
          <cell r="E232" t="str">
            <v>MPG</v>
          </cell>
          <cell r="F232" t="str">
            <v>Indirect</v>
          </cell>
        </row>
        <row r="233">
          <cell r="C233">
            <v>10070063</v>
          </cell>
          <cell r="D233" t="str">
            <v>Gomukh Bandehra Purbi</v>
          </cell>
          <cell r="E233" t="str">
            <v>MPG</v>
          </cell>
          <cell r="F233" t="str">
            <v>Direct</v>
          </cell>
        </row>
        <row r="234">
          <cell r="C234">
            <v>10070064</v>
          </cell>
          <cell r="D234" t="str">
            <v>Gomukh Tila Tol</v>
          </cell>
          <cell r="E234" t="str">
            <v>MPG</v>
          </cell>
          <cell r="F234" t="str">
            <v>Direct</v>
          </cell>
        </row>
        <row r="235">
          <cell r="C235">
            <v>10070065</v>
          </cell>
          <cell r="D235" t="str">
            <v>Gomukh Dina Chakla Vlc</v>
          </cell>
          <cell r="E235" t="str">
            <v>MPG</v>
          </cell>
          <cell r="F235" t="str">
            <v>Indirect</v>
          </cell>
        </row>
        <row r="236">
          <cell r="C236">
            <v>10070074</v>
          </cell>
          <cell r="D236" t="str">
            <v>Gomukh Gogri VLC</v>
          </cell>
          <cell r="E236" t="str">
            <v>MPG</v>
          </cell>
          <cell r="F236" t="str">
            <v>Indirect</v>
          </cell>
        </row>
        <row r="237">
          <cell r="C237">
            <v>10070076</v>
          </cell>
          <cell r="D237" t="str">
            <v>Gomukh Sondiha Jay Prakash VLC</v>
          </cell>
          <cell r="E237" t="str">
            <v>MPG</v>
          </cell>
          <cell r="F237" t="str">
            <v>Indirect</v>
          </cell>
        </row>
        <row r="238">
          <cell r="C238">
            <v>10070077</v>
          </cell>
          <cell r="D238" t="str">
            <v>Gomukh Bari Chak Gogri</v>
          </cell>
          <cell r="E238" t="str">
            <v>MPG</v>
          </cell>
          <cell r="F238" t="str">
            <v>Direct</v>
          </cell>
        </row>
        <row r="239">
          <cell r="C239">
            <v>10070078</v>
          </cell>
          <cell r="D239" t="str">
            <v>Gomukh Khatha</v>
          </cell>
          <cell r="E239" t="str">
            <v>MPG</v>
          </cell>
          <cell r="F239" t="str">
            <v>Direct</v>
          </cell>
        </row>
        <row r="240">
          <cell r="C240">
            <v>10080001</v>
          </cell>
          <cell r="D240" t="str">
            <v>Chak Punervas</v>
          </cell>
          <cell r="E240" t="str">
            <v>MPG</v>
          </cell>
          <cell r="F240" t="str">
            <v>Indirect</v>
          </cell>
        </row>
        <row r="241">
          <cell r="C241">
            <v>10080002</v>
          </cell>
          <cell r="D241" t="str">
            <v>Labherchak</v>
          </cell>
          <cell r="E241" t="str">
            <v>MPG</v>
          </cell>
          <cell r="F241" t="str">
            <v>Indirect</v>
          </cell>
        </row>
        <row r="242">
          <cell r="C242">
            <v>10080003</v>
          </cell>
          <cell r="D242" t="str">
            <v>Paspura</v>
          </cell>
          <cell r="E242" t="str">
            <v>MPG</v>
          </cell>
          <cell r="F242" t="str">
            <v>Indirect</v>
          </cell>
        </row>
        <row r="243">
          <cell r="C243">
            <v>10080004</v>
          </cell>
          <cell r="D243" t="str">
            <v>Gomukh Godhna</v>
          </cell>
          <cell r="E243" t="str">
            <v>MPG</v>
          </cell>
          <cell r="F243" t="str">
            <v>Indirect</v>
          </cell>
        </row>
        <row r="244">
          <cell r="C244">
            <v>10080006</v>
          </cell>
          <cell r="D244" t="str">
            <v>Gomukh Sihma 2</v>
          </cell>
          <cell r="E244" t="str">
            <v>MPG</v>
          </cell>
          <cell r="F244" t="str">
            <v>Indirect</v>
          </cell>
        </row>
        <row r="245">
          <cell r="C245">
            <v>10080007</v>
          </cell>
          <cell r="D245" t="str">
            <v>Gomukh ID Marsaito</v>
          </cell>
          <cell r="E245" t="str">
            <v>MPG</v>
          </cell>
          <cell r="F245" t="str">
            <v>Indirect</v>
          </cell>
        </row>
        <row r="246">
          <cell r="C246">
            <v>10080012</v>
          </cell>
          <cell r="D246" t="str">
            <v>Gomukh ID Akashpur-2</v>
          </cell>
          <cell r="E246" t="str">
            <v>MPG</v>
          </cell>
          <cell r="F246" t="str">
            <v>Indirect</v>
          </cell>
        </row>
        <row r="247">
          <cell r="C247">
            <v>10080013</v>
          </cell>
          <cell r="D247" t="str">
            <v>Gomukh ID Akashpur</v>
          </cell>
          <cell r="E247" t="str">
            <v>MPG</v>
          </cell>
          <cell r="F247" t="str">
            <v>Indirect</v>
          </cell>
        </row>
        <row r="248">
          <cell r="C248">
            <v>10080014</v>
          </cell>
          <cell r="D248" t="str">
            <v>Gomukh ID Rachiyahi</v>
          </cell>
          <cell r="E248" t="str">
            <v>MPG</v>
          </cell>
          <cell r="F248" t="str">
            <v>Indirect</v>
          </cell>
        </row>
        <row r="249">
          <cell r="C249">
            <v>10080015</v>
          </cell>
          <cell r="D249" t="str">
            <v>GomukhBariyahi Chanan</v>
          </cell>
          <cell r="E249" t="str">
            <v>MPG</v>
          </cell>
          <cell r="F249" t="str">
            <v>Direct</v>
          </cell>
        </row>
        <row r="250">
          <cell r="C250">
            <v>10080016</v>
          </cell>
          <cell r="D250" t="str">
            <v>GomukhGehuni</v>
          </cell>
          <cell r="E250" t="str">
            <v>MPG</v>
          </cell>
          <cell r="F250" t="str">
            <v>Direct</v>
          </cell>
        </row>
        <row r="251">
          <cell r="C251">
            <v>10080022</v>
          </cell>
          <cell r="D251" t="str">
            <v>Gomukh Bakhatpur</v>
          </cell>
          <cell r="E251" t="str">
            <v>MPG</v>
          </cell>
          <cell r="F251" t="str">
            <v>Direct</v>
          </cell>
        </row>
        <row r="252">
          <cell r="C252">
            <v>10080024</v>
          </cell>
          <cell r="D252" t="str">
            <v>Ananaya Dairy</v>
          </cell>
          <cell r="E252" t="str">
            <v>MPG</v>
          </cell>
          <cell r="F252" t="str">
            <v>Indirect</v>
          </cell>
        </row>
        <row r="253">
          <cell r="C253">
            <v>10080025</v>
          </cell>
          <cell r="D253" t="str">
            <v>Gomukh Bishanpur</v>
          </cell>
          <cell r="E253" t="str">
            <v>MPG</v>
          </cell>
          <cell r="F253" t="str">
            <v>Direct</v>
          </cell>
        </row>
        <row r="254">
          <cell r="C254">
            <v>10080032</v>
          </cell>
          <cell r="D254" t="str">
            <v>GOMUKH BEGAMSARAI</v>
          </cell>
          <cell r="E254" t="str">
            <v>MPG</v>
          </cell>
          <cell r="F254" t="str">
            <v>Direct</v>
          </cell>
        </row>
        <row r="255">
          <cell r="C255">
            <v>10080039</v>
          </cell>
          <cell r="D255" t="str">
            <v>Hasanpur - Abhijeet</v>
          </cell>
          <cell r="E255" t="str">
            <v>MPG</v>
          </cell>
          <cell r="F255" t="str">
            <v>Indirect</v>
          </cell>
        </row>
        <row r="256">
          <cell r="C256">
            <v>10080040</v>
          </cell>
          <cell r="D256" t="str">
            <v>Adharpur - Manish</v>
          </cell>
          <cell r="E256" t="str">
            <v>MPG</v>
          </cell>
          <cell r="F256" t="str">
            <v>Indirect</v>
          </cell>
        </row>
        <row r="257">
          <cell r="C257">
            <v>10080041</v>
          </cell>
          <cell r="D257" t="str">
            <v>Rani - Surender</v>
          </cell>
          <cell r="E257" t="str">
            <v>MPG</v>
          </cell>
          <cell r="F257" t="str">
            <v>Indirect</v>
          </cell>
        </row>
        <row r="258">
          <cell r="C258">
            <v>10080043</v>
          </cell>
          <cell r="D258" t="str">
            <v>Gangaprasad - Prashant</v>
          </cell>
          <cell r="E258" t="str">
            <v>MPG</v>
          </cell>
          <cell r="F258" t="str">
            <v>Indirect</v>
          </cell>
        </row>
        <row r="259">
          <cell r="C259">
            <v>10080048</v>
          </cell>
          <cell r="D259" t="str">
            <v>GOMUKH RANI 3</v>
          </cell>
          <cell r="E259" t="str">
            <v>MPG</v>
          </cell>
          <cell r="F259" t="str">
            <v>Direct</v>
          </cell>
        </row>
        <row r="260">
          <cell r="C260">
            <v>10080052</v>
          </cell>
          <cell r="D260" t="str">
            <v>GOMUKH NONPUR</v>
          </cell>
          <cell r="E260" t="str">
            <v>MPG</v>
          </cell>
          <cell r="F260" t="str">
            <v>Direct</v>
          </cell>
        </row>
        <row r="261">
          <cell r="C261">
            <v>10080053</v>
          </cell>
          <cell r="D261" t="str">
            <v>GOMUKH FATEHA</v>
          </cell>
          <cell r="E261" t="str">
            <v>MPG</v>
          </cell>
          <cell r="F261" t="str">
            <v>Direct</v>
          </cell>
        </row>
        <row r="262">
          <cell r="C262">
            <v>10080054</v>
          </cell>
          <cell r="D262" t="str">
            <v>Bablu Singh</v>
          </cell>
          <cell r="E262" t="str">
            <v>MPG</v>
          </cell>
          <cell r="F262" t="str">
            <v>Indirect</v>
          </cell>
        </row>
        <row r="263">
          <cell r="C263">
            <v>10080055</v>
          </cell>
          <cell r="D263" t="str">
            <v>Gomukh Rani                                                                                         </v>
          </cell>
          <cell r="E263" t="str">
            <v>MPG</v>
          </cell>
          <cell r="F263" t="str">
            <v>Direct</v>
          </cell>
        </row>
        <row r="264">
          <cell r="C264">
            <v>10080061</v>
          </cell>
          <cell r="D264" t="str">
            <v>GOMUKH ROOPNAGAR</v>
          </cell>
          <cell r="E264" t="str">
            <v>MPG</v>
          </cell>
          <cell r="F264" t="str">
            <v>Direct</v>
          </cell>
        </row>
        <row r="265">
          <cell r="C265">
            <v>10080062</v>
          </cell>
          <cell r="D265" t="str">
            <v>GOMUKH SIBUTOL 2</v>
          </cell>
          <cell r="E265" t="str">
            <v>MPG</v>
          </cell>
          <cell r="F265" t="str">
            <v>Direct</v>
          </cell>
        </row>
        <row r="266">
          <cell r="C266">
            <v>10080067</v>
          </cell>
          <cell r="D266" t="str">
            <v>Gomukh Harichak</v>
          </cell>
          <cell r="E266" t="str">
            <v>MPG</v>
          </cell>
          <cell r="F266" t="str">
            <v>Direct</v>
          </cell>
        </row>
        <row r="267">
          <cell r="C267">
            <v>10080072</v>
          </cell>
          <cell r="D267" t="str">
            <v>GOMUKH CHIRANJIVIPUR</v>
          </cell>
          <cell r="E267" t="str">
            <v>MPG</v>
          </cell>
          <cell r="F267" t="str">
            <v>Direct</v>
          </cell>
        </row>
        <row r="268">
          <cell r="C268">
            <v>10080076</v>
          </cell>
          <cell r="D268" t="str">
            <v>RAJ BHARDWAJ</v>
          </cell>
          <cell r="E268" t="str">
            <v>MPG</v>
          </cell>
          <cell r="F268" t="str">
            <v>Indirect</v>
          </cell>
        </row>
        <row r="269">
          <cell r="C269">
            <v>10080077</v>
          </cell>
          <cell r="D269" t="str">
            <v>Gomukh Amarpur</v>
          </cell>
          <cell r="E269" t="str">
            <v>MPG</v>
          </cell>
          <cell r="F269" t="str">
            <v>Direct</v>
          </cell>
        </row>
        <row r="270">
          <cell r="C270">
            <v>10080078</v>
          </cell>
          <cell r="D270" t="str">
            <v>Prashant Kumar</v>
          </cell>
          <cell r="E270" t="str">
            <v>MPG</v>
          </cell>
          <cell r="F270" t="str">
            <v>Indirect</v>
          </cell>
        </row>
        <row r="271">
          <cell r="C271">
            <v>10080079</v>
          </cell>
          <cell r="D271" t="str">
            <v>Gomukh Barauni 3</v>
          </cell>
          <cell r="E271" t="str">
            <v>MPG</v>
          </cell>
          <cell r="F271" t="str">
            <v>Direct</v>
          </cell>
        </row>
        <row r="272">
          <cell r="C272">
            <v>10080080</v>
          </cell>
          <cell r="D272" t="str">
            <v>CHANDAN YADAV</v>
          </cell>
          <cell r="E272" t="str">
            <v>MPG</v>
          </cell>
          <cell r="F272" t="str">
            <v>Indirect</v>
          </cell>
        </row>
        <row r="273">
          <cell r="C273">
            <v>10080082</v>
          </cell>
          <cell r="D273" t="str">
            <v>DINESH YADAV</v>
          </cell>
          <cell r="E273" t="str">
            <v>MPG</v>
          </cell>
          <cell r="F273" t="str">
            <v>Indirect</v>
          </cell>
        </row>
        <row r="274">
          <cell r="C274">
            <v>10080083</v>
          </cell>
          <cell r="D274" t="str">
            <v>ANITA DEVI</v>
          </cell>
          <cell r="E274" t="str">
            <v>MPG</v>
          </cell>
          <cell r="F274" t="str">
            <v>Indirect</v>
          </cell>
        </row>
        <row r="275">
          <cell r="C275">
            <v>10080086</v>
          </cell>
          <cell r="D275" t="str">
            <v>GOMUKH FATEHA SALEMPUR</v>
          </cell>
          <cell r="E275" t="str">
            <v>MPG</v>
          </cell>
          <cell r="F275" t="str">
            <v>Direct</v>
          </cell>
        </row>
        <row r="276">
          <cell r="C276">
            <v>10080087</v>
          </cell>
          <cell r="D276" t="str">
            <v>GOMUKH GEHUNI 2</v>
          </cell>
          <cell r="E276" t="str">
            <v>MPG</v>
          </cell>
          <cell r="F276" t="str">
            <v>Direct</v>
          </cell>
        </row>
        <row r="277">
          <cell r="C277">
            <v>10080088</v>
          </cell>
          <cell r="D277" t="str">
            <v>GOMUKH MALHIPUR</v>
          </cell>
          <cell r="E277" t="str">
            <v>MPG</v>
          </cell>
          <cell r="F277" t="str">
            <v>Direct</v>
          </cell>
        </row>
        <row r="278">
          <cell r="C278">
            <v>10080089</v>
          </cell>
          <cell r="D278" t="str">
            <v>Bihat - Sonu Kumar</v>
          </cell>
          <cell r="E278" t="str">
            <v>MPG</v>
          </cell>
          <cell r="F278" t="str">
            <v>Indirect</v>
          </cell>
        </row>
        <row r="279">
          <cell r="C279">
            <v>10080090</v>
          </cell>
          <cell r="D279" t="str">
            <v>Rasalpur - Durgesh Kumar</v>
          </cell>
          <cell r="E279" t="str">
            <v>MPG</v>
          </cell>
          <cell r="F279" t="str">
            <v>Indirect</v>
          </cell>
        </row>
        <row r="280">
          <cell r="C280">
            <v>10080093</v>
          </cell>
          <cell r="D280" t="str">
            <v>Barauni Bariyarpur</v>
          </cell>
          <cell r="E280" t="str">
            <v>MPG</v>
          </cell>
          <cell r="F280" t="str">
            <v>Direct</v>
          </cell>
        </row>
        <row r="281">
          <cell r="C281">
            <v>10080095</v>
          </cell>
          <cell r="D281" t="str">
            <v>Jaynagar</v>
          </cell>
          <cell r="E281" t="str">
            <v>MPG</v>
          </cell>
          <cell r="F281" t="str">
            <v>Direct</v>
          </cell>
        </row>
        <row r="282">
          <cell r="C282">
            <v>10080097</v>
          </cell>
          <cell r="D282" t="str">
            <v>Fateha - Anil Yadav</v>
          </cell>
          <cell r="E282" t="str">
            <v>MPG</v>
          </cell>
          <cell r="F282" t="str">
            <v>Indirect</v>
          </cell>
        </row>
        <row r="283">
          <cell r="C283">
            <v>10080099</v>
          </cell>
          <cell r="D283" t="str">
            <v>Bihat - Chakballi</v>
          </cell>
          <cell r="E283" t="str">
            <v>MPG</v>
          </cell>
          <cell r="F283" t="str">
            <v>Direct</v>
          </cell>
        </row>
        <row r="284">
          <cell r="C284">
            <v>10080100</v>
          </cell>
          <cell r="D284" t="str">
            <v>Sibutol- Naya Tola</v>
          </cell>
          <cell r="E284" t="str">
            <v>MPG</v>
          </cell>
          <cell r="F284" t="str">
            <v>Direct</v>
          </cell>
        </row>
        <row r="285">
          <cell r="C285">
            <v>10080107</v>
          </cell>
          <cell r="D285" t="str">
            <v>Rasalpur</v>
          </cell>
          <cell r="E285" t="str">
            <v>MPG</v>
          </cell>
          <cell r="F285" t="str">
            <v>Indirect</v>
          </cell>
        </row>
        <row r="286">
          <cell r="C286">
            <v>10080110</v>
          </cell>
          <cell r="D286" t="str">
            <v>Rudauli</v>
          </cell>
          <cell r="E286" t="str">
            <v>MPG</v>
          </cell>
          <cell r="F286" t="str">
            <v>Indirect</v>
          </cell>
        </row>
        <row r="287">
          <cell r="C287">
            <v>10080112</v>
          </cell>
          <cell r="D287" t="str">
            <v>Samsa</v>
          </cell>
          <cell r="E287" t="str">
            <v>MPG</v>
          </cell>
          <cell r="F287" t="str">
            <v>Indirect</v>
          </cell>
        </row>
        <row r="288">
          <cell r="C288">
            <v>10080113</v>
          </cell>
          <cell r="D288" t="str">
            <v>Dahiya</v>
          </cell>
          <cell r="E288" t="str">
            <v>MPG</v>
          </cell>
          <cell r="F288" t="str">
            <v>Indirect</v>
          </cell>
        </row>
        <row r="289">
          <cell r="C289">
            <v>10080115</v>
          </cell>
          <cell r="D289" t="str">
            <v>Gaura</v>
          </cell>
          <cell r="E289" t="str">
            <v>MPG</v>
          </cell>
          <cell r="F289" t="str">
            <v>Direct</v>
          </cell>
        </row>
        <row r="290">
          <cell r="C290">
            <v>10080117</v>
          </cell>
          <cell r="D290" t="str">
            <v>Nipania-VLC</v>
          </cell>
          <cell r="E290" t="str">
            <v>MPG</v>
          </cell>
          <cell r="F290" t="str">
            <v>Indirect</v>
          </cell>
        </row>
        <row r="291">
          <cell r="C291">
            <v>10080119</v>
          </cell>
          <cell r="D291" t="str">
            <v>Mukhtiyarpur</v>
          </cell>
          <cell r="E291" t="str">
            <v>MPG</v>
          </cell>
          <cell r="F291" t="str">
            <v>Direct</v>
          </cell>
        </row>
        <row r="292">
          <cell r="C292">
            <v>10080120</v>
          </cell>
          <cell r="D292" t="str">
            <v>Gomukh Rudauli-02</v>
          </cell>
          <cell r="E292" t="str">
            <v>MPG</v>
          </cell>
          <cell r="F292" t="str">
            <v>Direct</v>
          </cell>
        </row>
        <row r="293">
          <cell r="C293">
            <v>10080121</v>
          </cell>
          <cell r="D293" t="str">
            <v>Gomukh Jhamatia</v>
          </cell>
          <cell r="E293" t="str">
            <v>MPG</v>
          </cell>
          <cell r="F293" t="str">
            <v>Direct</v>
          </cell>
        </row>
        <row r="294">
          <cell r="C294">
            <v>10080122</v>
          </cell>
          <cell r="D294" t="str">
            <v>Gomukh Puranatol Raichiahi</v>
          </cell>
          <cell r="E294" t="str">
            <v>MPG</v>
          </cell>
          <cell r="F294" t="str">
            <v>Direct</v>
          </cell>
        </row>
        <row r="295">
          <cell r="C295">
            <v>10080124</v>
          </cell>
          <cell r="D295" t="str">
            <v>Bihat-Gududaspur</v>
          </cell>
          <cell r="E295" t="str">
            <v>MPG</v>
          </cell>
          <cell r="F295" t="str">
            <v>Direct</v>
          </cell>
        </row>
        <row r="296">
          <cell r="C296">
            <v>10090001</v>
          </cell>
          <cell r="D296" t="str">
            <v>POHE</v>
          </cell>
          <cell r="E296" t="str">
            <v>MPG</v>
          </cell>
          <cell r="F296" t="str">
            <v>Indirect</v>
          </cell>
        </row>
        <row r="297">
          <cell r="C297">
            <v>10090002</v>
          </cell>
          <cell r="D297" t="str">
            <v>AURO</v>
          </cell>
          <cell r="E297" t="str">
            <v>MPG</v>
          </cell>
          <cell r="F297" t="str">
            <v>Direct</v>
          </cell>
        </row>
        <row r="298">
          <cell r="C298">
            <v>10090003</v>
          </cell>
          <cell r="D298" t="str">
            <v>PARSHAMA</v>
          </cell>
          <cell r="E298" t="str">
            <v>MPG</v>
          </cell>
          <cell r="F298" t="str">
            <v>Direct</v>
          </cell>
        </row>
        <row r="299">
          <cell r="C299">
            <v>10090005</v>
          </cell>
          <cell r="D299" t="str">
            <v>PRATAPUR 2</v>
          </cell>
          <cell r="E299" t="str">
            <v>MPG</v>
          </cell>
          <cell r="F299" t="str">
            <v>Indirect</v>
          </cell>
        </row>
        <row r="300">
          <cell r="C300">
            <v>10090006</v>
          </cell>
          <cell r="D300" t="str">
            <v>BALLOPUR</v>
          </cell>
          <cell r="E300" t="str">
            <v>MPG</v>
          </cell>
          <cell r="F300" t="str">
            <v>Direct</v>
          </cell>
        </row>
        <row r="301">
          <cell r="C301">
            <v>10090007</v>
          </cell>
          <cell r="D301" t="str">
            <v>KHAIRMA</v>
          </cell>
          <cell r="E301" t="str">
            <v>MPG</v>
          </cell>
          <cell r="F301" t="str">
            <v>Direct</v>
          </cell>
        </row>
        <row r="302">
          <cell r="C302">
            <v>10090008</v>
          </cell>
          <cell r="D302" t="str">
            <v>MAHASONI</v>
          </cell>
          <cell r="E302" t="str">
            <v>MPG</v>
          </cell>
          <cell r="F302" t="str">
            <v>Direct</v>
          </cell>
        </row>
        <row r="303">
          <cell r="C303">
            <v>10090009</v>
          </cell>
          <cell r="D303" t="str">
            <v>SONDHI</v>
          </cell>
          <cell r="E303" t="str">
            <v>MPG</v>
          </cell>
          <cell r="F303" t="str">
            <v>Direct</v>
          </cell>
        </row>
        <row r="304">
          <cell r="C304">
            <v>10090010</v>
          </cell>
          <cell r="D304" t="str">
            <v>NANDNAMA</v>
          </cell>
          <cell r="E304" t="str">
            <v>MPG</v>
          </cell>
          <cell r="F304" t="str">
            <v>Indirect</v>
          </cell>
        </row>
        <row r="305">
          <cell r="C305">
            <v>10090011</v>
          </cell>
          <cell r="D305" t="str">
            <v>BELDARAYA</v>
          </cell>
          <cell r="E305" t="str">
            <v>MPG</v>
          </cell>
          <cell r="F305" t="str">
            <v>Indirect</v>
          </cell>
        </row>
        <row r="306">
          <cell r="C306">
            <v>10090012</v>
          </cell>
          <cell r="D306" t="str">
            <v>Gomukh ID Aure-2</v>
          </cell>
          <cell r="E306" t="str">
            <v>MPG</v>
          </cell>
          <cell r="F306" t="str">
            <v>Indirect</v>
          </cell>
        </row>
        <row r="307">
          <cell r="C307">
            <v>10090014</v>
          </cell>
          <cell r="D307" t="str">
            <v>Gomukh Karma</v>
          </cell>
          <cell r="E307" t="str">
            <v>MPG</v>
          </cell>
          <cell r="F307" t="str">
            <v>Indirect</v>
          </cell>
        </row>
        <row r="308">
          <cell r="C308">
            <v>10090015</v>
          </cell>
          <cell r="D308" t="str">
            <v>GOMUKH UKSI</v>
          </cell>
          <cell r="E308" t="str">
            <v>MPG</v>
          </cell>
          <cell r="F308" t="str">
            <v>Indirect</v>
          </cell>
        </row>
        <row r="309">
          <cell r="C309">
            <v>10090017</v>
          </cell>
          <cell r="D309" t="str">
            <v>Gomukh ID Halsi</v>
          </cell>
          <cell r="E309" t="str">
            <v>MPG</v>
          </cell>
          <cell r="F309" t="str">
            <v>Indirect</v>
          </cell>
        </row>
        <row r="310">
          <cell r="C310">
            <v>10090018</v>
          </cell>
          <cell r="D310" t="str">
            <v>Gomukh ID Lalpur</v>
          </cell>
          <cell r="E310" t="str">
            <v>MPG</v>
          </cell>
          <cell r="F310" t="str">
            <v>Indirect</v>
          </cell>
        </row>
        <row r="311">
          <cell r="C311">
            <v>10090021</v>
          </cell>
          <cell r="D311" t="str">
            <v>KHURIYARI</v>
          </cell>
          <cell r="E311" t="str">
            <v>MPG</v>
          </cell>
          <cell r="F311" t="str">
            <v>Direct</v>
          </cell>
        </row>
        <row r="312">
          <cell r="C312">
            <v>10090022</v>
          </cell>
          <cell r="D312" t="str">
            <v>BISANPUR</v>
          </cell>
          <cell r="E312" t="str">
            <v>MPG</v>
          </cell>
          <cell r="F312" t="str">
            <v>Indirect</v>
          </cell>
        </row>
        <row r="313">
          <cell r="C313">
            <v>10090024</v>
          </cell>
          <cell r="D313" t="str">
            <v>BEHRAMA</v>
          </cell>
          <cell r="E313" t="str">
            <v>MPG</v>
          </cell>
          <cell r="F313" t="str">
            <v>Indirect</v>
          </cell>
        </row>
        <row r="314">
          <cell r="C314">
            <v>10090025</v>
          </cell>
          <cell r="D314" t="str">
            <v>Gomukh ID Mathurapur</v>
          </cell>
          <cell r="E314" t="str">
            <v>MPG</v>
          </cell>
          <cell r="F314" t="str">
            <v>Indirect</v>
          </cell>
        </row>
        <row r="315">
          <cell r="C315">
            <v>10090027</v>
          </cell>
          <cell r="D315" t="str">
            <v>Gomukh ID Kurha Dih</v>
          </cell>
          <cell r="E315" t="str">
            <v>MPG</v>
          </cell>
          <cell r="F315" t="str">
            <v>Indirect</v>
          </cell>
        </row>
        <row r="316">
          <cell r="C316">
            <v>10090029</v>
          </cell>
          <cell r="D316" t="str">
            <v>RAMNAGAR</v>
          </cell>
          <cell r="E316" t="str">
            <v>MPG</v>
          </cell>
          <cell r="F316" t="str">
            <v>Direct</v>
          </cell>
        </row>
        <row r="317">
          <cell r="C317">
            <v>10090033</v>
          </cell>
          <cell r="D317" t="str">
            <v>SANDH MAAF 2</v>
          </cell>
          <cell r="E317" t="str">
            <v>MPG</v>
          </cell>
          <cell r="F317" t="str">
            <v>Direct</v>
          </cell>
        </row>
        <row r="318">
          <cell r="C318">
            <v>10090034</v>
          </cell>
          <cell r="D318" t="str">
            <v xml:space="preserve">BHATTA                                                                                              </v>
          </cell>
          <cell r="E318" t="str">
            <v>MPG</v>
          </cell>
          <cell r="F318" t="str">
            <v>Direct</v>
          </cell>
        </row>
        <row r="319">
          <cell r="C319">
            <v>10090036</v>
          </cell>
          <cell r="D319" t="str">
            <v xml:space="preserve">TAAL-SHAHARSHA                                                                                      </v>
          </cell>
          <cell r="E319" t="str">
            <v>MPG</v>
          </cell>
          <cell r="F319" t="str">
            <v>Direct</v>
          </cell>
        </row>
        <row r="320">
          <cell r="C320">
            <v>10090037</v>
          </cell>
          <cell r="D320" t="str">
            <v>Dhira</v>
          </cell>
          <cell r="E320" t="str">
            <v>MPG</v>
          </cell>
          <cell r="F320" t="str">
            <v>Direct</v>
          </cell>
        </row>
        <row r="321">
          <cell r="C321">
            <v>10090040</v>
          </cell>
          <cell r="D321" t="str">
            <v>BARHARA</v>
          </cell>
          <cell r="E321" t="str">
            <v>MPG</v>
          </cell>
          <cell r="F321" t="str">
            <v>Direct</v>
          </cell>
        </row>
        <row r="322">
          <cell r="C322">
            <v>10090041</v>
          </cell>
          <cell r="D322" t="str">
            <v>AZADNAGAR(VLC)</v>
          </cell>
          <cell r="E322" t="str">
            <v>MPG</v>
          </cell>
          <cell r="F322" t="str">
            <v>Indirect</v>
          </cell>
        </row>
        <row r="323">
          <cell r="C323">
            <v>10090042</v>
          </cell>
          <cell r="D323" t="str">
            <v>REWAI</v>
          </cell>
          <cell r="E323" t="str">
            <v>MPG</v>
          </cell>
          <cell r="F323" t="str">
            <v>Direct</v>
          </cell>
        </row>
        <row r="324">
          <cell r="C324">
            <v>10090043</v>
          </cell>
          <cell r="D324" t="str">
            <v>BAKHIYA</v>
          </cell>
          <cell r="E324" t="str">
            <v>MPG</v>
          </cell>
          <cell r="F324" t="str">
            <v>Direct</v>
          </cell>
        </row>
        <row r="325">
          <cell r="C325">
            <v>10090045</v>
          </cell>
          <cell r="D325" t="str">
            <v>MANJOS</v>
          </cell>
          <cell r="E325" t="str">
            <v>MPG</v>
          </cell>
          <cell r="F325" t="str">
            <v>Direct</v>
          </cell>
        </row>
        <row r="326">
          <cell r="C326">
            <v>10090046</v>
          </cell>
          <cell r="D326" t="str">
            <v>RATA</v>
          </cell>
          <cell r="E326" t="str">
            <v>MPG</v>
          </cell>
          <cell r="F326" t="str">
            <v>Direct</v>
          </cell>
        </row>
        <row r="327">
          <cell r="C327">
            <v>10090047</v>
          </cell>
          <cell r="D327" t="str">
            <v>BARUI</v>
          </cell>
          <cell r="E327" t="str">
            <v>MPG</v>
          </cell>
          <cell r="F327" t="str">
            <v>Direct</v>
          </cell>
        </row>
        <row r="328">
          <cell r="C328">
            <v>10090049</v>
          </cell>
          <cell r="D328" t="str">
            <v>LAHUARA                                                                                             </v>
          </cell>
          <cell r="E328" t="str">
            <v>MPG</v>
          </cell>
          <cell r="F328" t="str">
            <v>Direct</v>
          </cell>
        </row>
        <row r="329">
          <cell r="C329">
            <v>10090052</v>
          </cell>
          <cell r="D329" t="str">
            <v>LACHHUAR</v>
          </cell>
          <cell r="E329" t="str">
            <v>MPG</v>
          </cell>
          <cell r="F329" t="str">
            <v>Direct</v>
          </cell>
        </row>
        <row r="330">
          <cell r="C330">
            <v>10090055</v>
          </cell>
          <cell r="D330" t="str">
            <v>RAMDIH Ajit Kumar</v>
          </cell>
          <cell r="E330" t="str">
            <v>MPG</v>
          </cell>
          <cell r="F330" t="str">
            <v>Indirect</v>
          </cell>
        </row>
        <row r="331">
          <cell r="C331">
            <v>10090056</v>
          </cell>
          <cell r="D331" t="str">
            <v>NARAYANPUR</v>
          </cell>
          <cell r="E331" t="str">
            <v>MPG</v>
          </cell>
          <cell r="F331" t="str">
            <v>Direct</v>
          </cell>
        </row>
        <row r="332">
          <cell r="C332">
            <v>10090058</v>
          </cell>
          <cell r="D332" t="str">
            <v>NAWKADIH</v>
          </cell>
          <cell r="E332" t="str">
            <v>MPG</v>
          </cell>
          <cell r="F332" t="str">
            <v>Direct</v>
          </cell>
        </row>
        <row r="333">
          <cell r="C333">
            <v>10090059</v>
          </cell>
          <cell r="D333" t="str">
            <v>CHOTAHA</v>
          </cell>
          <cell r="E333" t="str">
            <v>MPG</v>
          </cell>
          <cell r="F333" t="str">
            <v>Direct</v>
          </cell>
        </row>
        <row r="334">
          <cell r="C334">
            <v>10090060</v>
          </cell>
          <cell r="D334" t="str">
            <v xml:space="preserve">KHARAGWADA </v>
          </cell>
          <cell r="E334" t="str">
            <v>MPG</v>
          </cell>
          <cell r="F334" t="str">
            <v>Direct</v>
          </cell>
        </row>
        <row r="335">
          <cell r="C335">
            <v>10090061</v>
          </cell>
          <cell r="D335" t="str">
            <v>UFFAPUR</v>
          </cell>
          <cell r="E335" t="str">
            <v>MPG</v>
          </cell>
          <cell r="F335" t="str">
            <v>Direct</v>
          </cell>
        </row>
        <row r="336">
          <cell r="C336">
            <v>10090063</v>
          </cell>
          <cell r="D336" t="str">
            <v>BIHRAURA</v>
          </cell>
          <cell r="E336" t="str">
            <v>MPG</v>
          </cell>
          <cell r="F336" t="str">
            <v>Direct</v>
          </cell>
        </row>
        <row r="337">
          <cell r="C337">
            <v>10090064</v>
          </cell>
          <cell r="D337" t="str">
            <v>SHIJHORI</v>
          </cell>
          <cell r="E337" t="str">
            <v>MPG</v>
          </cell>
          <cell r="F337" t="str">
            <v>Direct</v>
          </cell>
        </row>
        <row r="338">
          <cell r="C338">
            <v>10090065</v>
          </cell>
          <cell r="D338" t="str">
            <v>RAM PRAVESH YADAV</v>
          </cell>
          <cell r="E338" t="str">
            <v>MPG</v>
          </cell>
          <cell r="F338" t="str">
            <v>Direct</v>
          </cell>
        </row>
        <row r="339">
          <cell r="C339">
            <v>10090066</v>
          </cell>
          <cell r="D339" t="str">
            <v>KRAUTA</v>
          </cell>
          <cell r="E339" t="str">
            <v>MPG</v>
          </cell>
          <cell r="F339" t="str">
            <v>Direct</v>
          </cell>
        </row>
        <row r="340">
          <cell r="C340">
            <v>10090072</v>
          </cell>
          <cell r="D340" t="str">
            <v>BOUDHNAGAR</v>
          </cell>
          <cell r="E340" t="str">
            <v>MPG</v>
          </cell>
          <cell r="F340" t="str">
            <v>Direct</v>
          </cell>
        </row>
        <row r="341">
          <cell r="C341">
            <v>10090074</v>
          </cell>
          <cell r="D341" t="str">
            <v>MOHADDINGAR</v>
          </cell>
          <cell r="E341" t="str">
            <v>MPG</v>
          </cell>
          <cell r="F341" t="str">
            <v>Direct</v>
          </cell>
        </row>
        <row r="342">
          <cell r="C342">
            <v>10090075</v>
          </cell>
          <cell r="D342" t="str">
            <v>PACHAUTA</v>
          </cell>
          <cell r="E342" t="str">
            <v>MPG</v>
          </cell>
          <cell r="F342" t="str">
            <v>Direct</v>
          </cell>
        </row>
        <row r="343">
          <cell r="C343">
            <v>10090076</v>
          </cell>
          <cell r="D343" t="str">
            <v>Gomukh Champa</v>
          </cell>
          <cell r="E343" t="str">
            <v>MPG</v>
          </cell>
          <cell r="F343" t="str">
            <v>Indirect</v>
          </cell>
        </row>
        <row r="344">
          <cell r="C344">
            <v>10090077</v>
          </cell>
          <cell r="D344" t="str">
            <v>GOMUKH DAKRA</v>
          </cell>
          <cell r="E344" t="str">
            <v>MPG</v>
          </cell>
          <cell r="F344" t="str">
            <v>Indirect</v>
          </cell>
        </row>
        <row r="345">
          <cell r="C345">
            <v>10090078</v>
          </cell>
          <cell r="D345" t="str">
            <v>TIYAY</v>
          </cell>
          <cell r="E345" t="str">
            <v>MPG</v>
          </cell>
          <cell r="F345" t="str">
            <v>Direct</v>
          </cell>
        </row>
        <row r="346">
          <cell r="C346">
            <v>10100001</v>
          </cell>
          <cell r="D346" t="str">
            <v>Vishan Pur</v>
          </cell>
          <cell r="E346" t="str">
            <v>MPG</v>
          </cell>
          <cell r="F346" t="str">
            <v>Direct</v>
          </cell>
        </row>
        <row r="347">
          <cell r="C347">
            <v>10100003</v>
          </cell>
          <cell r="D347" t="str">
            <v>Gomukh Madhawpur</v>
          </cell>
          <cell r="E347" t="str">
            <v>MPG</v>
          </cell>
          <cell r="F347" t="str">
            <v>Direct</v>
          </cell>
        </row>
        <row r="348">
          <cell r="C348">
            <v>10100004</v>
          </cell>
          <cell r="D348" t="str">
            <v>Gomukh Muradpur</v>
          </cell>
          <cell r="E348" t="str">
            <v>MPG</v>
          </cell>
          <cell r="F348" t="str">
            <v>Indirect</v>
          </cell>
        </row>
        <row r="349">
          <cell r="C349">
            <v>10100009</v>
          </cell>
          <cell r="D349" t="str">
            <v>Gomukh Kanhaiyachak Pachhim</v>
          </cell>
          <cell r="E349" t="str">
            <v>MPG</v>
          </cell>
          <cell r="F349" t="str">
            <v>Direct</v>
          </cell>
        </row>
        <row r="350">
          <cell r="C350">
            <v>10100014</v>
          </cell>
          <cell r="D350" t="str">
            <v>Gomukh Srirampur Thuthi</v>
          </cell>
          <cell r="E350" t="str">
            <v>MPG</v>
          </cell>
          <cell r="F350" t="str">
            <v>Direct</v>
          </cell>
        </row>
        <row r="351">
          <cell r="C351">
            <v>10100015</v>
          </cell>
          <cell r="D351" t="str">
            <v>Gomukh Dumariya Bujurg</v>
          </cell>
          <cell r="E351" t="str">
            <v>MPG</v>
          </cell>
          <cell r="F351" t="str">
            <v>Direct</v>
          </cell>
        </row>
        <row r="352">
          <cell r="C352">
            <v>10100016</v>
          </cell>
          <cell r="D352" t="str">
            <v>Gomukh Dumariya Bujurg Madhay</v>
          </cell>
          <cell r="E352" t="str">
            <v>MPG</v>
          </cell>
          <cell r="F352" t="str">
            <v>Direct</v>
          </cell>
        </row>
        <row r="353">
          <cell r="C353">
            <v>10100021</v>
          </cell>
          <cell r="D353" t="str">
            <v xml:space="preserve">Gomukh Bandahera                                                                                    </v>
          </cell>
          <cell r="E353" t="str">
            <v>MPG</v>
          </cell>
          <cell r="F353" t="str">
            <v>Direct</v>
          </cell>
        </row>
        <row r="354">
          <cell r="C354">
            <v>10100026</v>
          </cell>
          <cell r="D354" t="str">
            <v>Gomukh Badi Lagar-1 Kiran</v>
          </cell>
          <cell r="E354" t="str">
            <v>MPG</v>
          </cell>
          <cell r="F354" t="str">
            <v>Indirect</v>
          </cell>
        </row>
        <row r="355">
          <cell r="C355">
            <v>10100033</v>
          </cell>
          <cell r="D355" t="str">
            <v>Gomukh Basudevpur</v>
          </cell>
          <cell r="E355" t="str">
            <v>MPG</v>
          </cell>
          <cell r="F355" t="str">
            <v>Indirect</v>
          </cell>
        </row>
        <row r="356">
          <cell r="C356">
            <v>10100035</v>
          </cell>
          <cell r="D356" t="str">
            <v>Gomukh Fudkichak</v>
          </cell>
          <cell r="E356" t="str">
            <v>MPG</v>
          </cell>
          <cell r="F356" t="str">
            <v>Direct</v>
          </cell>
        </row>
        <row r="357">
          <cell r="C357">
            <v>10100037</v>
          </cell>
          <cell r="D357" t="str">
            <v>Gomukh Tehay</v>
          </cell>
          <cell r="E357" t="str">
            <v>MPG</v>
          </cell>
          <cell r="F357" t="str">
            <v>Direct</v>
          </cell>
        </row>
        <row r="358">
          <cell r="C358">
            <v>10100044</v>
          </cell>
          <cell r="D358" t="str">
            <v>Gomukh Buddhnagar</v>
          </cell>
          <cell r="E358" t="str">
            <v>MPG</v>
          </cell>
          <cell r="F358" t="str">
            <v>Indirect</v>
          </cell>
        </row>
        <row r="359">
          <cell r="C359">
            <v>10100045</v>
          </cell>
          <cell r="D359" t="str">
            <v>Gomukh Krochaka Dudhela</v>
          </cell>
          <cell r="E359" t="str">
            <v>MPG</v>
          </cell>
          <cell r="F359" t="str">
            <v>Direct</v>
          </cell>
        </row>
        <row r="360">
          <cell r="C360">
            <v>10100049</v>
          </cell>
          <cell r="D360" t="str">
            <v>Gomukh Govind Pur</v>
          </cell>
          <cell r="E360" t="str">
            <v>MPG</v>
          </cell>
          <cell r="F360" t="str">
            <v>Direct</v>
          </cell>
        </row>
        <row r="361">
          <cell r="C361">
            <v>10100051</v>
          </cell>
          <cell r="D361" t="str">
            <v>Gomukh Sondiha</v>
          </cell>
          <cell r="E361" t="str">
            <v>MPG</v>
          </cell>
          <cell r="F361" t="str">
            <v>Direct</v>
          </cell>
        </row>
        <row r="362">
          <cell r="C362">
            <v>10100054</v>
          </cell>
          <cell r="D362" t="str">
            <v>Gomukh Thebhay B</v>
          </cell>
          <cell r="E362" t="str">
            <v>MPG</v>
          </cell>
          <cell r="F362" t="str">
            <v>Direct</v>
          </cell>
        </row>
        <row r="363">
          <cell r="C363">
            <v>10100060</v>
          </cell>
          <cell r="D363" t="str">
            <v>Gomukh Baisa</v>
          </cell>
          <cell r="E363" t="str">
            <v>MPG</v>
          </cell>
          <cell r="F363" t="str">
            <v>Direct</v>
          </cell>
        </row>
        <row r="364">
          <cell r="C364">
            <v>10100062</v>
          </cell>
          <cell r="D364" t="str">
            <v>Gomukh Khutha VLC</v>
          </cell>
          <cell r="E364" t="str">
            <v>MPG</v>
          </cell>
          <cell r="F364" t="str">
            <v>Indirect</v>
          </cell>
        </row>
        <row r="365">
          <cell r="C365">
            <v>10100065</v>
          </cell>
          <cell r="D365" t="str">
            <v>Gomukh Kabela Vlc</v>
          </cell>
          <cell r="E365" t="str">
            <v>MPG</v>
          </cell>
          <cell r="F365" t="str">
            <v>Indirect</v>
          </cell>
        </row>
        <row r="366">
          <cell r="C366">
            <v>10110001</v>
          </cell>
          <cell r="D366" t="str">
            <v>Gomukh Mahendrapur</v>
          </cell>
          <cell r="E366" t="str">
            <v>MPG</v>
          </cell>
          <cell r="F366" t="str">
            <v>Direct</v>
          </cell>
        </row>
        <row r="367">
          <cell r="C367">
            <v>10110002</v>
          </cell>
          <cell r="D367" t="str">
            <v>Gomukh Balahpur</v>
          </cell>
          <cell r="E367" t="str">
            <v>MPG</v>
          </cell>
          <cell r="F367" t="str">
            <v>Direct</v>
          </cell>
        </row>
        <row r="368">
          <cell r="C368">
            <v>10110004</v>
          </cell>
          <cell r="D368" t="str">
            <v>Gomukh Danauli</v>
          </cell>
          <cell r="E368" t="str">
            <v>MPG</v>
          </cell>
          <cell r="F368" t="str">
            <v>Direct</v>
          </cell>
        </row>
        <row r="369">
          <cell r="C369">
            <v>10110005</v>
          </cell>
          <cell r="D369" t="str">
            <v>NAYAGAW</v>
          </cell>
          <cell r="E369" t="str">
            <v>MPG</v>
          </cell>
          <cell r="F369" t="str">
            <v>Direct</v>
          </cell>
        </row>
        <row r="370">
          <cell r="C370">
            <v>10110007</v>
          </cell>
          <cell r="D370" t="str">
            <v>Dandari</v>
          </cell>
          <cell r="E370" t="str">
            <v>MPG</v>
          </cell>
          <cell r="F370" t="str">
            <v>Direct</v>
          </cell>
        </row>
        <row r="371">
          <cell r="C371">
            <v>10110008</v>
          </cell>
          <cell r="D371" t="str">
            <v>Rahimpur Pachkhutti</v>
          </cell>
          <cell r="E371" t="str">
            <v>MPG</v>
          </cell>
          <cell r="F371" t="str">
            <v>Direct</v>
          </cell>
        </row>
        <row r="372">
          <cell r="C372">
            <v>10110013</v>
          </cell>
          <cell r="D372" t="str">
            <v xml:space="preserve">Gomukh Mohanpur                                                                                     </v>
          </cell>
          <cell r="E372" t="str">
            <v>MPG</v>
          </cell>
          <cell r="F372" t="str">
            <v>Direct</v>
          </cell>
        </row>
        <row r="373">
          <cell r="C373">
            <v>10110014</v>
          </cell>
          <cell r="D373" t="str">
            <v>Gomukh Raghunathpur</v>
          </cell>
          <cell r="E373" t="str">
            <v>MPG</v>
          </cell>
          <cell r="F373" t="str">
            <v>Direct</v>
          </cell>
        </row>
        <row r="374">
          <cell r="C374">
            <v>10110015</v>
          </cell>
          <cell r="D374" t="str">
            <v>Gomukh Chhitraur</v>
          </cell>
          <cell r="E374" t="str">
            <v>MPG</v>
          </cell>
          <cell r="F374" t="str">
            <v>Direct</v>
          </cell>
        </row>
        <row r="375">
          <cell r="C375">
            <v>10110016</v>
          </cell>
          <cell r="D375" t="str">
            <v>Gomukh Khorampur Chakaur</v>
          </cell>
          <cell r="E375" t="str">
            <v>MPG</v>
          </cell>
          <cell r="F375" t="str">
            <v>Direct</v>
          </cell>
        </row>
        <row r="376">
          <cell r="C376">
            <v>10110019</v>
          </cell>
          <cell r="D376" t="str">
            <v>Goumukh Samastipur</v>
          </cell>
          <cell r="E376" t="str">
            <v>MPG</v>
          </cell>
          <cell r="F376" t="str">
            <v>Direct</v>
          </cell>
        </row>
        <row r="377">
          <cell r="C377">
            <v>10110021</v>
          </cell>
          <cell r="D377" t="str">
            <v>GOMUKH Mathar</v>
          </cell>
          <cell r="E377" t="str">
            <v>MPG</v>
          </cell>
          <cell r="F377" t="str">
            <v>Direct</v>
          </cell>
        </row>
        <row r="378">
          <cell r="C378">
            <v>10110032</v>
          </cell>
          <cell r="D378" t="str">
            <v>Gomukh Kumar Chakki</v>
          </cell>
          <cell r="E378" t="str">
            <v>MPG</v>
          </cell>
          <cell r="F378" t="str">
            <v>Direct</v>
          </cell>
        </row>
        <row r="379">
          <cell r="C379">
            <v>10110042</v>
          </cell>
          <cell r="D379" t="str">
            <v>Gomukh Sonapur</v>
          </cell>
          <cell r="E379" t="str">
            <v>MPG</v>
          </cell>
          <cell r="F379" t="str">
            <v>Indirect</v>
          </cell>
        </row>
        <row r="380">
          <cell r="C380">
            <v>10110043</v>
          </cell>
          <cell r="D380" t="str">
            <v>Gomukh Barkhandi 2</v>
          </cell>
          <cell r="E380" t="str">
            <v>MPG</v>
          </cell>
          <cell r="F380" t="str">
            <v>Indirect</v>
          </cell>
        </row>
        <row r="381">
          <cell r="C381">
            <v>10110049</v>
          </cell>
          <cell r="D381" t="str">
            <v xml:space="preserve">Gomukh Kalyanpur                                                                                    </v>
          </cell>
          <cell r="E381" t="str">
            <v>MPG</v>
          </cell>
          <cell r="F381" t="str">
            <v>Direct</v>
          </cell>
        </row>
        <row r="382">
          <cell r="C382">
            <v>10110050</v>
          </cell>
          <cell r="D382" t="str">
            <v xml:space="preserve">Gomukh Fatehpur                                                                                     </v>
          </cell>
          <cell r="E382" t="str">
            <v>MPG</v>
          </cell>
          <cell r="F382" t="str">
            <v>Direct</v>
          </cell>
        </row>
        <row r="383">
          <cell r="C383">
            <v>10110053</v>
          </cell>
          <cell r="D383" t="str">
            <v>GOMUKH KATAHRI</v>
          </cell>
          <cell r="E383" t="str">
            <v>MPG</v>
          </cell>
          <cell r="F383" t="str">
            <v>Direct</v>
          </cell>
        </row>
        <row r="384">
          <cell r="C384">
            <v>10110055</v>
          </cell>
          <cell r="D384" t="str">
            <v>GOMUKH Mathar Ward 10</v>
          </cell>
          <cell r="E384" t="str">
            <v>MPG</v>
          </cell>
          <cell r="F384" t="str">
            <v>Direct</v>
          </cell>
        </row>
        <row r="385">
          <cell r="C385">
            <v>10110057</v>
          </cell>
          <cell r="D385" t="str">
            <v>GOMUKH Tartor 2</v>
          </cell>
          <cell r="E385" t="str">
            <v>MPG</v>
          </cell>
          <cell r="F385" t="str">
            <v>Direct</v>
          </cell>
        </row>
        <row r="386">
          <cell r="C386">
            <v>10110065</v>
          </cell>
          <cell r="D386" t="str">
            <v>Gomukh Chaidha</v>
          </cell>
          <cell r="E386" t="str">
            <v>MPG</v>
          </cell>
          <cell r="F386" t="str">
            <v>Direct</v>
          </cell>
        </row>
        <row r="387">
          <cell r="C387">
            <v>10110066</v>
          </cell>
          <cell r="D387" t="str">
            <v>Gomukh Bakiya</v>
          </cell>
          <cell r="E387" t="str">
            <v>MPG</v>
          </cell>
          <cell r="F387" t="str">
            <v>Direct</v>
          </cell>
        </row>
        <row r="388">
          <cell r="C388">
            <v>10110071</v>
          </cell>
          <cell r="D388" t="str">
            <v>Gomukh Sadpur</v>
          </cell>
          <cell r="E388" t="str">
            <v>MPG</v>
          </cell>
          <cell r="F388" t="str">
            <v>Direct</v>
          </cell>
        </row>
        <row r="389">
          <cell r="C389">
            <v>10110073</v>
          </cell>
          <cell r="D389" t="str">
            <v>GOMUKH Nista Tol</v>
          </cell>
          <cell r="E389" t="str">
            <v>MPG</v>
          </cell>
          <cell r="F389" t="str">
            <v>Direct</v>
          </cell>
        </row>
        <row r="390">
          <cell r="C390">
            <v>10110076</v>
          </cell>
          <cell r="D390" t="str">
            <v>GOMUKH SRINAGAR</v>
          </cell>
          <cell r="E390" t="str">
            <v>MPG</v>
          </cell>
          <cell r="F390" t="str">
            <v>Direct</v>
          </cell>
        </row>
        <row r="391">
          <cell r="C391">
            <v>10110078</v>
          </cell>
          <cell r="D391" t="str">
            <v>GOMUKH THATHA</v>
          </cell>
          <cell r="E391" t="str">
            <v>MPG</v>
          </cell>
          <cell r="F391" t="str">
            <v>Direct</v>
          </cell>
        </row>
        <row r="392">
          <cell r="C392">
            <v>10110083</v>
          </cell>
          <cell r="D392" t="str">
            <v>GOMUKH SANHA NAYATOLA</v>
          </cell>
          <cell r="E392" t="str">
            <v>MPG</v>
          </cell>
          <cell r="F392" t="str">
            <v>Direct</v>
          </cell>
        </row>
        <row r="393">
          <cell r="C393">
            <v>10110086</v>
          </cell>
          <cell r="D393" t="str">
            <v>Gomukh Durgapur</v>
          </cell>
          <cell r="E393" t="str">
            <v>MPG</v>
          </cell>
          <cell r="F393" t="str">
            <v>Direct</v>
          </cell>
        </row>
        <row r="394">
          <cell r="C394">
            <v>10110091</v>
          </cell>
          <cell r="D394" t="str">
            <v>Gomukh Singhpur Balahpur</v>
          </cell>
          <cell r="E394" t="str">
            <v>MPG</v>
          </cell>
          <cell r="F394" t="str">
            <v>Indirect</v>
          </cell>
        </row>
        <row r="395">
          <cell r="C395">
            <v>10110093</v>
          </cell>
          <cell r="D395" t="str">
            <v>Gomukh Koniya</v>
          </cell>
          <cell r="E395" t="str">
            <v>MPG</v>
          </cell>
          <cell r="F395" t="str">
            <v>Direct</v>
          </cell>
        </row>
        <row r="396">
          <cell r="C396">
            <v>10110094</v>
          </cell>
          <cell r="D396" t="str">
            <v>GOMUKH ROHUA</v>
          </cell>
          <cell r="E396" t="str">
            <v>MPG</v>
          </cell>
          <cell r="F396" t="str">
            <v>Direct</v>
          </cell>
        </row>
        <row r="397">
          <cell r="C397">
            <v>10110095</v>
          </cell>
          <cell r="D397" t="str">
            <v>GOMUKH LAXMIPUR</v>
          </cell>
          <cell r="E397" t="str">
            <v>MPG</v>
          </cell>
          <cell r="F397" t="str">
            <v>Direct</v>
          </cell>
        </row>
        <row r="398">
          <cell r="C398">
            <v>10110097</v>
          </cell>
          <cell r="D398" t="str">
            <v>GOMUKH BACHOTA</v>
          </cell>
          <cell r="E398" t="str">
            <v>MPG</v>
          </cell>
          <cell r="F398" t="str">
            <v>Direct</v>
          </cell>
        </row>
        <row r="399">
          <cell r="C399">
            <v>10110098</v>
          </cell>
          <cell r="D399" t="str">
            <v>GOMUKH CHATAR</v>
          </cell>
          <cell r="E399" t="str">
            <v>MPG</v>
          </cell>
          <cell r="F399" t="str">
            <v>Direct</v>
          </cell>
        </row>
        <row r="400">
          <cell r="C400">
            <v>10110100</v>
          </cell>
          <cell r="D400" t="str">
            <v>GOMUKH BATHNAMA</v>
          </cell>
          <cell r="E400" t="str">
            <v>MPG</v>
          </cell>
          <cell r="F400" t="str">
            <v>Direct</v>
          </cell>
        </row>
        <row r="401">
          <cell r="C401">
            <v>10110101</v>
          </cell>
          <cell r="D401" t="str">
            <v>GOMUKH TILAK NAGAR</v>
          </cell>
          <cell r="E401" t="str">
            <v>MPG</v>
          </cell>
          <cell r="F401" t="str">
            <v>Direct</v>
          </cell>
        </row>
        <row r="402">
          <cell r="C402">
            <v>10110105</v>
          </cell>
          <cell r="D402" t="str">
            <v>Gomukh Thatha Purvi</v>
          </cell>
          <cell r="E402" t="str">
            <v>MPG</v>
          </cell>
          <cell r="F402" t="str">
            <v>Direct</v>
          </cell>
        </row>
        <row r="403">
          <cell r="C403">
            <v>10110106</v>
          </cell>
          <cell r="D403" t="str">
            <v>Gomukh Rahimpur Dakshin</v>
          </cell>
          <cell r="E403" t="str">
            <v>MPG</v>
          </cell>
          <cell r="F403" t="str">
            <v>Direct</v>
          </cell>
        </row>
        <row r="404">
          <cell r="C404">
            <v>10110109</v>
          </cell>
          <cell r="D404" t="str">
            <v>GOMUKH MORKAHI</v>
          </cell>
          <cell r="E404" t="str">
            <v>MPG</v>
          </cell>
          <cell r="F404" t="str">
            <v>Direct</v>
          </cell>
        </row>
        <row r="405">
          <cell r="C405">
            <v>10110110</v>
          </cell>
          <cell r="D405" t="str">
            <v>GOMUKH HANSPUR</v>
          </cell>
          <cell r="E405" t="str">
            <v>MPG</v>
          </cell>
          <cell r="F405" t="str">
            <v>Direct</v>
          </cell>
        </row>
        <row r="406">
          <cell r="C406">
            <v>10110111</v>
          </cell>
          <cell r="D406" t="str">
            <v>GOMUKH NAYAGAON 2</v>
          </cell>
          <cell r="E406" t="str">
            <v>MPG</v>
          </cell>
          <cell r="F406" t="str">
            <v>Direct</v>
          </cell>
        </row>
        <row r="407">
          <cell r="C407">
            <v>10110114</v>
          </cell>
          <cell r="D407" t="str">
            <v>GOMUKH LABHGAON</v>
          </cell>
          <cell r="E407" t="str">
            <v>MPG</v>
          </cell>
          <cell r="F407" t="str">
            <v>Direct</v>
          </cell>
        </row>
        <row r="408">
          <cell r="C408">
            <v>10110115</v>
          </cell>
          <cell r="D408" t="str">
            <v>GOMUKH TATRABAD</v>
          </cell>
          <cell r="E408" t="str">
            <v>MPG</v>
          </cell>
          <cell r="F408" t="str">
            <v>Direct</v>
          </cell>
        </row>
        <row r="409">
          <cell r="C409">
            <v>10110116</v>
          </cell>
          <cell r="D409" t="str">
            <v>GOMUKH CHANDPURA</v>
          </cell>
          <cell r="E409" t="str">
            <v>MPG</v>
          </cell>
          <cell r="F409" t="str">
            <v>Direct</v>
          </cell>
        </row>
        <row r="410">
          <cell r="C410">
            <v>10110118</v>
          </cell>
          <cell r="D410" t="str">
            <v>GOMUKH BADIL TOL</v>
          </cell>
          <cell r="E410" t="str">
            <v>MPG</v>
          </cell>
          <cell r="F410" t="str">
            <v>Direct</v>
          </cell>
        </row>
        <row r="411">
          <cell r="C411">
            <v>10110119</v>
          </cell>
          <cell r="D411" t="str">
            <v>GOMUKH TRIBHUVAN TOLA</v>
          </cell>
          <cell r="E411" t="str">
            <v>MPG</v>
          </cell>
          <cell r="F411" t="str">
            <v>Direct</v>
          </cell>
        </row>
        <row r="412">
          <cell r="C412">
            <v>10110120</v>
          </cell>
          <cell r="D412" t="str">
            <v>GOMUKH SANTOSHPUL</v>
          </cell>
          <cell r="E412" t="str">
            <v>MPG</v>
          </cell>
          <cell r="F412" t="str">
            <v>Direct</v>
          </cell>
        </row>
        <row r="413">
          <cell r="C413">
            <v>10110121</v>
          </cell>
          <cell r="D413" t="str">
            <v>GOMUKH AHUNA</v>
          </cell>
          <cell r="E413" t="str">
            <v>MPG</v>
          </cell>
          <cell r="F413" t="str">
            <v>Direct</v>
          </cell>
        </row>
        <row r="414">
          <cell r="C414">
            <v>10110123</v>
          </cell>
          <cell r="D414" t="str">
            <v>GOMUKH SHADIPUR</v>
          </cell>
          <cell r="E414" t="str">
            <v>MPG</v>
          </cell>
          <cell r="F414" t="str">
            <v>Direct</v>
          </cell>
        </row>
        <row r="415">
          <cell r="C415">
            <v>10110124</v>
          </cell>
          <cell r="D415" t="str">
            <v>GOMUKH ASHRAPHA DIYARA</v>
          </cell>
          <cell r="E415" t="str">
            <v>MPG</v>
          </cell>
          <cell r="F415" t="str">
            <v>Direct</v>
          </cell>
        </row>
        <row r="416">
          <cell r="C416">
            <v>10110128</v>
          </cell>
          <cell r="D416" t="str">
            <v>GOMUKH MANIAPPA</v>
          </cell>
          <cell r="E416" t="str">
            <v>MPG</v>
          </cell>
          <cell r="F416" t="str">
            <v>Direct</v>
          </cell>
        </row>
        <row r="417">
          <cell r="C417">
            <v>10110129</v>
          </cell>
          <cell r="D417" t="str">
            <v>GOMUKH D SANJHAUTI</v>
          </cell>
          <cell r="E417" t="str">
            <v>MPG</v>
          </cell>
          <cell r="F417" t="str">
            <v>Direct</v>
          </cell>
        </row>
        <row r="418">
          <cell r="C418">
            <v>10110132</v>
          </cell>
          <cell r="D418" t="str">
            <v>GOMUKH DHUSMURI BISHANPUR</v>
          </cell>
          <cell r="E418" t="str">
            <v>MPG</v>
          </cell>
          <cell r="F418" t="str">
            <v>Direct</v>
          </cell>
        </row>
        <row r="419">
          <cell r="C419">
            <v>10110133</v>
          </cell>
          <cell r="D419" t="str">
            <v>GOMUKH ANANDPUR PARAS</v>
          </cell>
          <cell r="E419" t="str">
            <v>MPG</v>
          </cell>
          <cell r="F419" t="str">
            <v>Direct</v>
          </cell>
        </row>
        <row r="420">
          <cell r="C420">
            <v>10110134</v>
          </cell>
          <cell r="D420" t="str">
            <v>Gomukh Bishanpur</v>
          </cell>
          <cell r="E420" t="str">
            <v>MPG</v>
          </cell>
          <cell r="F420" t="str">
            <v>Direct</v>
          </cell>
        </row>
        <row r="421">
          <cell r="C421">
            <v>10110135</v>
          </cell>
          <cell r="D421" t="str">
            <v>GOMUKH BISHANPUR 2</v>
          </cell>
          <cell r="E421" t="str">
            <v>MPG</v>
          </cell>
          <cell r="F421" t="str">
            <v>Direct</v>
          </cell>
        </row>
        <row r="422">
          <cell r="C422">
            <v>10110138</v>
          </cell>
          <cell r="D422" t="str">
            <v>DAYA DEVI</v>
          </cell>
          <cell r="E422" t="str">
            <v>MPG</v>
          </cell>
          <cell r="F422" t="str">
            <v>Indirect</v>
          </cell>
        </row>
        <row r="423">
          <cell r="C423">
            <v>10110140</v>
          </cell>
          <cell r="D423" t="str">
            <v>GOMUKH GHAMARIYA</v>
          </cell>
          <cell r="E423" t="str">
            <v>MPG</v>
          </cell>
          <cell r="F423" t="str">
            <v>Direct</v>
          </cell>
        </row>
        <row r="424">
          <cell r="C424">
            <v>10110141</v>
          </cell>
          <cell r="D424" t="str">
            <v>GOMUKH MEGHAUMA</v>
          </cell>
          <cell r="E424" t="str">
            <v>MPG</v>
          </cell>
          <cell r="F424" t="str">
            <v>Direct</v>
          </cell>
        </row>
        <row r="425">
          <cell r="C425">
            <v>10110142</v>
          </cell>
          <cell r="D425" t="str">
            <v>GOUKH SIRSIYA</v>
          </cell>
          <cell r="E425" t="str">
            <v>MPG</v>
          </cell>
          <cell r="F425" t="str">
            <v>Direct</v>
          </cell>
        </row>
        <row r="426">
          <cell r="C426">
            <v>10110143</v>
          </cell>
          <cell r="D426" t="str">
            <v>GOMUKH AURA</v>
          </cell>
          <cell r="E426" t="str">
            <v>MPG</v>
          </cell>
          <cell r="F426" t="str">
            <v>Direct</v>
          </cell>
        </row>
        <row r="427">
          <cell r="C427">
            <v>10110144</v>
          </cell>
          <cell r="D427" t="str">
            <v>GOMUKH BEHORBA</v>
          </cell>
          <cell r="E427" t="str">
            <v>MPG</v>
          </cell>
          <cell r="F427" t="str">
            <v>Direct</v>
          </cell>
        </row>
        <row r="428">
          <cell r="C428">
            <v>10110145</v>
          </cell>
          <cell r="D428" t="str">
            <v>GOMUKH SONAPUR BHARAT</v>
          </cell>
          <cell r="E428" t="str">
            <v>MPG</v>
          </cell>
          <cell r="F428" t="str">
            <v>Direct</v>
          </cell>
        </row>
        <row r="429">
          <cell r="C429">
            <v>10110146</v>
          </cell>
          <cell r="D429" t="str">
            <v>GOMUKH SAIDPUR SAMASTIPUR</v>
          </cell>
          <cell r="E429" t="str">
            <v>MPG</v>
          </cell>
          <cell r="F429" t="str">
            <v>Direct</v>
          </cell>
        </row>
        <row r="430">
          <cell r="C430">
            <v>10110148</v>
          </cell>
          <cell r="D430" t="str">
            <v>GOMUKH SAHARBANNI</v>
          </cell>
          <cell r="E430" t="str">
            <v>MPG</v>
          </cell>
          <cell r="F430" t="str">
            <v>Direct</v>
          </cell>
        </row>
        <row r="431">
          <cell r="C431">
            <v>10110149</v>
          </cell>
          <cell r="D431" t="str">
            <v>GOMUKH PHULTAURA</v>
          </cell>
          <cell r="E431" t="str">
            <v>MPG</v>
          </cell>
          <cell r="F431" t="str">
            <v>Direct</v>
          </cell>
        </row>
        <row r="432">
          <cell r="C432">
            <v>10110153</v>
          </cell>
          <cell r="D432" t="str">
            <v xml:space="preserve">Jangli Tol Vlc </v>
          </cell>
          <cell r="E432" t="str">
            <v>MPG</v>
          </cell>
          <cell r="F432" t="str">
            <v>Indirect</v>
          </cell>
        </row>
        <row r="433">
          <cell r="C433">
            <v>10110155</v>
          </cell>
          <cell r="D433" t="str">
            <v xml:space="preserve">DILKHUSH KUMAR </v>
          </cell>
          <cell r="E433" t="str">
            <v>MPG</v>
          </cell>
          <cell r="F433" t="str">
            <v>Indirect</v>
          </cell>
        </row>
        <row r="434">
          <cell r="C434">
            <v>10110158</v>
          </cell>
          <cell r="D434" t="str">
            <v>GOMUKH CHOWKI 2</v>
          </cell>
          <cell r="E434" t="str">
            <v>MPG</v>
          </cell>
          <cell r="F434" t="str">
            <v>Direct</v>
          </cell>
        </row>
        <row r="435">
          <cell r="C435">
            <v>10110159</v>
          </cell>
          <cell r="D435" t="str">
            <v>GOMUKH MOHABA</v>
          </cell>
          <cell r="E435" t="str">
            <v>MPG</v>
          </cell>
          <cell r="F435" t="str">
            <v>Direct</v>
          </cell>
        </row>
        <row r="436">
          <cell r="C436">
            <v>10110160</v>
          </cell>
          <cell r="D436" t="str">
            <v>SANHA VLC</v>
          </cell>
          <cell r="E436" t="str">
            <v>MPG</v>
          </cell>
          <cell r="F436" t="str">
            <v>Indirect</v>
          </cell>
        </row>
        <row r="437">
          <cell r="C437">
            <v>10110161</v>
          </cell>
          <cell r="D437" t="str">
            <v>MOHANPUR VLC</v>
          </cell>
          <cell r="E437" t="str">
            <v>MPG</v>
          </cell>
          <cell r="F437" t="str">
            <v>Indirect</v>
          </cell>
        </row>
        <row r="438">
          <cell r="C438">
            <v>10110164</v>
          </cell>
          <cell r="D438" t="str">
            <v>GOMUKH JANGLITOL</v>
          </cell>
          <cell r="E438" t="str">
            <v>MPG</v>
          </cell>
          <cell r="F438" t="str">
            <v>Direct</v>
          </cell>
        </row>
        <row r="439">
          <cell r="C439">
            <v>10110166</v>
          </cell>
          <cell r="D439" t="str">
            <v>Hiratol VLC</v>
          </cell>
          <cell r="E439" t="str">
            <v>MPG</v>
          </cell>
          <cell r="F439" t="str">
            <v>Indirect</v>
          </cell>
        </row>
        <row r="440">
          <cell r="C440">
            <v>10110167</v>
          </cell>
          <cell r="D440" t="str">
            <v xml:space="preserve">Gomukh Raghunathpur 2 </v>
          </cell>
          <cell r="E440" t="str">
            <v>MPG</v>
          </cell>
          <cell r="F440" t="str">
            <v>Direct</v>
          </cell>
        </row>
        <row r="441">
          <cell r="C441">
            <v>10110168</v>
          </cell>
          <cell r="D441" t="str">
            <v>GOMUKH BARBIGHI</v>
          </cell>
          <cell r="E441" t="str">
            <v>MPG</v>
          </cell>
          <cell r="F441" t="str">
            <v>Direct</v>
          </cell>
        </row>
        <row r="442">
          <cell r="C442">
            <v>10110171</v>
          </cell>
          <cell r="D442" t="str">
            <v>Tetri</v>
          </cell>
          <cell r="E442" t="str">
            <v>MPG</v>
          </cell>
          <cell r="F442" t="str">
            <v>Direct</v>
          </cell>
        </row>
        <row r="443">
          <cell r="C443">
            <v>10110172</v>
          </cell>
          <cell r="D443" t="str">
            <v>Dandari-2</v>
          </cell>
          <cell r="E443" t="str">
            <v>MPG</v>
          </cell>
          <cell r="F443" t="str">
            <v>Direct</v>
          </cell>
        </row>
        <row r="444">
          <cell r="C444">
            <v>10110173</v>
          </cell>
          <cell r="D444" t="str">
            <v>Barkhanditol</v>
          </cell>
          <cell r="E444" t="str">
            <v>MPG</v>
          </cell>
          <cell r="F444" t="str">
            <v>Indirect</v>
          </cell>
        </row>
        <row r="445">
          <cell r="C445">
            <v>10110176</v>
          </cell>
          <cell r="D445" t="str">
            <v>Chauki-VLC</v>
          </cell>
          <cell r="E445" t="str">
            <v>MPG</v>
          </cell>
          <cell r="F445" t="str">
            <v>Indirect</v>
          </cell>
        </row>
        <row r="446">
          <cell r="C446">
            <v>10110177</v>
          </cell>
          <cell r="D446" t="str">
            <v>Hardia</v>
          </cell>
          <cell r="E446" t="str">
            <v>MPG</v>
          </cell>
          <cell r="F446" t="str">
            <v>Direct</v>
          </cell>
        </row>
        <row r="447">
          <cell r="C447">
            <v>10110178</v>
          </cell>
          <cell r="D447" t="str">
            <v>Pachveer</v>
          </cell>
          <cell r="E447" t="str">
            <v>MPG</v>
          </cell>
          <cell r="F447" t="str">
            <v>Indirect</v>
          </cell>
        </row>
        <row r="448">
          <cell r="C448">
            <v>10110179</v>
          </cell>
          <cell r="D448" t="str">
            <v>Barkhaditol-3</v>
          </cell>
          <cell r="E448" t="str">
            <v>MPG</v>
          </cell>
          <cell r="F448" t="str">
            <v>Indirect</v>
          </cell>
        </row>
        <row r="449">
          <cell r="C449">
            <v>10110181</v>
          </cell>
          <cell r="D449" t="str">
            <v>Gomukh Mirjapur Bari</v>
          </cell>
          <cell r="E449" t="str">
            <v>MPG</v>
          </cell>
          <cell r="F449" t="str">
            <v>Direct</v>
          </cell>
        </row>
        <row r="450">
          <cell r="C450">
            <v>10110183</v>
          </cell>
          <cell r="D450" t="str">
            <v>Mathar-3</v>
          </cell>
          <cell r="E450" t="str">
            <v>MPG</v>
          </cell>
          <cell r="F450" t="str">
            <v>Indirect</v>
          </cell>
        </row>
        <row r="451">
          <cell r="C451">
            <v>10110184</v>
          </cell>
          <cell r="D451" t="str">
            <v>Ahoghat</v>
          </cell>
          <cell r="E451" t="str">
            <v>MPG</v>
          </cell>
          <cell r="F451" t="str">
            <v>Indirect</v>
          </cell>
        </row>
        <row r="452">
          <cell r="C452">
            <v>10110185</v>
          </cell>
          <cell r="D452" t="str">
            <v>Mathar-4</v>
          </cell>
          <cell r="E452" t="str">
            <v>MPG</v>
          </cell>
          <cell r="F452" t="str">
            <v>Indirect</v>
          </cell>
        </row>
        <row r="453">
          <cell r="C453">
            <v>10120001</v>
          </cell>
          <cell r="D453" t="str">
            <v>GOMUKH SUBHANPUR</v>
          </cell>
          <cell r="E453" t="str">
            <v>MPG</v>
          </cell>
          <cell r="F453" t="str">
            <v>Indirect</v>
          </cell>
        </row>
        <row r="454">
          <cell r="C454">
            <v>10120002</v>
          </cell>
          <cell r="D454" t="str">
            <v>GOMUKH  BHAJANGAMA</v>
          </cell>
          <cell r="E454" t="str">
            <v>MPG</v>
          </cell>
          <cell r="F454" t="str">
            <v>Indirect</v>
          </cell>
        </row>
        <row r="455">
          <cell r="C455">
            <v>10120004</v>
          </cell>
          <cell r="D455" t="str">
            <v>Gomukh Chora Tabhka</v>
          </cell>
          <cell r="E455" t="str">
            <v>MPG</v>
          </cell>
          <cell r="F455" t="str">
            <v>Indirect</v>
          </cell>
        </row>
        <row r="456">
          <cell r="C456">
            <v>10120005</v>
          </cell>
          <cell r="D456" t="str">
            <v>Gomukh Basadhiya Kurni</v>
          </cell>
          <cell r="E456" t="str">
            <v>MPG</v>
          </cell>
          <cell r="F456" t="str">
            <v>Direct</v>
          </cell>
        </row>
        <row r="457">
          <cell r="C457">
            <v>10120006</v>
          </cell>
          <cell r="D457" t="str">
            <v>KHAJURI</v>
          </cell>
          <cell r="E457" t="str">
            <v>MPG</v>
          </cell>
          <cell r="F457" t="str">
            <v>Direct</v>
          </cell>
        </row>
        <row r="458">
          <cell r="C458">
            <v>10120007</v>
          </cell>
          <cell r="D458" t="str">
            <v>ARMAULI-2</v>
          </cell>
          <cell r="E458" t="str">
            <v>MPG</v>
          </cell>
          <cell r="F458" t="str">
            <v>Direct</v>
          </cell>
        </row>
        <row r="459">
          <cell r="C459">
            <v>10120008</v>
          </cell>
          <cell r="D459" t="str">
            <v>MUSAPUR - 2</v>
          </cell>
          <cell r="E459" t="str">
            <v>MPG</v>
          </cell>
          <cell r="F459" t="str">
            <v>Indirect</v>
          </cell>
        </row>
        <row r="460">
          <cell r="C460">
            <v>10120010</v>
          </cell>
          <cell r="D460" t="str">
            <v>Janganath Pur</v>
          </cell>
          <cell r="E460" t="str">
            <v>MPG</v>
          </cell>
          <cell r="F460" t="str">
            <v>Indirect</v>
          </cell>
        </row>
        <row r="461">
          <cell r="C461">
            <v>10120011</v>
          </cell>
          <cell r="D461" t="str">
            <v>Nagargama</v>
          </cell>
          <cell r="E461" t="str">
            <v>MPG</v>
          </cell>
          <cell r="F461" t="str">
            <v>Indirect</v>
          </cell>
        </row>
        <row r="462">
          <cell r="C462">
            <v>10120012</v>
          </cell>
          <cell r="D462" t="str">
            <v>Sato Ghachchhi</v>
          </cell>
          <cell r="E462" t="str">
            <v>MPG</v>
          </cell>
          <cell r="F462" t="str">
            <v>Direct</v>
          </cell>
        </row>
        <row r="463">
          <cell r="C463">
            <v>10120013</v>
          </cell>
          <cell r="D463" t="str">
            <v>Bhatgama</v>
          </cell>
          <cell r="E463" t="str">
            <v>MPG</v>
          </cell>
          <cell r="F463" t="str">
            <v>Indirect</v>
          </cell>
        </row>
        <row r="464">
          <cell r="C464">
            <v>10120014</v>
          </cell>
          <cell r="D464" t="str">
            <v>Borna Rasalpur</v>
          </cell>
          <cell r="E464" t="str">
            <v>MPG</v>
          </cell>
          <cell r="F464" t="str">
            <v>Direct</v>
          </cell>
        </row>
        <row r="465">
          <cell r="C465">
            <v>10120015</v>
          </cell>
          <cell r="D465" t="str">
            <v>Rasalpur</v>
          </cell>
          <cell r="E465" t="str">
            <v>MPG</v>
          </cell>
          <cell r="F465" t="str">
            <v>Direct</v>
          </cell>
        </row>
        <row r="466">
          <cell r="C466">
            <v>10120016</v>
          </cell>
          <cell r="D466" t="str">
            <v>Narahan</v>
          </cell>
          <cell r="E466" t="str">
            <v>MPG</v>
          </cell>
          <cell r="F466" t="str">
            <v>Direct</v>
          </cell>
        </row>
        <row r="467">
          <cell r="C467">
            <v>10120017</v>
          </cell>
          <cell r="D467" t="str">
            <v>Gomukh Dumduma</v>
          </cell>
          <cell r="E467" t="str">
            <v>MPG</v>
          </cell>
          <cell r="F467" t="str">
            <v>Direct</v>
          </cell>
        </row>
        <row r="468">
          <cell r="C468">
            <v>10120018</v>
          </cell>
          <cell r="D468" t="str">
            <v>SUPOL</v>
          </cell>
          <cell r="E468" t="str">
            <v>MPG</v>
          </cell>
          <cell r="F468" t="str">
            <v>Direct</v>
          </cell>
        </row>
        <row r="469">
          <cell r="C469">
            <v>10120019</v>
          </cell>
          <cell r="D469" t="str">
            <v>BHUSARAI</v>
          </cell>
          <cell r="E469" t="str">
            <v>MPG</v>
          </cell>
          <cell r="F469" t="str">
            <v>Direct</v>
          </cell>
        </row>
        <row r="470">
          <cell r="C470">
            <v>10120022</v>
          </cell>
          <cell r="D470" t="str">
            <v>Gomukha Jounapur</v>
          </cell>
          <cell r="E470" t="str">
            <v>MPG</v>
          </cell>
          <cell r="F470" t="str">
            <v>Indirect</v>
          </cell>
        </row>
        <row r="471">
          <cell r="C471">
            <v>10120023</v>
          </cell>
          <cell r="D471" t="str">
            <v>Patailliya</v>
          </cell>
          <cell r="E471" t="str">
            <v>MPG</v>
          </cell>
          <cell r="F471" t="str">
            <v>Indirect</v>
          </cell>
        </row>
        <row r="472">
          <cell r="C472">
            <v>10120024</v>
          </cell>
          <cell r="D472" t="str">
            <v>Badiya</v>
          </cell>
          <cell r="E472" t="str">
            <v>MPG</v>
          </cell>
          <cell r="F472" t="str">
            <v>Indirect</v>
          </cell>
        </row>
        <row r="473">
          <cell r="C473">
            <v>10120025</v>
          </cell>
          <cell r="D473" t="str">
            <v>Gomukh Tabhka</v>
          </cell>
          <cell r="E473" t="str">
            <v>MPG</v>
          </cell>
          <cell r="F473" t="str">
            <v>Direct</v>
          </cell>
        </row>
        <row r="474">
          <cell r="C474">
            <v>10120026</v>
          </cell>
          <cell r="D474" t="str">
            <v>Ghato</v>
          </cell>
          <cell r="E474" t="str">
            <v>MPG</v>
          </cell>
          <cell r="F474" t="str">
            <v>Indirect</v>
          </cell>
        </row>
        <row r="475">
          <cell r="C475">
            <v>10120029</v>
          </cell>
          <cell r="D475" t="str">
            <v xml:space="preserve">RAMNATHPUR                                                                                          </v>
          </cell>
          <cell r="E475" t="str">
            <v>MPG</v>
          </cell>
          <cell r="F475" t="str">
            <v>Direct</v>
          </cell>
        </row>
        <row r="476">
          <cell r="C476">
            <v>10120030</v>
          </cell>
          <cell r="D476" t="str">
            <v>KEWAS JAGIR</v>
          </cell>
          <cell r="E476" t="str">
            <v>MPG</v>
          </cell>
          <cell r="F476" t="str">
            <v>Direct</v>
          </cell>
        </row>
        <row r="477">
          <cell r="C477">
            <v>10120031</v>
          </cell>
          <cell r="D477" t="str">
            <v>DESUA</v>
          </cell>
          <cell r="E477" t="str">
            <v>MPG</v>
          </cell>
          <cell r="F477" t="str">
            <v>Direct</v>
          </cell>
        </row>
        <row r="478">
          <cell r="C478">
            <v>10120034</v>
          </cell>
          <cell r="D478" t="str">
            <v>Matior</v>
          </cell>
          <cell r="E478" t="str">
            <v>MPG</v>
          </cell>
          <cell r="F478" t="str">
            <v>Direct</v>
          </cell>
        </row>
        <row r="479">
          <cell r="C479">
            <v>10120035</v>
          </cell>
          <cell r="D479" t="str">
            <v>TELGAMA</v>
          </cell>
          <cell r="E479" t="str">
            <v>MPG</v>
          </cell>
          <cell r="F479" t="str">
            <v>Indirect</v>
          </cell>
        </row>
        <row r="480">
          <cell r="C480">
            <v>10120043</v>
          </cell>
          <cell r="D480" t="str">
            <v>GOMUKH TATARPUR</v>
          </cell>
          <cell r="E480" t="str">
            <v>MPG</v>
          </cell>
          <cell r="F480" t="str">
            <v>Direct</v>
          </cell>
        </row>
        <row r="481">
          <cell r="C481">
            <v>10120046</v>
          </cell>
          <cell r="D481" t="str">
            <v>Gomukh Ghataho</v>
          </cell>
          <cell r="E481" t="str">
            <v>MPG</v>
          </cell>
          <cell r="F481" t="str">
            <v>Direct</v>
          </cell>
        </row>
        <row r="482">
          <cell r="C482">
            <v>10120047</v>
          </cell>
          <cell r="D482" t="str">
            <v>Madhepur - Bishwanath</v>
          </cell>
          <cell r="E482" t="str">
            <v>MPG</v>
          </cell>
          <cell r="F482" t="str">
            <v>Indirect</v>
          </cell>
        </row>
        <row r="483">
          <cell r="C483">
            <v>10120049</v>
          </cell>
          <cell r="D483" t="str">
            <v>Kacha - Amarjeet</v>
          </cell>
          <cell r="E483" t="str">
            <v>MPG</v>
          </cell>
          <cell r="F483" t="str">
            <v>Indirect</v>
          </cell>
        </row>
        <row r="484">
          <cell r="C484">
            <v>10120050</v>
          </cell>
          <cell r="D484" t="str">
            <v>Simri - Suman</v>
          </cell>
          <cell r="E484" t="str">
            <v>MPG</v>
          </cell>
          <cell r="F484" t="str">
            <v>Indirect</v>
          </cell>
        </row>
        <row r="485">
          <cell r="C485">
            <v>10120051</v>
          </cell>
          <cell r="D485" t="str">
            <v>Narenpur</v>
          </cell>
          <cell r="E485" t="str">
            <v>MPG</v>
          </cell>
          <cell r="F485" t="str">
            <v>Direct</v>
          </cell>
        </row>
        <row r="486">
          <cell r="C486">
            <v>10120052</v>
          </cell>
          <cell r="D486" t="str">
            <v>Mordiba</v>
          </cell>
          <cell r="E486" t="str">
            <v>MPG</v>
          </cell>
          <cell r="F486" t="str">
            <v>Direct</v>
          </cell>
        </row>
        <row r="487">
          <cell r="C487">
            <v>10120053</v>
          </cell>
          <cell r="D487" t="str">
            <v>Jagdispur</v>
          </cell>
          <cell r="E487" t="str">
            <v>MPG</v>
          </cell>
          <cell r="F487" t="str">
            <v>Direct</v>
          </cell>
        </row>
        <row r="488">
          <cell r="C488">
            <v>10120060</v>
          </cell>
          <cell r="D488" t="str">
            <v>Chaklal Sahi_Vikrant</v>
          </cell>
          <cell r="E488" t="str">
            <v>MPG</v>
          </cell>
          <cell r="F488" t="str">
            <v>Indirect</v>
          </cell>
        </row>
        <row r="489">
          <cell r="C489">
            <v>10120066</v>
          </cell>
          <cell r="D489" t="str">
            <v>Piparpaati</v>
          </cell>
          <cell r="E489" t="str">
            <v>MPG</v>
          </cell>
          <cell r="F489" t="str">
            <v>Indirect</v>
          </cell>
        </row>
        <row r="490">
          <cell r="C490">
            <v>10120071</v>
          </cell>
          <cell r="D490" t="str">
            <v>Suratpur</v>
          </cell>
          <cell r="E490" t="str">
            <v>MPG</v>
          </cell>
          <cell r="F490" t="str">
            <v>Direct</v>
          </cell>
        </row>
        <row r="491">
          <cell r="C491">
            <v>10120080</v>
          </cell>
          <cell r="D491" t="str">
            <v>Manika Tol</v>
          </cell>
          <cell r="E491" t="str">
            <v>MPG</v>
          </cell>
          <cell r="F491" t="str">
            <v>Direct</v>
          </cell>
        </row>
        <row r="492">
          <cell r="C492">
            <v>10120083</v>
          </cell>
          <cell r="D492" t="str">
            <v>Beri</v>
          </cell>
          <cell r="E492" t="str">
            <v>MPG</v>
          </cell>
          <cell r="F492" t="str">
            <v>Direct</v>
          </cell>
        </row>
        <row r="493">
          <cell r="C493">
            <v>10120084</v>
          </cell>
          <cell r="D493" t="str">
            <v>Mahmmadipur</v>
          </cell>
          <cell r="E493" t="str">
            <v>MPG</v>
          </cell>
          <cell r="F493" t="str">
            <v>Direct</v>
          </cell>
        </row>
        <row r="494">
          <cell r="C494">
            <v>10120086</v>
          </cell>
          <cell r="D494" t="str">
            <v>Simri-Rupesh</v>
          </cell>
          <cell r="E494" t="str">
            <v>MPG</v>
          </cell>
          <cell r="F494" t="str">
            <v>Indirect</v>
          </cell>
        </row>
        <row r="495">
          <cell r="C495">
            <v>10120089</v>
          </cell>
          <cell r="D495" t="str">
            <v>Gomukh Jhaura Tabhka</v>
          </cell>
          <cell r="E495" t="str">
            <v>MPG</v>
          </cell>
          <cell r="F495" t="str">
            <v>Direct</v>
          </cell>
        </row>
        <row r="496">
          <cell r="C496">
            <v>10120091</v>
          </cell>
          <cell r="D496" t="str">
            <v>Gomukh Mohanpur</v>
          </cell>
          <cell r="E496" t="str">
            <v>MPG</v>
          </cell>
          <cell r="F496" t="str">
            <v>Direct</v>
          </cell>
        </row>
        <row r="497">
          <cell r="C497">
            <v>10120094</v>
          </cell>
          <cell r="D497" t="str">
            <v>Gomukh Bochaha</v>
          </cell>
          <cell r="E497" t="str">
            <v>MPG</v>
          </cell>
          <cell r="F497" t="str">
            <v>Direct</v>
          </cell>
        </row>
        <row r="498">
          <cell r="C498">
            <v>10120095</v>
          </cell>
          <cell r="D498" t="str">
            <v>Gomukh Terganj</v>
          </cell>
          <cell r="E498" t="str">
            <v>MPG</v>
          </cell>
          <cell r="F498" t="str">
            <v>Direct</v>
          </cell>
        </row>
        <row r="499">
          <cell r="C499">
            <v>10120096</v>
          </cell>
          <cell r="D499" t="str">
            <v>Gomukh Chapra</v>
          </cell>
          <cell r="E499" t="str">
            <v>MPG</v>
          </cell>
          <cell r="F499" t="str">
            <v>Indirect</v>
          </cell>
        </row>
        <row r="500">
          <cell r="C500">
            <v>10120099</v>
          </cell>
          <cell r="D500" t="str">
            <v>GOMUKH Chiranjipur</v>
          </cell>
          <cell r="E500" t="str">
            <v>MPG</v>
          </cell>
          <cell r="F500" t="str">
            <v>Indirect</v>
          </cell>
        </row>
        <row r="501">
          <cell r="C501">
            <v>10120103</v>
          </cell>
          <cell r="D501" t="str">
            <v>Gomukh Sahu Tol</v>
          </cell>
          <cell r="E501" t="str">
            <v>MPG</v>
          </cell>
          <cell r="F501" t="str">
            <v>Indirect</v>
          </cell>
        </row>
        <row r="502">
          <cell r="C502">
            <v>10120104</v>
          </cell>
          <cell r="D502" t="str">
            <v>Gomukh Mordiwa East</v>
          </cell>
          <cell r="E502" t="str">
            <v>MPG</v>
          </cell>
          <cell r="F502" t="str">
            <v>Direct</v>
          </cell>
        </row>
        <row r="503">
          <cell r="C503">
            <v>10120106</v>
          </cell>
          <cell r="D503" t="str">
            <v>Gomukh Belamegh</v>
          </cell>
          <cell r="E503" t="str">
            <v>MPG</v>
          </cell>
          <cell r="F503" t="str">
            <v>Indirect</v>
          </cell>
        </row>
        <row r="504">
          <cell r="C504">
            <v>10120107</v>
          </cell>
          <cell r="D504" t="str">
            <v>Gomukh Ramaiya</v>
          </cell>
          <cell r="E504" t="str">
            <v>MPG</v>
          </cell>
          <cell r="F504" t="str">
            <v>Direct</v>
          </cell>
        </row>
        <row r="505">
          <cell r="C505">
            <v>10120108</v>
          </cell>
          <cell r="D505" t="str">
            <v>GOMUKH MANIKA EAST</v>
          </cell>
          <cell r="E505" t="str">
            <v>MPG</v>
          </cell>
          <cell r="F505" t="str">
            <v>Direct</v>
          </cell>
        </row>
        <row r="506">
          <cell r="C506">
            <v>10120110</v>
          </cell>
          <cell r="D506" t="str">
            <v>Gomukh MANIYAR EAST</v>
          </cell>
          <cell r="E506" t="str">
            <v>MPG</v>
          </cell>
          <cell r="F506" t="str">
            <v>Indirect</v>
          </cell>
        </row>
        <row r="507">
          <cell r="C507">
            <v>10120111</v>
          </cell>
          <cell r="D507" t="str">
            <v>GOMUKH Kisanpur Tabhka</v>
          </cell>
          <cell r="E507" t="str">
            <v>MPG</v>
          </cell>
          <cell r="F507" t="str">
            <v>Direct</v>
          </cell>
        </row>
        <row r="508">
          <cell r="C508">
            <v>10120113</v>
          </cell>
          <cell r="D508" t="str">
            <v>GOMUKH BIBHUTIPUR</v>
          </cell>
          <cell r="E508" t="str">
            <v>MPG</v>
          </cell>
          <cell r="F508" t="str">
            <v>Direct</v>
          </cell>
        </row>
        <row r="509">
          <cell r="C509">
            <v>10120114</v>
          </cell>
          <cell r="D509" t="str">
            <v>GOMUKH PATHAKTOL</v>
          </cell>
          <cell r="E509" t="str">
            <v>MPG</v>
          </cell>
          <cell r="F509" t="str">
            <v>Direct</v>
          </cell>
        </row>
        <row r="510">
          <cell r="C510">
            <v>10120115</v>
          </cell>
          <cell r="D510" t="str">
            <v>Gomukh Musapur West</v>
          </cell>
          <cell r="E510" t="str">
            <v>MPG</v>
          </cell>
          <cell r="F510" t="str">
            <v>Indirect</v>
          </cell>
        </row>
        <row r="511">
          <cell r="C511">
            <v>10120116</v>
          </cell>
          <cell r="D511" t="str">
            <v>GOMUKH DADHIYA RAMKRISHANPUR</v>
          </cell>
          <cell r="E511" t="str">
            <v>MPG</v>
          </cell>
          <cell r="F511" t="str">
            <v>Direct</v>
          </cell>
        </row>
        <row r="512">
          <cell r="C512">
            <v>10120119</v>
          </cell>
          <cell r="D512" t="str">
            <v>Gomukh Simri Ward 4</v>
          </cell>
          <cell r="E512" t="str">
            <v>MPG</v>
          </cell>
          <cell r="F512" t="str">
            <v>Indirect</v>
          </cell>
        </row>
        <row r="513">
          <cell r="C513">
            <v>10120120</v>
          </cell>
          <cell r="D513" t="str">
            <v>GOMUKH BALTHARA</v>
          </cell>
          <cell r="E513" t="str">
            <v>MPG</v>
          </cell>
          <cell r="F513" t="str">
            <v>Direct</v>
          </cell>
        </row>
        <row r="514">
          <cell r="C514">
            <v>10120121</v>
          </cell>
          <cell r="D514" t="str">
            <v>GOMUKH BANGHARA</v>
          </cell>
          <cell r="E514" t="str">
            <v>MPG</v>
          </cell>
          <cell r="F514" t="str">
            <v>Direct</v>
          </cell>
        </row>
        <row r="515">
          <cell r="C515">
            <v>10120122</v>
          </cell>
          <cell r="D515" t="str">
            <v>GOMUKH BHASINGPUR</v>
          </cell>
          <cell r="E515" t="str">
            <v>MPG</v>
          </cell>
          <cell r="F515" t="str">
            <v>Direct</v>
          </cell>
        </row>
        <row r="516">
          <cell r="C516">
            <v>10120123</v>
          </cell>
          <cell r="D516" t="str">
            <v>GOMUKH Chakhale Dad</v>
          </cell>
          <cell r="E516" t="str">
            <v>MPG</v>
          </cell>
          <cell r="F516" t="str">
            <v>Direct</v>
          </cell>
        </row>
        <row r="517">
          <cell r="C517">
            <v>10130001</v>
          </cell>
          <cell r="D517" t="str">
            <v>GOMUKH BANGHARH KISHANPUR</v>
          </cell>
          <cell r="E517" t="str">
            <v>MPG</v>
          </cell>
          <cell r="F517" t="str">
            <v>Direct</v>
          </cell>
        </row>
        <row r="518">
          <cell r="C518">
            <v>10130002</v>
          </cell>
          <cell r="D518" t="str">
            <v>Gomukh Serpur Narsari</v>
          </cell>
          <cell r="E518" t="str">
            <v>MPG</v>
          </cell>
          <cell r="F518" t="str">
            <v>Indirect</v>
          </cell>
        </row>
        <row r="519">
          <cell r="C519">
            <v>10130003</v>
          </cell>
          <cell r="D519" t="str">
            <v>PARORIYA</v>
          </cell>
          <cell r="E519" t="str">
            <v>MPG</v>
          </cell>
          <cell r="F519" t="str">
            <v>Direct</v>
          </cell>
        </row>
        <row r="520">
          <cell r="C520">
            <v>10130005</v>
          </cell>
          <cell r="D520" t="str">
            <v>JHAKHRA</v>
          </cell>
          <cell r="E520" t="str">
            <v>MPG</v>
          </cell>
          <cell r="F520" t="str">
            <v>Indirect</v>
          </cell>
        </row>
        <row r="521">
          <cell r="C521">
            <v>10130006</v>
          </cell>
          <cell r="D521" t="str">
            <v>GOMUKH ANDAHA</v>
          </cell>
          <cell r="E521" t="str">
            <v>MPG</v>
          </cell>
          <cell r="F521" t="str">
            <v>Direct</v>
          </cell>
        </row>
        <row r="522">
          <cell r="C522">
            <v>10130008</v>
          </cell>
          <cell r="D522" t="str">
            <v>Gomukha Rohua</v>
          </cell>
          <cell r="E522" t="str">
            <v>MPG</v>
          </cell>
          <cell r="F522" t="str">
            <v>Direct</v>
          </cell>
        </row>
        <row r="523">
          <cell r="C523">
            <v>10130012</v>
          </cell>
          <cell r="D523" t="str">
            <v>Gomukha Arniya Ganj</v>
          </cell>
          <cell r="E523" t="str">
            <v>MPG</v>
          </cell>
          <cell r="F523" t="str">
            <v>Direct</v>
          </cell>
        </row>
        <row r="524">
          <cell r="C524">
            <v>10130014</v>
          </cell>
          <cell r="D524" t="str">
            <v>Gomukh Tara Dhamaun Dakshini</v>
          </cell>
          <cell r="E524" t="str">
            <v>MPG</v>
          </cell>
          <cell r="F524" t="str">
            <v>Indirect</v>
          </cell>
        </row>
        <row r="525">
          <cell r="C525">
            <v>10130015</v>
          </cell>
          <cell r="D525" t="str">
            <v>Gomukha Vishanupatti II</v>
          </cell>
          <cell r="E525" t="str">
            <v>MPG</v>
          </cell>
          <cell r="F525" t="str">
            <v>Indirect</v>
          </cell>
        </row>
        <row r="526">
          <cell r="C526">
            <v>10130016</v>
          </cell>
          <cell r="D526" t="str">
            <v>Gomukh Khesarhiya</v>
          </cell>
          <cell r="E526" t="str">
            <v>MPG</v>
          </cell>
          <cell r="F526" t="str">
            <v>Indirect</v>
          </cell>
        </row>
        <row r="527">
          <cell r="C527">
            <v>10130018</v>
          </cell>
          <cell r="D527" t="str">
            <v>Harsingpur</v>
          </cell>
          <cell r="E527" t="str">
            <v>MPG</v>
          </cell>
          <cell r="F527" t="str">
            <v>Indirect</v>
          </cell>
        </row>
        <row r="528">
          <cell r="C528">
            <v>10130020</v>
          </cell>
          <cell r="D528" t="str">
            <v>Gomukh ID Mahathi</v>
          </cell>
          <cell r="E528" t="str">
            <v>MPG</v>
          </cell>
          <cell r="F528" t="str">
            <v>Indirect</v>
          </cell>
        </row>
        <row r="529">
          <cell r="C529">
            <v>10130025</v>
          </cell>
          <cell r="D529" t="str">
            <v>MURTUJAPUR</v>
          </cell>
          <cell r="E529" t="str">
            <v>MPG</v>
          </cell>
          <cell r="F529" t="str">
            <v>Indirect</v>
          </cell>
        </row>
        <row r="530">
          <cell r="C530">
            <v>10130026</v>
          </cell>
          <cell r="D530" t="str">
            <v>Rasalpur</v>
          </cell>
          <cell r="E530" t="str">
            <v>MPG</v>
          </cell>
          <cell r="F530" t="str">
            <v>Direct</v>
          </cell>
        </row>
        <row r="531">
          <cell r="C531">
            <v>10130030</v>
          </cell>
          <cell r="D531" t="str">
            <v xml:space="preserve">Chhuchhipur                                                                                         </v>
          </cell>
          <cell r="E531" t="str">
            <v>MPG</v>
          </cell>
          <cell r="F531" t="str">
            <v>Direct</v>
          </cell>
        </row>
        <row r="532">
          <cell r="C532">
            <v>10130031</v>
          </cell>
          <cell r="D532" t="str">
            <v>Gomukh ID Sararanjan</v>
          </cell>
          <cell r="E532" t="str">
            <v>MPG</v>
          </cell>
          <cell r="F532" t="str">
            <v>Indirect</v>
          </cell>
        </row>
        <row r="533">
          <cell r="C533">
            <v>10130032</v>
          </cell>
          <cell r="D533" t="str">
            <v xml:space="preserve">Gomukh Soharthi Purvi Tola                                                                          </v>
          </cell>
          <cell r="E533" t="str">
            <v>MPG</v>
          </cell>
          <cell r="F533" t="str">
            <v>Direct</v>
          </cell>
        </row>
        <row r="534">
          <cell r="C534">
            <v>10130040</v>
          </cell>
          <cell r="D534" t="str">
            <v>Birnama</v>
          </cell>
          <cell r="E534" t="str">
            <v>MPG</v>
          </cell>
          <cell r="F534" t="str">
            <v>Indirect</v>
          </cell>
        </row>
        <row r="535">
          <cell r="C535">
            <v>10130041</v>
          </cell>
          <cell r="D535" t="str">
            <v>Maraie - Rubi</v>
          </cell>
          <cell r="E535" t="str">
            <v>MPG</v>
          </cell>
          <cell r="F535" t="str">
            <v>Indirect</v>
          </cell>
        </row>
        <row r="536">
          <cell r="C536">
            <v>10130044</v>
          </cell>
          <cell r="D536" t="str">
            <v>Lakshmipur Western Tol - Rajeev</v>
          </cell>
          <cell r="E536" t="str">
            <v>MPG</v>
          </cell>
          <cell r="F536" t="str">
            <v>Indirect</v>
          </cell>
        </row>
        <row r="537">
          <cell r="C537">
            <v>10130046</v>
          </cell>
          <cell r="D537" t="str">
            <v>Jahangipur Salkhanni</v>
          </cell>
          <cell r="E537" t="str">
            <v>MPG</v>
          </cell>
          <cell r="F537" t="str">
            <v>Direct</v>
          </cell>
        </row>
        <row r="538">
          <cell r="C538">
            <v>10130047</v>
          </cell>
          <cell r="D538" t="str">
            <v>Sekhpura</v>
          </cell>
          <cell r="E538" t="str">
            <v>MPG</v>
          </cell>
          <cell r="F538" t="str">
            <v>Direct</v>
          </cell>
        </row>
        <row r="539">
          <cell r="C539">
            <v>10130052</v>
          </cell>
          <cell r="D539" t="str">
            <v>Songar</v>
          </cell>
          <cell r="E539" t="str">
            <v>MPG</v>
          </cell>
          <cell r="F539" t="str">
            <v>Direct</v>
          </cell>
        </row>
        <row r="540">
          <cell r="C540">
            <v>10130054</v>
          </cell>
          <cell r="D540" t="str">
            <v>Rampur Maheshpur</v>
          </cell>
          <cell r="E540" t="str">
            <v>MPG</v>
          </cell>
          <cell r="F540" t="str">
            <v>Direct</v>
          </cell>
        </row>
        <row r="541">
          <cell r="C541">
            <v>10130058</v>
          </cell>
          <cell r="D541" t="str">
            <v>Godhiyari</v>
          </cell>
          <cell r="E541" t="str">
            <v>MPG</v>
          </cell>
          <cell r="F541" t="str">
            <v>Indirect</v>
          </cell>
        </row>
        <row r="542">
          <cell r="C542">
            <v>10130065</v>
          </cell>
          <cell r="D542" t="str">
            <v>Jhakhra-Rambilash</v>
          </cell>
          <cell r="E542" t="str">
            <v>MPG</v>
          </cell>
          <cell r="F542" t="str">
            <v>Indirect</v>
          </cell>
        </row>
        <row r="543">
          <cell r="C543">
            <v>10130070</v>
          </cell>
          <cell r="D543" t="str">
            <v>Chaksikandar East</v>
          </cell>
          <cell r="E543" t="str">
            <v>MPG</v>
          </cell>
          <cell r="F543" t="str">
            <v>Direct</v>
          </cell>
        </row>
        <row r="544">
          <cell r="C544">
            <v>10130073</v>
          </cell>
          <cell r="D544" t="str">
            <v>Dagarua</v>
          </cell>
          <cell r="E544" t="str">
            <v>MPG</v>
          </cell>
          <cell r="F544" t="str">
            <v>Direct</v>
          </cell>
        </row>
        <row r="545">
          <cell r="C545">
            <v>10130074</v>
          </cell>
          <cell r="D545" t="str">
            <v>Chakmilki</v>
          </cell>
          <cell r="E545" t="str">
            <v>MPG</v>
          </cell>
          <cell r="F545" t="str">
            <v>Direct</v>
          </cell>
        </row>
        <row r="546">
          <cell r="C546">
            <v>10130077</v>
          </cell>
          <cell r="D546" t="str">
            <v>Gomukh Akaha</v>
          </cell>
          <cell r="E546" t="str">
            <v>MPG</v>
          </cell>
          <cell r="F546" t="str">
            <v>Direct</v>
          </cell>
        </row>
        <row r="547">
          <cell r="C547">
            <v>10130080</v>
          </cell>
          <cell r="D547" t="str">
            <v>Nauachak-Pankaj</v>
          </cell>
          <cell r="E547" t="str">
            <v>MPG</v>
          </cell>
          <cell r="F547" t="str">
            <v>Indirect</v>
          </cell>
        </row>
        <row r="548">
          <cell r="C548">
            <v>10130081</v>
          </cell>
          <cell r="D548" t="str">
            <v>Jitwarpur-Manisha</v>
          </cell>
          <cell r="E548" t="str">
            <v>MPG</v>
          </cell>
          <cell r="F548" t="str">
            <v>Indirect</v>
          </cell>
        </row>
        <row r="549">
          <cell r="C549">
            <v>10130083</v>
          </cell>
          <cell r="D549" t="str">
            <v>Gomukh Sirdulpur 2</v>
          </cell>
          <cell r="E549" t="str">
            <v>MPG</v>
          </cell>
          <cell r="F549" t="str">
            <v>Indirect</v>
          </cell>
        </row>
        <row r="550">
          <cell r="C550">
            <v>10130085</v>
          </cell>
          <cell r="D550" t="str">
            <v>Gomukh Repura</v>
          </cell>
          <cell r="E550" t="str">
            <v>MPG</v>
          </cell>
          <cell r="F550" t="str">
            <v>Direct</v>
          </cell>
        </row>
        <row r="551">
          <cell r="C551">
            <v>10130090</v>
          </cell>
          <cell r="D551" t="str">
            <v>Gomukh Akowahi Purvi Tol</v>
          </cell>
          <cell r="E551" t="str">
            <v>MPG</v>
          </cell>
          <cell r="F551" t="str">
            <v>Direct</v>
          </cell>
        </row>
        <row r="552">
          <cell r="C552">
            <v>10130091</v>
          </cell>
          <cell r="D552" t="str">
            <v>Gomukh Nipur</v>
          </cell>
          <cell r="E552" t="str">
            <v>MPG</v>
          </cell>
          <cell r="F552" t="str">
            <v>Direct</v>
          </cell>
        </row>
        <row r="553">
          <cell r="C553">
            <v>10130093</v>
          </cell>
          <cell r="D553" t="str">
            <v>Gomukh Sherpur Narsari East</v>
          </cell>
          <cell r="E553" t="str">
            <v>MPG</v>
          </cell>
          <cell r="F553" t="str">
            <v>Direct</v>
          </cell>
        </row>
        <row r="554">
          <cell r="C554">
            <v>10130094</v>
          </cell>
          <cell r="D554" t="str">
            <v>Gomukh Nauachak East</v>
          </cell>
          <cell r="E554" t="str">
            <v>MPG</v>
          </cell>
          <cell r="F554" t="str">
            <v>Direct</v>
          </cell>
        </row>
        <row r="555">
          <cell r="C555">
            <v>10130097</v>
          </cell>
          <cell r="D555" t="str">
            <v>Gomukh Karhatti</v>
          </cell>
          <cell r="E555" t="str">
            <v>MPG</v>
          </cell>
          <cell r="F555" t="str">
            <v>Direct</v>
          </cell>
        </row>
        <row r="556">
          <cell r="C556">
            <v>10130098</v>
          </cell>
          <cell r="D556" t="str">
            <v>Gomukh Gaopur Bhagwatpur</v>
          </cell>
          <cell r="E556" t="str">
            <v>MPG</v>
          </cell>
          <cell r="F556" t="str">
            <v>Direct</v>
          </cell>
        </row>
        <row r="557">
          <cell r="C557">
            <v>10130100</v>
          </cell>
          <cell r="D557" t="str">
            <v>Gomukh Rajwara</v>
          </cell>
          <cell r="E557" t="str">
            <v>MPG</v>
          </cell>
          <cell r="F557" t="str">
            <v>Direct</v>
          </cell>
        </row>
        <row r="558">
          <cell r="C558">
            <v>10130102</v>
          </cell>
          <cell r="D558" t="str">
            <v>GOMUKH NIKASPUR</v>
          </cell>
          <cell r="E558" t="str">
            <v>MPG</v>
          </cell>
          <cell r="F558" t="str">
            <v>Direct</v>
          </cell>
        </row>
        <row r="559">
          <cell r="C559">
            <v>10130107</v>
          </cell>
          <cell r="D559" t="str">
            <v>Gomukh Morwa Mohanpur</v>
          </cell>
          <cell r="E559" t="str">
            <v>MPG</v>
          </cell>
          <cell r="F559" t="str">
            <v>Indirect</v>
          </cell>
        </row>
        <row r="560">
          <cell r="C560">
            <v>10130111</v>
          </cell>
          <cell r="D560" t="str">
            <v>Gomukh Gangapur East</v>
          </cell>
          <cell r="E560" t="str">
            <v>MPG</v>
          </cell>
          <cell r="F560" t="str">
            <v>Indirect</v>
          </cell>
        </row>
        <row r="561">
          <cell r="C561">
            <v>10130113</v>
          </cell>
          <cell r="D561" t="str">
            <v>GOMUKH Laguniya</v>
          </cell>
          <cell r="E561" t="str">
            <v>MPG</v>
          </cell>
          <cell r="F561" t="str">
            <v>Indirect</v>
          </cell>
        </row>
        <row r="562">
          <cell r="C562">
            <v>10130114</v>
          </cell>
          <cell r="D562" t="str">
            <v>GOMUKH MAHINDWARA</v>
          </cell>
          <cell r="E562" t="str">
            <v>MPG</v>
          </cell>
          <cell r="F562" t="str">
            <v>Indirect</v>
          </cell>
        </row>
        <row r="563">
          <cell r="C563">
            <v>10130115</v>
          </cell>
          <cell r="D563" t="str">
            <v>GOMUKH MISHRAULIA</v>
          </cell>
          <cell r="E563" t="str">
            <v>MPG</v>
          </cell>
          <cell r="F563" t="str">
            <v>Direct</v>
          </cell>
        </row>
        <row r="564">
          <cell r="C564">
            <v>10130116</v>
          </cell>
          <cell r="D564" t="str">
            <v>GOMUKH CHAKIRDI</v>
          </cell>
          <cell r="E564" t="str">
            <v>MPG</v>
          </cell>
          <cell r="F564" t="str">
            <v>Direct</v>
          </cell>
        </row>
        <row r="565">
          <cell r="C565">
            <v>10130117</v>
          </cell>
          <cell r="D565" t="str">
            <v>GOMUKH Bhagwatpur East</v>
          </cell>
          <cell r="E565" t="str">
            <v>MPG</v>
          </cell>
          <cell r="F565" t="str">
            <v>Direct</v>
          </cell>
        </row>
        <row r="566">
          <cell r="C566">
            <v>10130118</v>
          </cell>
          <cell r="D566" t="str">
            <v>Gomukh Rupauli Buzurg</v>
          </cell>
          <cell r="E566" t="str">
            <v>MPG</v>
          </cell>
          <cell r="F566" t="str">
            <v>Indirect</v>
          </cell>
        </row>
        <row r="567">
          <cell r="C567">
            <v>10140001</v>
          </cell>
          <cell r="D567" t="str">
            <v>Dumri Purvi Tola</v>
          </cell>
          <cell r="E567" t="str">
            <v>MPG</v>
          </cell>
          <cell r="F567" t="str">
            <v>Direct</v>
          </cell>
        </row>
        <row r="568">
          <cell r="C568">
            <v>10140002</v>
          </cell>
          <cell r="D568" t="str">
            <v>Simri</v>
          </cell>
          <cell r="E568" t="str">
            <v>MPG</v>
          </cell>
          <cell r="F568" t="str">
            <v>Direct</v>
          </cell>
        </row>
        <row r="569">
          <cell r="C569">
            <v>10140003</v>
          </cell>
          <cell r="D569" t="str">
            <v>Sahiyar</v>
          </cell>
          <cell r="E569" t="str">
            <v>MPG</v>
          </cell>
          <cell r="F569" t="str">
            <v>Direct</v>
          </cell>
        </row>
        <row r="570">
          <cell r="C570">
            <v>10140007</v>
          </cell>
          <cell r="D570" t="str">
            <v>ENGLISH DUBAULI</v>
          </cell>
          <cell r="E570" t="str">
            <v>MPG</v>
          </cell>
          <cell r="F570" t="str">
            <v>Direct</v>
          </cell>
        </row>
        <row r="571">
          <cell r="C571">
            <v>10140008</v>
          </cell>
          <cell r="D571" t="str">
            <v>Ramo Bariya</v>
          </cell>
          <cell r="E571" t="str">
            <v>MPG</v>
          </cell>
          <cell r="F571" t="str">
            <v>Direct</v>
          </cell>
        </row>
        <row r="572">
          <cell r="C572">
            <v>10140009</v>
          </cell>
          <cell r="D572" t="str">
            <v>HITAN PARARI</v>
          </cell>
          <cell r="E572" t="str">
            <v>MPG</v>
          </cell>
          <cell r="F572" t="str">
            <v>Direct</v>
          </cell>
        </row>
        <row r="573">
          <cell r="C573">
            <v>10140012</v>
          </cell>
          <cell r="D573" t="str">
            <v>Gangauli</v>
          </cell>
          <cell r="E573" t="str">
            <v>MPG</v>
          </cell>
          <cell r="F573" t="str">
            <v>Direct</v>
          </cell>
        </row>
        <row r="574">
          <cell r="C574">
            <v>10140013</v>
          </cell>
          <cell r="D574" t="str">
            <v>MATHURA DERA</v>
          </cell>
          <cell r="E574" t="str">
            <v>MPG</v>
          </cell>
          <cell r="F574" t="str">
            <v>Direct</v>
          </cell>
        </row>
        <row r="575">
          <cell r="C575">
            <v>10140018</v>
          </cell>
          <cell r="D575" t="str">
            <v>NANDAN</v>
          </cell>
          <cell r="E575" t="str">
            <v>MPG</v>
          </cell>
          <cell r="F575" t="str">
            <v>Direct</v>
          </cell>
        </row>
        <row r="576">
          <cell r="C576">
            <v>10140020</v>
          </cell>
          <cell r="D576" t="str">
            <v>RAJAPUR</v>
          </cell>
          <cell r="E576" t="str">
            <v>MPG</v>
          </cell>
          <cell r="F576" t="str">
            <v>Direct</v>
          </cell>
        </row>
        <row r="577">
          <cell r="C577">
            <v>10140022</v>
          </cell>
          <cell r="D577" t="str">
            <v>HEMDAPUR</v>
          </cell>
          <cell r="E577" t="str">
            <v>MPG</v>
          </cell>
          <cell r="F577" t="str">
            <v>Direct</v>
          </cell>
        </row>
        <row r="578">
          <cell r="C578">
            <v>10140027</v>
          </cell>
          <cell r="D578" t="str">
            <v>Chatursal Ganj</v>
          </cell>
          <cell r="E578" t="str">
            <v>MPG</v>
          </cell>
          <cell r="F578" t="str">
            <v>Indirect</v>
          </cell>
        </row>
        <row r="579">
          <cell r="C579">
            <v>10140032</v>
          </cell>
          <cell r="D579" t="str">
            <v>Chaugain</v>
          </cell>
          <cell r="E579" t="str">
            <v>MPG</v>
          </cell>
          <cell r="F579" t="str">
            <v>Direct</v>
          </cell>
        </row>
        <row r="580">
          <cell r="C580">
            <v>10140033</v>
          </cell>
          <cell r="D580" t="str">
            <v>Akalupur</v>
          </cell>
          <cell r="E580" t="str">
            <v>MPG</v>
          </cell>
          <cell r="F580" t="str">
            <v>Direct</v>
          </cell>
        </row>
        <row r="581">
          <cell r="C581">
            <v>10140034</v>
          </cell>
          <cell r="D581" t="str">
            <v>Chhotka Sihanpura</v>
          </cell>
          <cell r="E581" t="str">
            <v>MPG</v>
          </cell>
          <cell r="F581" t="str">
            <v>Direct</v>
          </cell>
        </row>
        <row r="582">
          <cell r="C582">
            <v>10140039</v>
          </cell>
          <cell r="D582" t="str">
            <v>Dharauli</v>
          </cell>
          <cell r="E582" t="str">
            <v>MPG</v>
          </cell>
          <cell r="F582" t="str">
            <v>Direct</v>
          </cell>
        </row>
        <row r="583">
          <cell r="C583">
            <v>10140041</v>
          </cell>
          <cell r="D583" t="str">
            <v>Ramopatti</v>
          </cell>
          <cell r="E583" t="str">
            <v>MPG</v>
          </cell>
          <cell r="F583" t="str">
            <v>Direct</v>
          </cell>
        </row>
        <row r="584">
          <cell r="C584">
            <v>10140043</v>
          </cell>
          <cell r="D584" t="str">
            <v>Kaithi</v>
          </cell>
          <cell r="E584" t="str">
            <v>MPG</v>
          </cell>
          <cell r="F584" t="str">
            <v>Direct</v>
          </cell>
        </row>
        <row r="585">
          <cell r="C585">
            <v>10140045</v>
          </cell>
          <cell r="D585" t="str">
            <v>Rangi Dera</v>
          </cell>
          <cell r="E585" t="str">
            <v>MPG</v>
          </cell>
          <cell r="F585" t="str">
            <v>Direct</v>
          </cell>
        </row>
        <row r="586">
          <cell r="C586">
            <v>10140047</v>
          </cell>
          <cell r="D586" t="str">
            <v>Dubki</v>
          </cell>
          <cell r="E586" t="str">
            <v>MPG</v>
          </cell>
          <cell r="F586" t="str">
            <v>Direct</v>
          </cell>
        </row>
        <row r="587">
          <cell r="C587">
            <v>10140048</v>
          </cell>
          <cell r="D587" t="str">
            <v>Sonvarsa</v>
          </cell>
          <cell r="E587" t="str">
            <v>MPG</v>
          </cell>
          <cell r="F587" t="str">
            <v>Direct</v>
          </cell>
        </row>
        <row r="588">
          <cell r="C588">
            <v>10140054</v>
          </cell>
          <cell r="D588" t="str">
            <v>Soan</v>
          </cell>
          <cell r="E588" t="str">
            <v>MPG</v>
          </cell>
          <cell r="F588" t="str">
            <v>Direct</v>
          </cell>
        </row>
        <row r="589">
          <cell r="C589">
            <v>10140055</v>
          </cell>
          <cell r="D589" t="str">
            <v xml:space="preserve">PURANA BHOJPUR                                                                                      </v>
          </cell>
          <cell r="E589" t="str">
            <v>MPG</v>
          </cell>
          <cell r="F589" t="str">
            <v>Direct</v>
          </cell>
        </row>
        <row r="590">
          <cell r="C590">
            <v>10140058</v>
          </cell>
          <cell r="D590" t="str">
            <v>Gomukh Lewar</v>
          </cell>
          <cell r="E590" t="str">
            <v>MPG</v>
          </cell>
          <cell r="F590" t="str">
            <v>Direct</v>
          </cell>
        </row>
        <row r="591">
          <cell r="C591">
            <v>10140066</v>
          </cell>
          <cell r="D591" t="str">
            <v>Gomukh Kant</v>
          </cell>
          <cell r="E591" t="str">
            <v>MPG</v>
          </cell>
          <cell r="F591" t="str">
            <v>Direct</v>
          </cell>
        </row>
        <row r="592">
          <cell r="C592">
            <v>10140068</v>
          </cell>
          <cell r="D592" t="str">
            <v>Gomukh Naat</v>
          </cell>
          <cell r="E592" t="str">
            <v>MPG</v>
          </cell>
          <cell r="F592" t="str">
            <v>Direct</v>
          </cell>
        </row>
        <row r="593">
          <cell r="C593">
            <v>10140069</v>
          </cell>
          <cell r="D593" t="str">
            <v>Gomukh Raghunathpur</v>
          </cell>
          <cell r="E593" t="str">
            <v>MPG</v>
          </cell>
          <cell r="F593" t="str">
            <v>Direct</v>
          </cell>
        </row>
        <row r="594">
          <cell r="C594">
            <v>10140071</v>
          </cell>
          <cell r="D594" t="str">
            <v>Gomukh Tilakraika Hata 1 - Manoj</v>
          </cell>
          <cell r="E594" t="str">
            <v>MPG</v>
          </cell>
          <cell r="F594" t="str">
            <v>Indirect</v>
          </cell>
        </row>
        <row r="595">
          <cell r="C595">
            <v>10140083</v>
          </cell>
          <cell r="D595" t="str">
            <v>Gomukh Murar</v>
          </cell>
          <cell r="E595" t="str">
            <v>MPG</v>
          </cell>
          <cell r="F595" t="str">
            <v>Direct</v>
          </cell>
        </row>
        <row r="596">
          <cell r="C596">
            <v>10140087</v>
          </cell>
          <cell r="D596" t="str">
            <v xml:space="preserve">Gomukh Churamanpur                                                                                  </v>
          </cell>
          <cell r="E596" t="str">
            <v>MPG</v>
          </cell>
          <cell r="F596" t="str">
            <v>Direct</v>
          </cell>
        </row>
        <row r="597">
          <cell r="C597">
            <v>10140095</v>
          </cell>
          <cell r="D597" t="str">
            <v>Gomukh Ekauni Karuwaj</v>
          </cell>
          <cell r="E597" t="str">
            <v>MPG</v>
          </cell>
          <cell r="F597" t="str">
            <v>Direct</v>
          </cell>
        </row>
        <row r="598">
          <cell r="C598">
            <v>10140098</v>
          </cell>
          <cell r="D598" t="str">
            <v>Kulharia Agriculture Producer Company Limited</v>
          </cell>
          <cell r="E598" t="str">
            <v>MPG</v>
          </cell>
          <cell r="F598" t="str">
            <v>Direct</v>
          </cell>
        </row>
        <row r="599">
          <cell r="C599">
            <v>10140099</v>
          </cell>
          <cell r="D599" t="str">
            <v>Gomukh Dhakaich</v>
          </cell>
          <cell r="E599" t="str">
            <v>MPG</v>
          </cell>
          <cell r="F599" t="str">
            <v>Direct</v>
          </cell>
        </row>
        <row r="600">
          <cell r="C600">
            <v>10140107</v>
          </cell>
          <cell r="D600" t="str">
            <v>Gomukh Chhapra</v>
          </cell>
          <cell r="E600" t="str">
            <v>MPG</v>
          </cell>
          <cell r="F600" t="str">
            <v>Direct</v>
          </cell>
        </row>
        <row r="601">
          <cell r="C601">
            <v>10140109</v>
          </cell>
          <cell r="D601" t="str">
            <v>Gomukh Kajipura Chandan</v>
          </cell>
          <cell r="E601" t="str">
            <v>MPG</v>
          </cell>
          <cell r="F601" t="str">
            <v>Indirect</v>
          </cell>
        </row>
        <row r="602">
          <cell r="C602">
            <v>10140119</v>
          </cell>
          <cell r="D602" t="str">
            <v>Gomukh Banswar</v>
          </cell>
          <cell r="E602" t="str">
            <v>MPG</v>
          </cell>
          <cell r="F602" t="str">
            <v>Direct</v>
          </cell>
        </row>
        <row r="603">
          <cell r="C603">
            <v>10140120</v>
          </cell>
          <cell r="D603" t="str">
            <v>Gomukh Sikraul Lakh</v>
          </cell>
          <cell r="E603" t="str">
            <v>MPG</v>
          </cell>
          <cell r="F603" t="str">
            <v>Direct</v>
          </cell>
        </row>
        <row r="604">
          <cell r="C604">
            <v>10140122</v>
          </cell>
          <cell r="D604" t="str">
            <v>Gomukh Navadera Prem</v>
          </cell>
          <cell r="E604" t="str">
            <v>MPG</v>
          </cell>
          <cell r="F604" t="str">
            <v>Indirect</v>
          </cell>
        </row>
        <row r="605">
          <cell r="C605">
            <v>10140126</v>
          </cell>
          <cell r="D605" t="str">
            <v>Gomukh Dafadihari</v>
          </cell>
          <cell r="E605" t="str">
            <v>MPG</v>
          </cell>
          <cell r="F605" t="str">
            <v>Direct</v>
          </cell>
        </row>
        <row r="606">
          <cell r="C606">
            <v>10140129</v>
          </cell>
          <cell r="D606" t="str">
            <v>Gomukh Paharpur</v>
          </cell>
          <cell r="E606" t="str">
            <v>MPG</v>
          </cell>
          <cell r="F606" t="str">
            <v>Direct</v>
          </cell>
        </row>
        <row r="607">
          <cell r="C607">
            <v>10140131</v>
          </cell>
          <cell r="D607" t="str">
            <v>Gomukh Basaon Kalan</v>
          </cell>
          <cell r="E607" t="str">
            <v>MPG</v>
          </cell>
          <cell r="F607" t="str">
            <v>Direct</v>
          </cell>
        </row>
        <row r="608">
          <cell r="C608">
            <v>10140132</v>
          </cell>
          <cell r="D608" t="str">
            <v>Gomukh Mangolpur</v>
          </cell>
          <cell r="E608" t="str">
            <v>MPG</v>
          </cell>
          <cell r="F608" t="str">
            <v>Direct</v>
          </cell>
        </row>
        <row r="609">
          <cell r="C609">
            <v>10140135</v>
          </cell>
          <cell r="D609" t="str">
            <v>Gomukh Dhanipur</v>
          </cell>
          <cell r="E609" t="str">
            <v>MPG</v>
          </cell>
          <cell r="F609" t="str">
            <v>Direct</v>
          </cell>
        </row>
        <row r="610">
          <cell r="C610">
            <v>10140137</v>
          </cell>
          <cell r="D610" t="str">
            <v>Gomukh Rakshanagar_tola</v>
          </cell>
          <cell r="E610" t="str">
            <v>MPG</v>
          </cell>
          <cell r="F610" t="str">
            <v>Direct</v>
          </cell>
        </row>
        <row r="611">
          <cell r="C611">
            <v>10140139</v>
          </cell>
          <cell r="D611" t="str">
            <v>Gomukh Nadaon</v>
          </cell>
          <cell r="E611" t="str">
            <v>MPG</v>
          </cell>
          <cell r="F611" t="str">
            <v>Direct</v>
          </cell>
        </row>
        <row r="612">
          <cell r="C612">
            <v>10140141</v>
          </cell>
          <cell r="D612" t="str">
            <v>Gomukh Bimhnath Girdhar Baraw</v>
          </cell>
          <cell r="E612" t="str">
            <v>MPG</v>
          </cell>
          <cell r="F612" t="str">
            <v>Indirect</v>
          </cell>
        </row>
        <row r="613">
          <cell r="C613">
            <v>10140147</v>
          </cell>
          <cell r="D613" t="str">
            <v xml:space="preserve">Gomukh Mathuradera Upendra </v>
          </cell>
          <cell r="E613" t="str">
            <v>MPG</v>
          </cell>
          <cell r="F613" t="str">
            <v>Indirect</v>
          </cell>
        </row>
        <row r="614">
          <cell r="C614">
            <v>10140152</v>
          </cell>
          <cell r="D614" t="str">
            <v>Gomukh Badkagaon Yamunatola</v>
          </cell>
          <cell r="E614" t="str">
            <v>MPG</v>
          </cell>
          <cell r="F614" t="str">
            <v>Direct</v>
          </cell>
        </row>
        <row r="615">
          <cell r="C615">
            <v>10140153</v>
          </cell>
          <cell r="D615" t="str">
            <v>Gomukh Bramhpur</v>
          </cell>
          <cell r="E615" t="str">
            <v>MPG</v>
          </cell>
          <cell r="F615" t="str">
            <v>Direct</v>
          </cell>
        </row>
        <row r="616">
          <cell r="C616">
            <v>10140155</v>
          </cell>
          <cell r="D616" t="str">
            <v>Gomukh Rajpur Naurang Rai Dera</v>
          </cell>
          <cell r="E616" t="str">
            <v>MPG</v>
          </cell>
          <cell r="F616" t="str">
            <v>Direct</v>
          </cell>
        </row>
        <row r="617">
          <cell r="C617">
            <v>10140156</v>
          </cell>
          <cell r="D617" t="str">
            <v>Gomukh Mashariya</v>
          </cell>
          <cell r="E617" t="str">
            <v>MPG</v>
          </cell>
          <cell r="F617" t="str">
            <v>Direct</v>
          </cell>
        </row>
        <row r="618">
          <cell r="C618">
            <v>10140157</v>
          </cell>
          <cell r="D618" t="str">
            <v>Gomukh Basawkala Sudhir Kumar</v>
          </cell>
          <cell r="E618" t="str">
            <v>MPG</v>
          </cell>
          <cell r="F618" t="str">
            <v>Indirect</v>
          </cell>
        </row>
        <row r="619">
          <cell r="C619">
            <v>10140166</v>
          </cell>
          <cell r="D619" t="str">
            <v>Gomukh KritSagar</v>
          </cell>
          <cell r="E619" t="str">
            <v>MPG</v>
          </cell>
          <cell r="F619" t="str">
            <v>Direct</v>
          </cell>
        </row>
        <row r="620">
          <cell r="C620">
            <v>10140167</v>
          </cell>
          <cell r="D620" t="str">
            <v>Gomukh Navdera Jaipraksh</v>
          </cell>
          <cell r="E620" t="str">
            <v>MPG</v>
          </cell>
          <cell r="F620" t="str">
            <v>Indirect</v>
          </cell>
        </row>
        <row r="621">
          <cell r="C621">
            <v>10140170</v>
          </cell>
          <cell r="D621" t="str">
            <v>Gomukh Ataon</v>
          </cell>
          <cell r="E621" t="str">
            <v>MPG</v>
          </cell>
          <cell r="F621" t="str">
            <v>Direct</v>
          </cell>
        </row>
        <row r="622">
          <cell r="C622">
            <v>10140173</v>
          </cell>
          <cell r="D622" t="str">
            <v>Gumukh Gayghat</v>
          </cell>
          <cell r="E622" t="str">
            <v>MPG</v>
          </cell>
          <cell r="F622" t="str">
            <v>Direct</v>
          </cell>
        </row>
        <row r="623">
          <cell r="C623">
            <v>10140174</v>
          </cell>
          <cell r="D623" t="str">
            <v>Gomukh Shivpur</v>
          </cell>
          <cell r="E623" t="str">
            <v>MPG</v>
          </cell>
          <cell r="F623" t="str">
            <v>Direct</v>
          </cell>
        </row>
        <row r="624">
          <cell r="C624">
            <v>10140175</v>
          </cell>
          <cell r="D624" t="str">
            <v>Gomukh Koilawar Roma Bharti</v>
          </cell>
          <cell r="E624" t="str">
            <v>MPG</v>
          </cell>
          <cell r="F624" t="str">
            <v>Indirect</v>
          </cell>
        </row>
        <row r="625">
          <cell r="C625">
            <v>10140176</v>
          </cell>
          <cell r="D625" t="str">
            <v>Gomukh Chakki Janardan Yadav</v>
          </cell>
          <cell r="E625" t="str">
            <v>MPG</v>
          </cell>
          <cell r="F625" t="str">
            <v>Indirect</v>
          </cell>
        </row>
        <row r="626">
          <cell r="C626">
            <v>10140179</v>
          </cell>
          <cell r="D626" t="str">
            <v>Gomukh Rajpur</v>
          </cell>
          <cell r="E626" t="str">
            <v>MPG</v>
          </cell>
          <cell r="F626" t="str">
            <v>Direct</v>
          </cell>
        </row>
        <row r="627">
          <cell r="C627">
            <v>10140180</v>
          </cell>
          <cell r="D627" t="str">
            <v>Gomukh Gangauli Dubha</v>
          </cell>
          <cell r="E627" t="str">
            <v>MPG</v>
          </cell>
          <cell r="F627" t="str">
            <v>Direct</v>
          </cell>
        </row>
        <row r="628">
          <cell r="C628">
            <v>10140181</v>
          </cell>
          <cell r="D628" t="str">
            <v>Tiyar A2 Milk Producer Company Limited</v>
          </cell>
          <cell r="E628" t="str">
            <v>MPG</v>
          </cell>
          <cell r="F628" t="str">
            <v>Indirect</v>
          </cell>
        </row>
        <row r="629">
          <cell r="C629">
            <v>10140183</v>
          </cell>
          <cell r="D629" t="str">
            <v>Gomukh Uttardahan</v>
          </cell>
          <cell r="E629" t="str">
            <v>MPG</v>
          </cell>
          <cell r="F629" t="str">
            <v>Direct</v>
          </cell>
        </row>
        <row r="630">
          <cell r="C630">
            <v>10140185</v>
          </cell>
          <cell r="D630" t="str">
            <v>Gomukh Jagdishpur</v>
          </cell>
          <cell r="E630" t="str">
            <v>MPG</v>
          </cell>
          <cell r="F630" t="str">
            <v>Direct</v>
          </cell>
        </row>
        <row r="631">
          <cell r="C631">
            <v>10140186</v>
          </cell>
          <cell r="D631" t="str">
            <v>Gomukh Akalupur Dera</v>
          </cell>
          <cell r="E631" t="str">
            <v>MPG</v>
          </cell>
          <cell r="F631" t="str">
            <v>Direct</v>
          </cell>
        </row>
        <row r="632">
          <cell r="C632">
            <v>10140193</v>
          </cell>
          <cell r="D632" t="str">
            <v>Gaya Jee Pathak</v>
          </cell>
          <cell r="E632" t="str">
            <v>MPG</v>
          </cell>
          <cell r="F632" t="str">
            <v>Indirect</v>
          </cell>
        </row>
        <row r="633">
          <cell r="C633">
            <v>10140194</v>
          </cell>
          <cell r="D633" t="str">
            <v>Gumukh Orap Khurd</v>
          </cell>
          <cell r="E633" t="str">
            <v>MPG</v>
          </cell>
          <cell r="F633" t="str">
            <v>Direct</v>
          </cell>
        </row>
        <row r="634">
          <cell r="C634">
            <v>10140196</v>
          </cell>
          <cell r="D634" t="str">
            <v>Gomukh Daunpura Manendra</v>
          </cell>
          <cell r="E634" t="str">
            <v>MPG</v>
          </cell>
          <cell r="F634" t="str">
            <v>Indirect</v>
          </cell>
        </row>
        <row r="635">
          <cell r="C635">
            <v>10140197</v>
          </cell>
          <cell r="D635" t="str">
            <v>Gumukh Mathiyapur</v>
          </cell>
          <cell r="E635" t="str">
            <v>MPG</v>
          </cell>
          <cell r="F635" t="str">
            <v>Direct</v>
          </cell>
        </row>
        <row r="636">
          <cell r="C636">
            <v>10140198</v>
          </cell>
          <cell r="D636" t="str">
            <v>Gomukh Raghunathpur Dasrath</v>
          </cell>
          <cell r="E636" t="str">
            <v>MPG</v>
          </cell>
          <cell r="F636" t="str">
            <v>Indirect</v>
          </cell>
        </row>
        <row r="637">
          <cell r="C637">
            <v>10140201</v>
          </cell>
          <cell r="D637" t="str">
            <v>Gomukh Lakshman Dera Raja</v>
          </cell>
          <cell r="E637" t="str">
            <v>MPG</v>
          </cell>
          <cell r="F637" t="str">
            <v>Indirect</v>
          </cell>
        </row>
        <row r="638">
          <cell r="C638">
            <v>10140203</v>
          </cell>
          <cell r="D638" t="str">
            <v>Sohan Narayan Farmer Dairy Producer Company Ltd</v>
          </cell>
          <cell r="E638" t="str">
            <v>MPG</v>
          </cell>
          <cell r="F638" t="str">
            <v>Indirect</v>
          </cell>
        </row>
        <row r="639">
          <cell r="C639">
            <v>10140205</v>
          </cell>
          <cell r="D639" t="str">
            <v>Gumukh Niyajipur Nakchhedi Pathak Dera</v>
          </cell>
          <cell r="E639" t="str">
            <v>MPG</v>
          </cell>
          <cell r="F639" t="str">
            <v>Direct</v>
          </cell>
        </row>
        <row r="640">
          <cell r="C640">
            <v>10140206</v>
          </cell>
          <cell r="D640" t="str">
            <v>Gumukh Basawkala Dahpura Tola</v>
          </cell>
          <cell r="E640" t="str">
            <v>MPG</v>
          </cell>
          <cell r="F640" t="str">
            <v>Direct</v>
          </cell>
        </row>
        <row r="641">
          <cell r="C641">
            <v>10180001</v>
          </cell>
          <cell r="D641" t="str">
            <v>Gaachhi Tola</v>
          </cell>
          <cell r="E641" t="str">
            <v>MPG</v>
          </cell>
          <cell r="F641" t="str">
            <v>Indirect</v>
          </cell>
        </row>
        <row r="642">
          <cell r="C642">
            <v>10200001</v>
          </cell>
          <cell r="D642" t="str">
            <v>SHIVNAR-2</v>
          </cell>
          <cell r="E642" t="str">
            <v>MPG</v>
          </cell>
          <cell r="F642" t="str">
            <v>Direct</v>
          </cell>
        </row>
        <row r="643">
          <cell r="C643">
            <v>10220001</v>
          </cell>
          <cell r="D643" t="str">
            <v>VISHWASHPUR</v>
          </cell>
          <cell r="E643" t="str">
            <v>MPG</v>
          </cell>
          <cell r="F643" t="str">
            <v>Direct</v>
          </cell>
        </row>
        <row r="644">
          <cell r="C644">
            <v>10230001</v>
          </cell>
          <cell r="D644" t="str">
            <v>KHARIYA</v>
          </cell>
          <cell r="E644" t="str">
            <v>MPG</v>
          </cell>
          <cell r="F644" t="str">
            <v>Direct</v>
          </cell>
        </row>
        <row r="645">
          <cell r="C645">
            <v>10240001</v>
          </cell>
          <cell r="D645" t="str">
            <v>KUMARPUIR KATHARA</v>
          </cell>
          <cell r="E645" t="str">
            <v>MPG</v>
          </cell>
          <cell r="F645" t="str">
            <v>Direct</v>
          </cell>
        </row>
        <row r="646">
          <cell r="C646">
            <v>10250001</v>
          </cell>
          <cell r="D646" t="str">
            <v>KUDHIYA MPG</v>
          </cell>
          <cell r="E646" t="str">
            <v>MPG</v>
          </cell>
          <cell r="F646" t="str">
            <v>Direct</v>
          </cell>
        </row>
        <row r="647">
          <cell r="C647">
            <v>10260001</v>
          </cell>
          <cell r="D647" t="str">
            <v>SHAHJADPUR MPG</v>
          </cell>
          <cell r="E647" t="str">
            <v>MPG</v>
          </cell>
          <cell r="F647" t="str">
            <v>Direct</v>
          </cell>
        </row>
        <row r="648">
          <cell r="C648">
            <v>10290001</v>
          </cell>
          <cell r="D648" t="str">
            <v>FARDA - 3</v>
          </cell>
          <cell r="E648" t="str">
            <v>MPG</v>
          </cell>
          <cell r="F648" t="str">
            <v>Direct</v>
          </cell>
        </row>
        <row r="649">
          <cell r="C649">
            <v>10300001</v>
          </cell>
          <cell r="D649" t="str">
            <v>CHANDANPURA</v>
          </cell>
          <cell r="E649" t="str">
            <v>MPG</v>
          </cell>
          <cell r="F649" t="str">
            <v>Indirect</v>
          </cell>
        </row>
        <row r="650">
          <cell r="C650">
            <v>10310001</v>
          </cell>
          <cell r="D650" t="str">
            <v>MANIKPUR</v>
          </cell>
          <cell r="E650" t="str">
            <v>MPG</v>
          </cell>
          <cell r="F650" t="str">
            <v>Direct</v>
          </cell>
        </row>
        <row r="651">
          <cell r="C651">
            <v>10320001</v>
          </cell>
          <cell r="D651" t="str">
            <v>JAKARPURA</v>
          </cell>
          <cell r="E651" t="str">
            <v>MPG</v>
          </cell>
          <cell r="F651" t="str">
            <v>Indirect</v>
          </cell>
        </row>
        <row r="652">
          <cell r="C652">
            <v>10330001</v>
          </cell>
          <cell r="D652" t="str">
            <v>KISHANPUR</v>
          </cell>
          <cell r="E652" t="str">
            <v>MPG</v>
          </cell>
          <cell r="F652" t="str">
            <v>Indirect</v>
          </cell>
        </row>
        <row r="653">
          <cell r="C653">
            <v>10340001</v>
          </cell>
          <cell r="D653" t="str">
            <v>NANDPUR</v>
          </cell>
          <cell r="E653" t="str">
            <v>MPG</v>
          </cell>
          <cell r="F653" t="str">
            <v>Indirect</v>
          </cell>
        </row>
        <row r="654">
          <cell r="C654">
            <v>10350001</v>
          </cell>
          <cell r="D654" t="str">
            <v>NOWAGADHI</v>
          </cell>
          <cell r="E654" t="str">
            <v>MPG</v>
          </cell>
          <cell r="F654" t="str">
            <v>Direct</v>
          </cell>
        </row>
        <row r="655">
          <cell r="C655">
            <v>10360001</v>
          </cell>
          <cell r="D655" t="str">
            <v>MAHADAT PUR 2</v>
          </cell>
          <cell r="E655" t="str">
            <v>MPG</v>
          </cell>
          <cell r="F655" t="str">
            <v>Direct</v>
          </cell>
        </row>
        <row r="656">
          <cell r="C656">
            <v>10370001</v>
          </cell>
          <cell r="D656" t="str">
            <v>KATHELA TOLA TELDHI</v>
          </cell>
          <cell r="E656" t="str">
            <v>MPG</v>
          </cell>
          <cell r="F656" t="str">
            <v>Direct</v>
          </cell>
        </row>
        <row r="657">
          <cell r="C657">
            <v>10380001</v>
          </cell>
          <cell r="D657" t="str">
            <v>SONBARSHA 1</v>
          </cell>
          <cell r="E657" t="str">
            <v>MPG</v>
          </cell>
          <cell r="F657" t="str">
            <v>Direct</v>
          </cell>
        </row>
        <row r="658">
          <cell r="C658">
            <v>10390001</v>
          </cell>
          <cell r="D658" t="str">
            <v>GANOUL</v>
          </cell>
          <cell r="E658" t="str">
            <v>MPG</v>
          </cell>
          <cell r="F658" t="str">
            <v>Indirect</v>
          </cell>
        </row>
        <row r="659">
          <cell r="C659">
            <v>10400001</v>
          </cell>
          <cell r="D659" t="str">
            <v>Gauripur</v>
          </cell>
          <cell r="E659" t="str">
            <v>MPG</v>
          </cell>
          <cell r="F659" t="str">
            <v>Direct</v>
          </cell>
        </row>
        <row r="660">
          <cell r="C660">
            <v>10410001</v>
          </cell>
          <cell r="D660" t="str">
            <v>Bhramarpur</v>
          </cell>
          <cell r="E660" t="str">
            <v>MPG</v>
          </cell>
          <cell r="F660" t="str">
            <v>Direct</v>
          </cell>
        </row>
        <row r="661">
          <cell r="C661">
            <v>10430001</v>
          </cell>
          <cell r="D661" t="str">
            <v>Gomukh Bariyarpur</v>
          </cell>
          <cell r="E661" t="str">
            <v>MPG</v>
          </cell>
          <cell r="F661" t="str">
            <v>Direct</v>
          </cell>
        </row>
        <row r="662">
          <cell r="C662">
            <v>10440001</v>
          </cell>
          <cell r="D662" t="str">
            <v>Gomukh Sadananpur</v>
          </cell>
          <cell r="E662" t="str">
            <v>MPG</v>
          </cell>
          <cell r="F662" t="str">
            <v>Direct</v>
          </cell>
        </row>
        <row r="663">
          <cell r="C663">
            <v>10460001</v>
          </cell>
          <cell r="D663" t="str">
            <v>TILAKPUR  2</v>
          </cell>
          <cell r="E663" t="str">
            <v>MPG</v>
          </cell>
          <cell r="F663" t="str">
            <v>Direct</v>
          </cell>
        </row>
        <row r="664">
          <cell r="C664">
            <v>10460002</v>
          </cell>
          <cell r="D664" t="str">
            <v>TILAKPUR</v>
          </cell>
          <cell r="E664" t="str">
            <v>MPG</v>
          </cell>
          <cell r="F664" t="str">
            <v>Direct</v>
          </cell>
        </row>
        <row r="665">
          <cell r="C665">
            <v>10480001</v>
          </cell>
          <cell r="D665" t="str">
            <v>Prasharpur Kadwa Gomukh</v>
          </cell>
          <cell r="E665" t="str">
            <v>MPG</v>
          </cell>
          <cell r="F665" t="str">
            <v>Direct</v>
          </cell>
        </row>
        <row r="666">
          <cell r="C666">
            <v>10480002</v>
          </cell>
          <cell r="D666" t="str">
            <v>Borwa Tola Gomukh</v>
          </cell>
          <cell r="E666" t="str">
            <v>MPG</v>
          </cell>
          <cell r="F666" t="str">
            <v>Indirect</v>
          </cell>
        </row>
        <row r="667">
          <cell r="C667">
            <v>10480003</v>
          </cell>
          <cell r="D667" t="str">
            <v>Sheela Devi</v>
          </cell>
          <cell r="E667" t="str">
            <v>MPG</v>
          </cell>
          <cell r="F667" t="str">
            <v>Indirect</v>
          </cell>
        </row>
        <row r="668">
          <cell r="C668">
            <v>10480005</v>
          </cell>
          <cell r="D668" t="str">
            <v>Gomukh Vijay Lalganj</v>
          </cell>
          <cell r="E668" t="str">
            <v>MPG</v>
          </cell>
          <cell r="F668" t="str">
            <v>Direct</v>
          </cell>
        </row>
        <row r="669">
          <cell r="C669">
            <v>10480008</v>
          </cell>
          <cell r="D669" t="str">
            <v>Gomukh Sarswati Nagar Nakdahri</v>
          </cell>
          <cell r="E669" t="str">
            <v>MPG</v>
          </cell>
          <cell r="F669" t="str">
            <v>Direct</v>
          </cell>
        </row>
        <row r="670">
          <cell r="C670">
            <v>10480012</v>
          </cell>
          <cell r="D670" t="str">
            <v>Gomukh Krishna Dairy Tulsipur</v>
          </cell>
          <cell r="E670" t="str">
            <v>MPG</v>
          </cell>
          <cell r="F670" t="str">
            <v>Direct</v>
          </cell>
        </row>
        <row r="671">
          <cell r="C671">
            <v>10480016</v>
          </cell>
          <cell r="D671" t="str">
            <v>Gomukh Lauwalagam</v>
          </cell>
          <cell r="E671" t="str">
            <v>MPG</v>
          </cell>
          <cell r="F671" t="str">
            <v>Direct</v>
          </cell>
        </row>
        <row r="672">
          <cell r="C672">
            <v>10480022</v>
          </cell>
          <cell r="D672" t="str">
            <v>Dhobina Basa</v>
          </cell>
          <cell r="E672" t="str">
            <v>MPG</v>
          </cell>
          <cell r="F672" t="str">
            <v>Direct</v>
          </cell>
        </row>
        <row r="673">
          <cell r="C673">
            <v>10480023</v>
          </cell>
          <cell r="D673" t="str">
            <v>Gomukh Shreepur Madhay</v>
          </cell>
          <cell r="E673" t="str">
            <v>MPG</v>
          </cell>
          <cell r="F673" t="str">
            <v>Direct</v>
          </cell>
        </row>
        <row r="674">
          <cell r="C674">
            <v>10480028</v>
          </cell>
          <cell r="D674" t="str">
            <v>Gomukh Dhoriya Dadpur -VLC</v>
          </cell>
          <cell r="E674" t="str">
            <v>MPG</v>
          </cell>
          <cell r="F674" t="str">
            <v>Indirect</v>
          </cell>
        </row>
        <row r="675">
          <cell r="C675">
            <v>10480033</v>
          </cell>
          <cell r="D675" t="str">
            <v>Gomukh Mohanpur  VLC</v>
          </cell>
          <cell r="E675" t="str">
            <v>MPG</v>
          </cell>
          <cell r="F675" t="str">
            <v>Indirect</v>
          </cell>
        </row>
        <row r="676">
          <cell r="C676">
            <v>10480034</v>
          </cell>
          <cell r="D676" t="str">
            <v>Gomukh Abhirampur VLC</v>
          </cell>
          <cell r="E676" t="str">
            <v>MPG</v>
          </cell>
          <cell r="F676" t="str">
            <v>Indirect</v>
          </cell>
        </row>
        <row r="677">
          <cell r="C677">
            <v>10480036</v>
          </cell>
          <cell r="D677" t="str">
            <v>Gomukh Pachgachhia Vlc</v>
          </cell>
          <cell r="E677" t="str">
            <v>MPG</v>
          </cell>
          <cell r="F677" t="str">
            <v>Indirect</v>
          </cell>
        </row>
        <row r="678">
          <cell r="C678">
            <v>10500001</v>
          </cell>
          <cell r="D678" t="str">
            <v>KUNTHA M</v>
          </cell>
          <cell r="E678" t="str">
            <v>MPG</v>
          </cell>
          <cell r="F678" t="str">
            <v>Direct</v>
          </cell>
        </row>
        <row r="679">
          <cell r="C679">
            <v>10510001</v>
          </cell>
          <cell r="D679" t="str">
            <v>ARAK</v>
          </cell>
          <cell r="E679" t="str">
            <v>MPG</v>
          </cell>
          <cell r="F679" t="str">
            <v>Direct</v>
          </cell>
        </row>
        <row r="680">
          <cell r="C680">
            <v>10510002</v>
          </cell>
          <cell r="D680" t="str">
            <v>Diyaman</v>
          </cell>
          <cell r="E680" t="str">
            <v>MPG</v>
          </cell>
          <cell r="F680" t="str">
            <v>Direct</v>
          </cell>
        </row>
        <row r="681">
          <cell r="C681">
            <v>10510004</v>
          </cell>
          <cell r="D681" t="str">
            <v>HENHA</v>
          </cell>
          <cell r="E681" t="str">
            <v>MPG</v>
          </cell>
          <cell r="F681" t="str">
            <v>Direct</v>
          </cell>
        </row>
        <row r="682">
          <cell r="C682">
            <v>10520006</v>
          </cell>
          <cell r="D682" t="str">
            <v>Suddh Dairy</v>
          </cell>
          <cell r="E682" t="str">
            <v>MPG</v>
          </cell>
          <cell r="F682" t="str">
            <v>Indirect</v>
          </cell>
        </row>
        <row r="683">
          <cell r="C683">
            <v>10520007</v>
          </cell>
          <cell r="D683" t="str">
            <v>Krishna Dairy</v>
          </cell>
          <cell r="E683" t="str">
            <v>MPG</v>
          </cell>
          <cell r="F683" t="str">
            <v>Indirect</v>
          </cell>
        </row>
        <row r="684">
          <cell r="C684">
            <v>10520010</v>
          </cell>
          <cell r="D684" t="str">
            <v>Anik Kumar</v>
          </cell>
          <cell r="E684" t="str">
            <v>MPG</v>
          </cell>
          <cell r="F684" t="str">
            <v>Indirect</v>
          </cell>
        </row>
        <row r="685">
          <cell r="C685">
            <v>10530001</v>
          </cell>
          <cell r="D685" t="str">
            <v>Gomukh CHANDAULI</v>
          </cell>
          <cell r="E685" t="str">
            <v>MPG</v>
          </cell>
          <cell r="F685" t="str">
            <v>Direct</v>
          </cell>
        </row>
        <row r="686">
          <cell r="C686">
            <v>10530002</v>
          </cell>
          <cell r="D686" t="str">
            <v>GOMUKH HATHA</v>
          </cell>
          <cell r="E686" t="str">
            <v>MPG</v>
          </cell>
          <cell r="F686" t="str">
            <v>Direct</v>
          </cell>
        </row>
        <row r="687">
          <cell r="C687">
            <v>10530003</v>
          </cell>
          <cell r="D687" t="str">
            <v>GOMUKH VADEYA</v>
          </cell>
          <cell r="E687" t="str">
            <v>MPG</v>
          </cell>
          <cell r="F687" t="str">
            <v>Direct</v>
          </cell>
        </row>
        <row r="688">
          <cell r="C688">
            <v>10530005</v>
          </cell>
          <cell r="D688" t="str">
            <v>GOMUKH CHANDPURA</v>
          </cell>
          <cell r="E688" t="str">
            <v>MPG</v>
          </cell>
          <cell r="F688" t="str">
            <v>Direct</v>
          </cell>
        </row>
        <row r="689">
          <cell r="C689">
            <v>10530006</v>
          </cell>
          <cell r="D689" t="str">
            <v>GOMUKH BARGAMA</v>
          </cell>
          <cell r="E689" t="str">
            <v>MPG</v>
          </cell>
          <cell r="F689" t="str">
            <v>Direct</v>
          </cell>
        </row>
        <row r="690">
          <cell r="C690">
            <v>10530007</v>
          </cell>
          <cell r="D690" t="str">
            <v>Gomukh Gograha Tola</v>
          </cell>
          <cell r="E690" t="str">
            <v>MPG</v>
          </cell>
          <cell r="F690" t="str">
            <v>Direct</v>
          </cell>
        </row>
        <row r="691">
          <cell r="C691">
            <v>10530008</v>
          </cell>
          <cell r="D691" t="str">
            <v>Gomukh Patsara</v>
          </cell>
          <cell r="E691" t="str">
            <v>MPG</v>
          </cell>
          <cell r="F691" t="str">
            <v>Direct</v>
          </cell>
        </row>
        <row r="692">
          <cell r="C692">
            <v>10530009</v>
          </cell>
          <cell r="D692" t="str">
            <v>Gomukh Singhiya</v>
          </cell>
          <cell r="E692" t="str">
            <v>MPG</v>
          </cell>
          <cell r="F692" t="str">
            <v>Indirect</v>
          </cell>
        </row>
        <row r="693">
          <cell r="C693">
            <v>10530010</v>
          </cell>
          <cell r="D693" t="str">
            <v xml:space="preserve">Gomukh BALHA </v>
          </cell>
          <cell r="E693" t="str">
            <v>MPG</v>
          </cell>
          <cell r="F693" t="str">
            <v>Indirect</v>
          </cell>
        </row>
        <row r="694">
          <cell r="C694">
            <v>10530013</v>
          </cell>
          <cell r="D694" t="str">
            <v>Gomukh Kalyanpur 2</v>
          </cell>
          <cell r="E694" t="str">
            <v>MPG</v>
          </cell>
          <cell r="F694" t="str">
            <v>Indirect</v>
          </cell>
        </row>
        <row r="695">
          <cell r="C695">
            <v>10530014</v>
          </cell>
          <cell r="D695" t="str">
            <v>Gomukh Namapur 2</v>
          </cell>
          <cell r="E695" t="str">
            <v>MPG</v>
          </cell>
          <cell r="F695" t="str">
            <v>Indirect</v>
          </cell>
        </row>
        <row r="696">
          <cell r="C696">
            <v>10530015</v>
          </cell>
          <cell r="D696" t="str">
            <v>Gomukh Madhopur</v>
          </cell>
          <cell r="E696" t="str">
            <v>MPG</v>
          </cell>
          <cell r="F696" t="str">
            <v>Indirect</v>
          </cell>
        </row>
        <row r="697">
          <cell r="C697">
            <v>10530016</v>
          </cell>
          <cell r="D697" t="str">
            <v>Gomukh Kalyanpur East</v>
          </cell>
          <cell r="E697" t="str">
            <v>MPG</v>
          </cell>
          <cell r="F697" t="str">
            <v>Indirect</v>
          </cell>
        </row>
        <row r="698">
          <cell r="C698">
            <v>10530017</v>
          </cell>
          <cell r="D698" t="str">
            <v>Gomukh Bazidpur</v>
          </cell>
          <cell r="E698" t="str">
            <v>MPG</v>
          </cell>
          <cell r="F698" t="str">
            <v>Indirect</v>
          </cell>
        </row>
        <row r="699">
          <cell r="C699">
            <v>10530018</v>
          </cell>
          <cell r="D699" t="str">
            <v>Gomukh Belsandi</v>
          </cell>
          <cell r="E699" t="str">
            <v>MPG</v>
          </cell>
          <cell r="F699" t="str">
            <v>Indirect</v>
          </cell>
        </row>
        <row r="700">
          <cell r="C700">
            <v>10530019</v>
          </cell>
          <cell r="D700" t="str">
            <v>Gomukh Namapur Ward 8</v>
          </cell>
          <cell r="E700" t="str">
            <v>MPG</v>
          </cell>
          <cell r="F700" t="str">
            <v>Indirect</v>
          </cell>
        </row>
        <row r="701">
          <cell r="C701">
            <v>10530025</v>
          </cell>
          <cell r="D701" t="str">
            <v>Belsandi</v>
          </cell>
          <cell r="E701" t="str">
            <v>MPG</v>
          </cell>
          <cell r="F701" t="str">
            <v>Indirect</v>
          </cell>
        </row>
        <row r="702">
          <cell r="C702">
            <v>10530027</v>
          </cell>
          <cell r="D702" t="str">
            <v>Gomukh Kolwara</v>
          </cell>
          <cell r="E702" t="str">
            <v>MPG</v>
          </cell>
          <cell r="F702" t="str">
            <v>Direct</v>
          </cell>
        </row>
        <row r="703">
          <cell r="C703">
            <v>10530029</v>
          </cell>
          <cell r="D703" t="str">
            <v>Gomukh Belsandi East</v>
          </cell>
          <cell r="E703" t="str">
            <v>MPG</v>
          </cell>
          <cell r="F703" t="str">
            <v>Indirect</v>
          </cell>
        </row>
        <row r="704">
          <cell r="C704">
            <v>10530030</v>
          </cell>
          <cell r="D704" t="str">
            <v>Gomukh Belsandi West Tola</v>
          </cell>
          <cell r="E704" t="str">
            <v>MPG</v>
          </cell>
          <cell r="F704" t="str">
            <v>Indirect</v>
          </cell>
        </row>
        <row r="705">
          <cell r="C705">
            <v>10530031</v>
          </cell>
          <cell r="D705" t="str">
            <v>Gomukh Gopalpur</v>
          </cell>
          <cell r="E705" t="str">
            <v>MPG</v>
          </cell>
          <cell r="F705" t="str">
            <v>Indirect</v>
          </cell>
        </row>
        <row r="706">
          <cell r="C706">
            <v>10530032</v>
          </cell>
          <cell r="D706" t="str">
            <v>Gomukh Bharav</v>
          </cell>
          <cell r="E706" t="str">
            <v>MPG</v>
          </cell>
          <cell r="F706" t="str">
            <v>Direct</v>
          </cell>
        </row>
        <row r="707">
          <cell r="C707">
            <v>10530033</v>
          </cell>
          <cell r="D707" t="str">
            <v>Gomukh Harpur</v>
          </cell>
          <cell r="E707" t="str">
            <v>MPG</v>
          </cell>
          <cell r="F707" t="str">
            <v>Direct</v>
          </cell>
        </row>
        <row r="708">
          <cell r="C708">
            <v>10530034</v>
          </cell>
          <cell r="D708" t="str">
            <v>Gomukh Fulhatta</v>
          </cell>
          <cell r="E708" t="str">
            <v>MPG</v>
          </cell>
          <cell r="F708" t="str">
            <v>Direct</v>
          </cell>
        </row>
        <row r="709">
          <cell r="C709">
            <v>10530035</v>
          </cell>
          <cell r="D709" t="str">
            <v>Gomukh Birauli Khurd</v>
          </cell>
          <cell r="E709" t="str">
            <v>MPG</v>
          </cell>
          <cell r="F709" t="str">
            <v>Direct</v>
          </cell>
        </row>
        <row r="710">
          <cell r="C710">
            <v>10530037</v>
          </cell>
          <cell r="D710" t="str">
            <v>Gomukh Janardhanpur</v>
          </cell>
          <cell r="E710" t="str">
            <v>MPG</v>
          </cell>
          <cell r="F710" t="str">
            <v>Indirect</v>
          </cell>
        </row>
        <row r="711">
          <cell r="C711">
            <v>10530038</v>
          </cell>
          <cell r="D711" t="str">
            <v>Gomukh Bedauliya</v>
          </cell>
          <cell r="E711" t="str">
            <v>MPG</v>
          </cell>
          <cell r="F711" t="str">
            <v>Indirect</v>
          </cell>
        </row>
        <row r="712">
          <cell r="C712">
            <v>10530040</v>
          </cell>
          <cell r="D712" t="str">
            <v>Gomukh Khanua</v>
          </cell>
          <cell r="E712" t="str">
            <v>MPG</v>
          </cell>
          <cell r="F712" t="str">
            <v>Direct</v>
          </cell>
        </row>
        <row r="713">
          <cell r="C713">
            <v>10530041</v>
          </cell>
          <cell r="D713" t="str">
            <v>Gomukh Hiralalpur</v>
          </cell>
          <cell r="E713" t="str">
            <v>MPG</v>
          </cell>
          <cell r="F713" t="str">
            <v>Indirect</v>
          </cell>
        </row>
        <row r="714">
          <cell r="C714">
            <v>10530044</v>
          </cell>
          <cell r="D714" t="str">
            <v>Gomukh Punas</v>
          </cell>
          <cell r="E714" t="str">
            <v>MPG</v>
          </cell>
          <cell r="F714" t="str">
            <v>Direct</v>
          </cell>
        </row>
        <row r="715">
          <cell r="C715">
            <v>10530046</v>
          </cell>
          <cell r="D715" t="str">
            <v>Gomukh Loharkha</v>
          </cell>
          <cell r="E715" t="str">
            <v>MPG</v>
          </cell>
          <cell r="F715" t="str">
            <v>Direct</v>
          </cell>
        </row>
        <row r="716">
          <cell r="C716">
            <v>10530047</v>
          </cell>
          <cell r="D716" t="str">
            <v>Gomukh Dighra</v>
          </cell>
          <cell r="E716" t="str">
            <v>MPG</v>
          </cell>
          <cell r="F716" t="str">
            <v>Direct</v>
          </cell>
        </row>
        <row r="717">
          <cell r="C717">
            <v>10530048</v>
          </cell>
          <cell r="D717" t="str">
            <v>Basuwari</v>
          </cell>
          <cell r="E717" t="str">
            <v>MPG</v>
          </cell>
          <cell r="F717" t="str">
            <v>Direct</v>
          </cell>
        </row>
        <row r="718">
          <cell r="C718">
            <v>10530049</v>
          </cell>
          <cell r="D718" t="str">
            <v>Belsandi 3</v>
          </cell>
          <cell r="E718" t="str">
            <v>MPG</v>
          </cell>
          <cell r="F718" t="str">
            <v>Indirect</v>
          </cell>
        </row>
        <row r="719">
          <cell r="C719">
            <v>10530050</v>
          </cell>
          <cell r="D719" t="str">
            <v>Gomukh Bhagwanpur</v>
          </cell>
          <cell r="E719" t="str">
            <v>MPG</v>
          </cell>
          <cell r="F719" t="str">
            <v>Indirect</v>
          </cell>
        </row>
        <row r="720">
          <cell r="C720">
            <v>10530054</v>
          </cell>
          <cell r="D720" t="str">
            <v>Gomukh PARAN</v>
          </cell>
          <cell r="E720" t="str">
            <v>MPG</v>
          </cell>
          <cell r="F720" t="str">
            <v>Indirect</v>
          </cell>
        </row>
        <row r="721">
          <cell r="C721">
            <v>10530055</v>
          </cell>
          <cell r="D721" t="str">
            <v>GOMUKH HARPUR W-13</v>
          </cell>
          <cell r="E721" t="str">
            <v>MPG</v>
          </cell>
          <cell r="F721" t="str">
            <v>Direct</v>
          </cell>
        </row>
        <row r="722">
          <cell r="C722">
            <v>10530057</v>
          </cell>
          <cell r="D722" t="str">
            <v>GOMUKH MILKI</v>
          </cell>
          <cell r="E722" t="str">
            <v>MPG</v>
          </cell>
          <cell r="F722" t="str">
            <v>Indirect</v>
          </cell>
        </row>
        <row r="723">
          <cell r="C723">
            <v>10530058</v>
          </cell>
          <cell r="D723" t="str">
            <v>Gomukh Ratwara</v>
          </cell>
          <cell r="E723" t="str">
            <v>MPG</v>
          </cell>
          <cell r="F723" t="str">
            <v>Direct</v>
          </cell>
        </row>
        <row r="724">
          <cell r="C724">
            <v>10530059</v>
          </cell>
          <cell r="D724" t="str">
            <v>Gomukh Fulhara</v>
          </cell>
          <cell r="E724" t="str">
            <v>MPG</v>
          </cell>
          <cell r="F724" t="str">
            <v>Indirect</v>
          </cell>
        </row>
        <row r="725">
          <cell r="C725">
            <v>10530060</v>
          </cell>
          <cell r="D725" t="str">
            <v>Gomukh Ranitola</v>
          </cell>
          <cell r="E725" t="str">
            <v>MPG</v>
          </cell>
          <cell r="F725" t="str">
            <v>Indirect</v>
          </cell>
        </row>
        <row r="726">
          <cell r="C726">
            <v>10530062</v>
          </cell>
          <cell r="D726" t="str">
            <v>Gomukh Malinagar East</v>
          </cell>
          <cell r="E726" t="str">
            <v>MPG</v>
          </cell>
          <cell r="F726" t="str">
            <v>Direct</v>
          </cell>
        </row>
        <row r="727">
          <cell r="C727">
            <v>10530063</v>
          </cell>
          <cell r="D727" t="str">
            <v>GOMUKH Singhiya Ward 11</v>
          </cell>
          <cell r="E727" t="str">
            <v>MPG</v>
          </cell>
          <cell r="F727" t="str">
            <v>Indirect</v>
          </cell>
        </row>
        <row r="728">
          <cell r="C728">
            <v>10530064</v>
          </cell>
          <cell r="D728" t="str">
            <v>GOMUKH MANIYARPUR</v>
          </cell>
          <cell r="E728" t="str">
            <v>MPG</v>
          </cell>
          <cell r="F728" t="str">
            <v>Direct</v>
          </cell>
        </row>
        <row r="729">
          <cell r="C729">
            <v>10530065</v>
          </cell>
          <cell r="D729" t="str">
            <v>GOMUKH DIGHRA W-6</v>
          </cell>
          <cell r="E729" t="str">
            <v>MPG</v>
          </cell>
          <cell r="F729" t="str">
            <v>Direct</v>
          </cell>
        </row>
        <row r="730">
          <cell r="C730">
            <v>10530067</v>
          </cell>
          <cell r="D730" t="str">
            <v>GOMUKH BANDRA W-6</v>
          </cell>
          <cell r="E730" t="str">
            <v>MPG</v>
          </cell>
          <cell r="F730" t="str">
            <v>Direct</v>
          </cell>
        </row>
        <row r="731">
          <cell r="C731">
            <v>10530068</v>
          </cell>
          <cell r="D731" t="str">
            <v>BELSANDI RAJO</v>
          </cell>
          <cell r="E731" t="str">
            <v>MPG</v>
          </cell>
          <cell r="F731" t="str">
            <v>Indirect</v>
          </cell>
        </row>
        <row r="732">
          <cell r="C732">
            <v>10530069</v>
          </cell>
          <cell r="D732" t="str">
            <v>BELSANDI W-9</v>
          </cell>
          <cell r="E732" t="str">
            <v>MPG</v>
          </cell>
          <cell r="F732" t="str">
            <v>Indirect</v>
          </cell>
        </row>
        <row r="733">
          <cell r="C733">
            <v>10530070</v>
          </cell>
          <cell r="D733" t="str">
            <v>GOMUKH PARAN 2</v>
          </cell>
          <cell r="E733" t="str">
            <v>MPG</v>
          </cell>
          <cell r="F733" t="str">
            <v>Direct</v>
          </cell>
        </row>
        <row r="734">
          <cell r="C734">
            <v>10530071</v>
          </cell>
          <cell r="D734" t="str">
            <v>GOMUKH KHARAGPUR</v>
          </cell>
          <cell r="E734" t="str">
            <v>MPG</v>
          </cell>
          <cell r="F734" t="str">
            <v>Direct</v>
          </cell>
        </row>
        <row r="735">
          <cell r="C735">
            <v>10530072</v>
          </cell>
          <cell r="D735" t="str">
            <v>KAMARGAMA</v>
          </cell>
          <cell r="E735" t="str">
            <v>MPG</v>
          </cell>
          <cell r="F735" t="str">
            <v>Indirect</v>
          </cell>
        </row>
        <row r="736">
          <cell r="C736">
            <v>10530074</v>
          </cell>
          <cell r="D736" t="str">
            <v>GOMUKH BALAHA W-9</v>
          </cell>
          <cell r="E736" t="str">
            <v>MPG</v>
          </cell>
          <cell r="F736" t="str">
            <v>Direct</v>
          </cell>
        </row>
        <row r="737">
          <cell r="C737">
            <v>10530075</v>
          </cell>
          <cell r="D737" t="str">
            <v>Gomukh Namapur East</v>
          </cell>
          <cell r="E737" t="str">
            <v>MPG</v>
          </cell>
          <cell r="F737" t="str">
            <v>Indirect</v>
          </cell>
        </row>
        <row r="738">
          <cell r="C738">
            <v>10530076</v>
          </cell>
          <cell r="D738" t="str">
            <v>GOMUKH Madanpur W-3</v>
          </cell>
          <cell r="E738" t="str">
            <v>MPG</v>
          </cell>
          <cell r="F738" t="str">
            <v>Direct</v>
          </cell>
        </row>
        <row r="739">
          <cell r="C739">
            <v>10530077</v>
          </cell>
          <cell r="D739" t="str">
            <v>Gomukh Namapur East (08)</v>
          </cell>
          <cell r="E739" t="str">
            <v>MPG</v>
          </cell>
          <cell r="F739" t="str">
            <v>Indirect</v>
          </cell>
        </row>
        <row r="740">
          <cell r="C740">
            <v>10530078</v>
          </cell>
          <cell r="D740" t="str">
            <v>GOMUKH Kalaunjar</v>
          </cell>
          <cell r="E740" t="str">
            <v>MPG</v>
          </cell>
          <cell r="F740" t="str">
            <v>Direct</v>
          </cell>
        </row>
        <row r="741">
          <cell r="C741">
            <v>10530079</v>
          </cell>
          <cell r="D741" t="str">
            <v>Jitwariya W-11</v>
          </cell>
          <cell r="E741" t="str">
            <v>MPG</v>
          </cell>
          <cell r="F741" t="str">
            <v>Indirect</v>
          </cell>
        </row>
        <row r="742">
          <cell r="C742">
            <v>10530080</v>
          </cell>
          <cell r="D742" t="str">
            <v>Pastara Lakshman</v>
          </cell>
          <cell r="E742" t="str">
            <v>MPG</v>
          </cell>
          <cell r="F742" t="str">
            <v>Indirect</v>
          </cell>
        </row>
        <row r="743">
          <cell r="C743">
            <v>10530081</v>
          </cell>
          <cell r="D743" t="str">
            <v>GOMUKH DADHIYA-2</v>
          </cell>
          <cell r="E743" t="str">
            <v>MPG</v>
          </cell>
          <cell r="F743" t="str">
            <v>Direct</v>
          </cell>
        </row>
        <row r="744">
          <cell r="C744">
            <v>10530082</v>
          </cell>
          <cell r="D744" t="str">
            <v>GOMUKH PREMNAGAR</v>
          </cell>
          <cell r="E744" t="str">
            <v>MPG</v>
          </cell>
          <cell r="F744" t="str">
            <v>Direct</v>
          </cell>
        </row>
        <row r="745">
          <cell r="C745">
            <v>10530084</v>
          </cell>
          <cell r="D745" t="str">
            <v>GOMUKH JITWARIYA W-6</v>
          </cell>
          <cell r="E745" t="str">
            <v>MPG</v>
          </cell>
          <cell r="F745" t="str">
            <v>Direct</v>
          </cell>
        </row>
        <row r="746">
          <cell r="C746">
            <v>10530085</v>
          </cell>
          <cell r="D746" t="str">
            <v>GOMUKH SUSTA</v>
          </cell>
          <cell r="E746" t="str">
            <v>MPG</v>
          </cell>
          <cell r="F746" t="str">
            <v>Direct</v>
          </cell>
        </row>
        <row r="747">
          <cell r="C747">
            <v>10530090</v>
          </cell>
          <cell r="D747" t="str">
            <v>BHATGAMA W-5</v>
          </cell>
          <cell r="E747" t="str">
            <v>MPG</v>
          </cell>
          <cell r="F747" t="str">
            <v>Indirect</v>
          </cell>
        </row>
        <row r="748">
          <cell r="C748">
            <v>10530091</v>
          </cell>
          <cell r="D748" t="str">
            <v>GOMUKH TOKE</v>
          </cell>
          <cell r="E748" t="str">
            <v>MPG</v>
          </cell>
          <cell r="F748" t="str">
            <v>Direct</v>
          </cell>
        </row>
        <row r="749">
          <cell r="C749">
            <v>10530092</v>
          </cell>
          <cell r="D749" t="str">
            <v>GOMUKH SHIVNAGAR</v>
          </cell>
          <cell r="E749" t="str">
            <v>MPG</v>
          </cell>
          <cell r="F749" t="str">
            <v>Direct</v>
          </cell>
        </row>
        <row r="750">
          <cell r="C750">
            <v>10530093</v>
          </cell>
          <cell r="D750" t="str">
            <v>GOMUKH BAKHITIYARPUR</v>
          </cell>
          <cell r="E750" t="str">
            <v>MPG</v>
          </cell>
          <cell r="F750" t="str">
            <v>Direct</v>
          </cell>
        </row>
        <row r="751">
          <cell r="C751">
            <v>10530096</v>
          </cell>
          <cell r="D751" t="str">
            <v>GOMUKH BHARJA</v>
          </cell>
          <cell r="E751" t="str">
            <v>MPG</v>
          </cell>
          <cell r="F751" t="str">
            <v>Direct</v>
          </cell>
        </row>
        <row r="752">
          <cell r="C752">
            <v>10530097</v>
          </cell>
          <cell r="D752" t="str">
            <v>GOMUKH NAWABGANJ</v>
          </cell>
          <cell r="E752" t="str">
            <v>MPG</v>
          </cell>
          <cell r="F752" t="str">
            <v>Direct</v>
          </cell>
        </row>
        <row r="753">
          <cell r="C753">
            <v>10530099</v>
          </cell>
          <cell r="D753" t="str">
            <v>Gomukh Somnaha Naya Tola</v>
          </cell>
          <cell r="E753" t="str">
            <v>MPG</v>
          </cell>
          <cell r="F753" t="str">
            <v>Direct</v>
          </cell>
        </row>
        <row r="754">
          <cell r="C754">
            <v>10530100</v>
          </cell>
          <cell r="D754" t="str">
            <v>GOMUKH CHAKKI</v>
          </cell>
          <cell r="E754" t="str">
            <v>MPG</v>
          </cell>
          <cell r="F754" t="str">
            <v>Direct</v>
          </cell>
        </row>
        <row r="755">
          <cell r="C755">
            <v>10530101</v>
          </cell>
          <cell r="D755" t="str">
            <v>GOMUKH LAKSHMAN NAGAR</v>
          </cell>
          <cell r="E755" t="str">
            <v>MPG</v>
          </cell>
          <cell r="F755" t="str">
            <v>Direct</v>
          </cell>
        </row>
        <row r="756">
          <cell r="C756">
            <v>10530102</v>
          </cell>
          <cell r="D756" t="str">
            <v>GOMUKH KOTHIYA</v>
          </cell>
          <cell r="E756" t="str">
            <v>MPG</v>
          </cell>
          <cell r="F756" t="str">
            <v>Direct</v>
          </cell>
        </row>
        <row r="757">
          <cell r="C757">
            <v>10530103</v>
          </cell>
          <cell r="D757" t="str">
            <v>GOMUKH JHAHURI</v>
          </cell>
          <cell r="E757" t="str">
            <v>MPG</v>
          </cell>
          <cell r="F757" t="str">
            <v>Direct</v>
          </cell>
        </row>
        <row r="758">
          <cell r="C758">
            <v>10530104</v>
          </cell>
          <cell r="D758" t="str">
            <v>Belsandi Dihtola</v>
          </cell>
          <cell r="E758" t="str">
            <v>MPG</v>
          </cell>
          <cell r="F758" t="str">
            <v>Indirect</v>
          </cell>
        </row>
        <row r="759">
          <cell r="C759">
            <v>10530105</v>
          </cell>
          <cell r="D759" t="str">
            <v>GOMUKH Gopalpur Ward 1</v>
          </cell>
          <cell r="E759" t="str">
            <v>MPG</v>
          </cell>
          <cell r="F759" t="str">
            <v>Direct</v>
          </cell>
        </row>
        <row r="760">
          <cell r="C760">
            <v>10530106</v>
          </cell>
          <cell r="D760" t="str">
            <v>GOMUKH Keotsa</v>
          </cell>
          <cell r="E760" t="str">
            <v>MPG</v>
          </cell>
          <cell r="F760" t="str">
            <v>Direct</v>
          </cell>
        </row>
        <row r="761">
          <cell r="C761">
            <v>10530107</v>
          </cell>
          <cell r="D761" t="str">
            <v>Gomukh Namapur East</v>
          </cell>
          <cell r="E761" t="str">
            <v>MPG</v>
          </cell>
          <cell r="F761" t="str">
            <v>Indirect</v>
          </cell>
        </row>
        <row r="762">
          <cell r="C762">
            <v>10530108</v>
          </cell>
          <cell r="D762" t="str">
            <v>GOMUKH Waini</v>
          </cell>
          <cell r="E762" t="str">
            <v>MPG</v>
          </cell>
          <cell r="F762" t="str">
            <v>Direct</v>
          </cell>
        </row>
        <row r="763">
          <cell r="C763">
            <v>10530109</v>
          </cell>
          <cell r="D763" t="str">
            <v>GOMUKH SAKARI</v>
          </cell>
          <cell r="E763" t="str">
            <v>MPG</v>
          </cell>
          <cell r="F763" t="str">
            <v>Direct</v>
          </cell>
        </row>
        <row r="764">
          <cell r="C764">
            <v>10530110</v>
          </cell>
          <cell r="D764" t="str">
            <v>GOMUKH DHOBGAMA</v>
          </cell>
          <cell r="E764" t="str">
            <v>MPG</v>
          </cell>
          <cell r="F764" t="str">
            <v>Direct</v>
          </cell>
        </row>
        <row r="765">
          <cell r="C765">
            <v>10540003</v>
          </cell>
          <cell r="D765" t="str">
            <v>GOMUKH ANANDPUR PARAS 2</v>
          </cell>
          <cell r="E765" t="str">
            <v>MPG</v>
          </cell>
          <cell r="F765" t="str">
            <v>Direct</v>
          </cell>
        </row>
        <row r="766">
          <cell r="C766">
            <v>10540005</v>
          </cell>
          <cell r="D766" t="str">
            <v>GOMUKH GADBANNI</v>
          </cell>
          <cell r="E766" t="str">
            <v>MPG</v>
          </cell>
          <cell r="F766" t="str">
            <v>Direct</v>
          </cell>
        </row>
        <row r="767">
          <cell r="C767">
            <v>10540007</v>
          </cell>
          <cell r="D767" t="str">
            <v>GOMUKH GORIYAMI</v>
          </cell>
          <cell r="E767" t="str">
            <v>MPG</v>
          </cell>
          <cell r="F767" t="str">
            <v>Direct</v>
          </cell>
        </row>
        <row r="768">
          <cell r="C768">
            <v>10540008</v>
          </cell>
          <cell r="D768" t="str">
            <v>GOMUKH PARRI</v>
          </cell>
          <cell r="E768" t="str">
            <v>MPG</v>
          </cell>
          <cell r="F768" t="str">
            <v>Direct</v>
          </cell>
        </row>
        <row r="769">
          <cell r="C769">
            <v>10540009</v>
          </cell>
          <cell r="D769" t="str">
            <v>GOMUKH BHIKHARI GHAT</v>
          </cell>
          <cell r="E769" t="str">
            <v>MPG</v>
          </cell>
          <cell r="F769" t="str">
            <v>Direct</v>
          </cell>
        </row>
        <row r="770">
          <cell r="C770">
            <v>10540010</v>
          </cell>
          <cell r="D770" t="str">
            <v>Vikash Kumar</v>
          </cell>
          <cell r="E770" t="str">
            <v>MPG</v>
          </cell>
          <cell r="F770" t="str">
            <v>Indirect</v>
          </cell>
        </row>
        <row r="771">
          <cell r="C771">
            <v>10540012</v>
          </cell>
          <cell r="D771" t="str">
            <v>Rajkishore Yadav</v>
          </cell>
          <cell r="E771" t="str">
            <v>MPG</v>
          </cell>
          <cell r="F771" t="str">
            <v>Indirect</v>
          </cell>
        </row>
        <row r="772">
          <cell r="C772">
            <v>10540014</v>
          </cell>
          <cell r="D772" t="str">
            <v>BHADAS VLC</v>
          </cell>
          <cell r="E772" t="str">
            <v>MPG</v>
          </cell>
          <cell r="F772" t="str">
            <v>Indirect</v>
          </cell>
        </row>
        <row r="773">
          <cell r="C773">
            <v>10540015</v>
          </cell>
          <cell r="D773" t="str">
            <v>SUNIL KUMAR VLC</v>
          </cell>
          <cell r="E773" t="str">
            <v>MPG</v>
          </cell>
          <cell r="F773" t="str">
            <v>Indirect</v>
          </cell>
        </row>
        <row r="774">
          <cell r="C774">
            <v>10540016</v>
          </cell>
          <cell r="D774" t="str">
            <v>GOMUKH BENHER</v>
          </cell>
          <cell r="E774" t="str">
            <v>MPG</v>
          </cell>
          <cell r="F774" t="str">
            <v>Direct</v>
          </cell>
        </row>
        <row r="775">
          <cell r="C775">
            <v>10540017</v>
          </cell>
          <cell r="D775" t="str">
            <v>GOMUKH LADORA</v>
          </cell>
          <cell r="E775" t="str">
            <v>MPG</v>
          </cell>
          <cell r="F775" t="str">
            <v>Direct</v>
          </cell>
        </row>
        <row r="776">
          <cell r="C776">
            <v>10540018</v>
          </cell>
          <cell r="D776" t="str">
            <v>GOMUKH SAHSI</v>
          </cell>
          <cell r="E776" t="str">
            <v>MPG</v>
          </cell>
          <cell r="F776" t="str">
            <v>Direct</v>
          </cell>
        </row>
        <row r="777">
          <cell r="C777">
            <v>10540019</v>
          </cell>
          <cell r="D777" t="str">
            <v>Gomukh Chikni</v>
          </cell>
          <cell r="E777" t="str">
            <v>MPG</v>
          </cell>
          <cell r="F777" t="str">
            <v>Direct</v>
          </cell>
        </row>
        <row r="778">
          <cell r="C778">
            <v>10540020</v>
          </cell>
          <cell r="D778" t="str">
            <v>GOMUKH BUDWA</v>
          </cell>
          <cell r="E778" t="str">
            <v>MPG</v>
          </cell>
          <cell r="F778" t="str">
            <v>Direct</v>
          </cell>
        </row>
        <row r="779">
          <cell r="C779">
            <v>10540021</v>
          </cell>
          <cell r="D779" t="str">
            <v>GOMUKH GANGIYA</v>
          </cell>
          <cell r="E779" t="str">
            <v>MPG</v>
          </cell>
          <cell r="F779" t="str">
            <v>Direct</v>
          </cell>
        </row>
        <row r="780">
          <cell r="C780">
            <v>10540026</v>
          </cell>
          <cell r="D780" t="str">
            <v>GOMUKH AMBA ICHARUA</v>
          </cell>
          <cell r="E780" t="str">
            <v>MPG</v>
          </cell>
          <cell r="F780" t="str">
            <v>Direct</v>
          </cell>
        </row>
        <row r="781">
          <cell r="C781">
            <v>10540027</v>
          </cell>
          <cell r="D781" t="str">
            <v>RAJAURA VLC</v>
          </cell>
          <cell r="E781" t="str">
            <v>MPG</v>
          </cell>
          <cell r="F781" t="str">
            <v>Indirect</v>
          </cell>
        </row>
        <row r="782">
          <cell r="C782">
            <v>10540028</v>
          </cell>
          <cell r="D782" t="str">
            <v>MEGHAUNA VLC</v>
          </cell>
          <cell r="E782" t="str">
            <v>MPG</v>
          </cell>
          <cell r="F782" t="str">
            <v>Indirect</v>
          </cell>
        </row>
        <row r="783">
          <cell r="C783">
            <v>10540029</v>
          </cell>
          <cell r="D783" t="str">
            <v>HATHWAN VLC</v>
          </cell>
          <cell r="E783" t="str">
            <v>MPG</v>
          </cell>
          <cell r="F783" t="str">
            <v>Indirect</v>
          </cell>
        </row>
        <row r="784">
          <cell r="C784">
            <v>10540032</v>
          </cell>
          <cell r="D784" t="str">
            <v>GOMUKH JWALAPUR</v>
          </cell>
          <cell r="E784" t="str">
            <v>MPG</v>
          </cell>
          <cell r="F784" t="str">
            <v>Direct</v>
          </cell>
        </row>
        <row r="785">
          <cell r="C785">
            <v>10540034</v>
          </cell>
          <cell r="D785" t="str">
            <v>GOMUKH MATHURAPUR</v>
          </cell>
          <cell r="E785" t="str">
            <v>MPG</v>
          </cell>
          <cell r="F785" t="str">
            <v>Direct</v>
          </cell>
        </row>
        <row r="786">
          <cell r="C786">
            <v>10540036</v>
          </cell>
          <cell r="D786" t="str">
            <v>GOMUKH ID ALAULI</v>
          </cell>
          <cell r="E786" t="str">
            <v>MPG</v>
          </cell>
          <cell r="F786" t="str">
            <v>Indirect</v>
          </cell>
        </row>
        <row r="787">
          <cell r="C787">
            <v>10540037</v>
          </cell>
          <cell r="D787" t="str">
            <v>GOMUKH NAVTOLIYA</v>
          </cell>
          <cell r="E787" t="str">
            <v>MPG</v>
          </cell>
          <cell r="F787" t="str">
            <v>Direct</v>
          </cell>
        </row>
        <row r="788">
          <cell r="C788">
            <v>10540039</v>
          </cell>
          <cell r="D788" t="str">
            <v>VLC Dhushmuri Bishanpur</v>
          </cell>
          <cell r="E788" t="str">
            <v>MPG</v>
          </cell>
          <cell r="F788" t="str">
            <v>Indirect</v>
          </cell>
        </row>
        <row r="789">
          <cell r="C789">
            <v>10540040</v>
          </cell>
          <cell r="D789" t="str">
            <v>VLC Govindpur</v>
          </cell>
          <cell r="E789" t="str">
            <v>MPG</v>
          </cell>
          <cell r="F789" t="str">
            <v>Indirect</v>
          </cell>
        </row>
        <row r="790">
          <cell r="C790">
            <v>10540041</v>
          </cell>
          <cell r="D790" t="str">
            <v>Gomukh Darhi Mor</v>
          </cell>
          <cell r="E790" t="str">
            <v>MPG</v>
          </cell>
          <cell r="F790" t="str">
            <v>Direct</v>
          </cell>
        </row>
        <row r="791">
          <cell r="C791">
            <v>10540042</v>
          </cell>
          <cell r="D791" t="str">
            <v>Gomukh Balaur</v>
          </cell>
          <cell r="E791" t="str">
            <v>MPG</v>
          </cell>
          <cell r="F791" t="str">
            <v>Direct</v>
          </cell>
        </row>
        <row r="792">
          <cell r="C792">
            <v>10540044</v>
          </cell>
          <cell r="D792" t="str">
            <v>Gomukh Hathwan - 2</v>
          </cell>
          <cell r="E792" t="str">
            <v>MPG</v>
          </cell>
          <cell r="F792" t="str">
            <v>Direct</v>
          </cell>
        </row>
        <row r="793">
          <cell r="C793">
            <v>10550001</v>
          </cell>
          <cell r="D793" t="str">
            <v>Balahpur-Anil Yadav</v>
          </cell>
          <cell r="E793" t="str">
            <v>MPG</v>
          </cell>
          <cell r="F793" t="str">
            <v>Indirect</v>
          </cell>
        </row>
        <row r="794">
          <cell r="C794">
            <v>10550002</v>
          </cell>
          <cell r="D794" t="str">
            <v>Bagdobh</v>
          </cell>
          <cell r="E794" t="str">
            <v>MPG</v>
          </cell>
          <cell r="F794" t="str">
            <v>Indirect</v>
          </cell>
        </row>
        <row r="795">
          <cell r="C795">
            <v>10550004</v>
          </cell>
          <cell r="D795" t="str">
            <v>Gokhle Nagar</v>
          </cell>
          <cell r="E795" t="str">
            <v>MPG</v>
          </cell>
          <cell r="F795" t="str">
            <v>Direct</v>
          </cell>
        </row>
        <row r="796">
          <cell r="C796">
            <v>10550005</v>
          </cell>
          <cell r="D796" t="str">
            <v>Gomukh Matihani</v>
          </cell>
          <cell r="E796" t="str">
            <v>MPG</v>
          </cell>
          <cell r="F796" t="str">
            <v>Direct</v>
          </cell>
        </row>
        <row r="797">
          <cell r="C797">
            <v>10550007</v>
          </cell>
          <cell r="D797" t="str">
            <v>Jalalpur</v>
          </cell>
          <cell r="E797" t="str">
            <v>MPG</v>
          </cell>
          <cell r="F797" t="str">
            <v>Indirect</v>
          </cell>
        </row>
        <row r="798">
          <cell r="C798">
            <v>10560001</v>
          </cell>
          <cell r="D798" t="str">
            <v>Gomukh Chautham(Mithun Kumar VLC)</v>
          </cell>
          <cell r="E798" t="str">
            <v>MPG</v>
          </cell>
          <cell r="F798" t="str">
            <v>Indirect</v>
          </cell>
        </row>
        <row r="799">
          <cell r="C799">
            <v>10560002</v>
          </cell>
          <cell r="D799" t="str">
            <v>Gomukh Pansalwa</v>
          </cell>
          <cell r="E799" t="str">
            <v>MPG</v>
          </cell>
          <cell r="F799" t="str">
            <v>Indirect</v>
          </cell>
        </row>
        <row r="800">
          <cell r="C800">
            <v>10560004</v>
          </cell>
          <cell r="D800" t="str">
            <v>Gomukh Nawada</v>
          </cell>
          <cell r="E800" t="str">
            <v>MPG</v>
          </cell>
          <cell r="F800" t="str">
            <v>Direct</v>
          </cell>
        </row>
        <row r="801">
          <cell r="C801">
            <v>10560005</v>
          </cell>
          <cell r="D801" t="str">
            <v>Gomukh Yadav Tol Kanauli</v>
          </cell>
          <cell r="E801" t="str">
            <v>MPG</v>
          </cell>
          <cell r="F801" t="str">
            <v>Direct</v>
          </cell>
        </row>
        <row r="802">
          <cell r="C802">
            <v>10560006</v>
          </cell>
          <cell r="D802" t="str">
            <v>Gomukh Baltara</v>
          </cell>
          <cell r="E802" t="str">
            <v>MPG</v>
          </cell>
          <cell r="F802" t="str">
            <v>Direct</v>
          </cell>
        </row>
        <row r="803">
          <cell r="C803">
            <v>10560007</v>
          </cell>
          <cell r="D803" t="str">
            <v>Gomukh Hardia</v>
          </cell>
          <cell r="E803" t="str">
            <v>MPG</v>
          </cell>
          <cell r="F803" t="str">
            <v>Direct</v>
          </cell>
        </row>
        <row r="804">
          <cell r="C804">
            <v>10560009</v>
          </cell>
          <cell r="D804" t="str">
            <v>Gomukh Bhelauri</v>
          </cell>
          <cell r="E804" t="str">
            <v>MPG</v>
          </cell>
          <cell r="F804" t="str">
            <v>Indirect</v>
          </cell>
        </row>
        <row r="805">
          <cell r="C805">
            <v>10560011</v>
          </cell>
          <cell r="D805" t="str">
            <v>Gomukh Ashatol Paharpur</v>
          </cell>
          <cell r="E805" t="str">
            <v>MPG</v>
          </cell>
          <cell r="F805" t="str">
            <v>Direct</v>
          </cell>
        </row>
        <row r="806">
          <cell r="C806">
            <v>10560012</v>
          </cell>
          <cell r="D806" t="str">
            <v>Gomukh Kharawa</v>
          </cell>
          <cell r="E806" t="str">
            <v>MPG</v>
          </cell>
          <cell r="F806" t="str">
            <v>Direct</v>
          </cell>
        </row>
        <row r="807">
          <cell r="C807">
            <v>10560016</v>
          </cell>
          <cell r="D807" t="str">
            <v>Gomukh Pachout</v>
          </cell>
          <cell r="E807" t="str">
            <v>MPG</v>
          </cell>
          <cell r="F807" t="str">
            <v>Direct</v>
          </cell>
        </row>
        <row r="808">
          <cell r="C808">
            <v>10560017</v>
          </cell>
          <cell r="D808" t="str">
            <v>Gomukh Telihar</v>
          </cell>
          <cell r="E808" t="str">
            <v>MPG</v>
          </cell>
          <cell r="F808" t="str">
            <v>Direct</v>
          </cell>
        </row>
        <row r="809">
          <cell r="C809">
            <v>10560019</v>
          </cell>
          <cell r="D809" t="str">
            <v>Gomukh Pansalba Ward No 05</v>
          </cell>
          <cell r="E809" t="str">
            <v>MPG</v>
          </cell>
          <cell r="F809" t="str">
            <v>Direct</v>
          </cell>
        </row>
        <row r="810">
          <cell r="C810">
            <v>10560022</v>
          </cell>
          <cell r="D810" t="str">
            <v xml:space="preserve">Gomukh Paharpur Jilebya </v>
          </cell>
          <cell r="E810" t="str">
            <v>MPG</v>
          </cell>
          <cell r="F810" t="str">
            <v>Direct</v>
          </cell>
        </row>
        <row r="811">
          <cell r="C811">
            <v>10560025</v>
          </cell>
          <cell r="D811" t="str">
            <v>Gomukh Debka Vlc</v>
          </cell>
          <cell r="E811" t="str">
            <v>MPG</v>
          </cell>
          <cell r="F811" t="str">
            <v>Indirect</v>
          </cell>
        </row>
        <row r="812">
          <cell r="C812">
            <v>10560026</v>
          </cell>
          <cell r="D812" t="str">
            <v>Gomukh Azad Nagar</v>
          </cell>
          <cell r="E812" t="str">
            <v>MPG</v>
          </cell>
          <cell r="F812" t="str">
            <v>Direct</v>
          </cell>
        </row>
        <row r="813">
          <cell r="C813">
            <v>10560027</v>
          </cell>
          <cell r="D813" t="str">
            <v>Gomukh Purani Hrdia</v>
          </cell>
          <cell r="E813" t="str">
            <v>MPG</v>
          </cell>
          <cell r="F813" t="str">
            <v>Direct</v>
          </cell>
        </row>
        <row r="814">
          <cell r="C814">
            <v>10560029</v>
          </cell>
          <cell r="D814" t="str">
            <v>Gomukh Murli</v>
          </cell>
          <cell r="E814" t="str">
            <v>MPG</v>
          </cell>
          <cell r="F814" t="str">
            <v>Direct</v>
          </cell>
        </row>
        <row r="815">
          <cell r="C815">
            <v>10560032</v>
          </cell>
          <cell r="D815" t="str">
            <v>Gomukh Pansalwa Wad-10 Vlc</v>
          </cell>
          <cell r="E815" t="str">
            <v>MPG</v>
          </cell>
          <cell r="F815" t="str">
            <v>Indirect</v>
          </cell>
        </row>
        <row r="816">
          <cell r="C816">
            <v>10560034</v>
          </cell>
          <cell r="D816" t="str">
            <v>Gomukh Nawadai Vlc</v>
          </cell>
          <cell r="E816" t="str">
            <v>MPG</v>
          </cell>
          <cell r="F816" t="str">
            <v>Indirect</v>
          </cell>
        </row>
        <row r="817">
          <cell r="C817">
            <v>10570001</v>
          </cell>
          <cell r="D817" t="str">
            <v>Karian</v>
          </cell>
          <cell r="E817" t="str">
            <v>MPG</v>
          </cell>
          <cell r="F817" t="str">
            <v>Direct</v>
          </cell>
        </row>
        <row r="818">
          <cell r="C818">
            <v>10570002</v>
          </cell>
          <cell r="D818" t="str">
            <v>Sadipur</v>
          </cell>
          <cell r="E818" t="str">
            <v>MPG</v>
          </cell>
          <cell r="F818" t="str">
            <v>Direct</v>
          </cell>
        </row>
        <row r="819">
          <cell r="C819">
            <v>10570003</v>
          </cell>
          <cell r="D819" t="str">
            <v>Teghara</v>
          </cell>
          <cell r="E819" t="str">
            <v>MPG</v>
          </cell>
          <cell r="F819" t="str">
            <v>Direct</v>
          </cell>
        </row>
        <row r="820">
          <cell r="C820">
            <v>10570005</v>
          </cell>
          <cell r="D820" t="str">
            <v>Khanpur</v>
          </cell>
          <cell r="E820" t="str">
            <v>MPG</v>
          </cell>
          <cell r="F820" t="str">
            <v>Indirect</v>
          </cell>
        </row>
        <row r="821">
          <cell r="C821">
            <v>10570007</v>
          </cell>
          <cell r="D821" t="str">
            <v>Basantpur</v>
          </cell>
          <cell r="E821" t="str">
            <v>MPG</v>
          </cell>
          <cell r="F821" t="str">
            <v>Direct</v>
          </cell>
        </row>
        <row r="822">
          <cell r="C822">
            <v>10570008</v>
          </cell>
          <cell r="D822" t="str">
            <v>Chakoti</v>
          </cell>
          <cell r="E822" t="str">
            <v>MPG</v>
          </cell>
          <cell r="F822" t="str">
            <v>Direct</v>
          </cell>
        </row>
        <row r="823">
          <cell r="C823">
            <v>10570009</v>
          </cell>
          <cell r="D823" t="str">
            <v>Nathudawar</v>
          </cell>
          <cell r="E823" t="str">
            <v>MPG</v>
          </cell>
          <cell r="F823" t="str">
            <v>Direct</v>
          </cell>
        </row>
        <row r="824">
          <cell r="C824">
            <v>10570010</v>
          </cell>
          <cell r="D824" t="str">
            <v>Purnahi</v>
          </cell>
          <cell r="E824" t="str">
            <v>MPG</v>
          </cell>
          <cell r="F824" t="str">
            <v>Indirect</v>
          </cell>
        </row>
        <row r="825">
          <cell r="C825">
            <v>10570011</v>
          </cell>
          <cell r="D825" t="str">
            <v>Balahi</v>
          </cell>
          <cell r="E825" t="str">
            <v>MPG</v>
          </cell>
          <cell r="F825" t="str">
            <v>Indirect</v>
          </cell>
        </row>
        <row r="826">
          <cell r="C826">
            <v>10570013</v>
          </cell>
          <cell r="D826" t="str">
            <v xml:space="preserve">Baghopur </v>
          </cell>
          <cell r="E826" t="str">
            <v>MPG</v>
          </cell>
          <cell r="F826" t="str">
            <v>Indirect</v>
          </cell>
        </row>
        <row r="827">
          <cell r="C827">
            <v>10570015</v>
          </cell>
          <cell r="D827" t="str">
            <v>Sadipur Bathnaha</v>
          </cell>
          <cell r="E827" t="str">
            <v>MPG</v>
          </cell>
          <cell r="F827" t="str">
            <v>Indirect</v>
          </cell>
        </row>
        <row r="828">
          <cell r="C828">
            <v>10570016</v>
          </cell>
          <cell r="D828" t="str">
            <v>PARORIYA</v>
          </cell>
          <cell r="E828" t="str">
            <v>MPG</v>
          </cell>
          <cell r="F828" t="str">
            <v>Indirect</v>
          </cell>
        </row>
        <row r="829">
          <cell r="C829">
            <v>10570017</v>
          </cell>
          <cell r="D829" t="str">
            <v>Dewanpur</v>
          </cell>
          <cell r="E829" t="str">
            <v>MPG</v>
          </cell>
          <cell r="F829" t="str">
            <v>Direct</v>
          </cell>
        </row>
        <row r="830">
          <cell r="C830">
            <v>10570018</v>
          </cell>
          <cell r="D830" t="str">
            <v>Gohi</v>
          </cell>
          <cell r="E830" t="str">
            <v>MPG</v>
          </cell>
          <cell r="F830" t="str">
            <v>Direct</v>
          </cell>
        </row>
        <row r="831">
          <cell r="C831">
            <v>10570019</v>
          </cell>
          <cell r="D831" t="str">
            <v>Matua</v>
          </cell>
          <cell r="E831" t="str">
            <v>MPG</v>
          </cell>
          <cell r="F831" t="str">
            <v>Direct</v>
          </cell>
        </row>
        <row r="832">
          <cell r="C832">
            <v>10570020</v>
          </cell>
          <cell r="D832" t="str">
            <v>Ratni Chouk</v>
          </cell>
          <cell r="E832" t="str">
            <v>MPG</v>
          </cell>
          <cell r="F832" t="str">
            <v>Direct</v>
          </cell>
        </row>
        <row r="833">
          <cell r="C833">
            <v>10570021</v>
          </cell>
          <cell r="D833" t="str">
            <v>Balahi 2</v>
          </cell>
          <cell r="E833" t="str">
            <v>MPG</v>
          </cell>
          <cell r="F833" t="str">
            <v>Direct</v>
          </cell>
        </row>
        <row r="834">
          <cell r="C834">
            <v>10570022</v>
          </cell>
          <cell r="D834" t="str">
            <v>Chandauli</v>
          </cell>
          <cell r="E834" t="str">
            <v>MPG</v>
          </cell>
          <cell r="F834" t="str">
            <v>Indirect</v>
          </cell>
        </row>
        <row r="835">
          <cell r="C835">
            <v>10570024</v>
          </cell>
          <cell r="D835" t="str">
            <v>Gulabi Choak</v>
          </cell>
          <cell r="E835" t="str">
            <v>MPG</v>
          </cell>
          <cell r="F835" t="str">
            <v>Indirect</v>
          </cell>
        </row>
        <row r="836">
          <cell r="C836">
            <v>10570025</v>
          </cell>
          <cell r="D836" t="str">
            <v>Satmalpur</v>
          </cell>
          <cell r="E836" t="str">
            <v>MPG</v>
          </cell>
          <cell r="F836" t="str">
            <v>Indirect</v>
          </cell>
        </row>
        <row r="837">
          <cell r="C837">
            <v>10570026</v>
          </cell>
          <cell r="D837" t="str">
            <v>Chhatnesar</v>
          </cell>
          <cell r="E837" t="str">
            <v>MPG</v>
          </cell>
          <cell r="F837" t="str">
            <v>Indirect</v>
          </cell>
        </row>
        <row r="838">
          <cell r="C838">
            <v>10570028</v>
          </cell>
          <cell r="D838" t="str">
            <v>Chhatnesar 2</v>
          </cell>
          <cell r="E838" t="str">
            <v>MPG</v>
          </cell>
          <cell r="F838" t="str">
            <v>Direct</v>
          </cell>
        </row>
        <row r="839">
          <cell r="C839">
            <v>10570029</v>
          </cell>
          <cell r="D839" t="str">
            <v>Hajpurwa</v>
          </cell>
          <cell r="E839" t="str">
            <v>MPG</v>
          </cell>
          <cell r="F839" t="str">
            <v>Direct</v>
          </cell>
        </row>
        <row r="840">
          <cell r="C840">
            <v>10570030</v>
          </cell>
          <cell r="D840" t="str">
            <v>Shekhopur</v>
          </cell>
          <cell r="E840" t="str">
            <v>MPG</v>
          </cell>
          <cell r="F840" t="str">
            <v>Direct</v>
          </cell>
        </row>
        <row r="841">
          <cell r="C841">
            <v>10570031</v>
          </cell>
          <cell r="D841" t="str">
            <v>Dharampur</v>
          </cell>
          <cell r="E841" t="str">
            <v>MPG</v>
          </cell>
          <cell r="F841" t="str">
            <v>Direct</v>
          </cell>
        </row>
        <row r="842">
          <cell r="C842">
            <v>10570033</v>
          </cell>
          <cell r="D842" t="str">
            <v>Chatnesar Pachiam</v>
          </cell>
          <cell r="E842" t="str">
            <v>MPG</v>
          </cell>
          <cell r="F842" t="str">
            <v>Indirect</v>
          </cell>
        </row>
        <row r="843">
          <cell r="C843">
            <v>10570036</v>
          </cell>
          <cell r="D843" t="str">
            <v>Hajpurwa Pachim</v>
          </cell>
          <cell r="E843" t="str">
            <v>MPG</v>
          </cell>
          <cell r="F843" t="str">
            <v>Direct</v>
          </cell>
        </row>
        <row r="844">
          <cell r="C844">
            <v>10570037</v>
          </cell>
          <cell r="D844" t="str">
            <v>Almasnagar</v>
          </cell>
          <cell r="E844" t="str">
            <v>MPG</v>
          </cell>
          <cell r="F844" t="str">
            <v>Indirect</v>
          </cell>
        </row>
        <row r="845">
          <cell r="C845">
            <v>10570038</v>
          </cell>
          <cell r="D845" t="str">
            <v>Kadarchak</v>
          </cell>
          <cell r="E845" t="str">
            <v>MPG</v>
          </cell>
          <cell r="F845" t="str">
            <v>Indirect</v>
          </cell>
        </row>
        <row r="846">
          <cell r="C846">
            <v>10570040</v>
          </cell>
          <cell r="D846" t="str">
            <v>Raini</v>
          </cell>
          <cell r="E846" t="str">
            <v>MPG</v>
          </cell>
          <cell r="F846" t="str">
            <v>Indirect</v>
          </cell>
        </row>
        <row r="847">
          <cell r="C847">
            <v>10570045</v>
          </cell>
          <cell r="D847" t="str">
            <v>Buzurgdoar</v>
          </cell>
          <cell r="E847" t="str">
            <v>MPG</v>
          </cell>
          <cell r="F847" t="str">
            <v>Direct</v>
          </cell>
        </row>
        <row r="848">
          <cell r="C848">
            <v>10570046</v>
          </cell>
          <cell r="D848" t="str">
            <v>Patpara</v>
          </cell>
          <cell r="E848" t="str">
            <v>MPG</v>
          </cell>
          <cell r="F848" t="str">
            <v>Indirect</v>
          </cell>
        </row>
        <row r="849">
          <cell r="C849">
            <v>10570047</v>
          </cell>
          <cell r="D849" t="str">
            <v>Kamopur</v>
          </cell>
          <cell r="E849" t="str">
            <v>MPG</v>
          </cell>
          <cell r="F849" t="str">
            <v>Direct</v>
          </cell>
        </row>
        <row r="850">
          <cell r="C850">
            <v>10590001</v>
          </cell>
          <cell r="D850" t="str">
            <v>MISHRBIGHA</v>
          </cell>
          <cell r="E850" t="str">
            <v>MPG</v>
          </cell>
          <cell r="F850" t="str">
            <v>Direct</v>
          </cell>
        </row>
        <row r="851">
          <cell r="C851">
            <v>10590002</v>
          </cell>
          <cell r="D851" t="str">
            <v>DIGHOI</v>
          </cell>
          <cell r="E851" t="str">
            <v>MPG</v>
          </cell>
          <cell r="F851" t="str">
            <v>Direct</v>
          </cell>
        </row>
        <row r="852">
          <cell r="C852">
            <v>10590004</v>
          </cell>
          <cell r="D852" t="str">
            <v>PRATAPUR</v>
          </cell>
          <cell r="E852" t="str">
            <v>MPG</v>
          </cell>
          <cell r="F852" t="str">
            <v>Direct</v>
          </cell>
        </row>
        <row r="853">
          <cell r="C853">
            <v>10590006</v>
          </cell>
          <cell r="D853" t="str">
            <v>GOPALPUR</v>
          </cell>
          <cell r="E853" t="str">
            <v>MPG</v>
          </cell>
          <cell r="F853" t="str">
            <v>Direct</v>
          </cell>
        </row>
        <row r="854">
          <cell r="C854">
            <v>10590007</v>
          </cell>
          <cell r="D854" t="str">
            <v>LAXMIPUR</v>
          </cell>
          <cell r="E854" t="str">
            <v>MPG</v>
          </cell>
          <cell r="F854" t="str">
            <v>Indirect</v>
          </cell>
        </row>
        <row r="855">
          <cell r="C855">
            <v>10590008</v>
          </cell>
          <cell r="D855" t="str">
            <v>NARMDA</v>
          </cell>
          <cell r="E855" t="str">
            <v>MPG</v>
          </cell>
          <cell r="F855" t="str">
            <v>Direct</v>
          </cell>
        </row>
        <row r="856">
          <cell r="C856">
            <v>10590009</v>
          </cell>
          <cell r="D856" t="str">
            <v>LAKHANPUR</v>
          </cell>
          <cell r="E856" t="str">
            <v>MPG</v>
          </cell>
          <cell r="F856" t="str">
            <v>Direct</v>
          </cell>
        </row>
        <row r="857">
          <cell r="C857">
            <v>10590010</v>
          </cell>
          <cell r="D857" t="str">
            <v>AMRATH</v>
          </cell>
          <cell r="E857" t="str">
            <v>MPG</v>
          </cell>
          <cell r="F857" t="str">
            <v>Direct</v>
          </cell>
        </row>
        <row r="858">
          <cell r="C858">
            <v>10590011</v>
          </cell>
          <cell r="D858" t="str">
            <v>PUTERIA</v>
          </cell>
          <cell r="E858" t="str">
            <v>MPG</v>
          </cell>
          <cell r="F858" t="str">
            <v>Direct</v>
          </cell>
        </row>
        <row r="859">
          <cell r="C859">
            <v>10590012</v>
          </cell>
          <cell r="D859" t="str">
            <v>LAKHAPUR</v>
          </cell>
          <cell r="E859" t="str">
            <v>MPG</v>
          </cell>
          <cell r="F859" t="str">
            <v>Direct</v>
          </cell>
        </row>
        <row r="860">
          <cell r="C860">
            <v>10600001</v>
          </cell>
          <cell r="D860" t="str">
            <v>Gomukh Karisath</v>
          </cell>
          <cell r="E860" t="str">
            <v>MPG</v>
          </cell>
          <cell r="F860" t="str">
            <v>Direct</v>
          </cell>
        </row>
        <row r="861">
          <cell r="C861">
            <v>10600002</v>
          </cell>
          <cell r="D861" t="str">
            <v>Gomukh Ama</v>
          </cell>
          <cell r="E861" t="str">
            <v>MPG</v>
          </cell>
          <cell r="F861" t="str">
            <v>Direct</v>
          </cell>
        </row>
        <row r="862">
          <cell r="C862">
            <v>10600004</v>
          </cell>
          <cell r="D862" t="str">
            <v>Gomukh Pawat</v>
          </cell>
          <cell r="E862" t="str">
            <v>MPG</v>
          </cell>
          <cell r="F862" t="str">
            <v>Direct</v>
          </cell>
        </row>
        <row r="863">
          <cell r="C863">
            <v>10600005</v>
          </cell>
          <cell r="D863" t="str">
            <v>Gomukh Barja</v>
          </cell>
          <cell r="E863" t="str">
            <v>MPG</v>
          </cell>
          <cell r="F863" t="str">
            <v>Direct</v>
          </cell>
        </row>
        <row r="864">
          <cell r="C864">
            <v>10600006</v>
          </cell>
          <cell r="D864" t="str">
            <v>Gomukh Charghat</v>
          </cell>
          <cell r="E864" t="str">
            <v>MPG</v>
          </cell>
          <cell r="F864" t="str">
            <v>Direct</v>
          </cell>
        </row>
        <row r="865">
          <cell r="C865">
            <v>10600008</v>
          </cell>
          <cell r="D865" t="str">
            <v>Gomukh Ramdihra</v>
          </cell>
          <cell r="E865" t="str">
            <v>MPG</v>
          </cell>
          <cell r="F865" t="str">
            <v>Direct</v>
          </cell>
        </row>
        <row r="866">
          <cell r="C866">
            <v>10600009</v>
          </cell>
          <cell r="D866" t="str">
            <v>Gomukh Bara</v>
          </cell>
          <cell r="E866" t="str">
            <v>MPG</v>
          </cell>
          <cell r="F866" t="str">
            <v>Direct</v>
          </cell>
        </row>
        <row r="867">
          <cell r="C867">
            <v>10600010</v>
          </cell>
          <cell r="D867" t="str">
            <v>Gumukh Salempur</v>
          </cell>
          <cell r="E867" t="str">
            <v>MPG</v>
          </cell>
          <cell r="F867" t="str">
            <v>Direct</v>
          </cell>
        </row>
        <row r="868">
          <cell r="C868">
            <v>10610002</v>
          </cell>
          <cell r="D868" t="str">
            <v>GOMUKH CHEHRAKALA</v>
          </cell>
          <cell r="E868" t="str">
            <v>MPG</v>
          </cell>
          <cell r="F868" t="str">
            <v>Direct</v>
          </cell>
        </row>
        <row r="869">
          <cell r="C869">
            <v>10610006</v>
          </cell>
          <cell r="D869" t="str">
            <v>GOMUKH PREMRAJ</v>
          </cell>
          <cell r="E869" t="str">
            <v>MPG</v>
          </cell>
          <cell r="F869" t="str">
            <v>Direct</v>
          </cell>
        </row>
        <row r="870">
          <cell r="C870">
            <v>10610007</v>
          </cell>
          <cell r="D870" t="str">
            <v>GOMUKH MAGURAHI</v>
          </cell>
          <cell r="E870" t="str">
            <v>MPG</v>
          </cell>
          <cell r="F870" t="str">
            <v>Direct</v>
          </cell>
        </row>
        <row r="871">
          <cell r="C871">
            <v>10610008</v>
          </cell>
          <cell r="D871" t="str">
            <v>GOMUKH GANGATI</v>
          </cell>
          <cell r="E871" t="str">
            <v>MPG</v>
          </cell>
          <cell r="F871" t="str">
            <v>Direct</v>
          </cell>
        </row>
        <row r="872">
          <cell r="C872">
            <v>10610009</v>
          </cell>
          <cell r="D872" t="str">
            <v>GOMUKH Khanpatti</v>
          </cell>
          <cell r="E872" t="str">
            <v>MPG</v>
          </cell>
          <cell r="F872" t="str">
            <v>Direct</v>
          </cell>
        </row>
        <row r="873">
          <cell r="C873">
            <v>10610010</v>
          </cell>
          <cell r="D873" t="str">
            <v>GOMUKH Bhagwatpur</v>
          </cell>
          <cell r="E873" t="str">
            <v>MPG</v>
          </cell>
          <cell r="F873" t="str">
            <v>Direct</v>
          </cell>
        </row>
        <row r="874">
          <cell r="C874">
            <v>10630003</v>
          </cell>
          <cell r="D874" t="str">
            <v>Erout</v>
          </cell>
          <cell r="E874" t="str">
            <v>MPG</v>
          </cell>
          <cell r="F874" t="str">
            <v>Direct</v>
          </cell>
        </row>
        <row r="875">
          <cell r="C875">
            <v>10630004</v>
          </cell>
          <cell r="D875" t="str">
            <v>Murli</v>
          </cell>
          <cell r="E875" t="str">
            <v>MPG</v>
          </cell>
          <cell r="F875" t="str">
            <v>Direct</v>
          </cell>
        </row>
        <row r="876">
          <cell r="C876">
            <v>10630007</v>
          </cell>
          <cell r="D876" t="str">
            <v>Mahespur</v>
          </cell>
          <cell r="E876" t="str">
            <v>MPG</v>
          </cell>
          <cell r="F876" t="str">
            <v>Direct</v>
          </cell>
        </row>
        <row r="877">
          <cell r="C877">
            <v>10630008</v>
          </cell>
          <cell r="D877" t="str">
            <v>Raj Nagar</v>
          </cell>
          <cell r="E877" t="str">
            <v>MPG</v>
          </cell>
          <cell r="F877" t="str">
            <v>Direct</v>
          </cell>
        </row>
        <row r="878">
          <cell r="C878">
            <v>10630009</v>
          </cell>
          <cell r="D878" t="str">
            <v>Nauapokhar</v>
          </cell>
          <cell r="E878" t="str">
            <v>MPG</v>
          </cell>
          <cell r="F878" t="str">
            <v>Direct</v>
          </cell>
        </row>
        <row r="879">
          <cell r="C879">
            <v>10630010</v>
          </cell>
          <cell r="D879" t="str">
            <v>Erout 2</v>
          </cell>
          <cell r="E879" t="str">
            <v>MPG</v>
          </cell>
          <cell r="F879" t="str">
            <v>Indirect</v>
          </cell>
        </row>
        <row r="880">
          <cell r="C880">
            <v>10630011</v>
          </cell>
          <cell r="D880" t="str">
            <v>Parsuram</v>
          </cell>
          <cell r="E880" t="str">
            <v>MPG</v>
          </cell>
          <cell r="F880" t="str">
            <v>Indirect</v>
          </cell>
        </row>
        <row r="881">
          <cell r="C881">
            <v>10630012</v>
          </cell>
          <cell r="D881" t="str">
            <v>Gudarghat</v>
          </cell>
          <cell r="E881" t="str">
            <v>MPG</v>
          </cell>
          <cell r="F881" t="str">
            <v>Indirect</v>
          </cell>
        </row>
        <row r="882">
          <cell r="C882">
            <v>10010038</v>
          </cell>
          <cell r="D882" t="str">
            <v>Gomukh Goriyari</v>
          </cell>
          <cell r="E882" t="str">
            <v>MPG</v>
          </cell>
          <cell r="F882" t="str">
            <v>Direct</v>
          </cell>
        </row>
        <row r="883">
          <cell r="C883">
            <v>10010044</v>
          </cell>
          <cell r="D883" t="str">
            <v>Gomukh Kanausi</v>
          </cell>
          <cell r="E883" t="str">
            <v>MPG</v>
          </cell>
          <cell r="F883" t="str">
            <v>Direct</v>
          </cell>
        </row>
        <row r="884">
          <cell r="C884">
            <v>10010050</v>
          </cell>
          <cell r="D884" t="str">
            <v>Ekamba - Ashutosh</v>
          </cell>
          <cell r="E884" t="str">
            <v>MPG</v>
          </cell>
          <cell r="F884" t="str">
            <v>Indirect</v>
          </cell>
        </row>
        <row r="885">
          <cell r="C885">
            <v>10010051</v>
          </cell>
          <cell r="D885" t="str">
            <v>Gomukh Dunahi</v>
          </cell>
          <cell r="E885" t="str">
            <v>MPG</v>
          </cell>
          <cell r="F885" t="str">
            <v>Direct</v>
          </cell>
        </row>
        <row r="886">
          <cell r="C886">
            <v>10010086</v>
          </cell>
          <cell r="D886" t="str">
            <v>Gomukh Garhi Bisanpur</v>
          </cell>
          <cell r="E886" t="str">
            <v>MPG</v>
          </cell>
          <cell r="F886" t="str">
            <v>Direct</v>
          </cell>
        </row>
        <row r="887">
          <cell r="C887">
            <v>10010087</v>
          </cell>
          <cell r="D887" t="str">
            <v>Bagaraha-Gopal Yadav</v>
          </cell>
          <cell r="E887" t="str">
            <v>MPG</v>
          </cell>
          <cell r="F887" t="str">
            <v>Indirect</v>
          </cell>
        </row>
        <row r="888">
          <cell r="C888">
            <v>10010089</v>
          </cell>
          <cell r="D888" t="str">
            <v>Gomukh Barkurwa</v>
          </cell>
          <cell r="E888" t="str">
            <v>MPG</v>
          </cell>
          <cell r="F888" t="str">
            <v>Direct</v>
          </cell>
        </row>
        <row r="889">
          <cell r="C889">
            <v>10010095</v>
          </cell>
          <cell r="D889" t="str">
            <v>Gomukh Goha-02</v>
          </cell>
          <cell r="E889" t="str">
            <v>MPG</v>
          </cell>
          <cell r="F889" t="str">
            <v>Direct</v>
          </cell>
        </row>
        <row r="890">
          <cell r="C890">
            <v>10010098</v>
          </cell>
          <cell r="D890" t="str">
            <v>Gomukh Rahul Nagar</v>
          </cell>
          <cell r="E890" t="str">
            <v>MPG</v>
          </cell>
          <cell r="F890" t="str">
            <v>Direct</v>
          </cell>
        </row>
        <row r="891">
          <cell r="C891">
            <v>10010099</v>
          </cell>
          <cell r="D891" t="str">
            <v>Gomukh Bagraha-01</v>
          </cell>
          <cell r="E891" t="str">
            <v>MPG</v>
          </cell>
          <cell r="F891" t="str">
            <v>Direct</v>
          </cell>
        </row>
        <row r="892">
          <cell r="C892">
            <v>10010103</v>
          </cell>
          <cell r="D892" t="str">
            <v>Gomukh Shobhaipura</v>
          </cell>
          <cell r="E892" t="str">
            <v>MPG</v>
          </cell>
          <cell r="F892" t="str">
            <v>Direct</v>
          </cell>
        </row>
        <row r="893">
          <cell r="C893">
            <v>10010137</v>
          </cell>
          <cell r="D893" t="str">
            <v>Gomukh Shobhaipura 02</v>
          </cell>
          <cell r="E893" t="str">
            <v>MPG</v>
          </cell>
          <cell r="F893" t="str">
            <v>Direct</v>
          </cell>
        </row>
        <row r="894">
          <cell r="C894">
            <v>10120088</v>
          </cell>
          <cell r="D894" t="str">
            <v>Mithilanchal Dairy Products</v>
          </cell>
          <cell r="E894" t="str">
            <v>MPG</v>
          </cell>
          <cell r="F894" t="str">
            <v>Indirect</v>
          </cell>
        </row>
        <row r="895">
          <cell r="C895">
            <v>10580001</v>
          </cell>
          <cell r="D895" t="str">
            <v>Mahuli</v>
          </cell>
          <cell r="E895" t="str">
            <v>MPG</v>
          </cell>
          <cell r="F895" t="str">
            <v>Direct</v>
          </cell>
        </row>
        <row r="896">
          <cell r="C896">
            <v>10580002</v>
          </cell>
          <cell r="D896" t="str">
            <v>Sakhwa Ghat</v>
          </cell>
          <cell r="E896" t="str">
            <v>MPG</v>
          </cell>
          <cell r="F896" t="str">
            <v>Direct</v>
          </cell>
        </row>
        <row r="897">
          <cell r="C897">
            <v>10580004</v>
          </cell>
          <cell r="D897" t="str">
            <v>Patiya</v>
          </cell>
          <cell r="E897" t="str">
            <v>MPG</v>
          </cell>
          <cell r="F897" t="str">
            <v>Direct</v>
          </cell>
        </row>
        <row r="898">
          <cell r="C898">
            <v>10580005</v>
          </cell>
          <cell r="D898" t="str">
            <v>Kasiya</v>
          </cell>
          <cell r="E898" t="str">
            <v>MPG</v>
          </cell>
          <cell r="F898" t="str">
            <v>Direct</v>
          </cell>
        </row>
        <row r="899">
          <cell r="C899">
            <v>10580007</v>
          </cell>
          <cell r="D899" t="str">
            <v>Belshandi</v>
          </cell>
          <cell r="E899" t="str">
            <v>MPG</v>
          </cell>
          <cell r="F899" t="str">
            <v>Direct</v>
          </cell>
        </row>
        <row r="900">
          <cell r="C900">
            <v>10580008</v>
          </cell>
          <cell r="D900" t="str">
            <v>Baliar</v>
          </cell>
          <cell r="E900" t="str">
            <v>MPG</v>
          </cell>
          <cell r="F900" t="str">
            <v>Direct</v>
          </cell>
        </row>
        <row r="901">
          <cell r="C901">
            <v>10580009</v>
          </cell>
          <cell r="D901" t="str">
            <v>Belshandi-2</v>
          </cell>
          <cell r="E901" t="str">
            <v>MPG</v>
          </cell>
          <cell r="F901" t="str">
            <v>Direct</v>
          </cell>
        </row>
        <row r="902">
          <cell r="C902">
            <v>10580010</v>
          </cell>
          <cell r="D902" t="str">
            <v>Godah</v>
          </cell>
          <cell r="E902" t="str">
            <v>MPG</v>
          </cell>
          <cell r="F902" t="str">
            <v>Direct</v>
          </cell>
        </row>
        <row r="903">
          <cell r="C903">
            <v>10580012</v>
          </cell>
          <cell r="D903" t="str">
            <v>Ballahpur</v>
          </cell>
          <cell r="E903" t="str">
            <v>MPG</v>
          </cell>
          <cell r="F903" t="str">
            <v>Direct</v>
          </cell>
        </row>
        <row r="904">
          <cell r="C904">
            <v>10580015</v>
          </cell>
          <cell r="D904" t="str">
            <v>Birpur</v>
          </cell>
          <cell r="E904" t="str">
            <v>MPG</v>
          </cell>
          <cell r="F904" t="str">
            <v>Direct</v>
          </cell>
        </row>
        <row r="905">
          <cell r="C905">
            <v>10580017</v>
          </cell>
          <cell r="D905" t="str">
            <v>Ahilwar</v>
          </cell>
          <cell r="E905" t="str">
            <v>MPG</v>
          </cell>
          <cell r="F905" t="str">
            <v>Direct</v>
          </cell>
        </row>
        <row r="906">
          <cell r="C906">
            <v>10580018</v>
          </cell>
          <cell r="D906" t="str">
            <v>Paridah</v>
          </cell>
          <cell r="E906" t="str">
            <v>MPG</v>
          </cell>
          <cell r="F906" t="str">
            <v>Direct</v>
          </cell>
        </row>
        <row r="907">
          <cell r="C907">
            <v>10580020</v>
          </cell>
          <cell r="D907" t="str">
            <v>MOKKARI</v>
          </cell>
          <cell r="E907" t="str">
            <v>MPG</v>
          </cell>
          <cell r="F907" t="str">
            <v>Indirect</v>
          </cell>
        </row>
        <row r="908">
          <cell r="C908">
            <v>10580022</v>
          </cell>
          <cell r="D908" t="str">
            <v>KOLAWARI</v>
          </cell>
          <cell r="E908" t="str">
            <v>MPG</v>
          </cell>
          <cell r="F908" t="str">
            <v>Direct</v>
          </cell>
        </row>
        <row r="909">
          <cell r="C909">
            <v>10580023</v>
          </cell>
          <cell r="D909" t="str">
            <v>MALDAH</v>
          </cell>
          <cell r="E909" t="str">
            <v>MPG</v>
          </cell>
          <cell r="F909" t="str">
            <v>Indirect</v>
          </cell>
        </row>
        <row r="910">
          <cell r="C910">
            <v>10640001</v>
          </cell>
          <cell r="D910" t="str">
            <v xml:space="preserve">DUMRA </v>
          </cell>
          <cell r="E910" t="str">
            <v>MPG</v>
          </cell>
          <cell r="F910" t="str">
            <v>Direct</v>
          </cell>
        </row>
        <row r="911">
          <cell r="C911">
            <v>10640003</v>
          </cell>
          <cell r="D911" t="str">
            <v>BALHA</v>
          </cell>
          <cell r="E911" t="str">
            <v>MPG</v>
          </cell>
          <cell r="F911" t="str">
            <v>Direct</v>
          </cell>
        </row>
        <row r="912">
          <cell r="C912">
            <v>10640004</v>
          </cell>
          <cell r="D912" t="str">
            <v>BHARIHAR</v>
          </cell>
          <cell r="E912" t="str">
            <v>MPG</v>
          </cell>
          <cell r="F912" t="str">
            <v>Direct</v>
          </cell>
        </row>
        <row r="913">
          <cell r="C913">
            <v>10640005</v>
          </cell>
          <cell r="D913" t="str">
            <v>BARA</v>
          </cell>
          <cell r="E913" t="str">
            <v>MPG</v>
          </cell>
          <cell r="F913" t="str">
            <v>Direct</v>
          </cell>
        </row>
        <row r="914">
          <cell r="C914">
            <v>10640006</v>
          </cell>
          <cell r="D914" t="str">
            <v>KABILASHI</v>
          </cell>
          <cell r="E914" t="str">
            <v>MPG</v>
          </cell>
          <cell r="F914" t="str">
            <v>Direct</v>
          </cell>
        </row>
        <row r="915">
          <cell r="C915">
            <v>10640007</v>
          </cell>
          <cell r="D915" t="str">
            <v>SULTANPUR</v>
          </cell>
          <cell r="E915" t="str">
            <v>MPG</v>
          </cell>
          <cell r="F915" t="str">
            <v>Indirect</v>
          </cell>
        </row>
      </sheetData>
      <sheetData sheetId="4">
        <row r="2">
          <cell r="A2" t="str">
            <v>ID</v>
          </cell>
          <cell r="E2" t="str">
            <v>Code</v>
          </cell>
          <cell r="F2" t="str">
            <v>Farmers Code</v>
          </cell>
          <cell r="G2" t="str">
            <v>No of Shift</v>
          </cell>
          <cell r="H2" t="str">
            <v>Vol_L</v>
          </cell>
          <cell r="I2" t="str">
            <v>Amount</v>
          </cell>
          <cell r="J2" t="str">
            <v>Vet Deduction</v>
          </cell>
        </row>
        <row r="3">
          <cell r="E3">
            <v>10010013</v>
          </cell>
          <cell r="F3" t="str">
            <v>0002</v>
          </cell>
          <cell r="G3">
            <v>1</v>
          </cell>
          <cell r="H3">
            <v>268</v>
          </cell>
          <cell r="I3">
            <v>9905.5736208000017</v>
          </cell>
          <cell r="J3">
            <v>269.03999999999996</v>
          </cell>
        </row>
        <row r="4">
          <cell r="E4">
            <v>10010013</v>
          </cell>
          <cell r="F4" t="str">
            <v>0005</v>
          </cell>
          <cell r="G4">
            <v>7</v>
          </cell>
          <cell r="H4">
            <v>43.699999999999996</v>
          </cell>
          <cell r="I4">
            <v>1583.6785945200002</v>
          </cell>
          <cell r="J4">
            <v>0</v>
          </cell>
        </row>
        <row r="5">
          <cell r="E5">
            <v>10010013</v>
          </cell>
          <cell r="F5" t="str">
            <v>0013</v>
          </cell>
          <cell r="G5">
            <v>8</v>
          </cell>
          <cell r="H5">
            <v>52.2</v>
          </cell>
          <cell r="I5">
            <v>1881.3739903200003</v>
          </cell>
          <cell r="J5">
            <v>0</v>
          </cell>
        </row>
        <row r="6">
          <cell r="E6">
            <v>10010013</v>
          </cell>
          <cell r="F6" t="str">
            <v>0015</v>
          </cell>
          <cell r="G6">
            <v>8</v>
          </cell>
          <cell r="H6">
            <v>15.3</v>
          </cell>
          <cell r="I6">
            <v>796.01628269846015</v>
          </cell>
          <cell r="J6">
            <v>0</v>
          </cell>
        </row>
        <row r="7">
          <cell r="E7">
            <v>10010013</v>
          </cell>
          <cell r="F7" t="str">
            <v>0016</v>
          </cell>
          <cell r="G7">
            <v>3</v>
          </cell>
          <cell r="H7">
            <v>6.1000000000000005</v>
          </cell>
          <cell r="I7">
            <v>218.21588316000003</v>
          </cell>
          <cell r="J7">
            <v>0</v>
          </cell>
        </row>
        <row r="8">
          <cell r="E8">
            <v>10010013</v>
          </cell>
          <cell r="F8" t="str">
            <v>0019</v>
          </cell>
          <cell r="G8">
            <v>1</v>
          </cell>
          <cell r="H8">
            <v>2.2000000000000002</v>
          </cell>
          <cell r="I8">
            <v>115.21747140266002</v>
          </cell>
          <cell r="J8">
            <v>0</v>
          </cell>
        </row>
        <row r="9">
          <cell r="E9">
            <v>10010013</v>
          </cell>
          <cell r="F9" t="str">
            <v>0028</v>
          </cell>
          <cell r="G9">
            <v>4</v>
          </cell>
          <cell r="H9">
            <v>15.2</v>
          </cell>
          <cell r="I9">
            <v>542.16705311999999</v>
          </cell>
          <cell r="J9">
            <v>0</v>
          </cell>
        </row>
        <row r="10">
          <cell r="E10">
            <v>10010013</v>
          </cell>
          <cell r="F10" t="str">
            <v>0034</v>
          </cell>
          <cell r="G10">
            <v>5</v>
          </cell>
          <cell r="H10">
            <v>15.9</v>
          </cell>
          <cell r="I10">
            <v>567.36662004000004</v>
          </cell>
          <cell r="J10">
            <v>0</v>
          </cell>
        </row>
        <row r="11">
          <cell r="E11">
            <v>10010013</v>
          </cell>
          <cell r="F11" t="str">
            <v>0043</v>
          </cell>
          <cell r="G11">
            <v>8</v>
          </cell>
          <cell r="H11">
            <v>34.550000000000004</v>
          </cell>
          <cell r="I11">
            <v>1237.9142298600002</v>
          </cell>
          <cell r="J11">
            <v>0</v>
          </cell>
        </row>
        <row r="12">
          <cell r="E12">
            <v>10010013</v>
          </cell>
          <cell r="F12" t="str">
            <v>0047</v>
          </cell>
          <cell r="G12">
            <v>2</v>
          </cell>
          <cell r="H12">
            <v>2</v>
          </cell>
          <cell r="I12">
            <v>71.54619120000001</v>
          </cell>
          <cell r="J12">
            <v>0</v>
          </cell>
        </row>
        <row r="13">
          <cell r="E13">
            <v>10010013</v>
          </cell>
          <cell r="F13" t="str">
            <v>0056</v>
          </cell>
          <cell r="G13">
            <v>8</v>
          </cell>
          <cell r="H13">
            <v>25.4</v>
          </cell>
          <cell r="I13">
            <v>906.37938072000009</v>
          </cell>
          <cell r="J13">
            <v>0</v>
          </cell>
        </row>
        <row r="14">
          <cell r="E14">
            <v>10010013</v>
          </cell>
          <cell r="F14" t="str">
            <v>0064</v>
          </cell>
          <cell r="G14">
            <v>1</v>
          </cell>
          <cell r="H14">
            <v>1.7</v>
          </cell>
          <cell r="I14">
            <v>97.974919452000009</v>
          </cell>
          <cell r="J14">
            <v>0</v>
          </cell>
        </row>
        <row r="15">
          <cell r="E15">
            <v>10010013</v>
          </cell>
          <cell r="F15" t="str">
            <v>0074</v>
          </cell>
          <cell r="G15">
            <v>4</v>
          </cell>
          <cell r="H15">
            <v>12.15</v>
          </cell>
          <cell r="I15">
            <v>621.92077718500013</v>
          </cell>
          <cell r="J15">
            <v>0</v>
          </cell>
        </row>
        <row r="16">
          <cell r="E16">
            <v>10010013</v>
          </cell>
          <cell r="F16" t="str">
            <v>0076</v>
          </cell>
          <cell r="G16">
            <v>7</v>
          </cell>
          <cell r="H16">
            <v>11.5</v>
          </cell>
          <cell r="I16">
            <v>410.38737696000004</v>
          </cell>
          <cell r="J16">
            <v>0</v>
          </cell>
        </row>
        <row r="17">
          <cell r="E17">
            <v>10010013</v>
          </cell>
          <cell r="F17" t="str">
            <v>0077</v>
          </cell>
          <cell r="G17">
            <v>7</v>
          </cell>
          <cell r="H17">
            <v>11.7</v>
          </cell>
          <cell r="I17">
            <v>424.92077100000006</v>
          </cell>
          <cell r="J17">
            <v>0</v>
          </cell>
        </row>
        <row r="18">
          <cell r="E18">
            <v>10010013</v>
          </cell>
          <cell r="F18" t="str">
            <v>0079</v>
          </cell>
          <cell r="G18">
            <v>4</v>
          </cell>
          <cell r="H18">
            <v>13.5</v>
          </cell>
          <cell r="I18">
            <v>739.27405354257007</v>
          </cell>
          <cell r="J18">
            <v>0</v>
          </cell>
        </row>
        <row r="19">
          <cell r="E19">
            <v>10010013</v>
          </cell>
          <cell r="F19" t="str">
            <v>0081</v>
          </cell>
          <cell r="G19">
            <v>8</v>
          </cell>
          <cell r="H19">
            <v>34.300000000000004</v>
          </cell>
          <cell r="I19">
            <v>1228.6407790800004</v>
          </cell>
          <cell r="J19">
            <v>0</v>
          </cell>
        </row>
        <row r="20">
          <cell r="E20">
            <v>10010017</v>
          </cell>
          <cell r="F20" t="str">
            <v>0002</v>
          </cell>
          <cell r="G20">
            <v>1</v>
          </cell>
          <cell r="H20">
            <v>72</v>
          </cell>
          <cell r="I20">
            <v>2632.6840320000006</v>
          </cell>
          <cell r="J20">
            <v>0</v>
          </cell>
        </row>
        <row r="21">
          <cell r="E21">
            <v>10010019</v>
          </cell>
          <cell r="F21" t="str">
            <v>0014</v>
          </cell>
          <cell r="G21">
            <v>1</v>
          </cell>
          <cell r="H21">
            <v>9.26</v>
          </cell>
          <cell r="I21">
            <v>308.03454079199997</v>
          </cell>
          <cell r="J21">
            <v>0</v>
          </cell>
        </row>
        <row r="22">
          <cell r="E22">
            <v>10010019</v>
          </cell>
          <cell r="F22" t="str">
            <v>0017</v>
          </cell>
          <cell r="G22">
            <v>3</v>
          </cell>
          <cell r="H22">
            <v>84.149999999999991</v>
          </cell>
          <cell r="I22">
            <v>3154.6876735440001</v>
          </cell>
          <cell r="J22">
            <v>0</v>
          </cell>
        </row>
        <row r="23">
          <cell r="E23">
            <v>10010019</v>
          </cell>
          <cell r="F23" t="str">
            <v>0019</v>
          </cell>
          <cell r="G23">
            <v>10</v>
          </cell>
          <cell r="H23">
            <v>17.900000000000002</v>
          </cell>
          <cell r="I23">
            <v>1128.6856136654001</v>
          </cell>
          <cell r="J23">
            <v>0</v>
          </cell>
        </row>
        <row r="24">
          <cell r="E24">
            <v>10010019</v>
          </cell>
          <cell r="F24" t="str">
            <v>0025</v>
          </cell>
          <cell r="G24">
            <v>13</v>
          </cell>
          <cell r="H24">
            <v>26.58</v>
          </cell>
          <cell r="I24">
            <v>1072.4072165073001</v>
          </cell>
          <cell r="J24">
            <v>0</v>
          </cell>
        </row>
        <row r="25">
          <cell r="E25">
            <v>10010019</v>
          </cell>
          <cell r="F25" t="str">
            <v>0030</v>
          </cell>
          <cell r="G25">
            <v>14</v>
          </cell>
          <cell r="H25">
            <v>359.48</v>
          </cell>
          <cell r="I25">
            <v>13735.139534028</v>
          </cell>
          <cell r="J25">
            <v>0</v>
          </cell>
        </row>
        <row r="26">
          <cell r="E26">
            <v>10010019</v>
          </cell>
          <cell r="F26" t="str">
            <v>0035</v>
          </cell>
          <cell r="G26">
            <v>4</v>
          </cell>
          <cell r="H26">
            <v>1.67</v>
          </cell>
          <cell r="I26">
            <v>68.999574203999998</v>
          </cell>
          <cell r="J26">
            <v>0</v>
          </cell>
        </row>
        <row r="27">
          <cell r="E27">
            <v>10010019</v>
          </cell>
          <cell r="F27" t="str">
            <v>0037</v>
          </cell>
          <cell r="G27">
            <v>14</v>
          </cell>
          <cell r="H27">
            <v>113.83999999999997</v>
          </cell>
          <cell r="I27">
            <v>6351.1503439036996</v>
          </cell>
          <cell r="J27">
            <v>0</v>
          </cell>
        </row>
        <row r="28">
          <cell r="E28">
            <v>10010019</v>
          </cell>
          <cell r="F28" t="str">
            <v>0045</v>
          </cell>
          <cell r="G28">
            <v>5</v>
          </cell>
          <cell r="H28">
            <v>26.26</v>
          </cell>
          <cell r="I28">
            <v>1029.0861448560001</v>
          </cell>
          <cell r="J28">
            <v>0</v>
          </cell>
        </row>
        <row r="29">
          <cell r="E29">
            <v>10010019</v>
          </cell>
          <cell r="F29" t="str">
            <v>0048</v>
          </cell>
          <cell r="G29">
            <v>14</v>
          </cell>
          <cell r="H29">
            <v>67.240000000000009</v>
          </cell>
          <cell r="I29">
            <v>2653.6008427604943</v>
          </cell>
          <cell r="J29">
            <v>0</v>
          </cell>
        </row>
        <row r="30">
          <cell r="E30">
            <v>10010019</v>
          </cell>
          <cell r="F30" t="str">
            <v>0049</v>
          </cell>
          <cell r="G30">
            <v>7</v>
          </cell>
          <cell r="H30">
            <v>10.370000000000001</v>
          </cell>
          <cell r="I30">
            <v>378.02407848479999</v>
          </cell>
          <cell r="J30">
            <v>0</v>
          </cell>
        </row>
        <row r="31">
          <cell r="E31">
            <v>10010019</v>
          </cell>
          <cell r="F31" t="str">
            <v>0053</v>
          </cell>
          <cell r="G31">
            <v>5</v>
          </cell>
          <cell r="H31">
            <v>12.42</v>
          </cell>
          <cell r="I31">
            <v>507.35004098127604</v>
          </cell>
          <cell r="J31">
            <v>0</v>
          </cell>
        </row>
        <row r="32">
          <cell r="E32">
            <v>10010021</v>
          </cell>
          <cell r="F32" t="str">
            <v>0002</v>
          </cell>
          <cell r="G32">
            <v>8</v>
          </cell>
          <cell r="H32">
            <v>74.8</v>
          </cell>
          <cell r="I32">
            <v>3028.4807256000004</v>
          </cell>
          <cell r="J32">
            <v>0</v>
          </cell>
        </row>
        <row r="33">
          <cell r="E33">
            <v>10010021</v>
          </cell>
          <cell r="F33" t="str">
            <v>0003</v>
          </cell>
          <cell r="G33">
            <v>6</v>
          </cell>
          <cell r="H33">
            <v>56.5</v>
          </cell>
          <cell r="I33">
            <v>2293.7613929999998</v>
          </cell>
          <cell r="J33">
            <v>0</v>
          </cell>
        </row>
        <row r="34">
          <cell r="E34">
            <v>10010021</v>
          </cell>
          <cell r="F34" t="str">
            <v>0010</v>
          </cell>
          <cell r="G34">
            <v>1</v>
          </cell>
          <cell r="H34">
            <v>10</v>
          </cell>
          <cell r="I34">
            <v>402.61122</v>
          </cell>
          <cell r="J34">
            <v>0</v>
          </cell>
        </row>
        <row r="35">
          <cell r="E35">
            <v>10010055</v>
          </cell>
          <cell r="F35" t="str">
            <v>0002</v>
          </cell>
          <cell r="G35">
            <v>8</v>
          </cell>
          <cell r="H35">
            <v>97</v>
          </cell>
          <cell r="I35">
            <v>3927.9003588000005</v>
          </cell>
          <cell r="J35">
            <v>0</v>
          </cell>
        </row>
        <row r="36">
          <cell r="E36">
            <v>10010055</v>
          </cell>
          <cell r="F36" t="str">
            <v>0003</v>
          </cell>
          <cell r="G36">
            <v>6</v>
          </cell>
          <cell r="H36">
            <v>60</v>
          </cell>
          <cell r="I36">
            <v>2397.1865940000002</v>
          </cell>
          <cell r="J36">
            <v>0</v>
          </cell>
        </row>
        <row r="37">
          <cell r="E37">
            <v>10010076</v>
          </cell>
          <cell r="F37" t="str">
            <v>0002</v>
          </cell>
          <cell r="G37">
            <v>14</v>
          </cell>
          <cell r="H37">
            <v>155.22</v>
          </cell>
          <cell r="I37">
            <v>7581.8484053978818</v>
          </cell>
          <cell r="J37">
            <v>1041</v>
          </cell>
        </row>
        <row r="38">
          <cell r="E38">
            <v>10010076</v>
          </cell>
          <cell r="F38" t="str">
            <v>0006</v>
          </cell>
          <cell r="G38">
            <v>2</v>
          </cell>
          <cell r="H38">
            <v>19.829999999999998</v>
          </cell>
          <cell r="I38">
            <v>759.54073654800004</v>
          </cell>
          <cell r="J38">
            <v>0</v>
          </cell>
        </row>
        <row r="39">
          <cell r="E39">
            <v>10010076</v>
          </cell>
          <cell r="F39" t="str">
            <v>0007</v>
          </cell>
          <cell r="G39">
            <v>6</v>
          </cell>
          <cell r="H39">
            <v>60.959999999999994</v>
          </cell>
          <cell r="I39">
            <v>2698.9517464484002</v>
          </cell>
          <cell r="J39">
            <v>0</v>
          </cell>
        </row>
        <row r="40">
          <cell r="E40">
            <v>10010076</v>
          </cell>
          <cell r="F40" t="str">
            <v>0008</v>
          </cell>
          <cell r="G40">
            <v>10</v>
          </cell>
          <cell r="H40">
            <v>91.56</v>
          </cell>
          <cell r="I40">
            <v>3931.4147380028007</v>
          </cell>
          <cell r="J40">
            <v>0</v>
          </cell>
        </row>
        <row r="41">
          <cell r="E41">
            <v>10010076</v>
          </cell>
          <cell r="F41" t="str">
            <v>0009</v>
          </cell>
          <cell r="G41">
            <v>11</v>
          </cell>
          <cell r="H41">
            <v>108.35000000000001</v>
          </cell>
          <cell r="I41">
            <v>4826.8674060466301</v>
          </cell>
          <cell r="J41">
            <v>0</v>
          </cell>
        </row>
        <row r="42">
          <cell r="E42">
            <v>10010076</v>
          </cell>
          <cell r="F42" t="str">
            <v>0010</v>
          </cell>
          <cell r="G42">
            <v>11</v>
          </cell>
          <cell r="H42">
            <v>112.59</v>
          </cell>
          <cell r="I42">
            <v>5372.4619929607006</v>
          </cell>
          <cell r="J42">
            <v>0</v>
          </cell>
        </row>
        <row r="43">
          <cell r="E43">
            <v>10010076</v>
          </cell>
          <cell r="F43" t="str">
            <v>0011</v>
          </cell>
          <cell r="G43">
            <v>11</v>
          </cell>
          <cell r="H43">
            <v>108.26999999999998</v>
          </cell>
          <cell r="I43">
            <v>5688.8959212249301</v>
          </cell>
          <cell r="J43">
            <v>0</v>
          </cell>
        </row>
        <row r="44">
          <cell r="E44">
            <v>10010076</v>
          </cell>
          <cell r="F44" t="str">
            <v>0012</v>
          </cell>
          <cell r="G44">
            <v>12</v>
          </cell>
          <cell r="H44">
            <v>125.59</v>
          </cell>
          <cell r="I44">
            <v>6299.7562141501412</v>
          </cell>
          <cell r="J44">
            <v>0</v>
          </cell>
        </row>
        <row r="45">
          <cell r="E45">
            <v>10010076</v>
          </cell>
          <cell r="F45" t="str">
            <v>0013</v>
          </cell>
          <cell r="G45">
            <v>12</v>
          </cell>
          <cell r="H45">
            <v>127.16000000000001</v>
          </cell>
          <cell r="I45">
            <v>6434.6598213665911</v>
          </cell>
          <cell r="J45">
            <v>0</v>
          </cell>
        </row>
        <row r="46">
          <cell r="E46">
            <v>10010082</v>
          </cell>
          <cell r="F46" t="str">
            <v>0001</v>
          </cell>
          <cell r="G46">
            <v>1</v>
          </cell>
          <cell r="H46">
            <v>0.86</v>
          </cell>
          <cell r="I46">
            <v>33.602884920000001</v>
          </cell>
          <cell r="J46">
            <v>0</v>
          </cell>
        </row>
        <row r="47">
          <cell r="E47">
            <v>10010082</v>
          </cell>
          <cell r="F47" t="str">
            <v>0002</v>
          </cell>
          <cell r="G47">
            <v>6</v>
          </cell>
          <cell r="H47">
            <v>4.3</v>
          </cell>
          <cell r="I47">
            <v>165.10777351200002</v>
          </cell>
          <cell r="J47">
            <v>0</v>
          </cell>
        </row>
        <row r="48">
          <cell r="E48">
            <v>10010082</v>
          </cell>
          <cell r="F48" t="str">
            <v>0008</v>
          </cell>
          <cell r="G48">
            <v>14</v>
          </cell>
          <cell r="H48">
            <v>314.45999999999998</v>
          </cell>
          <cell r="I48">
            <v>12242.901825792002</v>
          </cell>
          <cell r="J48">
            <v>0</v>
          </cell>
        </row>
        <row r="49">
          <cell r="E49">
            <v>10010082</v>
          </cell>
          <cell r="F49" t="str">
            <v>0010</v>
          </cell>
          <cell r="G49">
            <v>14</v>
          </cell>
          <cell r="H49">
            <v>101.36</v>
          </cell>
          <cell r="I49">
            <v>4588.8967888051211</v>
          </cell>
          <cell r="J49">
            <v>0</v>
          </cell>
        </row>
        <row r="50">
          <cell r="E50">
            <v>10010082</v>
          </cell>
          <cell r="F50" t="str">
            <v>0012</v>
          </cell>
          <cell r="G50">
            <v>13</v>
          </cell>
          <cell r="H50">
            <v>266.26</v>
          </cell>
          <cell r="I50">
            <v>9953.1745022160012</v>
          </cell>
          <cell r="J50">
            <v>0</v>
          </cell>
        </row>
        <row r="51">
          <cell r="E51">
            <v>10010082</v>
          </cell>
          <cell r="F51" t="str">
            <v>0014</v>
          </cell>
          <cell r="G51">
            <v>13</v>
          </cell>
          <cell r="H51">
            <v>72.839999999999989</v>
          </cell>
          <cell r="I51">
            <v>2966.6206864800001</v>
          </cell>
          <cell r="J51">
            <v>0</v>
          </cell>
        </row>
        <row r="52">
          <cell r="E52">
            <v>10010082</v>
          </cell>
          <cell r="F52" t="str">
            <v>0016</v>
          </cell>
          <cell r="G52">
            <v>11</v>
          </cell>
          <cell r="H52">
            <v>264.27999999999997</v>
          </cell>
          <cell r="I52">
            <v>9964.2757690872022</v>
          </cell>
          <cell r="J52">
            <v>0</v>
          </cell>
        </row>
        <row r="53">
          <cell r="E53">
            <v>10010082</v>
          </cell>
          <cell r="F53" t="str">
            <v>0021</v>
          </cell>
          <cell r="G53">
            <v>7</v>
          </cell>
          <cell r="H53">
            <v>15.06</v>
          </cell>
          <cell r="I53">
            <v>688.43965132800008</v>
          </cell>
          <cell r="J53">
            <v>0</v>
          </cell>
        </row>
        <row r="54">
          <cell r="E54">
            <v>10010082</v>
          </cell>
          <cell r="F54" t="str">
            <v>0024</v>
          </cell>
          <cell r="G54">
            <v>14</v>
          </cell>
          <cell r="H54">
            <v>18.04</v>
          </cell>
          <cell r="I54">
            <v>925.49307273739998</v>
          </cell>
          <cell r="J54">
            <v>0</v>
          </cell>
        </row>
        <row r="55">
          <cell r="E55">
            <v>10010082</v>
          </cell>
          <cell r="F55" t="str">
            <v>0025</v>
          </cell>
          <cell r="G55">
            <v>5</v>
          </cell>
          <cell r="H55">
            <v>9.64</v>
          </cell>
          <cell r="I55">
            <v>440.09939360860005</v>
          </cell>
          <cell r="J55">
            <v>0</v>
          </cell>
        </row>
        <row r="56">
          <cell r="E56">
            <v>10010082</v>
          </cell>
          <cell r="F56" t="str">
            <v>0029</v>
          </cell>
          <cell r="G56">
            <v>8</v>
          </cell>
          <cell r="H56">
            <v>22.14</v>
          </cell>
          <cell r="I56">
            <v>956.59197644720007</v>
          </cell>
          <cell r="J56">
            <v>0</v>
          </cell>
        </row>
        <row r="57">
          <cell r="E57">
            <v>10010082</v>
          </cell>
          <cell r="F57" t="str">
            <v>0030</v>
          </cell>
          <cell r="G57">
            <v>6</v>
          </cell>
          <cell r="H57">
            <v>22.34</v>
          </cell>
          <cell r="I57">
            <v>894.35674548000009</v>
          </cell>
          <cell r="J57">
            <v>0</v>
          </cell>
        </row>
        <row r="58">
          <cell r="E58">
            <v>10010097</v>
          </cell>
          <cell r="F58" t="str">
            <v>0001</v>
          </cell>
          <cell r="G58">
            <v>14</v>
          </cell>
          <cell r="H58">
            <v>3.4</v>
          </cell>
          <cell r="I58">
            <v>126.64017067680001</v>
          </cell>
          <cell r="J58">
            <v>0</v>
          </cell>
        </row>
        <row r="59">
          <cell r="E59">
            <v>10010097</v>
          </cell>
          <cell r="F59" t="str">
            <v>0002</v>
          </cell>
          <cell r="G59">
            <v>14</v>
          </cell>
          <cell r="H59">
            <v>803.96999999999991</v>
          </cell>
          <cell r="I59">
            <v>30183.638500798203</v>
          </cell>
          <cell r="J59">
            <v>512.12</v>
          </cell>
        </row>
        <row r="60">
          <cell r="E60">
            <v>10010097</v>
          </cell>
          <cell r="F60" t="str">
            <v>0003</v>
          </cell>
          <cell r="G60">
            <v>7</v>
          </cell>
          <cell r="H60">
            <v>17.509999999999998</v>
          </cell>
          <cell r="I60">
            <v>752.55240446729999</v>
          </cell>
          <cell r="J60">
            <v>0</v>
          </cell>
        </row>
        <row r="61">
          <cell r="E61">
            <v>10010097</v>
          </cell>
          <cell r="F61" t="str">
            <v>0005</v>
          </cell>
          <cell r="G61">
            <v>12</v>
          </cell>
          <cell r="H61">
            <v>94.300000000000011</v>
          </cell>
          <cell r="I61">
            <v>4410.5515188973004</v>
          </cell>
          <cell r="J61">
            <v>0</v>
          </cell>
        </row>
        <row r="62">
          <cell r="E62">
            <v>10010097</v>
          </cell>
          <cell r="F62" t="str">
            <v>0008</v>
          </cell>
          <cell r="G62">
            <v>12</v>
          </cell>
          <cell r="H62">
            <v>45.18</v>
          </cell>
          <cell r="I62">
            <v>1555.9769771766</v>
          </cell>
          <cell r="J62">
            <v>0</v>
          </cell>
        </row>
        <row r="63">
          <cell r="E63">
            <v>10010097</v>
          </cell>
          <cell r="F63" t="str">
            <v>0011</v>
          </cell>
          <cell r="G63">
            <v>8</v>
          </cell>
          <cell r="H63">
            <v>39.79</v>
          </cell>
          <cell r="I63">
            <v>1770.3402535421601</v>
          </cell>
          <cell r="J63">
            <v>0</v>
          </cell>
        </row>
        <row r="64">
          <cell r="E64">
            <v>10010097</v>
          </cell>
          <cell r="F64" t="str">
            <v>0012</v>
          </cell>
          <cell r="G64">
            <v>13</v>
          </cell>
          <cell r="H64">
            <v>94.08</v>
          </cell>
          <cell r="I64">
            <v>3935.5456377600003</v>
          </cell>
          <cell r="J64">
            <v>0</v>
          </cell>
        </row>
        <row r="65">
          <cell r="E65">
            <v>10010097</v>
          </cell>
          <cell r="F65" t="str">
            <v>0013</v>
          </cell>
          <cell r="G65">
            <v>13</v>
          </cell>
          <cell r="H65">
            <v>48.62</v>
          </cell>
          <cell r="I65">
            <v>1974.0349774728002</v>
          </cell>
          <cell r="J65">
            <v>0</v>
          </cell>
        </row>
        <row r="66">
          <cell r="E66">
            <v>10010097</v>
          </cell>
          <cell r="F66" t="str">
            <v>0014</v>
          </cell>
          <cell r="G66">
            <v>14</v>
          </cell>
          <cell r="H66">
            <v>352.48999999999995</v>
          </cell>
          <cell r="I66">
            <v>12342.7748170584</v>
          </cell>
          <cell r="J66">
            <v>0</v>
          </cell>
        </row>
        <row r="67">
          <cell r="E67">
            <v>10010097</v>
          </cell>
          <cell r="F67" t="str">
            <v>0015</v>
          </cell>
          <cell r="G67">
            <v>13</v>
          </cell>
          <cell r="H67">
            <v>67.949999999999989</v>
          </cell>
          <cell r="I67">
            <v>2604.9129802561802</v>
          </cell>
          <cell r="J67">
            <v>0</v>
          </cell>
        </row>
        <row r="68">
          <cell r="E68">
            <v>10010097</v>
          </cell>
          <cell r="F68" t="str">
            <v>0016</v>
          </cell>
          <cell r="G68">
            <v>14</v>
          </cell>
          <cell r="H68">
            <v>90.63</v>
          </cell>
          <cell r="I68">
            <v>3202.5720287879999</v>
          </cell>
          <cell r="J68">
            <v>0</v>
          </cell>
        </row>
        <row r="69">
          <cell r="E69">
            <v>10010108</v>
          </cell>
          <cell r="F69" t="str">
            <v>0001</v>
          </cell>
          <cell r="G69">
            <v>8</v>
          </cell>
          <cell r="H69">
            <v>1.76</v>
          </cell>
          <cell r="I69">
            <v>66.160154610000006</v>
          </cell>
          <cell r="J69">
            <v>0</v>
          </cell>
        </row>
        <row r="70">
          <cell r="E70">
            <v>10010108</v>
          </cell>
          <cell r="F70" t="str">
            <v>0003</v>
          </cell>
          <cell r="G70">
            <v>13</v>
          </cell>
          <cell r="H70">
            <v>263.71999999999997</v>
          </cell>
          <cell r="I70">
            <v>9786.8801115162005</v>
          </cell>
          <cell r="J70">
            <v>0</v>
          </cell>
        </row>
        <row r="71">
          <cell r="E71">
            <v>10010113</v>
          </cell>
          <cell r="F71" t="str">
            <v>0001</v>
          </cell>
          <cell r="G71">
            <v>11</v>
          </cell>
          <cell r="H71">
            <v>7.6099999999999994</v>
          </cell>
          <cell r="I71">
            <v>303.55425539999999</v>
          </cell>
          <cell r="J71">
            <v>0</v>
          </cell>
        </row>
        <row r="72">
          <cell r="E72">
            <v>10010113</v>
          </cell>
          <cell r="F72" t="str">
            <v>0003</v>
          </cell>
          <cell r="G72">
            <v>12</v>
          </cell>
          <cell r="H72">
            <v>30.18</v>
          </cell>
          <cell r="I72">
            <v>1013.4704836674</v>
          </cell>
          <cell r="J72">
            <v>0</v>
          </cell>
        </row>
        <row r="73">
          <cell r="E73">
            <v>10010113</v>
          </cell>
          <cell r="F73" t="str">
            <v>0004</v>
          </cell>
          <cell r="G73">
            <v>5</v>
          </cell>
          <cell r="H73">
            <v>10.95</v>
          </cell>
          <cell r="I73">
            <v>454.48794507600002</v>
          </cell>
          <cell r="J73">
            <v>0</v>
          </cell>
        </row>
        <row r="74">
          <cell r="E74">
            <v>10010113</v>
          </cell>
          <cell r="F74" t="str">
            <v>0005</v>
          </cell>
          <cell r="G74">
            <v>14</v>
          </cell>
          <cell r="H74">
            <v>27.940000000000005</v>
          </cell>
          <cell r="I74">
            <v>1121.2450500240002</v>
          </cell>
          <cell r="J74">
            <v>0</v>
          </cell>
        </row>
        <row r="75">
          <cell r="E75">
            <v>10010113</v>
          </cell>
          <cell r="F75" t="str">
            <v>0008</v>
          </cell>
          <cell r="G75">
            <v>14</v>
          </cell>
          <cell r="H75">
            <v>56.129999999999995</v>
          </cell>
          <cell r="I75">
            <v>2030.0802136758002</v>
          </cell>
          <cell r="J75">
            <v>0</v>
          </cell>
        </row>
        <row r="76">
          <cell r="E76">
            <v>10010113</v>
          </cell>
          <cell r="F76" t="str">
            <v>0010</v>
          </cell>
          <cell r="G76">
            <v>7</v>
          </cell>
          <cell r="H76">
            <v>10.829999999999998</v>
          </cell>
          <cell r="I76">
            <v>446.16113071199999</v>
          </cell>
          <cell r="J76">
            <v>0</v>
          </cell>
        </row>
        <row r="77">
          <cell r="E77">
            <v>10010113</v>
          </cell>
          <cell r="F77" t="str">
            <v>0014</v>
          </cell>
          <cell r="G77">
            <v>14</v>
          </cell>
          <cell r="H77">
            <v>58.559999999999995</v>
          </cell>
          <cell r="I77">
            <v>2088.2830080618005</v>
          </cell>
          <cell r="J77">
            <v>0</v>
          </cell>
        </row>
        <row r="78">
          <cell r="E78">
            <v>10010113</v>
          </cell>
          <cell r="F78" t="str">
            <v>0028</v>
          </cell>
          <cell r="G78">
            <v>10</v>
          </cell>
          <cell r="H78">
            <v>25.92</v>
          </cell>
          <cell r="I78">
            <v>961.16414605200021</v>
          </cell>
          <cell r="J78">
            <v>0</v>
          </cell>
        </row>
        <row r="79">
          <cell r="E79">
            <v>10010113</v>
          </cell>
          <cell r="F79" t="str">
            <v>0033</v>
          </cell>
          <cell r="G79">
            <v>12</v>
          </cell>
          <cell r="H79">
            <v>21.63</v>
          </cell>
          <cell r="I79">
            <v>923.25501862968008</v>
          </cell>
          <cell r="J79">
            <v>0</v>
          </cell>
        </row>
        <row r="80">
          <cell r="E80">
            <v>10010113</v>
          </cell>
          <cell r="F80" t="str">
            <v>0048</v>
          </cell>
          <cell r="G80">
            <v>13</v>
          </cell>
          <cell r="H80">
            <v>64.539999999999992</v>
          </cell>
          <cell r="I80">
            <v>2277.5039563914002</v>
          </cell>
          <cell r="J80">
            <v>0</v>
          </cell>
        </row>
        <row r="81">
          <cell r="E81">
            <v>10010113</v>
          </cell>
          <cell r="F81" t="str">
            <v>0049</v>
          </cell>
          <cell r="G81">
            <v>2</v>
          </cell>
          <cell r="H81">
            <v>6.24</v>
          </cell>
          <cell r="I81">
            <v>338.72936493869997</v>
          </cell>
          <cell r="J81">
            <v>0</v>
          </cell>
        </row>
        <row r="82">
          <cell r="E82">
            <v>10010113</v>
          </cell>
          <cell r="F82" t="str">
            <v>0056</v>
          </cell>
          <cell r="G82">
            <v>11</v>
          </cell>
          <cell r="H82">
            <v>43.97</v>
          </cell>
          <cell r="I82">
            <v>1763.1547710381001</v>
          </cell>
          <cell r="J82">
            <v>0</v>
          </cell>
        </row>
        <row r="83">
          <cell r="E83">
            <v>10010113</v>
          </cell>
          <cell r="F83" t="str">
            <v>0059</v>
          </cell>
          <cell r="G83">
            <v>7</v>
          </cell>
          <cell r="H83">
            <v>13.190000000000001</v>
          </cell>
          <cell r="I83">
            <v>573.94260118800003</v>
          </cell>
          <cell r="J83">
            <v>0</v>
          </cell>
        </row>
        <row r="84">
          <cell r="E84">
            <v>10010113</v>
          </cell>
          <cell r="F84" t="str">
            <v>0061</v>
          </cell>
          <cell r="G84">
            <v>7</v>
          </cell>
          <cell r="H84">
            <v>19.8</v>
          </cell>
          <cell r="I84">
            <v>807.38651703599999</v>
          </cell>
          <cell r="J84">
            <v>0</v>
          </cell>
        </row>
        <row r="85">
          <cell r="E85">
            <v>10010113</v>
          </cell>
          <cell r="F85" t="str">
            <v>0062</v>
          </cell>
          <cell r="G85">
            <v>5</v>
          </cell>
          <cell r="H85">
            <v>7.2099999999999991</v>
          </cell>
          <cell r="I85">
            <v>269.41176252539998</v>
          </cell>
          <cell r="J85">
            <v>0</v>
          </cell>
        </row>
        <row r="86">
          <cell r="E86">
            <v>10010113</v>
          </cell>
          <cell r="F86" t="str">
            <v>0065</v>
          </cell>
          <cell r="G86">
            <v>7</v>
          </cell>
          <cell r="H86">
            <v>40.17</v>
          </cell>
          <cell r="I86">
            <v>1406.364101208</v>
          </cell>
          <cell r="J86">
            <v>0</v>
          </cell>
        </row>
        <row r="87">
          <cell r="E87">
            <v>10010113</v>
          </cell>
          <cell r="F87" t="str">
            <v>0067</v>
          </cell>
          <cell r="G87">
            <v>7</v>
          </cell>
          <cell r="H87">
            <v>16.98</v>
          </cell>
          <cell r="I87">
            <v>617.34869776800019</v>
          </cell>
          <cell r="J87">
            <v>0</v>
          </cell>
        </row>
        <row r="88">
          <cell r="E88">
            <v>10010113</v>
          </cell>
          <cell r="F88" t="str">
            <v>0068</v>
          </cell>
          <cell r="G88">
            <v>7</v>
          </cell>
          <cell r="H88">
            <v>17.650000000000002</v>
          </cell>
          <cell r="I88">
            <v>696.34335305700006</v>
          </cell>
          <cell r="J88">
            <v>0</v>
          </cell>
        </row>
        <row r="89">
          <cell r="E89">
            <v>10010113</v>
          </cell>
          <cell r="F89" t="str">
            <v>0069</v>
          </cell>
          <cell r="G89">
            <v>14</v>
          </cell>
          <cell r="H89">
            <v>25.139999999999997</v>
          </cell>
          <cell r="I89">
            <v>1549.1724860699001</v>
          </cell>
          <cell r="J89">
            <v>0</v>
          </cell>
        </row>
        <row r="90">
          <cell r="E90">
            <v>10010113</v>
          </cell>
          <cell r="F90" t="str">
            <v>0070</v>
          </cell>
          <cell r="G90">
            <v>7</v>
          </cell>
          <cell r="H90">
            <v>27.33</v>
          </cell>
          <cell r="I90">
            <v>1013.8280102280002</v>
          </cell>
          <cell r="J90">
            <v>0</v>
          </cell>
        </row>
        <row r="91">
          <cell r="E91">
            <v>10010113</v>
          </cell>
          <cell r="F91" t="str">
            <v>0071</v>
          </cell>
          <cell r="G91">
            <v>12</v>
          </cell>
          <cell r="H91">
            <v>21.910000000000004</v>
          </cell>
          <cell r="I91">
            <v>752.94877171140013</v>
          </cell>
          <cell r="J91">
            <v>0</v>
          </cell>
        </row>
        <row r="92">
          <cell r="E92">
            <v>10010113</v>
          </cell>
          <cell r="F92" t="str">
            <v>0072</v>
          </cell>
          <cell r="G92">
            <v>7</v>
          </cell>
          <cell r="H92">
            <v>41.72</v>
          </cell>
          <cell r="I92">
            <v>2693.8342672896006</v>
          </cell>
          <cell r="J92">
            <v>0</v>
          </cell>
        </row>
        <row r="93">
          <cell r="E93">
            <v>10010113</v>
          </cell>
          <cell r="F93" t="str">
            <v>0073</v>
          </cell>
          <cell r="G93">
            <v>2</v>
          </cell>
          <cell r="H93">
            <v>5.79</v>
          </cell>
          <cell r="I93">
            <v>184.40495540280003</v>
          </cell>
          <cell r="J93">
            <v>0</v>
          </cell>
        </row>
        <row r="94">
          <cell r="E94">
            <v>10010121</v>
          </cell>
          <cell r="F94" t="str">
            <v>0001</v>
          </cell>
          <cell r="G94">
            <v>14</v>
          </cell>
          <cell r="H94">
            <v>7.29</v>
          </cell>
          <cell r="I94">
            <v>277.20392277600007</v>
          </cell>
          <cell r="J94">
            <v>0</v>
          </cell>
        </row>
        <row r="95">
          <cell r="E95">
            <v>10010121</v>
          </cell>
          <cell r="F95" t="str">
            <v>0002</v>
          </cell>
          <cell r="G95">
            <v>14</v>
          </cell>
          <cell r="H95">
            <v>435.22</v>
          </cell>
          <cell r="I95">
            <v>16474.432164181202</v>
          </cell>
          <cell r="J95">
            <v>0</v>
          </cell>
        </row>
        <row r="96">
          <cell r="E96">
            <v>10010121</v>
          </cell>
          <cell r="F96" t="str">
            <v>0004</v>
          </cell>
          <cell r="G96">
            <v>14</v>
          </cell>
          <cell r="H96">
            <v>466.88</v>
          </cell>
          <cell r="I96">
            <v>17731.049695128</v>
          </cell>
          <cell r="J96">
            <v>0</v>
          </cell>
        </row>
        <row r="97">
          <cell r="E97">
            <v>10010121</v>
          </cell>
          <cell r="F97" t="str">
            <v>0006</v>
          </cell>
          <cell r="G97">
            <v>14</v>
          </cell>
          <cell r="H97">
            <v>143.06000000000003</v>
          </cell>
          <cell r="I97">
            <v>5129.4389636160013</v>
          </cell>
          <cell r="J97">
            <v>0</v>
          </cell>
        </row>
        <row r="98">
          <cell r="E98">
            <v>10010121</v>
          </cell>
          <cell r="F98" t="str">
            <v>0011</v>
          </cell>
          <cell r="G98">
            <v>14</v>
          </cell>
          <cell r="H98">
            <v>72.459999999999994</v>
          </cell>
          <cell r="I98">
            <v>2872.2561999120003</v>
          </cell>
          <cell r="J98">
            <v>0</v>
          </cell>
        </row>
        <row r="99">
          <cell r="E99">
            <v>10010121</v>
          </cell>
          <cell r="F99" t="str">
            <v>0013</v>
          </cell>
          <cell r="G99">
            <v>13</v>
          </cell>
          <cell r="H99">
            <v>85.330000000000013</v>
          </cell>
          <cell r="I99">
            <v>3067.0059340998</v>
          </cell>
          <cell r="J99">
            <v>0</v>
          </cell>
        </row>
        <row r="100">
          <cell r="E100">
            <v>10010121</v>
          </cell>
          <cell r="F100" t="str">
            <v>0014</v>
          </cell>
          <cell r="G100">
            <v>14</v>
          </cell>
          <cell r="H100">
            <v>54.550000000000004</v>
          </cell>
          <cell r="I100">
            <v>2287.9350323478002</v>
          </cell>
          <cell r="J100">
            <v>0</v>
          </cell>
        </row>
        <row r="101">
          <cell r="E101">
            <v>10010121</v>
          </cell>
          <cell r="F101" t="str">
            <v>0015</v>
          </cell>
          <cell r="G101">
            <v>13</v>
          </cell>
          <cell r="H101">
            <v>78.320000000000007</v>
          </cell>
          <cell r="I101">
            <v>4011.7546295584002</v>
          </cell>
          <cell r="J101">
            <v>0</v>
          </cell>
        </row>
        <row r="102">
          <cell r="E102">
            <v>10010121</v>
          </cell>
          <cell r="F102" t="str">
            <v>0017</v>
          </cell>
          <cell r="G102">
            <v>14</v>
          </cell>
          <cell r="H102">
            <v>33.03</v>
          </cell>
          <cell r="I102">
            <v>1349.8946142066</v>
          </cell>
          <cell r="J102">
            <v>0</v>
          </cell>
        </row>
        <row r="103">
          <cell r="E103">
            <v>10010121</v>
          </cell>
          <cell r="F103" t="str">
            <v>0018</v>
          </cell>
          <cell r="G103">
            <v>13</v>
          </cell>
          <cell r="H103">
            <v>99.48</v>
          </cell>
          <cell r="I103">
            <v>4429.166076273299</v>
          </cell>
          <cell r="J103">
            <v>0</v>
          </cell>
        </row>
        <row r="104">
          <cell r="E104">
            <v>10010121</v>
          </cell>
          <cell r="F104" t="str">
            <v>0019</v>
          </cell>
          <cell r="G104">
            <v>14</v>
          </cell>
          <cell r="H104">
            <v>84.71</v>
          </cell>
          <cell r="I104">
            <v>2874.1515943733993</v>
          </cell>
          <cell r="J104">
            <v>0</v>
          </cell>
        </row>
        <row r="105">
          <cell r="E105">
            <v>10010121</v>
          </cell>
          <cell r="F105" t="str">
            <v>0020</v>
          </cell>
          <cell r="G105">
            <v>11</v>
          </cell>
          <cell r="H105">
            <v>21.299999999999997</v>
          </cell>
          <cell r="I105">
            <v>746.89183635660004</v>
          </cell>
          <cell r="J105">
            <v>0</v>
          </cell>
        </row>
        <row r="106">
          <cell r="E106">
            <v>10010121</v>
          </cell>
          <cell r="F106" t="str">
            <v>0021</v>
          </cell>
          <cell r="G106">
            <v>14</v>
          </cell>
          <cell r="H106">
            <v>47.410000000000011</v>
          </cell>
          <cell r="I106">
            <v>1738.4238151434004</v>
          </cell>
          <cell r="J106">
            <v>0</v>
          </cell>
        </row>
        <row r="107">
          <cell r="E107">
            <v>10010128</v>
          </cell>
          <cell r="F107" t="str">
            <v>0001</v>
          </cell>
          <cell r="G107">
            <v>10</v>
          </cell>
          <cell r="H107">
            <v>11.510000000000002</v>
          </cell>
          <cell r="I107">
            <v>467.62948928520007</v>
          </cell>
          <cell r="J107">
            <v>0</v>
          </cell>
        </row>
        <row r="108">
          <cell r="E108">
            <v>10010128</v>
          </cell>
          <cell r="F108" t="str">
            <v>0002</v>
          </cell>
          <cell r="G108">
            <v>14</v>
          </cell>
          <cell r="H108">
            <v>423.44</v>
          </cell>
          <cell r="I108">
            <v>24603.482345163698</v>
          </cell>
          <cell r="J108">
            <v>0</v>
          </cell>
        </row>
        <row r="109">
          <cell r="E109">
            <v>10010128</v>
          </cell>
          <cell r="F109" t="str">
            <v>0014</v>
          </cell>
          <cell r="G109">
            <v>13</v>
          </cell>
          <cell r="H109">
            <v>398.42</v>
          </cell>
          <cell r="I109">
            <v>17035.878530300903</v>
          </cell>
          <cell r="J109">
            <v>0</v>
          </cell>
        </row>
        <row r="110">
          <cell r="E110">
            <v>10010128</v>
          </cell>
          <cell r="F110" t="str">
            <v>0015</v>
          </cell>
          <cell r="G110">
            <v>13</v>
          </cell>
          <cell r="H110">
            <v>418.77</v>
          </cell>
          <cell r="I110">
            <v>16265.333973553201</v>
          </cell>
          <cell r="J110">
            <v>0</v>
          </cell>
        </row>
        <row r="111">
          <cell r="E111">
            <v>10010128</v>
          </cell>
          <cell r="F111" t="str">
            <v>0016</v>
          </cell>
          <cell r="G111">
            <v>11</v>
          </cell>
          <cell r="H111">
            <v>356.49999999999994</v>
          </cell>
          <cell r="I111">
            <v>15070.244485462501</v>
          </cell>
          <cell r="J111">
            <v>0</v>
          </cell>
        </row>
        <row r="112">
          <cell r="E112">
            <v>10010128</v>
          </cell>
          <cell r="F112" t="str">
            <v>0018</v>
          </cell>
          <cell r="G112">
            <v>11</v>
          </cell>
          <cell r="H112">
            <v>252.99</v>
          </cell>
          <cell r="I112">
            <v>9678.5770027517992</v>
          </cell>
          <cell r="J112">
            <v>0</v>
          </cell>
        </row>
        <row r="113">
          <cell r="E113">
            <v>10010134</v>
          </cell>
          <cell r="F113" t="str">
            <v>0002</v>
          </cell>
          <cell r="G113">
            <v>2</v>
          </cell>
          <cell r="H113">
            <v>21.27</v>
          </cell>
          <cell r="I113">
            <v>808.20053424000002</v>
          </cell>
          <cell r="J113">
            <v>0</v>
          </cell>
        </row>
        <row r="114">
          <cell r="E114">
            <v>10010134</v>
          </cell>
          <cell r="F114" t="str">
            <v>0003</v>
          </cell>
          <cell r="G114">
            <v>2</v>
          </cell>
          <cell r="H114">
            <v>6.1</v>
          </cell>
          <cell r="I114">
            <v>231.61370760000003</v>
          </cell>
          <cell r="J114">
            <v>0</v>
          </cell>
        </row>
        <row r="115">
          <cell r="E115">
            <v>10010134</v>
          </cell>
          <cell r="F115" t="str">
            <v>0008</v>
          </cell>
          <cell r="G115">
            <v>1</v>
          </cell>
          <cell r="H115">
            <v>2.2000000000000002</v>
          </cell>
          <cell r="I115">
            <v>86.831981280000022</v>
          </cell>
          <cell r="J115">
            <v>0</v>
          </cell>
        </row>
        <row r="116">
          <cell r="E116">
            <v>10010134</v>
          </cell>
          <cell r="F116" t="str">
            <v>0014</v>
          </cell>
          <cell r="G116">
            <v>3</v>
          </cell>
          <cell r="H116">
            <v>8.01</v>
          </cell>
          <cell r="I116">
            <v>286.71137811360001</v>
          </cell>
          <cell r="J116">
            <v>0</v>
          </cell>
        </row>
        <row r="117">
          <cell r="E117">
            <v>10010140</v>
          </cell>
          <cell r="F117" t="str">
            <v>0002</v>
          </cell>
          <cell r="G117">
            <v>10</v>
          </cell>
          <cell r="H117">
            <v>36.470000000000006</v>
          </cell>
          <cell r="I117">
            <v>1565.66731001316</v>
          </cell>
          <cell r="J117">
            <v>0</v>
          </cell>
        </row>
        <row r="118">
          <cell r="E118">
            <v>10010140</v>
          </cell>
          <cell r="F118" t="str">
            <v>0003</v>
          </cell>
          <cell r="G118">
            <v>10</v>
          </cell>
          <cell r="H118">
            <v>56.739999999999995</v>
          </cell>
          <cell r="I118">
            <v>2315.8664473490003</v>
          </cell>
          <cell r="J118">
            <v>0</v>
          </cell>
        </row>
        <row r="119">
          <cell r="E119">
            <v>10010140</v>
          </cell>
          <cell r="F119" t="str">
            <v>0004</v>
          </cell>
          <cell r="G119">
            <v>10</v>
          </cell>
          <cell r="H119">
            <v>18.659999999999997</v>
          </cell>
          <cell r="I119">
            <v>800.11785942000017</v>
          </cell>
          <cell r="J119">
            <v>0</v>
          </cell>
        </row>
        <row r="120">
          <cell r="E120">
            <v>10010140</v>
          </cell>
          <cell r="F120" t="str">
            <v>0005</v>
          </cell>
          <cell r="G120">
            <v>10</v>
          </cell>
          <cell r="H120">
            <v>43.41</v>
          </cell>
          <cell r="I120">
            <v>1750.4015871982501</v>
          </cell>
          <cell r="J120">
            <v>0</v>
          </cell>
        </row>
        <row r="121">
          <cell r="E121">
            <v>10010140</v>
          </cell>
          <cell r="F121" t="str">
            <v>0006</v>
          </cell>
          <cell r="G121">
            <v>8</v>
          </cell>
          <cell r="H121">
            <v>18.630000000000003</v>
          </cell>
          <cell r="I121">
            <v>798.79968841530012</v>
          </cell>
          <cell r="J121">
            <v>0</v>
          </cell>
        </row>
        <row r="122">
          <cell r="E122">
            <v>10010140</v>
          </cell>
          <cell r="F122" t="str">
            <v>0007</v>
          </cell>
          <cell r="G122">
            <v>13</v>
          </cell>
          <cell r="H122">
            <v>187.83</v>
          </cell>
          <cell r="I122">
            <v>7260.6998457846003</v>
          </cell>
          <cell r="J122">
            <v>0</v>
          </cell>
        </row>
        <row r="123">
          <cell r="E123">
            <v>10010140</v>
          </cell>
          <cell r="F123" t="str">
            <v>0010</v>
          </cell>
          <cell r="G123">
            <v>6</v>
          </cell>
          <cell r="H123">
            <v>33.03</v>
          </cell>
          <cell r="I123">
            <v>1132.4049394680003</v>
          </cell>
          <cell r="J123">
            <v>0</v>
          </cell>
        </row>
        <row r="124">
          <cell r="E124">
            <v>10010141</v>
          </cell>
          <cell r="F124" t="str">
            <v>0002</v>
          </cell>
          <cell r="G124">
            <v>13</v>
          </cell>
          <cell r="H124">
            <v>49.690000000000012</v>
          </cell>
          <cell r="I124">
            <v>1844.6097100448164</v>
          </cell>
          <cell r="J124">
            <v>0</v>
          </cell>
        </row>
        <row r="125">
          <cell r="E125">
            <v>10010141</v>
          </cell>
          <cell r="F125" t="str">
            <v>0003</v>
          </cell>
          <cell r="G125">
            <v>8</v>
          </cell>
          <cell r="H125">
            <v>23.779999999999994</v>
          </cell>
          <cell r="I125">
            <v>896.61970201320003</v>
          </cell>
          <cell r="J125">
            <v>0</v>
          </cell>
        </row>
        <row r="126">
          <cell r="E126">
            <v>10010141</v>
          </cell>
          <cell r="F126" t="str">
            <v>0004</v>
          </cell>
          <cell r="G126">
            <v>9</v>
          </cell>
          <cell r="H126">
            <v>25.119999999999997</v>
          </cell>
          <cell r="I126">
            <v>943.30113878880002</v>
          </cell>
          <cell r="J126">
            <v>0</v>
          </cell>
        </row>
        <row r="127">
          <cell r="E127">
            <v>10010141</v>
          </cell>
          <cell r="F127" t="str">
            <v>0005</v>
          </cell>
          <cell r="G127">
            <v>13</v>
          </cell>
          <cell r="H127">
            <v>39.530000000000008</v>
          </cell>
          <cell r="I127">
            <v>1486.8849151332001</v>
          </cell>
          <cell r="J127">
            <v>0</v>
          </cell>
        </row>
        <row r="128">
          <cell r="E128">
            <v>10010141</v>
          </cell>
          <cell r="F128" t="str">
            <v>0006</v>
          </cell>
          <cell r="G128">
            <v>12</v>
          </cell>
          <cell r="H128">
            <v>25.13</v>
          </cell>
          <cell r="I128">
            <v>922.75765694640006</v>
          </cell>
          <cell r="J128">
            <v>0</v>
          </cell>
        </row>
        <row r="129">
          <cell r="E129">
            <v>10010141</v>
          </cell>
          <cell r="F129" t="str">
            <v>0007</v>
          </cell>
          <cell r="G129">
            <v>11</v>
          </cell>
          <cell r="H129">
            <v>18.189999999999998</v>
          </cell>
          <cell r="I129">
            <v>728.25466032000008</v>
          </cell>
          <cell r="J129">
            <v>0</v>
          </cell>
        </row>
        <row r="130">
          <cell r="E130">
            <v>10010141</v>
          </cell>
          <cell r="F130" t="str">
            <v>0008</v>
          </cell>
          <cell r="G130">
            <v>8</v>
          </cell>
          <cell r="H130">
            <v>22.339999999999996</v>
          </cell>
          <cell r="I130">
            <v>823.42493560800006</v>
          </cell>
          <cell r="J130">
            <v>0</v>
          </cell>
        </row>
        <row r="131">
          <cell r="E131">
            <v>10010141</v>
          </cell>
          <cell r="F131" t="str">
            <v>0009</v>
          </cell>
          <cell r="G131">
            <v>6</v>
          </cell>
          <cell r="H131">
            <v>17.759999999999998</v>
          </cell>
          <cell r="I131">
            <v>705.02250224339991</v>
          </cell>
          <cell r="J131">
            <v>0</v>
          </cell>
        </row>
        <row r="132">
          <cell r="E132">
            <v>10010141</v>
          </cell>
          <cell r="F132" t="str">
            <v>0011</v>
          </cell>
          <cell r="G132">
            <v>10</v>
          </cell>
          <cell r="H132">
            <v>21.279999999999998</v>
          </cell>
          <cell r="I132">
            <v>847.26455615999998</v>
          </cell>
          <cell r="J132">
            <v>0</v>
          </cell>
        </row>
        <row r="133">
          <cell r="E133">
            <v>10010141</v>
          </cell>
          <cell r="F133" t="str">
            <v>0012</v>
          </cell>
          <cell r="G133">
            <v>8</v>
          </cell>
          <cell r="H133">
            <v>11.020000000000001</v>
          </cell>
          <cell r="I133">
            <v>453.50724541320005</v>
          </cell>
          <cell r="J133">
            <v>0</v>
          </cell>
        </row>
        <row r="134">
          <cell r="E134">
            <v>10010141</v>
          </cell>
          <cell r="F134" t="str">
            <v>0014</v>
          </cell>
          <cell r="G134">
            <v>14</v>
          </cell>
          <cell r="H134">
            <v>46.370000000000005</v>
          </cell>
          <cell r="I134">
            <v>1670.0960211408001</v>
          </cell>
          <cell r="J134">
            <v>0</v>
          </cell>
        </row>
        <row r="135">
          <cell r="E135">
            <v>10010141</v>
          </cell>
          <cell r="F135" t="str">
            <v>0016</v>
          </cell>
          <cell r="G135">
            <v>4</v>
          </cell>
          <cell r="H135">
            <v>9.15</v>
          </cell>
          <cell r="I135">
            <v>363.519480456</v>
          </cell>
          <cell r="J135">
            <v>0</v>
          </cell>
        </row>
        <row r="136">
          <cell r="E136">
            <v>10020002</v>
          </cell>
          <cell r="F136" t="str">
            <v>0001</v>
          </cell>
          <cell r="G136">
            <v>10</v>
          </cell>
          <cell r="H136">
            <v>22.3</v>
          </cell>
          <cell r="I136">
            <v>1036.302611461</v>
          </cell>
          <cell r="J136">
            <v>0</v>
          </cell>
        </row>
        <row r="137">
          <cell r="E137">
            <v>10020002</v>
          </cell>
          <cell r="F137" t="str">
            <v>0002</v>
          </cell>
          <cell r="G137">
            <v>12</v>
          </cell>
          <cell r="H137">
            <v>460.9</v>
          </cell>
          <cell r="I137">
            <v>18122.699584440004</v>
          </cell>
          <cell r="J137">
            <v>3569.5</v>
          </cell>
        </row>
        <row r="138">
          <cell r="E138">
            <v>10020002</v>
          </cell>
          <cell r="F138" t="str">
            <v>0003</v>
          </cell>
          <cell r="G138">
            <v>11</v>
          </cell>
          <cell r="H138">
            <v>40.6</v>
          </cell>
          <cell r="I138">
            <v>1531.5086556000003</v>
          </cell>
          <cell r="J138">
            <v>0</v>
          </cell>
        </row>
        <row r="139">
          <cell r="E139">
            <v>10020002</v>
          </cell>
          <cell r="F139" t="str">
            <v>0011</v>
          </cell>
          <cell r="G139">
            <v>10</v>
          </cell>
          <cell r="H139">
            <v>391.3</v>
          </cell>
          <cell r="I139">
            <v>15248.572273440002</v>
          </cell>
          <cell r="J139">
            <v>0</v>
          </cell>
        </row>
        <row r="140">
          <cell r="E140">
            <v>10020002</v>
          </cell>
          <cell r="F140" t="str">
            <v>0015</v>
          </cell>
          <cell r="G140">
            <v>8</v>
          </cell>
          <cell r="H140">
            <v>156.80000000000001</v>
          </cell>
          <cell r="I140">
            <v>6106.2035126400006</v>
          </cell>
          <cell r="J140">
            <v>0</v>
          </cell>
        </row>
        <row r="141">
          <cell r="E141">
            <v>10020002</v>
          </cell>
          <cell r="F141" t="str">
            <v>0023</v>
          </cell>
          <cell r="G141">
            <v>14</v>
          </cell>
          <cell r="H141">
            <v>30</v>
          </cell>
          <cell r="I141">
            <v>1578.5832269430005</v>
          </cell>
          <cell r="J141">
            <v>0</v>
          </cell>
        </row>
        <row r="142">
          <cell r="E142">
            <v>10020002</v>
          </cell>
          <cell r="F142" t="str">
            <v>0046</v>
          </cell>
          <cell r="G142">
            <v>14</v>
          </cell>
          <cell r="H142">
            <v>114.40000000000002</v>
          </cell>
          <cell r="I142">
            <v>7934.3140755149998</v>
          </cell>
          <cell r="J142">
            <v>0</v>
          </cell>
        </row>
        <row r="143">
          <cell r="E143">
            <v>10020002</v>
          </cell>
          <cell r="F143" t="str">
            <v>0050</v>
          </cell>
          <cell r="G143">
            <v>10</v>
          </cell>
          <cell r="H143">
            <v>20.7</v>
          </cell>
          <cell r="I143">
            <v>1363.8951465820001</v>
          </cell>
          <cell r="J143">
            <v>0</v>
          </cell>
        </row>
        <row r="144">
          <cell r="E144">
            <v>10020002</v>
          </cell>
          <cell r="F144" t="str">
            <v>0056</v>
          </cell>
          <cell r="G144">
            <v>14</v>
          </cell>
          <cell r="H144">
            <v>127.89999999999998</v>
          </cell>
          <cell r="I144">
            <v>7588.9768030850009</v>
          </cell>
          <cell r="J144">
            <v>0</v>
          </cell>
        </row>
        <row r="145">
          <cell r="E145">
            <v>10020002</v>
          </cell>
          <cell r="F145" t="str">
            <v>0070</v>
          </cell>
          <cell r="G145">
            <v>7</v>
          </cell>
          <cell r="H145">
            <v>10.1</v>
          </cell>
          <cell r="I145">
            <v>725.34250546099997</v>
          </cell>
          <cell r="J145">
            <v>0</v>
          </cell>
        </row>
        <row r="146">
          <cell r="E146">
            <v>10020002</v>
          </cell>
          <cell r="F146" t="str">
            <v>0076</v>
          </cell>
          <cell r="G146">
            <v>10</v>
          </cell>
          <cell r="H146">
            <v>642.00000000000011</v>
          </cell>
          <cell r="I146">
            <v>30688.264501701</v>
          </cell>
          <cell r="J146">
            <v>0</v>
          </cell>
        </row>
        <row r="147">
          <cell r="E147">
            <v>10020002</v>
          </cell>
          <cell r="F147" t="str">
            <v>0077</v>
          </cell>
          <cell r="G147">
            <v>11</v>
          </cell>
          <cell r="H147">
            <v>533.40000000000009</v>
          </cell>
          <cell r="I147">
            <v>24466.808115446005</v>
          </cell>
          <cell r="J147">
            <v>0</v>
          </cell>
        </row>
        <row r="148">
          <cell r="E148">
            <v>10020002</v>
          </cell>
          <cell r="F148" t="str">
            <v>0079</v>
          </cell>
          <cell r="G148">
            <v>7</v>
          </cell>
          <cell r="H148">
            <v>17.2</v>
          </cell>
          <cell r="I148">
            <v>1017.608180184</v>
          </cell>
          <cell r="J148">
            <v>0</v>
          </cell>
        </row>
        <row r="149">
          <cell r="E149">
            <v>10020004</v>
          </cell>
          <cell r="F149" t="str">
            <v>0003</v>
          </cell>
          <cell r="G149">
            <v>14</v>
          </cell>
          <cell r="H149">
            <v>465</v>
          </cell>
          <cell r="I149">
            <v>17649.163976400003</v>
          </cell>
          <cell r="J149">
            <v>0</v>
          </cell>
        </row>
        <row r="150">
          <cell r="E150">
            <v>10020010</v>
          </cell>
          <cell r="F150" t="str">
            <v>0001</v>
          </cell>
          <cell r="G150">
            <v>11</v>
          </cell>
          <cell r="H150">
            <v>1.6000000000000003</v>
          </cell>
          <cell r="I150">
            <v>61.371124452000011</v>
          </cell>
          <cell r="J150">
            <v>0</v>
          </cell>
        </row>
        <row r="151">
          <cell r="E151">
            <v>10020010</v>
          </cell>
          <cell r="F151" t="str">
            <v>0002</v>
          </cell>
          <cell r="G151">
            <v>11</v>
          </cell>
          <cell r="H151">
            <v>175.6</v>
          </cell>
          <cell r="I151">
            <v>6813.5713275960006</v>
          </cell>
          <cell r="J151">
            <v>0</v>
          </cell>
        </row>
        <row r="152">
          <cell r="E152">
            <v>10020010</v>
          </cell>
          <cell r="F152" t="str">
            <v>0004</v>
          </cell>
          <cell r="G152">
            <v>12</v>
          </cell>
          <cell r="H152">
            <v>172.39999999999998</v>
          </cell>
          <cell r="I152">
            <v>6574.3836447960002</v>
          </cell>
          <cell r="J152">
            <v>0</v>
          </cell>
        </row>
        <row r="153">
          <cell r="E153">
            <v>10020010</v>
          </cell>
          <cell r="F153" t="str">
            <v>0029</v>
          </cell>
          <cell r="G153">
            <v>14</v>
          </cell>
          <cell r="H153">
            <v>231.39999999999998</v>
          </cell>
          <cell r="I153">
            <v>9005.8867711559997</v>
          </cell>
          <cell r="J153">
            <v>0</v>
          </cell>
        </row>
        <row r="154">
          <cell r="E154">
            <v>10020017</v>
          </cell>
          <cell r="F154" t="str">
            <v>0001</v>
          </cell>
          <cell r="G154">
            <v>12</v>
          </cell>
          <cell r="H154">
            <v>35.5</v>
          </cell>
          <cell r="I154">
            <v>1548.3994020000005</v>
          </cell>
          <cell r="J154">
            <v>0</v>
          </cell>
        </row>
        <row r="155">
          <cell r="E155">
            <v>10020017</v>
          </cell>
          <cell r="F155" t="str">
            <v>0002</v>
          </cell>
          <cell r="G155">
            <v>12</v>
          </cell>
          <cell r="H155">
            <v>196.8</v>
          </cell>
          <cell r="I155">
            <v>7791.0998497200017</v>
          </cell>
          <cell r="J155">
            <v>0</v>
          </cell>
        </row>
        <row r="156">
          <cell r="E156">
            <v>10020017</v>
          </cell>
          <cell r="F156" t="str">
            <v>0006</v>
          </cell>
          <cell r="G156">
            <v>12</v>
          </cell>
          <cell r="H156">
            <v>65.400000000000006</v>
          </cell>
          <cell r="I156">
            <v>2425.8875889600004</v>
          </cell>
          <cell r="J156">
            <v>0</v>
          </cell>
        </row>
        <row r="157">
          <cell r="E157">
            <v>10020017</v>
          </cell>
          <cell r="F157" t="str">
            <v>0008</v>
          </cell>
          <cell r="G157">
            <v>13</v>
          </cell>
          <cell r="H157">
            <v>147.69999999999999</v>
          </cell>
          <cell r="I157">
            <v>5478.648270480001</v>
          </cell>
          <cell r="J157">
            <v>0</v>
          </cell>
        </row>
        <row r="158">
          <cell r="E158">
            <v>10020017</v>
          </cell>
          <cell r="F158" t="str">
            <v>0009</v>
          </cell>
          <cell r="G158">
            <v>12</v>
          </cell>
          <cell r="H158">
            <v>68.800000000000011</v>
          </cell>
          <cell r="I158">
            <v>4623.4338366543998</v>
          </cell>
          <cell r="J158">
            <v>0</v>
          </cell>
        </row>
        <row r="159">
          <cell r="E159">
            <v>10020017</v>
          </cell>
          <cell r="F159" t="str">
            <v>0017</v>
          </cell>
          <cell r="G159">
            <v>5</v>
          </cell>
          <cell r="H159">
            <v>27</v>
          </cell>
          <cell r="I159">
            <v>1001.5132248</v>
          </cell>
          <cell r="J159">
            <v>0</v>
          </cell>
        </row>
        <row r="160">
          <cell r="E160">
            <v>10020017</v>
          </cell>
          <cell r="F160" t="str">
            <v>0018</v>
          </cell>
          <cell r="G160">
            <v>12</v>
          </cell>
          <cell r="H160">
            <v>134.30000000000001</v>
          </cell>
          <cell r="I160">
            <v>5325.7773056400001</v>
          </cell>
          <cell r="J160">
            <v>0</v>
          </cell>
        </row>
        <row r="161">
          <cell r="E161">
            <v>10020017</v>
          </cell>
          <cell r="F161" t="str">
            <v>0020</v>
          </cell>
          <cell r="G161">
            <v>11</v>
          </cell>
          <cell r="H161">
            <v>17.799999999999997</v>
          </cell>
          <cell r="I161">
            <v>1069.8658936951001</v>
          </cell>
          <cell r="J161">
            <v>0</v>
          </cell>
        </row>
        <row r="162">
          <cell r="E162">
            <v>10020017</v>
          </cell>
          <cell r="F162" t="str">
            <v>0021</v>
          </cell>
          <cell r="G162">
            <v>12</v>
          </cell>
          <cell r="H162">
            <v>42.500000000000007</v>
          </cell>
          <cell r="I162">
            <v>1577.4063069599999</v>
          </cell>
          <cell r="J162">
            <v>0</v>
          </cell>
        </row>
        <row r="163">
          <cell r="E163">
            <v>10020017</v>
          </cell>
          <cell r="F163" t="str">
            <v>0024</v>
          </cell>
          <cell r="G163">
            <v>10</v>
          </cell>
          <cell r="H163">
            <v>35.099999999999994</v>
          </cell>
          <cell r="I163">
            <v>2349.6262401859999</v>
          </cell>
          <cell r="J163">
            <v>0</v>
          </cell>
        </row>
        <row r="164">
          <cell r="E164">
            <v>10020017</v>
          </cell>
          <cell r="F164" t="str">
            <v>0029</v>
          </cell>
          <cell r="G164">
            <v>10</v>
          </cell>
          <cell r="H164">
            <v>48.900000000000006</v>
          </cell>
          <cell r="I164">
            <v>1813.85172936</v>
          </cell>
          <cell r="J164">
            <v>0</v>
          </cell>
        </row>
        <row r="165">
          <cell r="E165">
            <v>10020017</v>
          </cell>
          <cell r="F165" t="str">
            <v>0030</v>
          </cell>
          <cell r="G165">
            <v>1</v>
          </cell>
          <cell r="H165">
            <v>10</v>
          </cell>
          <cell r="I165">
            <v>535.53853302000005</v>
          </cell>
          <cell r="J165">
            <v>0</v>
          </cell>
        </row>
        <row r="166">
          <cell r="E166">
            <v>10020017</v>
          </cell>
          <cell r="F166" t="str">
            <v>0035</v>
          </cell>
          <cell r="G166">
            <v>12</v>
          </cell>
          <cell r="H166">
            <v>155.70000000000002</v>
          </cell>
          <cell r="I166">
            <v>6086.0116389600016</v>
          </cell>
          <cell r="J166">
            <v>0</v>
          </cell>
        </row>
        <row r="167">
          <cell r="E167">
            <v>10020017</v>
          </cell>
          <cell r="F167" t="str">
            <v>0048</v>
          </cell>
          <cell r="G167">
            <v>11</v>
          </cell>
          <cell r="H167">
            <v>106.3</v>
          </cell>
          <cell r="I167">
            <v>5703.2113959856997</v>
          </cell>
          <cell r="J167">
            <v>0</v>
          </cell>
        </row>
        <row r="168">
          <cell r="E168">
            <v>10020017</v>
          </cell>
          <cell r="F168" t="str">
            <v>0050</v>
          </cell>
          <cell r="G168">
            <v>12</v>
          </cell>
          <cell r="H168">
            <v>82.2</v>
          </cell>
          <cell r="I168">
            <v>4319.9983682656002</v>
          </cell>
          <cell r="J168">
            <v>0</v>
          </cell>
        </row>
        <row r="169">
          <cell r="E169">
            <v>10020017</v>
          </cell>
          <cell r="F169" t="str">
            <v>0054</v>
          </cell>
          <cell r="G169">
            <v>13</v>
          </cell>
          <cell r="H169">
            <v>58.6</v>
          </cell>
          <cell r="I169">
            <v>2230.9033863600007</v>
          </cell>
          <cell r="J169">
            <v>0</v>
          </cell>
        </row>
        <row r="170">
          <cell r="E170">
            <v>10020017</v>
          </cell>
          <cell r="F170" t="str">
            <v>0064</v>
          </cell>
          <cell r="G170">
            <v>2</v>
          </cell>
          <cell r="H170">
            <v>4.3000000000000007</v>
          </cell>
          <cell r="I170">
            <v>183.86751240000001</v>
          </cell>
          <cell r="J170">
            <v>0</v>
          </cell>
        </row>
        <row r="171">
          <cell r="E171">
            <v>10020017</v>
          </cell>
          <cell r="F171" t="str">
            <v>0065</v>
          </cell>
          <cell r="G171">
            <v>12</v>
          </cell>
          <cell r="H171">
            <v>77.099999999999994</v>
          </cell>
          <cell r="I171">
            <v>4241.2445071334005</v>
          </cell>
          <cell r="J171">
            <v>0</v>
          </cell>
        </row>
        <row r="172">
          <cell r="E172">
            <v>10020017</v>
          </cell>
          <cell r="F172" t="str">
            <v>0066</v>
          </cell>
          <cell r="G172">
            <v>11</v>
          </cell>
          <cell r="H172">
            <v>57.8</v>
          </cell>
          <cell r="I172">
            <v>2145.6827924400004</v>
          </cell>
          <cell r="J172">
            <v>0</v>
          </cell>
        </row>
        <row r="173">
          <cell r="E173">
            <v>10020017</v>
          </cell>
          <cell r="F173" t="str">
            <v>0069</v>
          </cell>
          <cell r="G173">
            <v>10</v>
          </cell>
          <cell r="H173">
            <v>28.3</v>
          </cell>
          <cell r="I173">
            <v>1073.3882068799999</v>
          </cell>
          <cell r="J173">
            <v>0</v>
          </cell>
        </row>
        <row r="174">
          <cell r="E174">
            <v>10020017</v>
          </cell>
          <cell r="F174" t="str">
            <v>0076</v>
          </cell>
          <cell r="G174">
            <v>11</v>
          </cell>
          <cell r="H174">
            <v>63</v>
          </cell>
          <cell r="I174">
            <v>2336.8641911999998</v>
          </cell>
          <cell r="J174">
            <v>0</v>
          </cell>
        </row>
        <row r="175">
          <cell r="E175">
            <v>10020017</v>
          </cell>
          <cell r="F175" t="str">
            <v>0084</v>
          </cell>
          <cell r="G175">
            <v>10</v>
          </cell>
          <cell r="H175">
            <v>44.4</v>
          </cell>
          <cell r="I175">
            <v>1646.9328585600001</v>
          </cell>
          <cell r="J175">
            <v>0</v>
          </cell>
        </row>
        <row r="176">
          <cell r="E176">
            <v>10020017</v>
          </cell>
          <cell r="F176" t="str">
            <v>0085</v>
          </cell>
          <cell r="G176">
            <v>5</v>
          </cell>
          <cell r="H176">
            <v>8.6</v>
          </cell>
          <cell r="I176">
            <v>334.77428160000005</v>
          </cell>
          <cell r="J176">
            <v>0</v>
          </cell>
        </row>
        <row r="177">
          <cell r="E177">
            <v>10020017</v>
          </cell>
          <cell r="F177" t="str">
            <v>0088</v>
          </cell>
          <cell r="G177">
            <v>9</v>
          </cell>
          <cell r="H177">
            <v>38.5</v>
          </cell>
          <cell r="I177">
            <v>1497.6866440800002</v>
          </cell>
          <cell r="J177">
            <v>0</v>
          </cell>
        </row>
        <row r="178">
          <cell r="E178">
            <v>10020017</v>
          </cell>
          <cell r="F178" t="str">
            <v>0091</v>
          </cell>
          <cell r="G178">
            <v>12</v>
          </cell>
          <cell r="H178">
            <v>112.4</v>
          </cell>
          <cell r="I178">
            <v>4939.2866699121996</v>
          </cell>
          <cell r="J178">
            <v>0</v>
          </cell>
        </row>
        <row r="179">
          <cell r="E179">
            <v>10020017</v>
          </cell>
          <cell r="F179" t="str">
            <v>0092</v>
          </cell>
          <cell r="G179">
            <v>11</v>
          </cell>
          <cell r="H179">
            <v>46.3</v>
          </cell>
          <cell r="I179">
            <v>1717.4097151200001</v>
          </cell>
          <cell r="J179">
            <v>0</v>
          </cell>
        </row>
        <row r="180">
          <cell r="E180">
            <v>10020017</v>
          </cell>
          <cell r="F180" t="str">
            <v>0110</v>
          </cell>
          <cell r="G180">
            <v>4</v>
          </cell>
          <cell r="H180">
            <v>16.7</v>
          </cell>
          <cell r="I180">
            <v>637.60403520000011</v>
          </cell>
          <cell r="J180">
            <v>0</v>
          </cell>
        </row>
        <row r="181">
          <cell r="E181">
            <v>10020017</v>
          </cell>
          <cell r="F181" t="str">
            <v>0113</v>
          </cell>
          <cell r="G181">
            <v>12</v>
          </cell>
          <cell r="H181">
            <v>70.099999999999994</v>
          </cell>
          <cell r="I181">
            <v>2609.5310762400004</v>
          </cell>
          <cell r="J181">
            <v>0</v>
          </cell>
        </row>
        <row r="182">
          <cell r="E182">
            <v>10020017</v>
          </cell>
          <cell r="F182" t="str">
            <v>0115</v>
          </cell>
          <cell r="G182">
            <v>12</v>
          </cell>
          <cell r="H182">
            <v>197.3</v>
          </cell>
          <cell r="I182">
            <v>11709.662227882001</v>
          </cell>
          <cell r="J182">
            <v>0</v>
          </cell>
        </row>
        <row r="183">
          <cell r="E183">
            <v>10020017</v>
          </cell>
          <cell r="F183" t="str">
            <v>0116</v>
          </cell>
          <cell r="G183">
            <v>10</v>
          </cell>
          <cell r="H183">
            <v>62.6</v>
          </cell>
          <cell r="I183">
            <v>4126.4974307330003</v>
          </cell>
          <cell r="J183">
            <v>0</v>
          </cell>
        </row>
        <row r="184">
          <cell r="E184">
            <v>10020017</v>
          </cell>
          <cell r="F184" t="str">
            <v>0120</v>
          </cell>
          <cell r="G184">
            <v>12</v>
          </cell>
          <cell r="H184">
            <v>167.6</v>
          </cell>
          <cell r="I184">
            <v>6940.0343469600002</v>
          </cell>
          <cell r="J184">
            <v>0</v>
          </cell>
        </row>
        <row r="185">
          <cell r="E185">
            <v>10020017</v>
          </cell>
          <cell r="F185" t="str">
            <v>0122</v>
          </cell>
          <cell r="G185">
            <v>12</v>
          </cell>
          <cell r="H185">
            <v>2011.5000000000002</v>
          </cell>
          <cell r="I185">
            <v>54163.628368655009</v>
          </cell>
          <cell r="J185">
            <v>0</v>
          </cell>
        </row>
        <row r="186">
          <cell r="E186">
            <v>10020017</v>
          </cell>
          <cell r="F186" t="str">
            <v>0123</v>
          </cell>
          <cell r="G186">
            <v>4</v>
          </cell>
          <cell r="H186">
            <v>10.8</v>
          </cell>
          <cell r="I186">
            <v>459.14341750799997</v>
          </cell>
          <cell r="J186">
            <v>0</v>
          </cell>
        </row>
        <row r="187">
          <cell r="E187">
            <v>10020017</v>
          </cell>
          <cell r="F187" t="str">
            <v>0126</v>
          </cell>
          <cell r="G187">
            <v>12</v>
          </cell>
          <cell r="H187">
            <v>87.499999999999986</v>
          </cell>
          <cell r="I187">
            <v>4406.4538957609011</v>
          </cell>
          <cell r="J187">
            <v>0</v>
          </cell>
        </row>
        <row r="188">
          <cell r="E188">
            <v>10020017</v>
          </cell>
          <cell r="F188" t="str">
            <v>0142</v>
          </cell>
          <cell r="G188">
            <v>7</v>
          </cell>
          <cell r="H188">
            <v>34.700000000000003</v>
          </cell>
          <cell r="I188">
            <v>1338.4645124400001</v>
          </cell>
          <cell r="J188">
            <v>0</v>
          </cell>
        </row>
        <row r="189">
          <cell r="E189">
            <v>10020017</v>
          </cell>
          <cell r="F189" t="str">
            <v>0145</v>
          </cell>
          <cell r="G189">
            <v>11</v>
          </cell>
          <cell r="H189">
            <v>248.3</v>
          </cell>
          <cell r="I189">
            <v>9446.056139520002</v>
          </cell>
          <cell r="J189">
            <v>0</v>
          </cell>
        </row>
        <row r="190">
          <cell r="E190">
            <v>10020017</v>
          </cell>
          <cell r="F190" t="str">
            <v>0146</v>
          </cell>
          <cell r="G190">
            <v>11</v>
          </cell>
          <cell r="H190">
            <v>180.9</v>
          </cell>
          <cell r="I190">
            <v>7431.0459379200001</v>
          </cell>
          <cell r="J190">
            <v>0</v>
          </cell>
        </row>
        <row r="191">
          <cell r="E191">
            <v>10020017</v>
          </cell>
          <cell r="F191" t="str">
            <v>0155</v>
          </cell>
          <cell r="G191">
            <v>12</v>
          </cell>
          <cell r="H191">
            <v>83.399999999999991</v>
          </cell>
          <cell r="I191">
            <v>3307.6937005200007</v>
          </cell>
          <cell r="J191">
            <v>0</v>
          </cell>
        </row>
        <row r="192">
          <cell r="E192">
            <v>10020017</v>
          </cell>
          <cell r="F192" t="str">
            <v>0157</v>
          </cell>
          <cell r="G192">
            <v>12</v>
          </cell>
          <cell r="H192">
            <v>54.400000000000006</v>
          </cell>
          <cell r="I192">
            <v>2200.5282656415998</v>
          </cell>
          <cell r="J192">
            <v>0</v>
          </cell>
        </row>
        <row r="193">
          <cell r="E193">
            <v>10020017</v>
          </cell>
          <cell r="F193" t="str">
            <v>0159</v>
          </cell>
          <cell r="G193">
            <v>12</v>
          </cell>
          <cell r="H193">
            <v>24</v>
          </cell>
          <cell r="I193">
            <v>1421.4461867573002</v>
          </cell>
          <cell r="J193">
            <v>0</v>
          </cell>
        </row>
        <row r="194">
          <cell r="E194">
            <v>10020017</v>
          </cell>
          <cell r="F194" t="str">
            <v>0162</v>
          </cell>
          <cell r="G194">
            <v>8</v>
          </cell>
          <cell r="H194">
            <v>38.799999999999997</v>
          </cell>
          <cell r="I194">
            <v>1442.6961991200001</v>
          </cell>
          <cell r="J194">
            <v>0</v>
          </cell>
        </row>
        <row r="195">
          <cell r="E195">
            <v>10020017</v>
          </cell>
          <cell r="F195" t="str">
            <v>0165</v>
          </cell>
          <cell r="G195">
            <v>12</v>
          </cell>
          <cell r="H195">
            <v>43.699999999999996</v>
          </cell>
          <cell r="I195">
            <v>1673.6876006400005</v>
          </cell>
          <cell r="J195">
            <v>0</v>
          </cell>
        </row>
        <row r="196">
          <cell r="E196">
            <v>10020017</v>
          </cell>
          <cell r="F196" t="str">
            <v>0173</v>
          </cell>
          <cell r="G196">
            <v>12</v>
          </cell>
          <cell r="H196">
            <v>23.7</v>
          </cell>
          <cell r="I196">
            <v>1038.0742116176</v>
          </cell>
          <cell r="J196">
            <v>0</v>
          </cell>
        </row>
        <row r="197">
          <cell r="E197">
            <v>10020017</v>
          </cell>
          <cell r="F197" t="str">
            <v>0176</v>
          </cell>
          <cell r="G197">
            <v>6</v>
          </cell>
          <cell r="H197">
            <v>19</v>
          </cell>
          <cell r="I197">
            <v>848.17392264</v>
          </cell>
          <cell r="J197">
            <v>0</v>
          </cell>
        </row>
        <row r="198">
          <cell r="E198">
            <v>10020017</v>
          </cell>
          <cell r="F198" t="str">
            <v>0177</v>
          </cell>
          <cell r="G198">
            <v>12</v>
          </cell>
          <cell r="H198">
            <v>30.400000000000002</v>
          </cell>
          <cell r="I198">
            <v>1127.62970496</v>
          </cell>
          <cell r="J198">
            <v>0</v>
          </cell>
        </row>
        <row r="199">
          <cell r="E199">
            <v>10020017</v>
          </cell>
          <cell r="F199" t="str">
            <v>0178</v>
          </cell>
          <cell r="G199">
            <v>4</v>
          </cell>
          <cell r="H199">
            <v>16.600000000000001</v>
          </cell>
          <cell r="I199">
            <v>1072.8911892324002</v>
          </cell>
          <cell r="J199">
            <v>0</v>
          </cell>
        </row>
        <row r="200">
          <cell r="E200">
            <v>10020017</v>
          </cell>
          <cell r="F200" t="str">
            <v>0182</v>
          </cell>
          <cell r="G200">
            <v>13</v>
          </cell>
          <cell r="H200">
            <v>194.1</v>
          </cell>
          <cell r="I200">
            <v>7199.7672938400001</v>
          </cell>
          <cell r="J200">
            <v>0</v>
          </cell>
        </row>
        <row r="201">
          <cell r="E201">
            <v>10020017</v>
          </cell>
          <cell r="F201" t="str">
            <v>0190</v>
          </cell>
          <cell r="G201">
            <v>9</v>
          </cell>
          <cell r="H201">
            <v>30.7</v>
          </cell>
          <cell r="I201">
            <v>1669.7747737678001</v>
          </cell>
          <cell r="J201">
            <v>0</v>
          </cell>
        </row>
        <row r="202">
          <cell r="E202">
            <v>10020017</v>
          </cell>
          <cell r="F202" t="str">
            <v>0192</v>
          </cell>
          <cell r="G202">
            <v>11</v>
          </cell>
          <cell r="H202">
            <v>50.6</v>
          </cell>
          <cell r="I202">
            <v>2113.4811020400002</v>
          </cell>
          <cell r="J202">
            <v>0</v>
          </cell>
        </row>
        <row r="203">
          <cell r="E203">
            <v>10020017</v>
          </cell>
          <cell r="F203" t="str">
            <v>0200</v>
          </cell>
          <cell r="G203">
            <v>10</v>
          </cell>
          <cell r="H203">
            <v>48.3</v>
          </cell>
          <cell r="I203">
            <v>1813.6661043600002</v>
          </cell>
          <cell r="J203">
            <v>0</v>
          </cell>
        </row>
        <row r="204">
          <cell r="E204">
            <v>10020017</v>
          </cell>
          <cell r="F204" t="str">
            <v>0204</v>
          </cell>
          <cell r="G204">
            <v>11</v>
          </cell>
          <cell r="H204">
            <v>38.799999999999997</v>
          </cell>
          <cell r="I204">
            <v>1499.7469370400001</v>
          </cell>
          <cell r="J204">
            <v>0</v>
          </cell>
        </row>
        <row r="205">
          <cell r="E205">
            <v>10020017</v>
          </cell>
          <cell r="F205" t="str">
            <v>0206</v>
          </cell>
          <cell r="G205">
            <v>10</v>
          </cell>
          <cell r="H205">
            <v>99.2</v>
          </cell>
          <cell r="I205">
            <v>3790.9345953600005</v>
          </cell>
          <cell r="J205">
            <v>0</v>
          </cell>
        </row>
        <row r="206">
          <cell r="E206">
            <v>10020017</v>
          </cell>
          <cell r="F206" t="str">
            <v>0212</v>
          </cell>
          <cell r="G206">
            <v>10</v>
          </cell>
          <cell r="H206">
            <v>53.3</v>
          </cell>
          <cell r="I206">
            <v>2004.3582926400002</v>
          </cell>
          <cell r="J206">
            <v>0</v>
          </cell>
        </row>
        <row r="207">
          <cell r="E207">
            <v>10020017</v>
          </cell>
          <cell r="F207" t="str">
            <v>0215</v>
          </cell>
          <cell r="G207">
            <v>13</v>
          </cell>
          <cell r="H207">
            <v>91.3</v>
          </cell>
          <cell r="I207">
            <v>3386.5984231199996</v>
          </cell>
          <cell r="J207">
            <v>0</v>
          </cell>
        </row>
        <row r="208">
          <cell r="E208">
            <v>10020017</v>
          </cell>
          <cell r="F208" t="str">
            <v>0226</v>
          </cell>
          <cell r="G208">
            <v>12</v>
          </cell>
          <cell r="H208">
            <v>70.900000000000006</v>
          </cell>
          <cell r="I208">
            <v>4151.1867706911999</v>
          </cell>
          <cell r="J208">
            <v>0</v>
          </cell>
        </row>
        <row r="209">
          <cell r="E209">
            <v>10020017</v>
          </cell>
          <cell r="F209" t="str">
            <v>0228</v>
          </cell>
          <cell r="G209">
            <v>9</v>
          </cell>
          <cell r="H209">
            <v>23.2</v>
          </cell>
          <cell r="I209">
            <v>1023.1773368544001</v>
          </cell>
          <cell r="J209">
            <v>0</v>
          </cell>
        </row>
        <row r="210">
          <cell r="E210">
            <v>10020017</v>
          </cell>
          <cell r="F210" t="str">
            <v>0229</v>
          </cell>
          <cell r="G210">
            <v>6</v>
          </cell>
          <cell r="H210">
            <v>26.7</v>
          </cell>
          <cell r="I210">
            <v>1020.58682616</v>
          </cell>
          <cell r="J210">
            <v>0</v>
          </cell>
        </row>
        <row r="211">
          <cell r="E211">
            <v>10020017</v>
          </cell>
          <cell r="F211" t="str">
            <v>0230</v>
          </cell>
          <cell r="G211">
            <v>2</v>
          </cell>
          <cell r="H211">
            <v>3.1</v>
          </cell>
          <cell r="I211">
            <v>117.19291320000001</v>
          </cell>
          <cell r="J211">
            <v>0</v>
          </cell>
        </row>
        <row r="212">
          <cell r="E212">
            <v>10020017</v>
          </cell>
          <cell r="F212" t="str">
            <v>0231</v>
          </cell>
          <cell r="G212">
            <v>10</v>
          </cell>
          <cell r="H212">
            <v>40.5</v>
          </cell>
          <cell r="I212">
            <v>1502.2698372</v>
          </cell>
          <cell r="J212">
            <v>0</v>
          </cell>
        </row>
        <row r="213">
          <cell r="E213">
            <v>10020017</v>
          </cell>
          <cell r="F213" t="str">
            <v>0233</v>
          </cell>
          <cell r="G213">
            <v>5</v>
          </cell>
          <cell r="H213">
            <v>14.7</v>
          </cell>
          <cell r="I213">
            <v>565.08120503999999</v>
          </cell>
          <cell r="J213">
            <v>0</v>
          </cell>
        </row>
        <row r="214">
          <cell r="E214">
            <v>10020017</v>
          </cell>
          <cell r="F214" t="str">
            <v>0235</v>
          </cell>
          <cell r="G214">
            <v>12</v>
          </cell>
          <cell r="H214">
            <v>122.19999999999999</v>
          </cell>
          <cell r="I214">
            <v>4532.7746692800001</v>
          </cell>
          <cell r="J214">
            <v>0</v>
          </cell>
        </row>
        <row r="215">
          <cell r="E215">
            <v>10020017</v>
          </cell>
          <cell r="F215" t="str">
            <v>0240</v>
          </cell>
          <cell r="G215">
            <v>12</v>
          </cell>
          <cell r="H215">
            <v>90.299999999999983</v>
          </cell>
          <cell r="I215">
            <v>3492.7381486800004</v>
          </cell>
          <cell r="J215">
            <v>0</v>
          </cell>
        </row>
        <row r="216">
          <cell r="E216">
            <v>10020017</v>
          </cell>
          <cell r="F216" t="str">
            <v>0242</v>
          </cell>
          <cell r="G216">
            <v>12</v>
          </cell>
          <cell r="H216">
            <v>53.099999999999994</v>
          </cell>
          <cell r="I216">
            <v>2522.7198512263999</v>
          </cell>
          <cell r="J216">
            <v>0</v>
          </cell>
        </row>
        <row r="217">
          <cell r="E217">
            <v>10020017</v>
          </cell>
          <cell r="F217" t="str">
            <v>0244</v>
          </cell>
          <cell r="G217">
            <v>12</v>
          </cell>
          <cell r="H217">
            <v>51.999999999999993</v>
          </cell>
          <cell r="I217">
            <v>1962.1696881600003</v>
          </cell>
          <cell r="J217">
            <v>0</v>
          </cell>
        </row>
        <row r="218">
          <cell r="E218">
            <v>10020017</v>
          </cell>
          <cell r="F218" t="str">
            <v>0250</v>
          </cell>
          <cell r="G218">
            <v>6</v>
          </cell>
          <cell r="H218">
            <v>25.5</v>
          </cell>
          <cell r="I218">
            <v>958.50601308</v>
          </cell>
          <cell r="J218">
            <v>0</v>
          </cell>
        </row>
        <row r="219">
          <cell r="E219">
            <v>10020017</v>
          </cell>
          <cell r="F219" t="str">
            <v>0251</v>
          </cell>
          <cell r="G219">
            <v>12</v>
          </cell>
          <cell r="H219">
            <v>77.59999999999998</v>
          </cell>
          <cell r="I219">
            <v>2878.4231942400002</v>
          </cell>
          <cell r="J219">
            <v>0</v>
          </cell>
        </row>
        <row r="220">
          <cell r="E220">
            <v>10020017</v>
          </cell>
          <cell r="F220" t="str">
            <v>0260</v>
          </cell>
          <cell r="G220">
            <v>12</v>
          </cell>
          <cell r="H220">
            <v>87</v>
          </cell>
          <cell r="I220">
            <v>4095.3474147858005</v>
          </cell>
          <cell r="J220">
            <v>0</v>
          </cell>
        </row>
        <row r="221">
          <cell r="E221">
            <v>10020017</v>
          </cell>
          <cell r="F221" t="str">
            <v>0264</v>
          </cell>
          <cell r="G221">
            <v>12</v>
          </cell>
          <cell r="H221">
            <v>103.40000000000002</v>
          </cell>
          <cell r="I221">
            <v>5031.309078650801</v>
          </cell>
          <cell r="J221">
            <v>0</v>
          </cell>
        </row>
        <row r="222">
          <cell r="E222">
            <v>10020017</v>
          </cell>
          <cell r="F222" t="str">
            <v>0266</v>
          </cell>
          <cell r="G222">
            <v>9</v>
          </cell>
          <cell r="H222">
            <v>30.3</v>
          </cell>
          <cell r="I222">
            <v>1151.40236112</v>
          </cell>
          <cell r="J222">
            <v>0</v>
          </cell>
        </row>
        <row r="223">
          <cell r="E223">
            <v>10020021</v>
          </cell>
          <cell r="F223" t="str">
            <v>0001</v>
          </cell>
          <cell r="G223">
            <v>12</v>
          </cell>
          <cell r="H223">
            <v>44.500000000000007</v>
          </cell>
          <cell r="I223">
            <v>1903.4368689600001</v>
          </cell>
          <cell r="J223">
            <v>0</v>
          </cell>
        </row>
        <row r="224">
          <cell r="E224">
            <v>10020021</v>
          </cell>
          <cell r="F224" t="str">
            <v>0002</v>
          </cell>
          <cell r="G224">
            <v>14</v>
          </cell>
          <cell r="H224">
            <v>294.3</v>
          </cell>
          <cell r="I224">
            <v>12835.221076017298</v>
          </cell>
          <cell r="J224">
            <v>0</v>
          </cell>
        </row>
        <row r="225">
          <cell r="E225">
            <v>10020021</v>
          </cell>
          <cell r="F225" t="str">
            <v>0003</v>
          </cell>
          <cell r="G225">
            <v>13</v>
          </cell>
          <cell r="H225">
            <v>66.2</v>
          </cell>
          <cell r="I225">
            <v>2893.4495370000009</v>
          </cell>
          <cell r="J225">
            <v>0</v>
          </cell>
        </row>
        <row r="226">
          <cell r="E226">
            <v>10020021</v>
          </cell>
          <cell r="F226" t="str">
            <v>0011</v>
          </cell>
          <cell r="G226">
            <v>14</v>
          </cell>
          <cell r="H226">
            <v>324.89999999999998</v>
          </cell>
          <cell r="I226">
            <v>14099.204047371646</v>
          </cell>
          <cell r="J226">
            <v>0</v>
          </cell>
        </row>
        <row r="227">
          <cell r="E227">
            <v>10020021</v>
          </cell>
          <cell r="F227" t="str">
            <v>0016</v>
          </cell>
          <cell r="G227">
            <v>14</v>
          </cell>
          <cell r="H227">
            <v>141.30000000000001</v>
          </cell>
          <cell r="I227">
            <v>5758.7636700000003</v>
          </cell>
          <cell r="J227">
            <v>0</v>
          </cell>
        </row>
        <row r="228">
          <cell r="E228">
            <v>10020021</v>
          </cell>
          <cell r="F228" t="str">
            <v>0018</v>
          </cell>
          <cell r="G228">
            <v>13</v>
          </cell>
          <cell r="H228">
            <v>71.8</v>
          </cell>
          <cell r="I228">
            <v>3227.9414628648001</v>
          </cell>
          <cell r="J228">
            <v>0</v>
          </cell>
        </row>
        <row r="229">
          <cell r="E229">
            <v>10020021</v>
          </cell>
          <cell r="F229" t="str">
            <v>0019</v>
          </cell>
          <cell r="G229">
            <v>14</v>
          </cell>
          <cell r="H229">
            <v>444.20000000000005</v>
          </cell>
          <cell r="I229">
            <v>18839.435402368101</v>
          </cell>
          <cell r="J229">
            <v>0</v>
          </cell>
        </row>
        <row r="230">
          <cell r="E230">
            <v>10020021</v>
          </cell>
          <cell r="F230" t="str">
            <v>0022</v>
          </cell>
          <cell r="G230">
            <v>14</v>
          </cell>
          <cell r="H230">
            <v>369.50000000000006</v>
          </cell>
          <cell r="I230">
            <v>15603.3952218625</v>
          </cell>
          <cell r="J230">
            <v>0</v>
          </cell>
        </row>
        <row r="231">
          <cell r="E231">
            <v>10020021</v>
          </cell>
          <cell r="F231" t="str">
            <v>0025</v>
          </cell>
          <cell r="G231">
            <v>13</v>
          </cell>
          <cell r="H231">
            <v>309.80000000000013</v>
          </cell>
          <cell r="I231">
            <v>14757.828477265803</v>
          </cell>
          <cell r="J231">
            <v>0</v>
          </cell>
        </row>
        <row r="232">
          <cell r="E232">
            <v>10020021</v>
          </cell>
          <cell r="F232" t="str">
            <v>0026</v>
          </cell>
          <cell r="G232">
            <v>14</v>
          </cell>
          <cell r="H232">
            <v>199.80000000000004</v>
          </cell>
          <cell r="I232">
            <v>12162.7431971407</v>
          </cell>
          <cell r="J232">
            <v>0</v>
          </cell>
        </row>
        <row r="233">
          <cell r="E233">
            <v>10020021</v>
          </cell>
          <cell r="F233" t="str">
            <v>0027</v>
          </cell>
          <cell r="G233">
            <v>14</v>
          </cell>
          <cell r="H233">
            <v>464.09999999999997</v>
          </cell>
          <cell r="I233">
            <v>20387.890505630803</v>
          </cell>
          <cell r="J233">
            <v>0</v>
          </cell>
        </row>
        <row r="234">
          <cell r="E234">
            <v>10020021</v>
          </cell>
          <cell r="F234" t="str">
            <v>0028</v>
          </cell>
          <cell r="G234">
            <v>14</v>
          </cell>
          <cell r="H234">
            <v>278.2</v>
          </cell>
          <cell r="I234">
            <v>11643.652121945803</v>
          </cell>
          <cell r="J234">
            <v>0</v>
          </cell>
        </row>
        <row r="235">
          <cell r="E235">
            <v>10020021</v>
          </cell>
          <cell r="F235" t="str">
            <v>0037</v>
          </cell>
          <cell r="G235">
            <v>14</v>
          </cell>
          <cell r="H235">
            <v>327.30000000000007</v>
          </cell>
          <cell r="I235">
            <v>14491.270331989999</v>
          </cell>
          <cell r="J235">
            <v>0</v>
          </cell>
        </row>
        <row r="236">
          <cell r="E236">
            <v>10020021</v>
          </cell>
          <cell r="F236" t="str">
            <v>0041</v>
          </cell>
          <cell r="G236">
            <v>14</v>
          </cell>
          <cell r="H236">
            <v>51.7</v>
          </cell>
          <cell r="I236">
            <v>2756.2205797011002</v>
          </cell>
          <cell r="J236">
            <v>0</v>
          </cell>
        </row>
        <row r="237">
          <cell r="E237">
            <v>10020021</v>
          </cell>
          <cell r="F237" t="str">
            <v>0061</v>
          </cell>
          <cell r="G237">
            <v>14</v>
          </cell>
          <cell r="H237">
            <v>358.40000000000009</v>
          </cell>
          <cell r="I237">
            <v>15040.573402431399</v>
          </cell>
          <cell r="J237">
            <v>0</v>
          </cell>
        </row>
        <row r="238">
          <cell r="E238">
            <v>10020021</v>
          </cell>
          <cell r="F238" t="str">
            <v>0062</v>
          </cell>
          <cell r="G238">
            <v>14</v>
          </cell>
          <cell r="H238">
            <v>57.300000000000011</v>
          </cell>
          <cell r="I238">
            <v>2505.2976415170001</v>
          </cell>
          <cell r="J238">
            <v>0</v>
          </cell>
        </row>
        <row r="239">
          <cell r="E239">
            <v>10020021</v>
          </cell>
          <cell r="F239" t="str">
            <v>0065</v>
          </cell>
          <cell r="G239">
            <v>13</v>
          </cell>
          <cell r="H239">
            <v>42.500000000000007</v>
          </cell>
          <cell r="I239">
            <v>2088.3644044520006</v>
          </cell>
          <cell r="J239">
            <v>0</v>
          </cell>
        </row>
        <row r="240">
          <cell r="E240">
            <v>10020021</v>
          </cell>
          <cell r="F240" t="str">
            <v>0072</v>
          </cell>
          <cell r="G240">
            <v>14</v>
          </cell>
          <cell r="H240">
            <v>372.2</v>
          </cell>
          <cell r="I240">
            <v>16074.345541609007</v>
          </cell>
          <cell r="J240">
            <v>0</v>
          </cell>
        </row>
        <row r="241">
          <cell r="E241">
            <v>10020021</v>
          </cell>
          <cell r="F241" t="str">
            <v>0078</v>
          </cell>
          <cell r="G241">
            <v>13</v>
          </cell>
          <cell r="H241">
            <v>402.80000000000007</v>
          </cell>
          <cell r="I241">
            <v>16870.998514797597</v>
          </cell>
          <cell r="J241">
            <v>0</v>
          </cell>
        </row>
        <row r="242">
          <cell r="E242">
            <v>10020021</v>
          </cell>
          <cell r="F242" t="str">
            <v>0080</v>
          </cell>
          <cell r="G242">
            <v>14</v>
          </cell>
          <cell r="H242">
            <v>400.7999999999999</v>
          </cell>
          <cell r="I242">
            <v>17106.866983660202</v>
          </cell>
          <cell r="J242">
            <v>0</v>
          </cell>
        </row>
        <row r="243">
          <cell r="E243">
            <v>10020021</v>
          </cell>
          <cell r="F243" t="str">
            <v>0101</v>
          </cell>
          <cell r="G243">
            <v>13</v>
          </cell>
          <cell r="H243">
            <v>160.9</v>
          </cell>
          <cell r="I243">
            <v>6193.7663128704007</v>
          </cell>
          <cell r="J243">
            <v>0</v>
          </cell>
        </row>
        <row r="244">
          <cell r="E244">
            <v>10020021</v>
          </cell>
          <cell r="F244" t="str">
            <v>0102</v>
          </cell>
          <cell r="G244">
            <v>13</v>
          </cell>
          <cell r="H244">
            <v>159.79999999999998</v>
          </cell>
          <cell r="I244">
            <v>6199.2022950990013</v>
          </cell>
          <cell r="J244">
            <v>0</v>
          </cell>
        </row>
        <row r="245">
          <cell r="E245">
            <v>10020021</v>
          </cell>
          <cell r="F245" t="str">
            <v>0104</v>
          </cell>
          <cell r="G245">
            <v>13</v>
          </cell>
          <cell r="H245">
            <v>153.1</v>
          </cell>
          <cell r="I245">
            <v>5797.4126864940008</v>
          </cell>
          <cell r="J245">
            <v>0</v>
          </cell>
        </row>
        <row r="246">
          <cell r="E246">
            <v>10020021</v>
          </cell>
          <cell r="F246" t="str">
            <v>0105</v>
          </cell>
          <cell r="G246">
            <v>13</v>
          </cell>
          <cell r="H246">
            <v>189.70000000000002</v>
          </cell>
          <cell r="I246">
            <v>7819.1026408223997</v>
          </cell>
          <cell r="J246">
            <v>0</v>
          </cell>
        </row>
        <row r="247">
          <cell r="E247">
            <v>10020021</v>
          </cell>
          <cell r="F247" t="str">
            <v>0106</v>
          </cell>
          <cell r="G247">
            <v>12</v>
          </cell>
          <cell r="H247">
            <v>147.1</v>
          </cell>
          <cell r="I247">
            <v>5707.8958889916012</v>
          </cell>
          <cell r="J247">
            <v>0</v>
          </cell>
        </row>
        <row r="248">
          <cell r="E248">
            <v>10020021</v>
          </cell>
          <cell r="F248" t="str">
            <v>0107</v>
          </cell>
          <cell r="G248">
            <v>12</v>
          </cell>
          <cell r="H248">
            <v>137.9</v>
          </cell>
          <cell r="I248">
            <v>5254.1474554800006</v>
          </cell>
          <cell r="J248">
            <v>0</v>
          </cell>
        </row>
        <row r="249">
          <cell r="E249">
            <v>10020021</v>
          </cell>
          <cell r="F249" t="str">
            <v>0108</v>
          </cell>
          <cell r="G249">
            <v>10</v>
          </cell>
          <cell r="H249">
            <v>111.1</v>
          </cell>
          <cell r="I249">
            <v>4357.7568360699997</v>
          </cell>
          <cell r="J249">
            <v>0</v>
          </cell>
        </row>
        <row r="250">
          <cell r="E250">
            <v>10020021</v>
          </cell>
          <cell r="F250" t="str">
            <v>0109</v>
          </cell>
          <cell r="G250">
            <v>13</v>
          </cell>
          <cell r="H250">
            <v>132.9</v>
          </cell>
          <cell r="I250">
            <v>5250.9356604539998</v>
          </cell>
          <cell r="J250">
            <v>0</v>
          </cell>
        </row>
        <row r="251">
          <cell r="E251">
            <v>10020021</v>
          </cell>
          <cell r="F251" t="str">
            <v>0110</v>
          </cell>
          <cell r="G251">
            <v>12</v>
          </cell>
          <cell r="H251">
            <v>95.7</v>
          </cell>
          <cell r="I251">
            <v>3644.6251841999997</v>
          </cell>
          <cell r="J251">
            <v>0</v>
          </cell>
        </row>
        <row r="252">
          <cell r="E252">
            <v>10020021</v>
          </cell>
          <cell r="F252" t="str">
            <v>0111</v>
          </cell>
          <cell r="G252">
            <v>12</v>
          </cell>
          <cell r="H252">
            <v>108.39999999999999</v>
          </cell>
          <cell r="I252">
            <v>4214.9532749059999</v>
          </cell>
          <cell r="J252">
            <v>0</v>
          </cell>
        </row>
        <row r="253">
          <cell r="E253">
            <v>10020021</v>
          </cell>
          <cell r="F253" t="str">
            <v>0112</v>
          </cell>
          <cell r="G253">
            <v>6</v>
          </cell>
          <cell r="H253">
            <v>38.199999999999996</v>
          </cell>
          <cell r="I253">
            <v>1458.65501892</v>
          </cell>
          <cell r="J253">
            <v>0</v>
          </cell>
        </row>
        <row r="254">
          <cell r="E254">
            <v>10020021</v>
          </cell>
          <cell r="F254" t="str">
            <v>0113</v>
          </cell>
          <cell r="G254">
            <v>6</v>
          </cell>
          <cell r="H254">
            <v>44.3</v>
          </cell>
          <cell r="I254">
            <v>2140.1192208372004</v>
          </cell>
          <cell r="J254">
            <v>0</v>
          </cell>
        </row>
        <row r="255">
          <cell r="E255">
            <v>10020021</v>
          </cell>
          <cell r="F255" t="str">
            <v>0114</v>
          </cell>
          <cell r="G255">
            <v>9</v>
          </cell>
          <cell r="H255">
            <v>59.099999999999994</v>
          </cell>
          <cell r="I255">
            <v>2859.7211239758999</v>
          </cell>
          <cell r="J255">
            <v>0</v>
          </cell>
        </row>
        <row r="256">
          <cell r="E256">
            <v>10020021</v>
          </cell>
          <cell r="F256" t="str">
            <v>0115</v>
          </cell>
          <cell r="G256">
            <v>11</v>
          </cell>
          <cell r="H256">
            <v>59.500000000000007</v>
          </cell>
          <cell r="I256">
            <v>2842.0939868668002</v>
          </cell>
          <cell r="J256">
            <v>0</v>
          </cell>
        </row>
        <row r="257">
          <cell r="E257">
            <v>10020023</v>
          </cell>
          <cell r="F257" t="str">
            <v>0001</v>
          </cell>
          <cell r="G257">
            <v>14</v>
          </cell>
          <cell r="H257">
            <v>37.999999999999993</v>
          </cell>
          <cell r="I257">
            <v>1417.188720222</v>
          </cell>
          <cell r="J257">
            <v>0</v>
          </cell>
        </row>
        <row r="258">
          <cell r="E258">
            <v>10020023</v>
          </cell>
          <cell r="F258" t="str">
            <v>0002</v>
          </cell>
          <cell r="G258">
            <v>14</v>
          </cell>
          <cell r="H258">
            <v>87.7</v>
          </cell>
          <cell r="I258">
            <v>3564.2357662199993</v>
          </cell>
          <cell r="J258">
            <v>2476</v>
          </cell>
        </row>
        <row r="259">
          <cell r="E259">
            <v>10020023</v>
          </cell>
          <cell r="F259" t="str">
            <v>0006</v>
          </cell>
          <cell r="G259">
            <v>10</v>
          </cell>
          <cell r="H259">
            <v>22</v>
          </cell>
          <cell r="I259">
            <v>697.42300221000005</v>
          </cell>
          <cell r="J259">
            <v>0</v>
          </cell>
        </row>
        <row r="260">
          <cell r="E260">
            <v>10020023</v>
          </cell>
          <cell r="F260" t="str">
            <v>0007</v>
          </cell>
          <cell r="G260">
            <v>4</v>
          </cell>
          <cell r="H260">
            <v>8.1000000000000014</v>
          </cell>
          <cell r="I260">
            <v>283.72079498400001</v>
          </cell>
          <cell r="J260">
            <v>0</v>
          </cell>
        </row>
        <row r="261">
          <cell r="E261">
            <v>10020023</v>
          </cell>
          <cell r="F261" t="str">
            <v>0008</v>
          </cell>
          <cell r="G261">
            <v>5</v>
          </cell>
          <cell r="H261">
            <v>14.4</v>
          </cell>
          <cell r="I261">
            <v>554.36312448000012</v>
          </cell>
          <cell r="J261">
            <v>0</v>
          </cell>
        </row>
        <row r="262">
          <cell r="E262">
            <v>10020023</v>
          </cell>
          <cell r="F262" t="str">
            <v>0009</v>
          </cell>
          <cell r="G262">
            <v>7</v>
          </cell>
          <cell r="H262">
            <v>18.599999999999998</v>
          </cell>
          <cell r="I262">
            <v>775.13797152000029</v>
          </cell>
          <cell r="J262">
            <v>0</v>
          </cell>
        </row>
        <row r="263">
          <cell r="E263">
            <v>10020023</v>
          </cell>
          <cell r="F263" t="str">
            <v>0011</v>
          </cell>
          <cell r="G263">
            <v>3</v>
          </cell>
          <cell r="H263">
            <v>8.9</v>
          </cell>
          <cell r="I263">
            <v>371.44460628000002</v>
          </cell>
          <cell r="J263">
            <v>0</v>
          </cell>
        </row>
        <row r="264">
          <cell r="E264">
            <v>10020023</v>
          </cell>
          <cell r="F264" t="str">
            <v>0014</v>
          </cell>
          <cell r="G264">
            <v>2</v>
          </cell>
          <cell r="H264">
            <v>4.9000000000000004</v>
          </cell>
          <cell r="I264">
            <v>199.77421860000001</v>
          </cell>
          <cell r="J264">
            <v>0</v>
          </cell>
        </row>
        <row r="265">
          <cell r="E265">
            <v>10020023</v>
          </cell>
          <cell r="F265" t="str">
            <v>0017</v>
          </cell>
          <cell r="G265">
            <v>5</v>
          </cell>
          <cell r="H265">
            <v>30.200000000000003</v>
          </cell>
          <cell r="I265">
            <v>1055.8744930800001</v>
          </cell>
          <cell r="J265">
            <v>0</v>
          </cell>
        </row>
        <row r="266">
          <cell r="E266">
            <v>10020023</v>
          </cell>
          <cell r="F266" t="str">
            <v>0020</v>
          </cell>
          <cell r="G266">
            <v>12</v>
          </cell>
          <cell r="H266">
            <v>30.6</v>
          </cell>
          <cell r="I266">
            <v>1003.335705108</v>
          </cell>
          <cell r="J266">
            <v>0</v>
          </cell>
        </row>
        <row r="267">
          <cell r="E267">
            <v>10020023</v>
          </cell>
          <cell r="F267" t="str">
            <v>0025</v>
          </cell>
          <cell r="G267">
            <v>6</v>
          </cell>
          <cell r="H267">
            <v>13.1</v>
          </cell>
          <cell r="I267">
            <v>538.23150215999999</v>
          </cell>
          <cell r="J267">
            <v>0</v>
          </cell>
        </row>
        <row r="268">
          <cell r="E268">
            <v>10020023</v>
          </cell>
          <cell r="F268" t="str">
            <v>0030</v>
          </cell>
          <cell r="G268">
            <v>2</v>
          </cell>
          <cell r="H268">
            <v>6.2</v>
          </cell>
          <cell r="I268">
            <v>255.47975640000004</v>
          </cell>
          <cell r="J268">
            <v>0</v>
          </cell>
        </row>
        <row r="269">
          <cell r="E269">
            <v>10020023</v>
          </cell>
          <cell r="F269" t="str">
            <v>0031</v>
          </cell>
          <cell r="G269">
            <v>1</v>
          </cell>
          <cell r="H269">
            <v>1.9</v>
          </cell>
          <cell r="I269">
            <v>51.917104800000004</v>
          </cell>
          <cell r="J269">
            <v>0</v>
          </cell>
        </row>
        <row r="270">
          <cell r="E270">
            <v>10020023</v>
          </cell>
          <cell r="F270" t="str">
            <v>0038</v>
          </cell>
          <cell r="G270">
            <v>9</v>
          </cell>
          <cell r="H270">
            <v>33.4</v>
          </cell>
          <cell r="I270">
            <v>1302.3224992799999</v>
          </cell>
          <cell r="J270">
            <v>0</v>
          </cell>
        </row>
        <row r="271">
          <cell r="E271">
            <v>10020023</v>
          </cell>
          <cell r="F271" t="str">
            <v>0041</v>
          </cell>
          <cell r="G271">
            <v>14</v>
          </cell>
          <cell r="H271">
            <v>50.70000000000001</v>
          </cell>
          <cell r="I271">
            <v>1805.9076604799998</v>
          </cell>
          <cell r="J271">
            <v>0</v>
          </cell>
        </row>
        <row r="272">
          <cell r="E272">
            <v>10020023</v>
          </cell>
          <cell r="F272" t="str">
            <v>0042</v>
          </cell>
          <cell r="G272">
            <v>4</v>
          </cell>
          <cell r="H272">
            <v>14.2</v>
          </cell>
          <cell r="I272">
            <v>542.16595224000002</v>
          </cell>
          <cell r="J272">
            <v>0</v>
          </cell>
        </row>
        <row r="273">
          <cell r="E273">
            <v>10020023</v>
          </cell>
          <cell r="F273" t="str">
            <v>0049</v>
          </cell>
          <cell r="G273">
            <v>6</v>
          </cell>
          <cell r="H273">
            <v>28.4</v>
          </cell>
          <cell r="I273">
            <v>1117.35893016</v>
          </cell>
          <cell r="J273">
            <v>0</v>
          </cell>
        </row>
        <row r="274">
          <cell r="E274">
            <v>10020023</v>
          </cell>
          <cell r="F274" t="str">
            <v>0059</v>
          </cell>
          <cell r="G274">
            <v>6</v>
          </cell>
          <cell r="H274">
            <v>36.300000000000004</v>
          </cell>
          <cell r="I274">
            <v>1440.0148950000003</v>
          </cell>
          <cell r="J274">
            <v>0</v>
          </cell>
        </row>
        <row r="275">
          <cell r="E275">
            <v>10020023</v>
          </cell>
          <cell r="F275" t="str">
            <v>0070</v>
          </cell>
          <cell r="G275">
            <v>4</v>
          </cell>
          <cell r="H275">
            <v>6.1</v>
          </cell>
          <cell r="I275">
            <v>278.80071229500004</v>
          </cell>
          <cell r="J275">
            <v>0</v>
          </cell>
        </row>
        <row r="276">
          <cell r="E276">
            <v>10020023</v>
          </cell>
          <cell r="F276" t="str">
            <v>0082</v>
          </cell>
          <cell r="G276">
            <v>10</v>
          </cell>
          <cell r="H276">
            <v>39.1</v>
          </cell>
          <cell r="I276">
            <v>1356.409910592</v>
          </cell>
          <cell r="J276">
            <v>0</v>
          </cell>
        </row>
        <row r="277">
          <cell r="E277">
            <v>10020023</v>
          </cell>
          <cell r="F277" t="str">
            <v>0090</v>
          </cell>
          <cell r="G277">
            <v>2</v>
          </cell>
          <cell r="H277">
            <v>4.7</v>
          </cell>
          <cell r="I277">
            <v>186.01946351999999</v>
          </cell>
          <cell r="J277">
            <v>0</v>
          </cell>
        </row>
        <row r="278">
          <cell r="E278">
            <v>10020023</v>
          </cell>
          <cell r="F278" t="str">
            <v>0103</v>
          </cell>
          <cell r="G278">
            <v>7</v>
          </cell>
          <cell r="H278">
            <v>26.400000000000002</v>
          </cell>
          <cell r="I278">
            <v>897.31164600000011</v>
          </cell>
          <cell r="J278">
            <v>0</v>
          </cell>
        </row>
        <row r="279">
          <cell r="E279">
            <v>10020023</v>
          </cell>
          <cell r="F279" t="str">
            <v>0106</v>
          </cell>
          <cell r="G279">
            <v>1</v>
          </cell>
          <cell r="H279">
            <v>1.5</v>
          </cell>
          <cell r="I279">
            <v>95.572989104999991</v>
          </cell>
          <cell r="J279">
            <v>0</v>
          </cell>
        </row>
        <row r="280">
          <cell r="E280">
            <v>10020023</v>
          </cell>
          <cell r="F280" t="str">
            <v>0113</v>
          </cell>
          <cell r="G280">
            <v>14</v>
          </cell>
          <cell r="H280">
            <v>273.39999999999998</v>
          </cell>
          <cell r="I280">
            <v>10515.320582976001</v>
          </cell>
          <cell r="J280">
            <v>0</v>
          </cell>
        </row>
        <row r="281">
          <cell r="E281">
            <v>10020023</v>
          </cell>
          <cell r="F281" t="str">
            <v>0120</v>
          </cell>
          <cell r="G281">
            <v>1</v>
          </cell>
          <cell r="H281">
            <v>5.6</v>
          </cell>
          <cell r="I281">
            <v>184.80591360000003</v>
          </cell>
          <cell r="J281">
            <v>0</v>
          </cell>
        </row>
        <row r="282">
          <cell r="E282">
            <v>10020023</v>
          </cell>
          <cell r="F282" t="str">
            <v>0122</v>
          </cell>
          <cell r="G282">
            <v>6</v>
          </cell>
          <cell r="H282">
            <v>13.3</v>
          </cell>
          <cell r="I282">
            <v>505.37639592000005</v>
          </cell>
          <cell r="J282">
            <v>0</v>
          </cell>
        </row>
        <row r="283">
          <cell r="E283">
            <v>10020023</v>
          </cell>
          <cell r="F283" t="str">
            <v>0124</v>
          </cell>
          <cell r="G283">
            <v>6</v>
          </cell>
          <cell r="H283">
            <v>22.8</v>
          </cell>
          <cell r="I283">
            <v>844.46840412000006</v>
          </cell>
          <cell r="J283">
            <v>0</v>
          </cell>
        </row>
        <row r="284">
          <cell r="E284">
            <v>10020023</v>
          </cell>
          <cell r="F284" t="str">
            <v>0133</v>
          </cell>
          <cell r="G284">
            <v>2</v>
          </cell>
          <cell r="H284">
            <v>7.5</v>
          </cell>
          <cell r="I284">
            <v>381.24090228180006</v>
          </cell>
          <cell r="J284">
            <v>0</v>
          </cell>
        </row>
        <row r="285">
          <cell r="E285">
            <v>10020023</v>
          </cell>
          <cell r="F285" t="str">
            <v>0134</v>
          </cell>
          <cell r="G285">
            <v>5</v>
          </cell>
          <cell r="H285">
            <v>20.5</v>
          </cell>
          <cell r="I285">
            <v>791.25719508000009</v>
          </cell>
          <cell r="J285">
            <v>0</v>
          </cell>
        </row>
        <row r="286">
          <cell r="E286">
            <v>10020024</v>
          </cell>
          <cell r="F286" t="str">
            <v>0002</v>
          </cell>
          <cell r="G286">
            <v>11</v>
          </cell>
          <cell r="H286">
            <v>303</v>
          </cell>
          <cell r="I286">
            <v>15292.686789225003</v>
          </cell>
          <cell r="J286">
            <v>0</v>
          </cell>
        </row>
        <row r="287">
          <cell r="E287">
            <v>10020024</v>
          </cell>
          <cell r="F287" t="str">
            <v>0003</v>
          </cell>
          <cell r="G287">
            <v>11</v>
          </cell>
          <cell r="H287">
            <v>32.619999999999997</v>
          </cell>
          <cell r="I287">
            <v>1705.3820338781004</v>
          </cell>
          <cell r="J287">
            <v>0</v>
          </cell>
        </row>
        <row r="288">
          <cell r="E288">
            <v>10020024</v>
          </cell>
          <cell r="F288" t="str">
            <v>0008</v>
          </cell>
          <cell r="G288">
            <v>12</v>
          </cell>
          <cell r="H288">
            <v>15.449999999999998</v>
          </cell>
          <cell r="I288">
            <v>591.91416702000004</v>
          </cell>
          <cell r="J288">
            <v>0</v>
          </cell>
        </row>
        <row r="289">
          <cell r="E289">
            <v>10020024</v>
          </cell>
          <cell r="F289" t="str">
            <v>0012</v>
          </cell>
          <cell r="G289">
            <v>13</v>
          </cell>
          <cell r="H289">
            <v>32.07</v>
          </cell>
          <cell r="I289">
            <v>1719.2150030326002</v>
          </cell>
          <cell r="J289">
            <v>0</v>
          </cell>
        </row>
        <row r="290">
          <cell r="E290">
            <v>10020024</v>
          </cell>
          <cell r="F290" t="str">
            <v>0013</v>
          </cell>
          <cell r="G290">
            <v>13</v>
          </cell>
          <cell r="H290">
            <v>253.07999999999998</v>
          </cell>
          <cell r="I290">
            <v>10611.426421953603</v>
          </cell>
          <cell r="J290">
            <v>0</v>
          </cell>
        </row>
        <row r="291">
          <cell r="E291">
            <v>10020024</v>
          </cell>
          <cell r="F291" t="str">
            <v>0014</v>
          </cell>
          <cell r="G291">
            <v>13</v>
          </cell>
          <cell r="H291">
            <v>56.789999999999992</v>
          </cell>
          <cell r="I291">
            <v>2207.916659124</v>
          </cell>
          <cell r="J291">
            <v>0</v>
          </cell>
        </row>
        <row r="292">
          <cell r="E292">
            <v>10020024</v>
          </cell>
          <cell r="F292" t="str">
            <v>0016</v>
          </cell>
          <cell r="G292">
            <v>13</v>
          </cell>
          <cell r="H292">
            <v>168.68</v>
          </cell>
          <cell r="I292">
            <v>8809.8602316560027</v>
          </cell>
          <cell r="J292">
            <v>0</v>
          </cell>
        </row>
        <row r="293">
          <cell r="E293">
            <v>10020024</v>
          </cell>
          <cell r="F293" t="str">
            <v>0021</v>
          </cell>
          <cell r="G293">
            <v>1</v>
          </cell>
          <cell r="H293">
            <v>1.05</v>
          </cell>
          <cell r="I293">
            <v>40.888150380000006</v>
          </cell>
          <cell r="J293">
            <v>0</v>
          </cell>
        </row>
        <row r="294">
          <cell r="E294">
            <v>10020024</v>
          </cell>
          <cell r="F294" t="str">
            <v>0024</v>
          </cell>
          <cell r="G294">
            <v>12</v>
          </cell>
          <cell r="H294">
            <v>15.780000000000001</v>
          </cell>
          <cell r="I294">
            <v>614.49048856800005</v>
          </cell>
          <cell r="J294">
            <v>0</v>
          </cell>
        </row>
        <row r="295">
          <cell r="E295">
            <v>10020024</v>
          </cell>
          <cell r="F295" t="str">
            <v>0025</v>
          </cell>
          <cell r="G295">
            <v>2</v>
          </cell>
          <cell r="H295">
            <v>14.26</v>
          </cell>
          <cell r="I295">
            <v>570.358771488</v>
          </cell>
          <cell r="J295">
            <v>0</v>
          </cell>
        </row>
        <row r="296">
          <cell r="E296">
            <v>10020024</v>
          </cell>
          <cell r="F296" t="str">
            <v>0026</v>
          </cell>
          <cell r="G296">
            <v>12</v>
          </cell>
          <cell r="H296">
            <v>21.599999999999998</v>
          </cell>
          <cell r="I296">
            <v>825.05798496</v>
          </cell>
          <cell r="J296">
            <v>0</v>
          </cell>
        </row>
        <row r="297">
          <cell r="E297">
            <v>10020024</v>
          </cell>
          <cell r="F297" t="str">
            <v>0029</v>
          </cell>
          <cell r="G297">
            <v>13</v>
          </cell>
          <cell r="H297">
            <v>37.01</v>
          </cell>
          <cell r="I297">
            <v>1411.8980281559998</v>
          </cell>
          <cell r="J297">
            <v>0</v>
          </cell>
        </row>
        <row r="298">
          <cell r="E298">
            <v>10020024</v>
          </cell>
          <cell r="F298" t="str">
            <v>0030</v>
          </cell>
          <cell r="G298">
            <v>7</v>
          </cell>
          <cell r="H298">
            <v>20.84</v>
          </cell>
          <cell r="I298">
            <v>811.53243230400005</v>
          </cell>
          <cell r="J298">
            <v>0</v>
          </cell>
        </row>
        <row r="299">
          <cell r="E299">
            <v>10020024</v>
          </cell>
          <cell r="F299" t="str">
            <v>0031</v>
          </cell>
          <cell r="G299">
            <v>13</v>
          </cell>
          <cell r="H299">
            <v>71.210000000000008</v>
          </cell>
          <cell r="I299">
            <v>2716.5970976760004</v>
          </cell>
          <cell r="J299">
            <v>0</v>
          </cell>
        </row>
        <row r="300">
          <cell r="E300">
            <v>10020024</v>
          </cell>
          <cell r="F300" t="str">
            <v>0032</v>
          </cell>
          <cell r="G300">
            <v>13</v>
          </cell>
          <cell r="H300">
            <v>66.72999999999999</v>
          </cell>
          <cell r="I300">
            <v>2578.176989388</v>
          </cell>
          <cell r="J300">
            <v>0</v>
          </cell>
        </row>
        <row r="301">
          <cell r="E301">
            <v>10020024</v>
          </cell>
          <cell r="F301" t="str">
            <v>0035</v>
          </cell>
          <cell r="G301">
            <v>9</v>
          </cell>
          <cell r="H301">
            <v>105.55</v>
          </cell>
          <cell r="I301">
            <v>4401.0082729800006</v>
          </cell>
          <cell r="J301">
            <v>0</v>
          </cell>
        </row>
        <row r="302">
          <cell r="E302">
            <v>10020024</v>
          </cell>
          <cell r="F302" t="str">
            <v>0041</v>
          </cell>
          <cell r="G302">
            <v>13</v>
          </cell>
          <cell r="H302">
            <v>73.069999999999993</v>
          </cell>
          <cell r="I302">
            <v>2787.5544154920003</v>
          </cell>
          <cell r="J302">
            <v>0</v>
          </cell>
        </row>
        <row r="303">
          <cell r="E303">
            <v>10020024</v>
          </cell>
          <cell r="F303" t="str">
            <v>0046</v>
          </cell>
          <cell r="G303">
            <v>13</v>
          </cell>
          <cell r="H303">
            <v>51.849999999999994</v>
          </cell>
          <cell r="I303">
            <v>2016.6564468600004</v>
          </cell>
          <cell r="J303">
            <v>0</v>
          </cell>
        </row>
        <row r="304">
          <cell r="E304">
            <v>10020024</v>
          </cell>
          <cell r="F304" t="str">
            <v>0047</v>
          </cell>
          <cell r="G304">
            <v>13</v>
          </cell>
          <cell r="H304">
            <v>111.88999999999999</v>
          </cell>
          <cell r="I304">
            <v>4268.5023066839994</v>
          </cell>
          <cell r="J304">
            <v>0</v>
          </cell>
        </row>
        <row r="305">
          <cell r="E305">
            <v>10020024</v>
          </cell>
          <cell r="F305" t="str">
            <v>0057</v>
          </cell>
          <cell r="G305">
            <v>1</v>
          </cell>
          <cell r="H305">
            <v>25</v>
          </cell>
          <cell r="I305">
            <v>1324.8996352500001</v>
          </cell>
          <cell r="J305">
            <v>0</v>
          </cell>
        </row>
        <row r="306">
          <cell r="E306">
            <v>10020024</v>
          </cell>
          <cell r="F306" t="str">
            <v>0062</v>
          </cell>
          <cell r="G306">
            <v>10</v>
          </cell>
          <cell r="H306">
            <v>14.66</v>
          </cell>
          <cell r="I306">
            <v>996.74546799939992</v>
          </cell>
          <cell r="J306">
            <v>0</v>
          </cell>
        </row>
        <row r="307">
          <cell r="E307">
            <v>10020024</v>
          </cell>
          <cell r="F307" t="str">
            <v>0065</v>
          </cell>
          <cell r="G307">
            <v>13</v>
          </cell>
          <cell r="H307">
            <v>110.33000000000001</v>
          </cell>
          <cell r="I307">
            <v>4208.989717548</v>
          </cell>
          <cell r="J307">
            <v>0</v>
          </cell>
        </row>
        <row r="308">
          <cell r="E308">
            <v>10020024</v>
          </cell>
          <cell r="F308" t="str">
            <v>0066</v>
          </cell>
          <cell r="G308">
            <v>5</v>
          </cell>
          <cell r="H308">
            <v>12.17</v>
          </cell>
          <cell r="I308">
            <v>466.36537345200009</v>
          </cell>
          <cell r="J308">
            <v>0</v>
          </cell>
        </row>
        <row r="309">
          <cell r="E309">
            <v>10020024</v>
          </cell>
          <cell r="F309" t="str">
            <v>0067</v>
          </cell>
          <cell r="G309">
            <v>13</v>
          </cell>
          <cell r="H309">
            <v>91.809999999999988</v>
          </cell>
          <cell r="I309">
            <v>3575.181987036</v>
          </cell>
          <cell r="J309">
            <v>0</v>
          </cell>
        </row>
        <row r="310">
          <cell r="E310">
            <v>10020024</v>
          </cell>
          <cell r="F310" t="str">
            <v>0068</v>
          </cell>
          <cell r="G310">
            <v>13</v>
          </cell>
          <cell r="H310">
            <v>63.75</v>
          </cell>
          <cell r="I310">
            <v>2432.0048445000007</v>
          </cell>
          <cell r="J310">
            <v>0</v>
          </cell>
        </row>
        <row r="311">
          <cell r="E311">
            <v>10020024</v>
          </cell>
          <cell r="F311" t="str">
            <v>0069</v>
          </cell>
          <cell r="G311">
            <v>13</v>
          </cell>
          <cell r="H311">
            <v>92.440000000000012</v>
          </cell>
          <cell r="I311">
            <v>3599.7148772640003</v>
          </cell>
          <cell r="J311">
            <v>0</v>
          </cell>
        </row>
        <row r="312">
          <cell r="E312">
            <v>10020024</v>
          </cell>
          <cell r="F312" t="str">
            <v>0070</v>
          </cell>
          <cell r="G312">
            <v>12</v>
          </cell>
          <cell r="H312">
            <v>40.52000000000001</v>
          </cell>
          <cell r="I312">
            <v>1545.801353712</v>
          </cell>
          <cell r="J312">
            <v>0</v>
          </cell>
        </row>
        <row r="313">
          <cell r="E313">
            <v>10020024</v>
          </cell>
          <cell r="F313" t="str">
            <v>0072</v>
          </cell>
          <cell r="G313">
            <v>13</v>
          </cell>
          <cell r="H313">
            <v>45.389999999999993</v>
          </cell>
          <cell r="I313">
            <v>1734.7396092839999</v>
          </cell>
          <cell r="J313">
            <v>0</v>
          </cell>
        </row>
        <row r="314">
          <cell r="E314">
            <v>10020024</v>
          </cell>
          <cell r="F314" t="str">
            <v>0073</v>
          </cell>
          <cell r="G314">
            <v>13</v>
          </cell>
          <cell r="H314">
            <v>28.2</v>
          </cell>
          <cell r="I314">
            <v>1938.0987779100001</v>
          </cell>
          <cell r="J314">
            <v>0</v>
          </cell>
        </row>
        <row r="315">
          <cell r="E315">
            <v>10020024</v>
          </cell>
          <cell r="F315" t="str">
            <v>0074</v>
          </cell>
          <cell r="G315">
            <v>13</v>
          </cell>
          <cell r="H315">
            <v>52.51</v>
          </cell>
          <cell r="I315">
            <v>2050.341040836</v>
          </cell>
          <cell r="J315">
            <v>0</v>
          </cell>
        </row>
        <row r="316">
          <cell r="E316">
            <v>10020024</v>
          </cell>
          <cell r="F316" t="str">
            <v>0075</v>
          </cell>
          <cell r="G316">
            <v>12</v>
          </cell>
          <cell r="H316">
            <v>44.019999999999996</v>
          </cell>
          <cell r="I316">
            <v>1714.1870283120002</v>
          </cell>
          <cell r="J316">
            <v>0</v>
          </cell>
        </row>
        <row r="317">
          <cell r="E317">
            <v>10020024</v>
          </cell>
          <cell r="F317" t="str">
            <v>0076</v>
          </cell>
          <cell r="G317">
            <v>14</v>
          </cell>
          <cell r="H317">
            <v>58.919999999999995</v>
          </cell>
          <cell r="I317">
            <v>3518.1034543516212</v>
          </cell>
          <cell r="J317">
            <v>0</v>
          </cell>
        </row>
        <row r="318">
          <cell r="E318">
            <v>10020024</v>
          </cell>
          <cell r="F318" t="str">
            <v>0078</v>
          </cell>
          <cell r="G318">
            <v>12</v>
          </cell>
          <cell r="H318">
            <v>33.86</v>
          </cell>
          <cell r="I318">
            <v>1316.9852570160001</v>
          </cell>
          <cell r="J318">
            <v>0</v>
          </cell>
        </row>
        <row r="319">
          <cell r="E319">
            <v>10020024</v>
          </cell>
          <cell r="F319" t="str">
            <v>0080</v>
          </cell>
          <cell r="G319">
            <v>13</v>
          </cell>
          <cell r="H319">
            <v>34.26</v>
          </cell>
          <cell r="I319">
            <v>1306.9880152560002</v>
          </cell>
          <cell r="J319">
            <v>0</v>
          </cell>
        </row>
        <row r="320">
          <cell r="E320">
            <v>10020024</v>
          </cell>
          <cell r="F320" t="str">
            <v>0081</v>
          </cell>
          <cell r="G320">
            <v>6</v>
          </cell>
          <cell r="H320">
            <v>35.15</v>
          </cell>
          <cell r="I320">
            <v>1835.8227836300005</v>
          </cell>
          <cell r="J320">
            <v>0</v>
          </cell>
        </row>
        <row r="321">
          <cell r="E321">
            <v>10020024</v>
          </cell>
          <cell r="F321" t="str">
            <v>0083</v>
          </cell>
          <cell r="G321">
            <v>12</v>
          </cell>
          <cell r="H321">
            <v>32.39</v>
          </cell>
          <cell r="I321">
            <v>1259.7260064840002</v>
          </cell>
          <cell r="J321">
            <v>0</v>
          </cell>
        </row>
        <row r="322">
          <cell r="E322">
            <v>10020024</v>
          </cell>
          <cell r="F322" t="str">
            <v>0088</v>
          </cell>
          <cell r="G322">
            <v>11</v>
          </cell>
          <cell r="H322">
            <v>43.940000000000005</v>
          </cell>
          <cell r="I322">
            <v>1682.3459006640001</v>
          </cell>
          <cell r="J322">
            <v>0</v>
          </cell>
        </row>
        <row r="323">
          <cell r="E323">
            <v>10020024</v>
          </cell>
          <cell r="F323" t="str">
            <v>0089</v>
          </cell>
          <cell r="G323">
            <v>12</v>
          </cell>
          <cell r="H323">
            <v>34.46</v>
          </cell>
          <cell r="I323">
            <v>1341.910154376</v>
          </cell>
          <cell r="J323">
            <v>0</v>
          </cell>
        </row>
        <row r="324">
          <cell r="E324">
            <v>10020024</v>
          </cell>
          <cell r="F324" t="str">
            <v>0090</v>
          </cell>
          <cell r="G324">
            <v>6</v>
          </cell>
          <cell r="H324">
            <v>21.5</v>
          </cell>
          <cell r="I324">
            <v>820.20555540000009</v>
          </cell>
          <cell r="J324">
            <v>0</v>
          </cell>
        </row>
        <row r="325">
          <cell r="E325">
            <v>10020024</v>
          </cell>
          <cell r="F325" t="str">
            <v>0091</v>
          </cell>
          <cell r="G325">
            <v>12</v>
          </cell>
          <cell r="H325">
            <v>29.31</v>
          </cell>
          <cell r="I325">
            <v>1530.8098375020004</v>
          </cell>
          <cell r="J325">
            <v>0</v>
          </cell>
        </row>
        <row r="326">
          <cell r="E326">
            <v>10020024</v>
          </cell>
          <cell r="F326" t="str">
            <v>0092</v>
          </cell>
          <cell r="G326">
            <v>11</v>
          </cell>
          <cell r="H326">
            <v>61.069999999999993</v>
          </cell>
          <cell r="I326">
            <v>2442.6234344160007</v>
          </cell>
          <cell r="J326">
            <v>0</v>
          </cell>
        </row>
        <row r="327">
          <cell r="E327">
            <v>10020024</v>
          </cell>
          <cell r="F327" t="str">
            <v>0095</v>
          </cell>
          <cell r="G327">
            <v>13</v>
          </cell>
          <cell r="H327">
            <v>149.67000000000002</v>
          </cell>
          <cell r="I327">
            <v>7931.9091363147008</v>
          </cell>
          <cell r="J327">
            <v>0</v>
          </cell>
        </row>
        <row r="328">
          <cell r="E328">
            <v>10020024</v>
          </cell>
          <cell r="F328" t="str">
            <v>0100</v>
          </cell>
          <cell r="G328">
            <v>2</v>
          </cell>
          <cell r="H328">
            <v>10.33</v>
          </cell>
          <cell r="I328">
            <v>402.26151754800003</v>
          </cell>
          <cell r="J328">
            <v>0</v>
          </cell>
        </row>
        <row r="329">
          <cell r="E329">
            <v>10020024</v>
          </cell>
          <cell r="F329" t="str">
            <v>0103</v>
          </cell>
          <cell r="G329">
            <v>12</v>
          </cell>
          <cell r="H329">
            <v>45.18</v>
          </cell>
          <cell r="I329">
            <v>2365.6067125093005</v>
          </cell>
          <cell r="J329">
            <v>0</v>
          </cell>
        </row>
        <row r="330">
          <cell r="E330">
            <v>10020024</v>
          </cell>
          <cell r="F330" t="str">
            <v>0110</v>
          </cell>
          <cell r="G330">
            <v>12</v>
          </cell>
          <cell r="H330">
            <v>187.57999999999998</v>
          </cell>
          <cell r="I330">
            <v>9796.974047036003</v>
          </cell>
          <cell r="J330">
            <v>0</v>
          </cell>
        </row>
        <row r="331">
          <cell r="E331">
            <v>10020024</v>
          </cell>
          <cell r="F331" t="str">
            <v>0112</v>
          </cell>
          <cell r="G331">
            <v>12</v>
          </cell>
          <cell r="H331">
            <v>15.240000000000002</v>
          </cell>
          <cell r="I331">
            <v>795.95844160800027</v>
          </cell>
          <cell r="J331">
            <v>0</v>
          </cell>
        </row>
        <row r="332">
          <cell r="E332">
            <v>10020024</v>
          </cell>
          <cell r="F332" t="str">
            <v>0118</v>
          </cell>
          <cell r="G332">
            <v>12</v>
          </cell>
          <cell r="H332">
            <v>56.41</v>
          </cell>
          <cell r="I332">
            <v>2989.5035369780999</v>
          </cell>
          <cell r="J332">
            <v>0</v>
          </cell>
        </row>
        <row r="333">
          <cell r="E333">
            <v>10020024</v>
          </cell>
          <cell r="F333" t="str">
            <v>0120</v>
          </cell>
          <cell r="G333">
            <v>13</v>
          </cell>
          <cell r="H333">
            <v>81.150000000000006</v>
          </cell>
          <cell r="I333">
            <v>3858.4420430107011</v>
          </cell>
          <cell r="J333">
            <v>0</v>
          </cell>
        </row>
        <row r="334">
          <cell r="E334">
            <v>10020024</v>
          </cell>
          <cell r="F334" t="str">
            <v>0121</v>
          </cell>
          <cell r="G334">
            <v>13</v>
          </cell>
          <cell r="H334">
            <v>44.06</v>
          </cell>
          <cell r="I334">
            <v>1687.3989921360003</v>
          </cell>
          <cell r="J334">
            <v>0</v>
          </cell>
        </row>
        <row r="335">
          <cell r="E335">
            <v>10020024</v>
          </cell>
          <cell r="F335" t="str">
            <v>0123</v>
          </cell>
          <cell r="G335">
            <v>13</v>
          </cell>
          <cell r="H335">
            <v>120.58</v>
          </cell>
          <cell r="I335">
            <v>4688.0091474479996</v>
          </cell>
          <cell r="J335">
            <v>0</v>
          </cell>
        </row>
        <row r="336">
          <cell r="E336">
            <v>10020024</v>
          </cell>
          <cell r="F336" t="str">
            <v>0129</v>
          </cell>
          <cell r="G336">
            <v>13</v>
          </cell>
          <cell r="H336">
            <v>245.25</v>
          </cell>
          <cell r="I336">
            <v>9356.0656959000007</v>
          </cell>
          <cell r="J336">
            <v>0</v>
          </cell>
        </row>
        <row r="337">
          <cell r="E337">
            <v>10020024</v>
          </cell>
          <cell r="F337" t="str">
            <v>0131</v>
          </cell>
          <cell r="G337">
            <v>13</v>
          </cell>
          <cell r="H337">
            <v>15.919999999999998</v>
          </cell>
          <cell r="I337">
            <v>607.33360195199998</v>
          </cell>
          <cell r="J337">
            <v>0</v>
          </cell>
        </row>
        <row r="338">
          <cell r="E338">
            <v>10020024</v>
          </cell>
          <cell r="F338" t="str">
            <v>0133</v>
          </cell>
          <cell r="G338">
            <v>11</v>
          </cell>
          <cell r="H338">
            <v>40.399999999999991</v>
          </cell>
          <cell r="I338">
            <v>1573.2202622400002</v>
          </cell>
          <cell r="J338">
            <v>0</v>
          </cell>
        </row>
        <row r="339">
          <cell r="E339">
            <v>10020024</v>
          </cell>
          <cell r="F339" t="str">
            <v>0134</v>
          </cell>
          <cell r="G339">
            <v>12</v>
          </cell>
          <cell r="H339">
            <v>23.75</v>
          </cell>
          <cell r="I339">
            <v>949.93133400000011</v>
          </cell>
          <cell r="J339">
            <v>0</v>
          </cell>
        </row>
        <row r="340">
          <cell r="E340">
            <v>10020024</v>
          </cell>
          <cell r="F340" t="str">
            <v>0135</v>
          </cell>
          <cell r="G340">
            <v>11</v>
          </cell>
          <cell r="H340">
            <v>74.61</v>
          </cell>
          <cell r="I340">
            <v>2905.3951427160005</v>
          </cell>
          <cell r="J340">
            <v>0</v>
          </cell>
        </row>
        <row r="341">
          <cell r="E341">
            <v>10020024</v>
          </cell>
          <cell r="F341" t="str">
            <v>0136</v>
          </cell>
          <cell r="G341">
            <v>6</v>
          </cell>
          <cell r="H341">
            <v>8.8299999999999983</v>
          </cell>
          <cell r="I341">
            <v>341.8540341480001</v>
          </cell>
          <cell r="J341">
            <v>0</v>
          </cell>
        </row>
        <row r="342">
          <cell r="E342">
            <v>10020024</v>
          </cell>
          <cell r="F342" t="str">
            <v>0140</v>
          </cell>
          <cell r="G342">
            <v>13</v>
          </cell>
          <cell r="H342">
            <v>27.819999999999997</v>
          </cell>
          <cell r="I342">
            <v>1142.123704524</v>
          </cell>
          <cell r="J342">
            <v>0</v>
          </cell>
        </row>
        <row r="343">
          <cell r="E343">
            <v>10020024</v>
          </cell>
          <cell r="F343" t="str">
            <v>0142</v>
          </cell>
          <cell r="G343">
            <v>12</v>
          </cell>
          <cell r="H343">
            <v>48.890000000000008</v>
          </cell>
          <cell r="I343">
            <v>1903.8301638840001</v>
          </cell>
          <cell r="J343">
            <v>0</v>
          </cell>
        </row>
        <row r="344">
          <cell r="E344">
            <v>10020024</v>
          </cell>
          <cell r="F344" t="str">
            <v>0143</v>
          </cell>
          <cell r="G344">
            <v>13</v>
          </cell>
          <cell r="H344">
            <v>29.32</v>
          </cell>
          <cell r="I344">
            <v>2110.8324518427003</v>
          </cell>
          <cell r="J344">
            <v>0</v>
          </cell>
        </row>
        <row r="345">
          <cell r="E345">
            <v>10020024</v>
          </cell>
          <cell r="F345" t="str">
            <v>0145</v>
          </cell>
          <cell r="G345">
            <v>4</v>
          </cell>
          <cell r="H345">
            <v>8.1399999999999988</v>
          </cell>
          <cell r="I345">
            <v>316.98051818400006</v>
          </cell>
          <cell r="J345">
            <v>0</v>
          </cell>
        </row>
        <row r="346">
          <cell r="E346">
            <v>10020024</v>
          </cell>
          <cell r="F346" t="str">
            <v>0148</v>
          </cell>
          <cell r="G346">
            <v>11</v>
          </cell>
          <cell r="H346">
            <v>30.530000000000005</v>
          </cell>
          <cell r="I346">
            <v>1615.8745382310003</v>
          </cell>
          <cell r="J346">
            <v>0</v>
          </cell>
        </row>
        <row r="347">
          <cell r="E347">
            <v>10020024</v>
          </cell>
          <cell r="F347" t="str">
            <v>0150</v>
          </cell>
          <cell r="G347">
            <v>13</v>
          </cell>
          <cell r="H347">
            <v>60.069999999999993</v>
          </cell>
          <cell r="I347">
            <v>2291.6161726920004</v>
          </cell>
          <cell r="J347">
            <v>0</v>
          </cell>
        </row>
        <row r="348">
          <cell r="E348">
            <v>10020024</v>
          </cell>
          <cell r="F348" t="str">
            <v>0151</v>
          </cell>
          <cell r="G348">
            <v>12</v>
          </cell>
          <cell r="H348">
            <v>99.53</v>
          </cell>
          <cell r="I348">
            <v>4516.1502626255015</v>
          </cell>
          <cell r="J348">
            <v>0</v>
          </cell>
        </row>
        <row r="349">
          <cell r="E349">
            <v>10020024</v>
          </cell>
          <cell r="F349" t="str">
            <v>0155</v>
          </cell>
          <cell r="G349">
            <v>8</v>
          </cell>
          <cell r="H349">
            <v>20.110000000000003</v>
          </cell>
          <cell r="I349">
            <v>825.34687369200014</v>
          </cell>
          <cell r="J349">
            <v>0</v>
          </cell>
        </row>
        <row r="350">
          <cell r="E350">
            <v>10020024</v>
          </cell>
          <cell r="F350" t="str">
            <v>0157</v>
          </cell>
          <cell r="G350">
            <v>6</v>
          </cell>
          <cell r="H350">
            <v>18.48</v>
          </cell>
          <cell r="I350">
            <v>710.38088668800003</v>
          </cell>
          <cell r="J350">
            <v>0</v>
          </cell>
        </row>
        <row r="351">
          <cell r="E351">
            <v>10020024</v>
          </cell>
          <cell r="F351" t="str">
            <v>0161</v>
          </cell>
          <cell r="G351">
            <v>5</v>
          </cell>
          <cell r="H351">
            <v>11.56</v>
          </cell>
          <cell r="I351">
            <v>450.15906513600004</v>
          </cell>
          <cell r="J351">
            <v>0</v>
          </cell>
        </row>
        <row r="352">
          <cell r="E352">
            <v>10020024</v>
          </cell>
          <cell r="F352" t="str">
            <v>0164</v>
          </cell>
          <cell r="G352">
            <v>6</v>
          </cell>
          <cell r="H352">
            <v>8.52</v>
          </cell>
          <cell r="I352">
            <v>330.51885451200008</v>
          </cell>
          <cell r="J352">
            <v>0</v>
          </cell>
        </row>
        <row r="353">
          <cell r="E353">
            <v>10020024</v>
          </cell>
          <cell r="F353" t="str">
            <v>0166</v>
          </cell>
          <cell r="G353">
            <v>13</v>
          </cell>
          <cell r="H353">
            <v>41.98</v>
          </cell>
          <cell r="I353">
            <v>1629.6783932879998</v>
          </cell>
          <cell r="J353">
            <v>0</v>
          </cell>
        </row>
        <row r="354">
          <cell r="E354">
            <v>10020024</v>
          </cell>
          <cell r="F354" t="str">
            <v>0167</v>
          </cell>
          <cell r="G354">
            <v>12</v>
          </cell>
          <cell r="H354">
            <v>21.099999999999998</v>
          </cell>
          <cell r="I354">
            <v>1280.3745438000001</v>
          </cell>
          <cell r="J354">
            <v>0</v>
          </cell>
        </row>
        <row r="355">
          <cell r="E355">
            <v>10020024</v>
          </cell>
          <cell r="F355" t="str">
            <v>0168</v>
          </cell>
          <cell r="G355">
            <v>10</v>
          </cell>
          <cell r="H355">
            <v>40.470000000000006</v>
          </cell>
          <cell r="I355">
            <v>1792.1830132737</v>
          </cell>
          <cell r="J355">
            <v>0</v>
          </cell>
        </row>
        <row r="356">
          <cell r="E356">
            <v>10020024</v>
          </cell>
          <cell r="F356" t="str">
            <v>0169</v>
          </cell>
          <cell r="G356">
            <v>10</v>
          </cell>
          <cell r="H356">
            <v>35.15</v>
          </cell>
          <cell r="I356">
            <v>1837.2289877073001</v>
          </cell>
          <cell r="J356">
            <v>0</v>
          </cell>
        </row>
        <row r="357">
          <cell r="E357">
            <v>10020024</v>
          </cell>
          <cell r="F357" t="str">
            <v>0172</v>
          </cell>
          <cell r="G357">
            <v>11</v>
          </cell>
          <cell r="H357">
            <v>60.8</v>
          </cell>
          <cell r="I357">
            <v>2319.4650124800005</v>
          </cell>
          <cell r="J357">
            <v>0</v>
          </cell>
        </row>
        <row r="358">
          <cell r="E358">
            <v>10020024</v>
          </cell>
          <cell r="F358" t="str">
            <v>0173</v>
          </cell>
          <cell r="G358">
            <v>12</v>
          </cell>
          <cell r="H358">
            <v>44.19</v>
          </cell>
          <cell r="I358">
            <v>1720.8070145640004</v>
          </cell>
          <cell r="J358">
            <v>0</v>
          </cell>
        </row>
        <row r="359">
          <cell r="E359">
            <v>10020024</v>
          </cell>
          <cell r="F359" t="str">
            <v>0174</v>
          </cell>
          <cell r="G359">
            <v>11</v>
          </cell>
          <cell r="H359">
            <v>17.059999999999999</v>
          </cell>
          <cell r="I359">
            <v>650.82357093600012</v>
          </cell>
          <cell r="J359">
            <v>0</v>
          </cell>
        </row>
        <row r="360">
          <cell r="E360">
            <v>10020024</v>
          </cell>
          <cell r="F360" t="str">
            <v>0175</v>
          </cell>
          <cell r="G360">
            <v>9</v>
          </cell>
          <cell r="H360">
            <v>24.589999999999996</v>
          </cell>
          <cell r="I360">
            <v>939.75738080400015</v>
          </cell>
          <cell r="J360">
            <v>0</v>
          </cell>
        </row>
        <row r="361">
          <cell r="E361">
            <v>10020024</v>
          </cell>
          <cell r="F361" t="str">
            <v>0176</v>
          </cell>
          <cell r="G361">
            <v>13</v>
          </cell>
          <cell r="H361">
            <v>54.27</v>
          </cell>
          <cell r="I361">
            <v>2106.9180582120007</v>
          </cell>
          <cell r="J361">
            <v>0</v>
          </cell>
        </row>
        <row r="362">
          <cell r="E362">
            <v>10020024</v>
          </cell>
          <cell r="F362" t="str">
            <v>0177</v>
          </cell>
          <cell r="G362">
            <v>12</v>
          </cell>
          <cell r="H362">
            <v>18.54</v>
          </cell>
          <cell r="I362">
            <v>707.28423242400004</v>
          </cell>
          <cell r="J362">
            <v>0</v>
          </cell>
        </row>
        <row r="363">
          <cell r="E363">
            <v>10020024</v>
          </cell>
          <cell r="F363" t="str">
            <v>0178</v>
          </cell>
          <cell r="G363">
            <v>10</v>
          </cell>
          <cell r="H363">
            <v>33.46</v>
          </cell>
          <cell r="I363">
            <v>1773.2456718186002</v>
          </cell>
          <cell r="J363">
            <v>0</v>
          </cell>
        </row>
        <row r="364">
          <cell r="E364">
            <v>10020024</v>
          </cell>
          <cell r="F364" t="str">
            <v>0179</v>
          </cell>
          <cell r="G364">
            <v>6</v>
          </cell>
          <cell r="H364">
            <v>15.209999999999999</v>
          </cell>
          <cell r="I364">
            <v>612.59190141600004</v>
          </cell>
          <cell r="J364">
            <v>0</v>
          </cell>
        </row>
        <row r="365">
          <cell r="E365">
            <v>10020024</v>
          </cell>
          <cell r="F365" t="str">
            <v>0181</v>
          </cell>
          <cell r="G365">
            <v>11</v>
          </cell>
          <cell r="H365">
            <v>33.270000000000003</v>
          </cell>
          <cell r="I365">
            <v>1739.7142632131006</v>
          </cell>
          <cell r="J365">
            <v>0</v>
          </cell>
        </row>
        <row r="366">
          <cell r="E366">
            <v>10020024</v>
          </cell>
          <cell r="F366" t="str">
            <v>0183</v>
          </cell>
          <cell r="G366">
            <v>13</v>
          </cell>
          <cell r="H366">
            <v>37.660000000000004</v>
          </cell>
          <cell r="I366">
            <v>1436.6949402959999</v>
          </cell>
          <cell r="J366">
            <v>0</v>
          </cell>
        </row>
        <row r="367">
          <cell r="E367">
            <v>10020025</v>
          </cell>
          <cell r="F367" t="str">
            <v>0001</v>
          </cell>
          <cell r="G367">
            <v>12</v>
          </cell>
          <cell r="H367">
            <v>14.299999999999999</v>
          </cell>
          <cell r="I367">
            <v>569.97880156799999</v>
          </cell>
          <cell r="J367">
            <v>0</v>
          </cell>
        </row>
        <row r="368">
          <cell r="E368">
            <v>10020025</v>
          </cell>
          <cell r="F368" t="str">
            <v>0002</v>
          </cell>
          <cell r="G368">
            <v>14</v>
          </cell>
          <cell r="H368">
            <v>626.16</v>
          </cell>
          <cell r="I368">
            <v>24491.100002292002</v>
          </cell>
          <cell r="J368">
            <v>3304</v>
          </cell>
        </row>
        <row r="369">
          <cell r="E369">
            <v>10020025</v>
          </cell>
          <cell r="F369" t="str">
            <v>0016</v>
          </cell>
          <cell r="G369">
            <v>12</v>
          </cell>
          <cell r="H369">
            <v>30.560000000000002</v>
          </cell>
          <cell r="I369">
            <v>1175.5298190240001</v>
          </cell>
          <cell r="J369">
            <v>0</v>
          </cell>
        </row>
        <row r="370">
          <cell r="E370">
            <v>10020025</v>
          </cell>
          <cell r="F370" t="str">
            <v>0022</v>
          </cell>
          <cell r="G370">
            <v>10</v>
          </cell>
          <cell r="H370">
            <v>42.25</v>
          </cell>
          <cell r="I370">
            <v>1737.4723245000002</v>
          </cell>
          <cell r="J370">
            <v>0</v>
          </cell>
        </row>
        <row r="371">
          <cell r="E371">
            <v>10020025</v>
          </cell>
          <cell r="F371" t="str">
            <v>0025</v>
          </cell>
          <cell r="G371">
            <v>6</v>
          </cell>
          <cell r="H371">
            <v>26.240000000000002</v>
          </cell>
          <cell r="I371">
            <v>999.14118123600019</v>
          </cell>
          <cell r="J371">
            <v>0</v>
          </cell>
        </row>
        <row r="372">
          <cell r="E372">
            <v>10020025</v>
          </cell>
          <cell r="F372" t="str">
            <v>0035</v>
          </cell>
          <cell r="G372">
            <v>1</v>
          </cell>
          <cell r="H372">
            <v>1.67</v>
          </cell>
          <cell r="I372">
            <v>69.220033740000005</v>
          </cell>
          <cell r="J372">
            <v>0</v>
          </cell>
        </row>
        <row r="373">
          <cell r="E373">
            <v>10020025</v>
          </cell>
          <cell r="F373" t="str">
            <v>0043</v>
          </cell>
          <cell r="G373">
            <v>13</v>
          </cell>
          <cell r="H373">
            <v>103.91</v>
          </cell>
          <cell r="I373">
            <v>3913.9877985120002</v>
          </cell>
          <cell r="J373">
            <v>0</v>
          </cell>
        </row>
        <row r="374">
          <cell r="E374">
            <v>10020025</v>
          </cell>
          <cell r="F374" t="str">
            <v>0044</v>
          </cell>
          <cell r="G374">
            <v>12</v>
          </cell>
          <cell r="H374">
            <v>42.180000000000007</v>
          </cell>
          <cell r="I374">
            <v>1505.5659301320002</v>
          </cell>
          <cell r="J374">
            <v>0</v>
          </cell>
        </row>
        <row r="375">
          <cell r="E375">
            <v>10020025</v>
          </cell>
          <cell r="F375" t="str">
            <v>0050</v>
          </cell>
          <cell r="G375">
            <v>11</v>
          </cell>
          <cell r="H375">
            <v>262.57</v>
          </cell>
          <cell r="I375">
            <v>10434.567008052001</v>
          </cell>
          <cell r="J375">
            <v>0</v>
          </cell>
        </row>
        <row r="376">
          <cell r="E376">
            <v>10020025</v>
          </cell>
          <cell r="F376" t="str">
            <v>0056</v>
          </cell>
          <cell r="G376">
            <v>13</v>
          </cell>
          <cell r="H376">
            <v>52.629999999999995</v>
          </cell>
          <cell r="I376">
            <v>1915.8090229080003</v>
          </cell>
          <cell r="J376">
            <v>0</v>
          </cell>
        </row>
        <row r="377">
          <cell r="E377">
            <v>10020025</v>
          </cell>
          <cell r="F377" t="str">
            <v>0069</v>
          </cell>
          <cell r="G377">
            <v>13</v>
          </cell>
          <cell r="H377">
            <v>38.290000000000006</v>
          </cell>
          <cell r="I377">
            <v>1545.9484875119999</v>
          </cell>
          <cell r="J377">
            <v>0</v>
          </cell>
        </row>
        <row r="378">
          <cell r="E378">
            <v>10020025</v>
          </cell>
          <cell r="F378" t="str">
            <v>0077</v>
          </cell>
          <cell r="G378">
            <v>12</v>
          </cell>
          <cell r="H378">
            <v>31.230000000000004</v>
          </cell>
          <cell r="I378">
            <v>2198.8415648024002</v>
          </cell>
          <cell r="J378">
            <v>0</v>
          </cell>
        </row>
        <row r="379">
          <cell r="E379">
            <v>10020025</v>
          </cell>
          <cell r="F379" t="str">
            <v>0087</v>
          </cell>
          <cell r="G379">
            <v>13</v>
          </cell>
          <cell r="H379">
            <v>45.559999999999995</v>
          </cell>
          <cell r="I379">
            <v>1783.2504543479999</v>
          </cell>
          <cell r="J379">
            <v>0</v>
          </cell>
        </row>
        <row r="380">
          <cell r="E380">
            <v>10020025</v>
          </cell>
          <cell r="F380" t="str">
            <v>0089</v>
          </cell>
          <cell r="G380">
            <v>6</v>
          </cell>
          <cell r="H380">
            <v>14</v>
          </cell>
          <cell r="I380">
            <v>519.27531044400007</v>
          </cell>
          <cell r="J380">
            <v>0</v>
          </cell>
        </row>
        <row r="381">
          <cell r="E381">
            <v>10020025</v>
          </cell>
          <cell r="F381" t="str">
            <v>0097</v>
          </cell>
          <cell r="G381">
            <v>13</v>
          </cell>
          <cell r="H381">
            <v>53.09</v>
          </cell>
          <cell r="I381">
            <v>2026.1285118359999</v>
          </cell>
          <cell r="J381">
            <v>0</v>
          </cell>
        </row>
        <row r="382">
          <cell r="E382">
            <v>10020025</v>
          </cell>
          <cell r="F382" t="str">
            <v>0099</v>
          </cell>
          <cell r="G382">
            <v>12</v>
          </cell>
          <cell r="H382">
            <v>58.58</v>
          </cell>
          <cell r="I382">
            <v>2258.8951667040001</v>
          </cell>
          <cell r="J382">
            <v>0</v>
          </cell>
        </row>
        <row r="383">
          <cell r="E383">
            <v>10020025</v>
          </cell>
          <cell r="F383" t="str">
            <v>0100</v>
          </cell>
          <cell r="G383">
            <v>13</v>
          </cell>
          <cell r="H383">
            <v>112.68</v>
          </cell>
          <cell r="I383">
            <v>4472.921503908</v>
          </cell>
          <cell r="J383">
            <v>0</v>
          </cell>
        </row>
        <row r="384">
          <cell r="E384">
            <v>10020025</v>
          </cell>
          <cell r="F384" t="str">
            <v>0101</v>
          </cell>
          <cell r="G384">
            <v>13</v>
          </cell>
          <cell r="H384">
            <v>82.93</v>
          </cell>
          <cell r="I384">
            <v>3030.0993603143997</v>
          </cell>
          <cell r="J384">
            <v>0</v>
          </cell>
        </row>
        <row r="385">
          <cell r="E385">
            <v>10020025</v>
          </cell>
          <cell r="F385" t="str">
            <v>0102</v>
          </cell>
          <cell r="G385">
            <v>12</v>
          </cell>
          <cell r="H385">
            <v>55.74</v>
          </cell>
          <cell r="I385">
            <v>2219.3811802800005</v>
          </cell>
          <cell r="J385">
            <v>0</v>
          </cell>
        </row>
        <row r="386">
          <cell r="E386">
            <v>10020026</v>
          </cell>
          <cell r="F386" t="str">
            <v>0001</v>
          </cell>
          <cell r="G386">
            <v>3</v>
          </cell>
          <cell r="H386">
            <v>0.52</v>
          </cell>
          <cell r="I386">
            <v>20.859725066399999</v>
          </cell>
          <cell r="J386">
            <v>0</v>
          </cell>
        </row>
        <row r="387">
          <cell r="E387">
            <v>10020026</v>
          </cell>
          <cell r="F387" t="str">
            <v>0002</v>
          </cell>
          <cell r="G387">
            <v>9</v>
          </cell>
          <cell r="H387">
            <v>364.33</v>
          </cell>
          <cell r="I387">
            <v>14439.309441199202</v>
          </cell>
          <cell r="J387">
            <v>5534.2</v>
          </cell>
        </row>
        <row r="388">
          <cell r="E388">
            <v>10020026</v>
          </cell>
          <cell r="F388" t="str">
            <v>0007</v>
          </cell>
          <cell r="G388">
            <v>3</v>
          </cell>
          <cell r="H388">
            <v>11.5</v>
          </cell>
          <cell r="I388">
            <v>755.21574833038494</v>
          </cell>
          <cell r="J388">
            <v>0</v>
          </cell>
        </row>
        <row r="389">
          <cell r="E389">
            <v>10020026</v>
          </cell>
          <cell r="F389" t="str">
            <v>0029</v>
          </cell>
          <cell r="G389">
            <v>8</v>
          </cell>
          <cell r="H389">
            <v>34.94</v>
          </cell>
          <cell r="I389">
            <v>1213.8686910306001</v>
          </cell>
          <cell r="J389">
            <v>0</v>
          </cell>
        </row>
        <row r="390">
          <cell r="E390">
            <v>10020026</v>
          </cell>
          <cell r="F390" t="str">
            <v>0030</v>
          </cell>
          <cell r="G390">
            <v>3</v>
          </cell>
          <cell r="H390">
            <v>46.07</v>
          </cell>
          <cell r="I390">
            <v>1869.0776675999998</v>
          </cell>
          <cell r="J390">
            <v>0</v>
          </cell>
        </row>
        <row r="391">
          <cell r="E391">
            <v>10020027</v>
          </cell>
          <cell r="F391" t="str">
            <v>0002</v>
          </cell>
          <cell r="G391">
            <v>14</v>
          </cell>
          <cell r="H391">
            <v>308.50000000000006</v>
          </cell>
          <cell r="I391">
            <v>11549.305753920002</v>
          </cell>
          <cell r="J391">
            <v>0</v>
          </cell>
        </row>
        <row r="392">
          <cell r="E392">
            <v>10020029</v>
          </cell>
          <cell r="F392" t="str">
            <v>0001</v>
          </cell>
          <cell r="G392">
            <v>2</v>
          </cell>
          <cell r="H392">
            <v>4.8499999999999996</v>
          </cell>
          <cell r="I392">
            <v>196.99281241199998</v>
          </cell>
          <cell r="J392">
            <v>0</v>
          </cell>
        </row>
        <row r="393">
          <cell r="E393">
            <v>10020029</v>
          </cell>
          <cell r="F393" t="str">
            <v>0003</v>
          </cell>
          <cell r="G393">
            <v>10</v>
          </cell>
          <cell r="H393">
            <v>156.80000000000001</v>
          </cell>
          <cell r="I393">
            <v>6524.4453535414877</v>
          </cell>
          <cell r="J393">
            <v>0</v>
          </cell>
        </row>
        <row r="394">
          <cell r="E394">
            <v>10020029</v>
          </cell>
          <cell r="F394" t="str">
            <v>0029</v>
          </cell>
          <cell r="G394">
            <v>14</v>
          </cell>
          <cell r="H394">
            <v>110.82</v>
          </cell>
          <cell r="I394">
            <v>4619.2062680280005</v>
          </cell>
          <cell r="J394">
            <v>0</v>
          </cell>
        </row>
        <row r="395">
          <cell r="E395">
            <v>10020029</v>
          </cell>
          <cell r="F395" t="str">
            <v>0030</v>
          </cell>
          <cell r="G395">
            <v>12</v>
          </cell>
          <cell r="H395">
            <v>40.96</v>
          </cell>
          <cell r="I395">
            <v>1449.8410333176005</v>
          </cell>
          <cell r="J395">
            <v>0</v>
          </cell>
        </row>
        <row r="396">
          <cell r="E396">
            <v>10020029</v>
          </cell>
          <cell r="F396" t="str">
            <v>0034</v>
          </cell>
          <cell r="G396">
            <v>5</v>
          </cell>
          <cell r="H396">
            <v>11.57</v>
          </cell>
          <cell r="I396">
            <v>443.92597801200009</v>
          </cell>
          <cell r="J396">
            <v>0</v>
          </cell>
        </row>
        <row r="397">
          <cell r="E397">
            <v>10020029</v>
          </cell>
          <cell r="F397" t="str">
            <v>0038</v>
          </cell>
          <cell r="G397">
            <v>9</v>
          </cell>
          <cell r="H397">
            <v>36.089999999999996</v>
          </cell>
          <cell r="I397">
            <v>1259.3869350480002</v>
          </cell>
          <cell r="J397">
            <v>0</v>
          </cell>
        </row>
        <row r="398">
          <cell r="E398">
            <v>10020032</v>
          </cell>
          <cell r="F398" t="str">
            <v>0001</v>
          </cell>
          <cell r="G398">
            <v>12</v>
          </cell>
          <cell r="H398">
            <v>11.709999999999999</v>
          </cell>
          <cell r="I398">
            <v>545.29731461403003</v>
          </cell>
          <cell r="J398">
            <v>0</v>
          </cell>
        </row>
        <row r="399">
          <cell r="E399">
            <v>10020032</v>
          </cell>
          <cell r="F399" t="str">
            <v>0002</v>
          </cell>
          <cell r="G399">
            <v>14</v>
          </cell>
          <cell r="H399">
            <v>377.64</v>
          </cell>
          <cell r="I399">
            <v>15972.690557242217</v>
          </cell>
          <cell r="J399">
            <v>1073.8</v>
          </cell>
        </row>
        <row r="400">
          <cell r="E400">
            <v>10020032</v>
          </cell>
          <cell r="F400" t="str">
            <v>0005</v>
          </cell>
          <cell r="G400">
            <v>14</v>
          </cell>
          <cell r="H400">
            <v>28.480000000000008</v>
          </cell>
          <cell r="I400">
            <v>1114.42358016</v>
          </cell>
          <cell r="J400">
            <v>0</v>
          </cell>
        </row>
        <row r="401">
          <cell r="E401">
            <v>10020032</v>
          </cell>
          <cell r="F401" t="str">
            <v>0008</v>
          </cell>
          <cell r="G401">
            <v>14</v>
          </cell>
          <cell r="H401">
            <v>44</v>
          </cell>
          <cell r="I401">
            <v>2147.7958319517302</v>
          </cell>
          <cell r="J401">
            <v>0</v>
          </cell>
        </row>
        <row r="402">
          <cell r="E402">
            <v>10020032</v>
          </cell>
          <cell r="F402" t="str">
            <v>0009</v>
          </cell>
          <cell r="G402">
            <v>14</v>
          </cell>
          <cell r="H402">
            <v>125.8</v>
          </cell>
          <cell r="I402">
            <v>4634.0769838770002</v>
          </cell>
          <cell r="J402">
            <v>0</v>
          </cell>
        </row>
        <row r="403">
          <cell r="E403">
            <v>10020032</v>
          </cell>
          <cell r="F403" t="str">
            <v>0010</v>
          </cell>
          <cell r="G403">
            <v>14</v>
          </cell>
          <cell r="H403">
            <v>27.200000000000003</v>
          </cell>
          <cell r="I403">
            <v>1117.1449114617001</v>
          </cell>
          <cell r="J403">
            <v>0</v>
          </cell>
        </row>
        <row r="404">
          <cell r="E404">
            <v>10020032</v>
          </cell>
          <cell r="F404" t="str">
            <v>0014</v>
          </cell>
          <cell r="G404">
            <v>7</v>
          </cell>
          <cell r="H404">
            <v>11.2</v>
          </cell>
          <cell r="I404">
            <v>458.03194182423005</v>
          </cell>
          <cell r="J404">
            <v>0</v>
          </cell>
        </row>
        <row r="405">
          <cell r="E405">
            <v>10020032</v>
          </cell>
          <cell r="F405" t="str">
            <v>0016</v>
          </cell>
          <cell r="G405">
            <v>14</v>
          </cell>
          <cell r="H405">
            <v>44.639999999999993</v>
          </cell>
          <cell r="I405">
            <v>1872.2024169156002</v>
          </cell>
          <cell r="J405">
            <v>0</v>
          </cell>
        </row>
        <row r="406">
          <cell r="E406">
            <v>10020032</v>
          </cell>
          <cell r="F406" t="str">
            <v>0020</v>
          </cell>
          <cell r="G406">
            <v>12</v>
          </cell>
          <cell r="H406">
            <v>24.930000000000003</v>
          </cell>
          <cell r="I406">
            <v>1511.9084120433702</v>
          </cell>
          <cell r="J406">
            <v>0</v>
          </cell>
        </row>
        <row r="407">
          <cell r="E407">
            <v>10020032</v>
          </cell>
          <cell r="F407" t="str">
            <v>0024</v>
          </cell>
          <cell r="G407">
            <v>11</v>
          </cell>
          <cell r="H407">
            <v>28.539999999999996</v>
          </cell>
          <cell r="I407">
            <v>1060.9993327824</v>
          </cell>
          <cell r="J407">
            <v>0</v>
          </cell>
        </row>
        <row r="408">
          <cell r="E408">
            <v>10020032</v>
          </cell>
          <cell r="F408" t="str">
            <v>0026</v>
          </cell>
          <cell r="G408">
            <v>12</v>
          </cell>
          <cell r="H408">
            <v>15.39</v>
          </cell>
          <cell r="I408">
            <v>591.8527892574001</v>
          </cell>
          <cell r="J408">
            <v>0</v>
          </cell>
        </row>
        <row r="409">
          <cell r="E409">
            <v>10020032</v>
          </cell>
          <cell r="F409" t="str">
            <v>0048</v>
          </cell>
          <cell r="G409">
            <v>4</v>
          </cell>
          <cell r="H409">
            <v>30.12</v>
          </cell>
          <cell r="I409">
            <v>1566.1820377602</v>
          </cell>
          <cell r="J409">
            <v>0</v>
          </cell>
        </row>
        <row r="410">
          <cell r="E410">
            <v>10020032</v>
          </cell>
          <cell r="F410" t="str">
            <v>0050</v>
          </cell>
          <cell r="G410">
            <v>13</v>
          </cell>
          <cell r="H410">
            <v>58.499999999999993</v>
          </cell>
          <cell r="I410">
            <v>2364.8519786241477</v>
          </cell>
          <cell r="J410">
            <v>0</v>
          </cell>
        </row>
        <row r="411">
          <cell r="E411">
            <v>10020032</v>
          </cell>
          <cell r="F411" t="str">
            <v>0054</v>
          </cell>
          <cell r="G411">
            <v>5</v>
          </cell>
          <cell r="H411">
            <v>6.45</v>
          </cell>
          <cell r="I411">
            <v>288.42655377525</v>
          </cell>
          <cell r="J411">
            <v>0</v>
          </cell>
        </row>
        <row r="412">
          <cell r="E412">
            <v>10020032</v>
          </cell>
          <cell r="F412" t="str">
            <v>0062</v>
          </cell>
          <cell r="G412">
            <v>14</v>
          </cell>
          <cell r="H412">
            <v>258.5</v>
          </cell>
          <cell r="I412">
            <v>11642.180501270443</v>
          </cell>
          <cell r="J412">
            <v>0</v>
          </cell>
        </row>
        <row r="413">
          <cell r="E413">
            <v>10020032</v>
          </cell>
          <cell r="F413" t="str">
            <v>0063</v>
          </cell>
          <cell r="G413">
            <v>13</v>
          </cell>
          <cell r="H413">
            <v>128.61000000000001</v>
          </cell>
          <cell r="I413">
            <v>5388.4584714471603</v>
          </cell>
          <cell r="J413">
            <v>0</v>
          </cell>
        </row>
        <row r="414">
          <cell r="E414">
            <v>10020032</v>
          </cell>
          <cell r="F414" t="str">
            <v>0072</v>
          </cell>
          <cell r="G414">
            <v>14</v>
          </cell>
          <cell r="H414">
            <v>38.930000000000007</v>
          </cell>
          <cell r="I414">
            <v>1450.6464123360001</v>
          </cell>
          <cell r="J414">
            <v>0</v>
          </cell>
        </row>
        <row r="415">
          <cell r="E415">
            <v>10020032</v>
          </cell>
          <cell r="F415" t="str">
            <v>0079</v>
          </cell>
          <cell r="G415">
            <v>14</v>
          </cell>
          <cell r="H415">
            <v>45.7</v>
          </cell>
          <cell r="I415">
            <v>1854.0619657560005</v>
          </cell>
          <cell r="J415">
            <v>0</v>
          </cell>
        </row>
        <row r="416">
          <cell r="E416">
            <v>10020032</v>
          </cell>
          <cell r="F416" t="str">
            <v>0080</v>
          </cell>
          <cell r="G416">
            <v>13</v>
          </cell>
          <cell r="H416">
            <v>26.860000000000003</v>
          </cell>
          <cell r="I416">
            <v>1292.6151426883901</v>
          </cell>
          <cell r="J416">
            <v>0</v>
          </cell>
        </row>
        <row r="417">
          <cell r="E417">
            <v>10020032</v>
          </cell>
          <cell r="F417" t="str">
            <v>0081</v>
          </cell>
          <cell r="G417">
            <v>7</v>
          </cell>
          <cell r="H417">
            <v>8.39</v>
          </cell>
          <cell r="I417">
            <v>609.08640205239999</v>
          </cell>
          <cell r="J417">
            <v>0</v>
          </cell>
        </row>
        <row r="418">
          <cell r="E418">
            <v>10020032</v>
          </cell>
          <cell r="F418" t="str">
            <v>0082</v>
          </cell>
          <cell r="G418">
            <v>14</v>
          </cell>
          <cell r="H418">
            <v>53.209999999999994</v>
          </cell>
          <cell r="I418">
            <v>2622.3132747444206</v>
          </cell>
          <cell r="J418">
            <v>0</v>
          </cell>
        </row>
        <row r="419">
          <cell r="E419">
            <v>10020034</v>
          </cell>
          <cell r="F419" t="str">
            <v>0001</v>
          </cell>
          <cell r="G419">
            <v>14</v>
          </cell>
          <cell r="H419">
            <v>14.600000000000001</v>
          </cell>
          <cell r="I419">
            <v>592.26076720800006</v>
          </cell>
          <cell r="J419">
            <v>0</v>
          </cell>
        </row>
        <row r="420">
          <cell r="E420">
            <v>10020034</v>
          </cell>
          <cell r="F420" t="str">
            <v>0002</v>
          </cell>
          <cell r="G420">
            <v>11</v>
          </cell>
          <cell r="H420">
            <v>135.88999999999999</v>
          </cell>
          <cell r="I420">
            <v>5477.9195971830004</v>
          </cell>
          <cell r="J420">
            <v>3304</v>
          </cell>
        </row>
        <row r="421">
          <cell r="E421">
            <v>10020034</v>
          </cell>
          <cell r="F421" t="str">
            <v>0005</v>
          </cell>
          <cell r="G421">
            <v>7</v>
          </cell>
          <cell r="H421">
            <v>104.13</v>
          </cell>
          <cell r="I421">
            <v>3903.0421636800011</v>
          </cell>
          <cell r="J421">
            <v>0</v>
          </cell>
        </row>
        <row r="422">
          <cell r="E422">
            <v>10020034</v>
          </cell>
          <cell r="F422" t="str">
            <v>0006</v>
          </cell>
          <cell r="G422">
            <v>12</v>
          </cell>
          <cell r="H422">
            <v>43.94</v>
          </cell>
          <cell r="I422">
            <v>2559.3621747317302</v>
          </cell>
          <cell r="J422">
            <v>0</v>
          </cell>
        </row>
        <row r="423">
          <cell r="E423">
            <v>10020034</v>
          </cell>
          <cell r="F423" t="str">
            <v>0019</v>
          </cell>
          <cell r="G423">
            <v>5</v>
          </cell>
          <cell r="H423">
            <v>19.55</v>
          </cell>
          <cell r="I423">
            <v>1000.1369264718401</v>
          </cell>
          <cell r="J423">
            <v>0</v>
          </cell>
        </row>
        <row r="424">
          <cell r="E424">
            <v>10020034</v>
          </cell>
          <cell r="F424" t="str">
            <v>0022</v>
          </cell>
          <cell r="G424">
            <v>14</v>
          </cell>
          <cell r="H424">
            <v>70.459999999999994</v>
          </cell>
          <cell r="I424">
            <v>2523.2952049074001</v>
          </cell>
          <cell r="J424">
            <v>0</v>
          </cell>
        </row>
        <row r="425">
          <cell r="E425">
            <v>10020034</v>
          </cell>
          <cell r="F425" t="str">
            <v>0032</v>
          </cell>
          <cell r="G425">
            <v>13</v>
          </cell>
          <cell r="H425">
            <v>42.44</v>
          </cell>
          <cell r="I425">
            <v>2363.3038095832999</v>
          </cell>
          <cell r="J425">
            <v>0</v>
          </cell>
        </row>
        <row r="426">
          <cell r="E426">
            <v>10020034</v>
          </cell>
          <cell r="F426" t="str">
            <v>0035</v>
          </cell>
          <cell r="G426">
            <v>8</v>
          </cell>
          <cell r="H426">
            <v>20.94</v>
          </cell>
          <cell r="I426">
            <v>730.14263389979999</v>
          </cell>
          <cell r="J426">
            <v>0</v>
          </cell>
        </row>
        <row r="427">
          <cell r="E427">
            <v>10020034</v>
          </cell>
          <cell r="F427" t="str">
            <v>0036</v>
          </cell>
          <cell r="G427">
            <v>1</v>
          </cell>
          <cell r="H427">
            <v>3.36</v>
          </cell>
          <cell r="I427">
            <v>127.73735251200003</v>
          </cell>
          <cell r="J427">
            <v>0</v>
          </cell>
        </row>
        <row r="428">
          <cell r="E428">
            <v>10020034</v>
          </cell>
          <cell r="F428" t="str">
            <v>0039</v>
          </cell>
          <cell r="G428">
            <v>7</v>
          </cell>
          <cell r="H428">
            <v>35.430000000000007</v>
          </cell>
          <cell r="I428">
            <v>1464.5653113960002</v>
          </cell>
          <cell r="J428">
            <v>0</v>
          </cell>
        </row>
        <row r="429">
          <cell r="E429">
            <v>10020034</v>
          </cell>
          <cell r="F429" t="str">
            <v>0052</v>
          </cell>
          <cell r="G429">
            <v>7</v>
          </cell>
          <cell r="H429">
            <v>17.580000000000002</v>
          </cell>
          <cell r="I429">
            <v>644.45021427600011</v>
          </cell>
          <cell r="J429">
            <v>0</v>
          </cell>
        </row>
        <row r="430">
          <cell r="E430">
            <v>10020034</v>
          </cell>
          <cell r="F430" t="str">
            <v>0053</v>
          </cell>
          <cell r="G430">
            <v>6</v>
          </cell>
          <cell r="H430">
            <v>13.92</v>
          </cell>
          <cell r="I430">
            <v>587.36677824000003</v>
          </cell>
          <cell r="J430">
            <v>0</v>
          </cell>
        </row>
        <row r="431">
          <cell r="E431">
            <v>10020034</v>
          </cell>
          <cell r="F431" t="str">
            <v>0055</v>
          </cell>
          <cell r="G431">
            <v>14</v>
          </cell>
          <cell r="H431">
            <v>63.099999999999987</v>
          </cell>
          <cell r="I431">
            <v>2984.1936783181</v>
          </cell>
          <cell r="J431">
            <v>0</v>
          </cell>
        </row>
        <row r="432">
          <cell r="E432">
            <v>10020034</v>
          </cell>
          <cell r="F432" t="str">
            <v>0060</v>
          </cell>
          <cell r="G432">
            <v>13</v>
          </cell>
          <cell r="H432">
            <v>60.190000000000005</v>
          </cell>
          <cell r="I432">
            <v>2257.1180438400002</v>
          </cell>
          <cell r="J432">
            <v>0</v>
          </cell>
        </row>
        <row r="433">
          <cell r="E433">
            <v>10020034</v>
          </cell>
          <cell r="F433" t="str">
            <v>0063</v>
          </cell>
          <cell r="G433">
            <v>7</v>
          </cell>
          <cell r="H433">
            <v>20.03</v>
          </cell>
          <cell r="I433">
            <v>866.71515687570013</v>
          </cell>
          <cell r="J433">
            <v>0</v>
          </cell>
        </row>
        <row r="434">
          <cell r="E434">
            <v>10020034</v>
          </cell>
          <cell r="F434" t="str">
            <v>0068</v>
          </cell>
          <cell r="G434">
            <v>14</v>
          </cell>
          <cell r="H434">
            <v>49.82</v>
          </cell>
          <cell r="I434">
            <v>3003.5859964435003</v>
          </cell>
          <cell r="J434">
            <v>0</v>
          </cell>
        </row>
        <row r="435">
          <cell r="E435">
            <v>10020034</v>
          </cell>
          <cell r="F435" t="str">
            <v>0073</v>
          </cell>
          <cell r="G435">
            <v>6</v>
          </cell>
          <cell r="H435">
            <v>25.09</v>
          </cell>
          <cell r="I435">
            <v>941.82674454000016</v>
          </cell>
          <cell r="J435">
            <v>0</v>
          </cell>
        </row>
        <row r="436">
          <cell r="E436">
            <v>10020034</v>
          </cell>
          <cell r="F436" t="str">
            <v>0079</v>
          </cell>
          <cell r="G436">
            <v>1</v>
          </cell>
          <cell r="H436">
            <v>1.41</v>
          </cell>
          <cell r="I436">
            <v>65.735843355</v>
          </cell>
          <cell r="J436">
            <v>0</v>
          </cell>
        </row>
        <row r="437">
          <cell r="E437">
            <v>10020034</v>
          </cell>
          <cell r="F437" t="str">
            <v>0084</v>
          </cell>
          <cell r="G437">
            <v>5</v>
          </cell>
          <cell r="H437">
            <v>24.41</v>
          </cell>
          <cell r="I437">
            <v>825.62914607580012</v>
          </cell>
          <cell r="J437">
            <v>0</v>
          </cell>
        </row>
        <row r="438">
          <cell r="E438">
            <v>10020034</v>
          </cell>
          <cell r="F438" t="str">
            <v>0088</v>
          </cell>
          <cell r="G438">
            <v>13</v>
          </cell>
          <cell r="H438">
            <v>70.38000000000001</v>
          </cell>
          <cell r="I438">
            <v>2653.6599266760004</v>
          </cell>
          <cell r="J438">
            <v>0</v>
          </cell>
        </row>
        <row r="439">
          <cell r="E439">
            <v>10020034</v>
          </cell>
          <cell r="F439" t="str">
            <v>0091</v>
          </cell>
          <cell r="G439">
            <v>14</v>
          </cell>
          <cell r="H439">
            <v>49.43</v>
          </cell>
          <cell r="I439">
            <v>2364.8115907195997</v>
          </cell>
          <cell r="J439">
            <v>0</v>
          </cell>
        </row>
        <row r="440">
          <cell r="E440">
            <v>10020034</v>
          </cell>
          <cell r="F440" t="str">
            <v>0094</v>
          </cell>
          <cell r="G440">
            <v>6</v>
          </cell>
          <cell r="H440">
            <v>19.329999999999998</v>
          </cell>
          <cell r="I440">
            <v>1378.0724991606</v>
          </cell>
          <cell r="J440">
            <v>0</v>
          </cell>
        </row>
        <row r="441">
          <cell r="E441">
            <v>10020034</v>
          </cell>
          <cell r="F441" t="str">
            <v>0095</v>
          </cell>
          <cell r="G441">
            <v>9</v>
          </cell>
          <cell r="H441">
            <v>34.980000000000004</v>
          </cell>
          <cell r="I441">
            <v>1278.5767275600003</v>
          </cell>
          <cell r="J441">
            <v>0</v>
          </cell>
        </row>
        <row r="442">
          <cell r="E442">
            <v>10020034</v>
          </cell>
          <cell r="F442" t="str">
            <v>0096</v>
          </cell>
          <cell r="G442">
            <v>13</v>
          </cell>
          <cell r="H442">
            <v>68.529999999999987</v>
          </cell>
          <cell r="I442">
            <v>2706.683958396</v>
          </cell>
          <cell r="J442">
            <v>0</v>
          </cell>
        </row>
        <row r="443">
          <cell r="E443">
            <v>10020034</v>
          </cell>
          <cell r="F443" t="str">
            <v>0105</v>
          </cell>
          <cell r="G443">
            <v>6</v>
          </cell>
          <cell r="H443">
            <v>47.76</v>
          </cell>
          <cell r="I443">
            <v>1650.9855423600002</v>
          </cell>
          <cell r="J443">
            <v>0</v>
          </cell>
        </row>
        <row r="444">
          <cell r="E444">
            <v>10020034</v>
          </cell>
          <cell r="F444" t="str">
            <v>0107</v>
          </cell>
          <cell r="G444">
            <v>13</v>
          </cell>
          <cell r="H444">
            <v>51.36</v>
          </cell>
          <cell r="I444">
            <v>1867.6224159120002</v>
          </cell>
          <cell r="J444">
            <v>0</v>
          </cell>
        </row>
        <row r="445">
          <cell r="E445">
            <v>10020034</v>
          </cell>
          <cell r="F445" t="str">
            <v>0113</v>
          </cell>
          <cell r="G445">
            <v>5</v>
          </cell>
          <cell r="H445">
            <v>6.25</v>
          </cell>
          <cell r="I445">
            <v>364.05630410909998</v>
          </cell>
          <cell r="J445">
            <v>0</v>
          </cell>
        </row>
        <row r="446">
          <cell r="E446">
            <v>10020034</v>
          </cell>
          <cell r="F446" t="str">
            <v>0116</v>
          </cell>
          <cell r="G446">
            <v>12</v>
          </cell>
          <cell r="H446">
            <v>21.060000000000002</v>
          </cell>
          <cell r="I446">
            <v>958.2378105480002</v>
          </cell>
          <cell r="J446">
            <v>0</v>
          </cell>
        </row>
        <row r="447">
          <cell r="E447">
            <v>10020034</v>
          </cell>
          <cell r="F447" t="str">
            <v>0117</v>
          </cell>
          <cell r="G447">
            <v>8</v>
          </cell>
          <cell r="H447">
            <v>39.300000000000004</v>
          </cell>
          <cell r="I447">
            <v>1852.9454239726504</v>
          </cell>
          <cell r="J447">
            <v>0</v>
          </cell>
        </row>
        <row r="448">
          <cell r="E448">
            <v>10020034</v>
          </cell>
          <cell r="F448" t="str">
            <v>0118</v>
          </cell>
          <cell r="G448">
            <v>6</v>
          </cell>
          <cell r="H448">
            <v>35.699999999999996</v>
          </cell>
          <cell r="I448">
            <v>1375.9802234640001</v>
          </cell>
          <cell r="J448">
            <v>0</v>
          </cell>
        </row>
        <row r="449">
          <cell r="E449">
            <v>10020034</v>
          </cell>
          <cell r="F449" t="str">
            <v>0119</v>
          </cell>
          <cell r="G449">
            <v>14</v>
          </cell>
          <cell r="H449">
            <v>131.51</v>
          </cell>
          <cell r="I449">
            <v>4983.520124484</v>
          </cell>
          <cell r="J449">
            <v>0</v>
          </cell>
        </row>
        <row r="450">
          <cell r="E450">
            <v>10020035</v>
          </cell>
          <cell r="F450" t="str">
            <v>0001</v>
          </cell>
          <cell r="G450">
            <v>14</v>
          </cell>
          <cell r="H450">
            <v>31</v>
          </cell>
          <cell r="I450">
            <v>1305.6520084210003</v>
          </cell>
          <cell r="J450">
            <v>0</v>
          </cell>
        </row>
        <row r="451">
          <cell r="E451">
            <v>10020035</v>
          </cell>
          <cell r="F451" t="str">
            <v>0002</v>
          </cell>
          <cell r="G451">
            <v>11</v>
          </cell>
          <cell r="H451">
            <v>258</v>
          </cell>
          <cell r="I451">
            <v>10318.801628527001</v>
          </cell>
          <cell r="J451">
            <v>265.5</v>
          </cell>
        </row>
        <row r="452">
          <cell r="E452">
            <v>10020035</v>
          </cell>
          <cell r="F452" t="str">
            <v>0008</v>
          </cell>
          <cell r="G452">
            <v>3</v>
          </cell>
          <cell r="H452">
            <v>15</v>
          </cell>
          <cell r="I452">
            <v>573.95754474000012</v>
          </cell>
          <cell r="J452">
            <v>0</v>
          </cell>
        </row>
        <row r="453">
          <cell r="E453">
            <v>10020035</v>
          </cell>
          <cell r="F453" t="str">
            <v>0009</v>
          </cell>
          <cell r="G453">
            <v>14</v>
          </cell>
          <cell r="H453">
            <v>929</v>
          </cell>
          <cell r="I453">
            <v>41447.911227640005</v>
          </cell>
          <cell r="J453">
            <v>0</v>
          </cell>
        </row>
        <row r="454">
          <cell r="E454">
            <v>10020035</v>
          </cell>
          <cell r="F454" t="str">
            <v>0042</v>
          </cell>
          <cell r="G454">
            <v>13</v>
          </cell>
          <cell r="H454">
            <v>548</v>
          </cell>
          <cell r="I454">
            <v>21751.018743430002</v>
          </cell>
          <cell r="J454">
            <v>0</v>
          </cell>
        </row>
        <row r="455">
          <cell r="E455">
            <v>10020035</v>
          </cell>
          <cell r="F455" t="str">
            <v>0043</v>
          </cell>
          <cell r="G455">
            <v>1</v>
          </cell>
          <cell r="H455">
            <v>10</v>
          </cell>
          <cell r="I455">
            <v>369.61055999999996</v>
          </cell>
          <cell r="J455">
            <v>0</v>
          </cell>
        </row>
        <row r="456">
          <cell r="E456">
            <v>10020035</v>
          </cell>
          <cell r="F456" t="str">
            <v>0045</v>
          </cell>
          <cell r="G456">
            <v>1</v>
          </cell>
          <cell r="H456">
            <v>20</v>
          </cell>
          <cell r="I456">
            <v>755.06112000000007</v>
          </cell>
          <cell r="J456">
            <v>0</v>
          </cell>
        </row>
        <row r="457">
          <cell r="E457">
            <v>10020035</v>
          </cell>
          <cell r="F457" t="str">
            <v>0046</v>
          </cell>
          <cell r="G457">
            <v>1</v>
          </cell>
          <cell r="H457">
            <v>30</v>
          </cell>
          <cell r="I457">
            <v>1203.8716800000002</v>
          </cell>
          <cell r="J457">
            <v>0</v>
          </cell>
        </row>
        <row r="458">
          <cell r="E458">
            <v>10020038</v>
          </cell>
          <cell r="F458" t="str">
            <v>0001</v>
          </cell>
          <cell r="G458">
            <v>14</v>
          </cell>
          <cell r="H458">
            <v>4.620000000000001</v>
          </cell>
          <cell r="I458">
            <v>191.36426363999999</v>
          </cell>
          <cell r="J458">
            <v>0</v>
          </cell>
        </row>
        <row r="459">
          <cell r="E459">
            <v>10020038</v>
          </cell>
          <cell r="F459" t="str">
            <v>0002</v>
          </cell>
          <cell r="G459">
            <v>13</v>
          </cell>
          <cell r="H459">
            <v>90.240000000000009</v>
          </cell>
          <cell r="I459">
            <v>3487.1985012585606</v>
          </cell>
          <cell r="J459">
            <v>0</v>
          </cell>
        </row>
        <row r="460">
          <cell r="E460">
            <v>10020038</v>
          </cell>
          <cell r="F460" t="str">
            <v>0006</v>
          </cell>
          <cell r="G460">
            <v>1</v>
          </cell>
          <cell r="H460">
            <v>3.53</v>
          </cell>
          <cell r="I460">
            <v>135.13236066000002</v>
          </cell>
          <cell r="J460">
            <v>0</v>
          </cell>
        </row>
        <row r="461">
          <cell r="E461">
            <v>10020038</v>
          </cell>
          <cell r="F461" t="str">
            <v>0014</v>
          </cell>
          <cell r="G461">
            <v>14</v>
          </cell>
          <cell r="H461">
            <v>140.00999999999996</v>
          </cell>
          <cell r="I461">
            <v>6128.7920433213994</v>
          </cell>
          <cell r="J461">
            <v>0</v>
          </cell>
        </row>
        <row r="462">
          <cell r="E462">
            <v>10020038</v>
          </cell>
          <cell r="F462" t="str">
            <v>0018</v>
          </cell>
          <cell r="G462">
            <v>14</v>
          </cell>
          <cell r="H462">
            <v>32.65</v>
          </cell>
          <cell r="I462">
            <v>1450.0548431684999</v>
          </cell>
          <cell r="J462">
            <v>0</v>
          </cell>
        </row>
        <row r="463">
          <cell r="E463">
            <v>10020038</v>
          </cell>
          <cell r="F463" t="str">
            <v>0039</v>
          </cell>
          <cell r="G463">
            <v>8</v>
          </cell>
          <cell r="H463">
            <v>12.139999999999999</v>
          </cell>
          <cell r="I463">
            <v>470.584094112</v>
          </cell>
          <cell r="J463">
            <v>0</v>
          </cell>
        </row>
        <row r="464">
          <cell r="E464">
            <v>10020038</v>
          </cell>
          <cell r="F464" t="str">
            <v>0042</v>
          </cell>
          <cell r="G464">
            <v>11</v>
          </cell>
          <cell r="H464">
            <v>32.33</v>
          </cell>
          <cell r="I464">
            <v>1196.8291478880001</v>
          </cell>
          <cell r="J464">
            <v>0</v>
          </cell>
        </row>
        <row r="465">
          <cell r="E465">
            <v>10020038</v>
          </cell>
          <cell r="F465" t="str">
            <v>0056</v>
          </cell>
          <cell r="G465">
            <v>12</v>
          </cell>
          <cell r="H465">
            <v>37.729999999999997</v>
          </cell>
          <cell r="I465">
            <v>1382.7247647840002</v>
          </cell>
          <cell r="J465">
            <v>0</v>
          </cell>
        </row>
        <row r="466">
          <cell r="E466">
            <v>10020041</v>
          </cell>
          <cell r="F466" t="str">
            <v>0002</v>
          </cell>
          <cell r="G466">
            <v>13</v>
          </cell>
          <cell r="H466">
            <v>43.060000000000009</v>
          </cell>
          <cell r="I466">
            <v>2122.84651269803</v>
          </cell>
          <cell r="J466">
            <v>847</v>
          </cell>
        </row>
        <row r="467">
          <cell r="E467">
            <v>10020041</v>
          </cell>
          <cell r="F467" t="str">
            <v>0007</v>
          </cell>
          <cell r="G467">
            <v>8</v>
          </cell>
          <cell r="H467">
            <v>18.96</v>
          </cell>
          <cell r="I467">
            <v>1152.9323096038001</v>
          </cell>
          <cell r="J467">
            <v>0</v>
          </cell>
        </row>
        <row r="468">
          <cell r="E468">
            <v>10020041</v>
          </cell>
          <cell r="F468" t="str">
            <v>0014</v>
          </cell>
          <cell r="G468">
            <v>13</v>
          </cell>
          <cell r="H468">
            <v>21.85</v>
          </cell>
          <cell r="I468">
            <v>1201.3166934436401</v>
          </cell>
          <cell r="J468">
            <v>0</v>
          </cell>
        </row>
        <row r="469">
          <cell r="E469">
            <v>10020041</v>
          </cell>
          <cell r="F469" t="str">
            <v>0015</v>
          </cell>
          <cell r="G469">
            <v>11</v>
          </cell>
          <cell r="H469">
            <v>28.880000000000003</v>
          </cell>
          <cell r="I469">
            <v>1400.6503689872559</v>
          </cell>
          <cell r="J469">
            <v>0</v>
          </cell>
        </row>
        <row r="470">
          <cell r="E470">
            <v>10020041</v>
          </cell>
          <cell r="F470" t="str">
            <v>0017</v>
          </cell>
          <cell r="G470">
            <v>14</v>
          </cell>
          <cell r="H470">
            <v>90.160000000000011</v>
          </cell>
          <cell r="I470">
            <v>3335.4497677500453</v>
          </cell>
          <cell r="J470">
            <v>0</v>
          </cell>
        </row>
        <row r="471">
          <cell r="E471">
            <v>10020041</v>
          </cell>
          <cell r="F471" t="str">
            <v>0018</v>
          </cell>
          <cell r="G471">
            <v>10</v>
          </cell>
          <cell r="H471">
            <v>56.820000000000007</v>
          </cell>
          <cell r="I471">
            <v>3322.8641377382346</v>
          </cell>
          <cell r="J471">
            <v>0</v>
          </cell>
        </row>
        <row r="472">
          <cell r="E472">
            <v>10020041</v>
          </cell>
          <cell r="F472" t="str">
            <v>0029</v>
          </cell>
          <cell r="G472">
            <v>14</v>
          </cell>
          <cell r="H472">
            <v>94.59</v>
          </cell>
          <cell r="I472">
            <v>3994.0812274572004</v>
          </cell>
          <cell r="J472">
            <v>0</v>
          </cell>
        </row>
        <row r="473">
          <cell r="E473">
            <v>10020042</v>
          </cell>
          <cell r="F473" t="str">
            <v>0002</v>
          </cell>
          <cell r="G473">
            <v>14</v>
          </cell>
          <cell r="H473">
            <v>768.0999999999998</v>
          </cell>
          <cell r="I473">
            <v>29709.061295760006</v>
          </cell>
          <cell r="J473">
            <v>3132.9</v>
          </cell>
        </row>
        <row r="474">
          <cell r="E474">
            <v>10020043</v>
          </cell>
          <cell r="F474" t="str">
            <v>0001</v>
          </cell>
          <cell r="G474">
            <v>13</v>
          </cell>
          <cell r="H474">
            <v>11.13</v>
          </cell>
          <cell r="I474">
            <v>496.8501539949001</v>
          </cell>
          <cell r="J474">
            <v>0</v>
          </cell>
        </row>
        <row r="475">
          <cell r="E475">
            <v>10020043</v>
          </cell>
          <cell r="F475" t="str">
            <v>0002</v>
          </cell>
          <cell r="G475">
            <v>14</v>
          </cell>
          <cell r="H475">
            <v>420.10999999999996</v>
          </cell>
          <cell r="I475">
            <v>18489.420687088983</v>
          </cell>
          <cell r="J475">
            <v>330.4</v>
          </cell>
        </row>
        <row r="476">
          <cell r="E476">
            <v>10020043</v>
          </cell>
          <cell r="F476" t="str">
            <v>0003</v>
          </cell>
          <cell r="G476">
            <v>6</v>
          </cell>
          <cell r="H476">
            <v>13.03</v>
          </cell>
          <cell r="I476">
            <v>848.38080294995996</v>
          </cell>
          <cell r="J476">
            <v>0</v>
          </cell>
        </row>
        <row r="477">
          <cell r="E477">
            <v>10020043</v>
          </cell>
          <cell r="F477" t="str">
            <v>0007</v>
          </cell>
          <cell r="G477">
            <v>7</v>
          </cell>
          <cell r="H477">
            <v>50</v>
          </cell>
          <cell r="I477">
            <v>2000.1634630560002</v>
          </cell>
          <cell r="J477">
            <v>0</v>
          </cell>
        </row>
        <row r="478">
          <cell r="E478">
            <v>10020043</v>
          </cell>
          <cell r="F478" t="str">
            <v>0010</v>
          </cell>
          <cell r="G478">
            <v>14</v>
          </cell>
          <cell r="H478">
            <v>128.27000000000001</v>
          </cell>
          <cell r="I478">
            <v>4696.7257909440004</v>
          </cell>
          <cell r="J478">
            <v>0</v>
          </cell>
        </row>
        <row r="479">
          <cell r="E479">
            <v>10020043</v>
          </cell>
          <cell r="F479" t="str">
            <v>0011</v>
          </cell>
          <cell r="G479">
            <v>13</v>
          </cell>
          <cell r="H479">
            <v>335.81</v>
          </cell>
          <cell r="I479">
            <v>15468.534157127253</v>
          </cell>
          <cell r="J479">
            <v>0</v>
          </cell>
        </row>
        <row r="480">
          <cell r="E480">
            <v>10020043</v>
          </cell>
          <cell r="F480" t="str">
            <v>0012</v>
          </cell>
          <cell r="G480">
            <v>13</v>
          </cell>
          <cell r="H480">
            <v>145.81000000000003</v>
          </cell>
          <cell r="I480">
            <v>6161.8275715748005</v>
          </cell>
          <cell r="J480">
            <v>0</v>
          </cell>
        </row>
        <row r="481">
          <cell r="E481">
            <v>10020043</v>
          </cell>
          <cell r="F481" t="str">
            <v>0013</v>
          </cell>
          <cell r="G481">
            <v>14</v>
          </cell>
          <cell r="H481">
            <v>382.93</v>
          </cell>
          <cell r="I481">
            <v>18619.126274819162</v>
          </cell>
          <cell r="J481">
            <v>0</v>
          </cell>
        </row>
        <row r="482">
          <cell r="E482">
            <v>10020043</v>
          </cell>
          <cell r="F482" t="str">
            <v>0022</v>
          </cell>
          <cell r="G482">
            <v>13</v>
          </cell>
          <cell r="H482">
            <v>30.8</v>
          </cell>
          <cell r="I482">
            <v>2015.3727940809104</v>
          </cell>
          <cell r="J482">
            <v>0</v>
          </cell>
        </row>
        <row r="483">
          <cell r="E483">
            <v>10020044</v>
          </cell>
          <cell r="F483" t="str">
            <v>0001</v>
          </cell>
          <cell r="G483">
            <v>13</v>
          </cell>
          <cell r="H483">
            <v>8.9699999999999989</v>
          </cell>
          <cell r="I483">
            <v>380.213461188</v>
          </cell>
          <cell r="J483">
            <v>0</v>
          </cell>
        </row>
        <row r="484">
          <cell r="E484">
            <v>10020044</v>
          </cell>
          <cell r="F484" t="str">
            <v>0002</v>
          </cell>
          <cell r="G484">
            <v>2</v>
          </cell>
          <cell r="H484">
            <v>2.81</v>
          </cell>
          <cell r="I484">
            <v>131.22664962000002</v>
          </cell>
          <cell r="J484">
            <v>0</v>
          </cell>
        </row>
        <row r="485">
          <cell r="E485">
            <v>10020044</v>
          </cell>
          <cell r="F485" t="str">
            <v>0004</v>
          </cell>
          <cell r="G485">
            <v>14</v>
          </cell>
          <cell r="H485">
            <v>107.27000000000001</v>
          </cell>
          <cell r="I485">
            <v>4065.1499045520009</v>
          </cell>
          <cell r="J485">
            <v>0</v>
          </cell>
        </row>
        <row r="486">
          <cell r="E486">
            <v>10020044</v>
          </cell>
          <cell r="F486" t="str">
            <v>0008</v>
          </cell>
          <cell r="G486">
            <v>14</v>
          </cell>
          <cell r="H486">
            <v>20.650000000000002</v>
          </cell>
          <cell r="I486">
            <v>1450.3611956574603</v>
          </cell>
          <cell r="J486">
            <v>0</v>
          </cell>
        </row>
        <row r="487">
          <cell r="E487">
            <v>10020044</v>
          </cell>
          <cell r="F487" t="str">
            <v>0009</v>
          </cell>
          <cell r="G487">
            <v>14</v>
          </cell>
          <cell r="H487">
            <v>61.289999999999992</v>
          </cell>
          <cell r="I487">
            <v>2454.5723637600004</v>
          </cell>
          <cell r="J487">
            <v>0</v>
          </cell>
        </row>
        <row r="488">
          <cell r="E488">
            <v>10020044</v>
          </cell>
          <cell r="F488" t="str">
            <v>0010</v>
          </cell>
          <cell r="G488">
            <v>14</v>
          </cell>
          <cell r="H488">
            <v>138.81000000000003</v>
          </cell>
          <cell r="I488">
            <v>6174.1590164524514</v>
          </cell>
          <cell r="J488">
            <v>0</v>
          </cell>
        </row>
        <row r="489">
          <cell r="E489">
            <v>10020044</v>
          </cell>
          <cell r="F489" t="str">
            <v>0011</v>
          </cell>
          <cell r="G489">
            <v>12</v>
          </cell>
          <cell r="H489">
            <v>42.85</v>
          </cell>
          <cell r="I489">
            <v>1601.42304762</v>
          </cell>
          <cell r="J489">
            <v>0</v>
          </cell>
        </row>
        <row r="490">
          <cell r="E490">
            <v>10020044</v>
          </cell>
          <cell r="F490" t="str">
            <v>0014</v>
          </cell>
          <cell r="G490">
            <v>14</v>
          </cell>
          <cell r="H490">
            <v>105.76999999999998</v>
          </cell>
          <cell r="I490">
            <v>4040.286714288</v>
          </cell>
          <cell r="J490">
            <v>0</v>
          </cell>
        </row>
        <row r="491">
          <cell r="E491">
            <v>10020044</v>
          </cell>
          <cell r="F491" t="str">
            <v>0017</v>
          </cell>
          <cell r="G491">
            <v>14</v>
          </cell>
          <cell r="H491">
            <v>82.68</v>
          </cell>
          <cell r="I491">
            <v>3107.4635853360005</v>
          </cell>
          <cell r="J491">
            <v>0</v>
          </cell>
        </row>
        <row r="492">
          <cell r="E492">
            <v>10020044</v>
          </cell>
          <cell r="F492" t="str">
            <v>0018</v>
          </cell>
          <cell r="G492">
            <v>14</v>
          </cell>
          <cell r="H492">
            <v>67.06</v>
          </cell>
          <cell r="I492">
            <v>3600.6533055952</v>
          </cell>
          <cell r="J492">
            <v>0</v>
          </cell>
        </row>
        <row r="493">
          <cell r="E493">
            <v>10020044</v>
          </cell>
          <cell r="F493" t="str">
            <v>0019</v>
          </cell>
          <cell r="G493">
            <v>7</v>
          </cell>
          <cell r="H493">
            <v>25.590000000000003</v>
          </cell>
          <cell r="I493">
            <v>1005.4098925200001</v>
          </cell>
          <cell r="J493">
            <v>0</v>
          </cell>
        </row>
        <row r="494">
          <cell r="E494">
            <v>10020044</v>
          </cell>
          <cell r="F494" t="str">
            <v>0020</v>
          </cell>
          <cell r="G494">
            <v>14</v>
          </cell>
          <cell r="H494">
            <v>140.54000000000002</v>
          </cell>
          <cell r="I494">
            <v>8275.5032772246104</v>
          </cell>
          <cell r="J494">
            <v>0</v>
          </cell>
        </row>
        <row r="495">
          <cell r="E495">
            <v>10020044</v>
          </cell>
          <cell r="F495" t="str">
            <v>0023</v>
          </cell>
          <cell r="G495">
            <v>14</v>
          </cell>
          <cell r="H495">
            <v>42.639999999999993</v>
          </cell>
          <cell r="I495">
            <v>1896.8256206164683</v>
          </cell>
          <cell r="J495">
            <v>0</v>
          </cell>
        </row>
        <row r="496">
          <cell r="E496">
            <v>10020044</v>
          </cell>
          <cell r="F496" t="str">
            <v>0026</v>
          </cell>
          <cell r="G496">
            <v>13</v>
          </cell>
          <cell r="H496">
            <v>65.760000000000005</v>
          </cell>
          <cell r="I496">
            <v>3184.3763187353106</v>
          </cell>
          <cell r="J496">
            <v>0</v>
          </cell>
        </row>
        <row r="497">
          <cell r="E497">
            <v>10020044</v>
          </cell>
          <cell r="F497" t="str">
            <v>0030</v>
          </cell>
          <cell r="G497">
            <v>14</v>
          </cell>
          <cell r="H497">
            <v>58.66</v>
          </cell>
          <cell r="I497">
            <v>2236.4351760960003</v>
          </cell>
          <cell r="J497">
            <v>0</v>
          </cell>
        </row>
        <row r="498">
          <cell r="E498">
            <v>10020044</v>
          </cell>
          <cell r="F498" t="str">
            <v>0044</v>
          </cell>
          <cell r="G498">
            <v>14</v>
          </cell>
          <cell r="H498">
            <v>47.07</v>
          </cell>
          <cell r="I498">
            <v>1756.44823266</v>
          </cell>
          <cell r="J498">
            <v>0</v>
          </cell>
        </row>
        <row r="499">
          <cell r="E499">
            <v>10020044</v>
          </cell>
          <cell r="F499" t="str">
            <v>0049</v>
          </cell>
          <cell r="G499">
            <v>14</v>
          </cell>
          <cell r="H499">
            <v>114.72999999999999</v>
          </cell>
          <cell r="I499">
            <v>4415.1387052740001</v>
          </cell>
          <cell r="J499">
            <v>0</v>
          </cell>
        </row>
        <row r="500">
          <cell r="E500">
            <v>10020044</v>
          </cell>
          <cell r="F500" t="str">
            <v>0054</v>
          </cell>
          <cell r="G500">
            <v>14</v>
          </cell>
          <cell r="H500">
            <v>108.13999999999997</v>
          </cell>
          <cell r="I500">
            <v>4073.0345627400002</v>
          </cell>
          <cell r="J500">
            <v>0</v>
          </cell>
        </row>
        <row r="501">
          <cell r="E501">
            <v>10020044</v>
          </cell>
          <cell r="F501" t="str">
            <v>0055</v>
          </cell>
          <cell r="G501">
            <v>7</v>
          </cell>
          <cell r="H501">
            <v>19.46</v>
          </cell>
          <cell r="I501">
            <v>728.02332385199998</v>
          </cell>
          <cell r="J501">
            <v>0</v>
          </cell>
        </row>
        <row r="502">
          <cell r="E502">
            <v>10020044</v>
          </cell>
          <cell r="F502" t="str">
            <v>0056</v>
          </cell>
          <cell r="G502">
            <v>7</v>
          </cell>
          <cell r="H502">
            <v>14.83</v>
          </cell>
          <cell r="I502">
            <v>637.86040797600015</v>
          </cell>
          <cell r="J502">
            <v>0</v>
          </cell>
        </row>
        <row r="503">
          <cell r="E503">
            <v>10020044</v>
          </cell>
          <cell r="F503" t="str">
            <v>0057</v>
          </cell>
          <cell r="G503">
            <v>14</v>
          </cell>
          <cell r="H503">
            <v>83.57</v>
          </cell>
          <cell r="I503">
            <v>3145.8763428839998</v>
          </cell>
          <cell r="J503">
            <v>0</v>
          </cell>
        </row>
        <row r="504">
          <cell r="E504">
            <v>10020044</v>
          </cell>
          <cell r="F504" t="str">
            <v>0058</v>
          </cell>
          <cell r="G504">
            <v>14</v>
          </cell>
          <cell r="H504">
            <v>38.970000000000006</v>
          </cell>
          <cell r="I504">
            <v>2062.6536074579503</v>
          </cell>
          <cell r="J504">
            <v>0</v>
          </cell>
        </row>
        <row r="505">
          <cell r="E505">
            <v>10020044</v>
          </cell>
          <cell r="F505" t="str">
            <v>0059</v>
          </cell>
          <cell r="G505">
            <v>10</v>
          </cell>
          <cell r="H505">
            <v>16.57</v>
          </cell>
          <cell r="I505">
            <v>669.69148395600018</v>
          </cell>
          <cell r="J505">
            <v>0</v>
          </cell>
        </row>
        <row r="506">
          <cell r="E506">
            <v>10020050</v>
          </cell>
          <cell r="F506" t="str">
            <v>0001</v>
          </cell>
          <cell r="G506">
            <v>14</v>
          </cell>
          <cell r="H506">
            <v>5.9899999999999993</v>
          </cell>
          <cell r="I506">
            <v>227.3284842642</v>
          </cell>
          <cell r="J506">
            <v>0</v>
          </cell>
        </row>
        <row r="507">
          <cell r="E507">
            <v>10020050</v>
          </cell>
          <cell r="F507" t="str">
            <v>0002</v>
          </cell>
          <cell r="G507">
            <v>9</v>
          </cell>
          <cell r="H507">
            <v>260.65000000000003</v>
          </cell>
          <cell r="I507">
            <v>10011.548591767803</v>
          </cell>
          <cell r="J507">
            <v>0</v>
          </cell>
        </row>
        <row r="508">
          <cell r="E508">
            <v>10020050</v>
          </cell>
          <cell r="F508" t="str">
            <v>0006</v>
          </cell>
          <cell r="G508">
            <v>7</v>
          </cell>
          <cell r="H508">
            <v>94.720000000000013</v>
          </cell>
          <cell r="I508">
            <v>3621.0566723760007</v>
          </cell>
          <cell r="J508">
            <v>0</v>
          </cell>
        </row>
        <row r="509">
          <cell r="E509">
            <v>10020050</v>
          </cell>
          <cell r="F509" t="str">
            <v>0012</v>
          </cell>
          <cell r="G509">
            <v>14</v>
          </cell>
          <cell r="H509">
            <v>206.25999999999996</v>
          </cell>
          <cell r="I509">
            <v>7450.7943295368004</v>
          </cell>
          <cell r="J509">
            <v>0</v>
          </cell>
        </row>
        <row r="510">
          <cell r="E510">
            <v>10020050</v>
          </cell>
          <cell r="F510" t="str">
            <v>0016</v>
          </cell>
          <cell r="G510">
            <v>14</v>
          </cell>
          <cell r="H510">
            <v>111.63</v>
          </cell>
          <cell r="I510">
            <v>4504.9950401468805</v>
          </cell>
          <cell r="J510">
            <v>0</v>
          </cell>
        </row>
        <row r="511">
          <cell r="E511">
            <v>10020050</v>
          </cell>
          <cell r="F511" t="str">
            <v>0017</v>
          </cell>
          <cell r="G511">
            <v>5</v>
          </cell>
          <cell r="H511">
            <v>13.82</v>
          </cell>
          <cell r="I511">
            <v>572.12324552592008</v>
          </cell>
          <cell r="J511">
            <v>0</v>
          </cell>
        </row>
        <row r="512">
          <cell r="E512">
            <v>10020050</v>
          </cell>
          <cell r="F512" t="str">
            <v>0021</v>
          </cell>
          <cell r="G512">
            <v>14</v>
          </cell>
          <cell r="H512">
            <v>78.63</v>
          </cell>
          <cell r="I512">
            <v>2817.6390404514</v>
          </cell>
          <cell r="J512">
            <v>0</v>
          </cell>
        </row>
        <row r="513">
          <cell r="E513">
            <v>10020050</v>
          </cell>
          <cell r="F513" t="str">
            <v>0022</v>
          </cell>
          <cell r="G513">
            <v>14</v>
          </cell>
          <cell r="H513">
            <v>572.54000000000008</v>
          </cell>
          <cell r="I513">
            <v>22741.265484115203</v>
          </cell>
          <cell r="J513">
            <v>0</v>
          </cell>
        </row>
        <row r="514">
          <cell r="E514">
            <v>10020050</v>
          </cell>
          <cell r="F514" t="str">
            <v>0025</v>
          </cell>
          <cell r="G514">
            <v>13</v>
          </cell>
          <cell r="H514">
            <v>95.77</v>
          </cell>
          <cell r="I514">
            <v>4753.8937763140402</v>
          </cell>
          <cell r="J514">
            <v>0</v>
          </cell>
        </row>
        <row r="515">
          <cell r="E515">
            <v>10020050</v>
          </cell>
          <cell r="F515" t="str">
            <v>0029</v>
          </cell>
          <cell r="G515">
            <v>14</v>
          </cell>
          <cell r="H515">
            <v>75.139999999999986</v>
          </cell>
          <cell r="I515">
            <v>2709.5484085560006</v>
          </cell>
          <cell r="J515">
            <v>0</v>
          </cell>
        </row>
        <row r="516">
          <cell r="E516">
            <v>10020057</v>
          </cell>
          <cell r="F516" t="str">
            <v>0001</v>
          </cell>
          <cell r="G516">
            <v>12</v>
          </cell>
          <cell r="H516">
            <v>31.3</v>
          </cell>
          <cell r="I516">
            <v>1438.2102691712901</v>
          </cell>
          <cell r="J516">
            <v>0</v>
          </cell>
        </row>
        <row r="517">
          <cell r="E517">
            <v>10020057</v>
          </cell>
          <cell r="F517" t="str">
            <v>0002</v>
          </cell>
          <cell r="G517">
            <v>12</v>
          </cell>
          <cell r="H517">
            <v>655.12000000000012</v>
          </cell>
          <cell r="I517">
            <v>33454.1146582535</v>
          </cell>
          <cell r="J517">
            <v>0</v>
          </cell>
        </row>
        <row r="518">
          <cell r="E518">
            <v>10020057</v>
          </cell>
          <cell r="F518" t="str">
            <v>0004</v>
          </cell>
          <cell r="G518">
            <v>12</v>
          </cell>
          <cell r="H518">
            <v>39.550000000000004</v>
          </cell>
          <cell r="I518">
            <v>1508.857912188</v>
          </cell>
          <cell r="J518">
            <v>0</v>
          </cell>
        </row>
        <row r="519">
          <cell r="E519">
            <v>10020057</v>
          </cell>
          <cell r="F519" t="str">
            <v>0005</v>
          </cell>
          <cell r="G519">
            <v>11</v>
          </cell>
          <cell r="H519">
            <v>39.790000000000006</v>
          </cell>
          <cell r="I519">
            <v>1292.4714055968</v>
          </cell>
          <cell r="J519">
            <v>0</v>
          </cell>
        </row>
        <row r="520">
          <cell r="E520">
            <v>10020057</v>
          </cell>
          <cell r="F520" t="str">
            <v>0006</v>
          </cell>
          <cell r="G520">
            <v>10</v>
          </cell>
          <cell r="H520">
            <v>22.07</v>
          </cell>
          <cell r="I520">
            <v>878.95044190800002</v>
          </cell>
          <cell r="J520">
            <v>0</v>
          </cell>
        </row>
        <row r="521">
          <cell r="E521">
            <v>10020057</v>
          </cell>
          <cell r="F521" t="str">
            <v>0010</v>
          </cell>
          <cell r="G521">
            <v>10</v>
          </cell>
          <cell r="H521">
            <v>82.36</v>
          </cell>
          <cell r="I521">
            <v>5473.193955056101</v>
          </cell>
          <cell r="J521">
            <v>0</v>
          </cell>
        </row>
        <row r="522">
          <cell r="E522">
            <v>10020057</v>
          </cell>
          <cell r="F522" t="str">
            <v>0013</v>
          </cell>
          <cell r="G522">
            <v>12</v>
          </cell>
          <cell r="H522">
            <v>87.279999999999987</v>
          </cell>
          <cell r="I522">
            <v>3545.9481035880003</v>
          </cell>
          <cell r="J522">
            <v>0</v>
          </cell>
        </row>
        <row r="523">
          <cell r="E523">
            <v>10020057</v>
          </cell>
          <cell r="F523" t="str">
            <v>0017</v>
          </cell>
          <cell r="G523">
            <v>11</v>
          </cell>
          <cell r="H523">
            <v>43.15</v>
          </cell>
          <cell r="I523">
            <v>2527.0987072885</v>
          </cell>
          <cell r="J523">
            <v>0</v>
          </cell>
        </row>
        <row r="524">
          <cell r="E524">
            <v>10020057</v>
          </cell>
          <cell r="F524" t="str">
            <v>0020</v>
          </cell>
          <cell r="G524">
            <v>12</v>
          </cell>
          <cell r="H524">
            <v>48.07</v>
          </cell>
          <cell r="I524">
            <v>2238.1247645296999</v>
          </cell>
          <cell r="J524">
            <v>0</v>
          </cell>
        </row>
        <row r="525">
          <cell r="E525">
            <v>10020057</v>
          </cell>
          <cell r="F525" t="str">
            <v>0024</v>
          </cell>
          <cell r="G525">
            <v>12</v>
          </cell>
          <cell r="H525">
            <v>475.93</v>
          </cell>
          <cell r="I525">
            <v>20838.860201846306</v>
          </cell>
          <cell r="J525">
            <v>0</v>
          </cell>
        </row>
        <row r="526">
          <cell r="E526">
            <v>10020057</v>
          </cell>
          <cell r="F526" t="str">
            <v>0026</v>
          </cell>
          <cell r="G526">
            <v>5</v>
          </cell>
          <cell r="H526">
            <v>37.42</v>
          </cell>
          <cell r="I526">
            <v>1428.244819452</v>
          </cell>
          <cell r="J526">
            <v>0</v>
          </cell>
        </row>
        <row r="527">
          <cell r="E527">
            <v>10020057</v>
          </cell>
          <cell r="F527" t="str">
            <v>0034</v>
          </cell>
          <cell r="G527">
            <v>10</v>
          </cell>
          <cell r="H527">
            <v>376.28999999999996</v>
          </cell>
          <cell r="I527">
            <v>15511.287765212599</v>
          </cell>
          <cell r="J527">
            <v>0</v>
          </cell>
        </row>
        <row r="528">
          <cell r="E528">
            <v>10020057</v>
          </cell>
          <cell r="F528" t="str">
            <v>0037</v>
          </cell>
          <cell r="G528">
            <v>8</v>
          </cell>
          <cell r="H528">
            <v>285.85000000000002</v>
          </cell>
          <cell r="I528">
            <v>11522.941627032</v>
          </cell>
          <cell r="J528">
            <v>0</v>
          </cell>
        </row>
        <row r="529">
          <cell r="E529">
            <v>10020057</v>
          </cell>
          <cell r="F529" t="str">
            <v>0038</v>
          </cell>
          <cell r="G529">
            <v>10</v>
          </cell>
          <cell r="H529">
            <v>268.91000000000003</v>
          </cell>
          <cell r="I529">
            <v>10844.809717896</v>
          </cell>
          <cell r="J529">
            <v>0</v>
          </cell>
        </row>
        <row r="530">
          <cell r="E530">
            <v>10020057</v>
          </cell>
          <cell r="F530" t="str">
            <v>0041</v>
          </cell>
          <cell r="G530">
            <v>12</v>
          </cell>
          <cell r="H530">
            <v>27.260000000000005</v>
          </cell>
          <cell r="I530">
            <v>1334.8435657892999</v>
          </cell>
          <cell r="J530">
            <v>0</v>
          </cell>
        </row>
        <row r="531">
          <cell r="E531">
            <v>10020058</v>
          </cell>
          <cell r="F531" t="str">
            <v>0001</v>
          </cell>
          <cell r="G531">
            <v>14</v>
          </cell>
          <cell r="H531">
            <v>6.5799999999999992</v>
          </cell>
          <cell r="I531">
            <v>266.02952151600005</v>
          </cell>
          <cell r="J531">
            <v>0</v>
          </cell>
        </row>
        <row r="532">
          <cell r="E532">
            <v>10020058</v>
          </cell>
          <cell r="F532" t="str">
            <v>0002</v>
          </cell>
          <cell r="G532">
            <v>14</v>
          </cell>
          <cell r="H532">
            <v>137.02000000000001</v>
          </cell>
          <cell r="I532">
            <v>5868.3919333539707</v>
          </cell>
          <cell r="J532">
            <v>0</v>
          </cell>
        </row>
        <row r="533">
          <cell r="E533">
            <v>10020058</v>
          </cell>
          <cell r="F533" t="str">
            <v>0005</v>
          </cell>
          <cell r="G533">
            <v>14</v>
          </cell>
          <cell r="H533">
            <v>361.5</v>
          </cell>
          <cell r="I533">
            <v>15168.468267045313</v>
          </cell>
          <cell r="J533">
            <v>0</v>
          </cell>
        </row>
        <row r="534">
          <cell r="E534">
            <v>10020058</v>
          </cell>
          <cell r="F534" t="str">
            <v>0007</v>
          </cell>
          <cell r="G534">
            <v>6</v>
          </cell>
          <cell r="H534">
            <v>7.58</v>
          </cell>
          <cell r="I534">
            <v>336.79367706978007</v>
          </cell>
          <cell r="J534">
            <v>0</v>
          </cell>
        </row>
        <row r="535">
          <cell r="E535">
            <v>10020058</v>
          </cell>
          <cell r="F535" t="str">
            <v>0008</v>
          </cell>
          <cell r="G535">
            <v>14</v>
          </cell>
          <cell r="H535">
            <v>43.7</v>
          </cell>
          <cell r="I535">
            <v>2341.9599880804903</v>
          </cell>
          <cell r="J535">
            <v>0</v>
          </cell>
        </row>
        <row r="536">
          <cell r="E536">
            <v>10020058</v>
          </cell>
          <cell r="F536" t="str">
            <v>0013</v>
          </cell>
          <cell r="G536">
            <v>5</v>
          </cell>
          <cell r="H536">
            <v>5.6800000000000006</v>
          </cell>
          <cell r="I536">
            <v>213.47128638000004</v>
          </cell>
          <cell r="J536">
            <v>0</v>
          </cell>
        </row>
        <row r="537">
          <cell r="E537">
            <v>10020058</v>
          </cell>
          <cell r="F537" t="str">
            <v>0015</v>
          </cell>
          <cell r="G537">
            <v>6</v>
          </cell>
          <cell r="H537">
            <v>24.480000000000004</v>
          </cell>
          <cell r="I537">
            <v>910.96546899600014</v>
          </cell>
          <cell r="J537">
            <v>0</v>
          </cell>
        </row>
        <row r="538">
          <cell r="E538">
            <v>10020058</v>
          </cell>
          <cell r="F538" t="str">
            <v>0020</v>
          </cell>
          <cell r="G538">
            <v>14</v>
          </cell>
          <cell r="H538">
            <v>375.28</v>
          </cell>
          <cell r="I538">
            <v>14693.382793123354</v>
          </cell>
          <cell r="J538">
            <v>0</v>
          </cell>
        </row>
        <row r="539">
          <cell r="E539">
            <v>10020058</v>
          </cell>
          <cell r="F539" t="str">
            <v>0023</v>
          </cell>
          <cell r="G539">
            <v>13</v>
          </cell>
          <cell r="H539">
            <v>81.169999999999987</v>
          </cell>
          <cell r="I539">
            <v>3379.1976753480003</v>
          </cell>
          <cell r="J539">
            <v>0</v>
          </cell>
        </row>
        <row r="540">
          <cell r="E540">
            <v>10020058</v>
          </cell>
          <cell r="F540" t="str">
            <v>0024</v>
          </cell>
          <cell r="G540">
            <v>14</v>
          </cell>
          <cell r="H540">
            <v>451.25999999999993</v>
          </cell>
          <cell r="I540">
            <v>17132.376710196004</v>
          </cell>
          <cell r="J540">
            <v>0</v>
          </cell>
        </row>
        <row r="541">
          <cell r="E541">
            <v>10020059</v>
          </cell>
          <cell r="F541" t="str">
            <v>0001</v>
          </cell>
          <cell r="G541">
            <v>14</v>
          </cell>
          <cell r="H541">
            <v>21.480000000000004</v>
          </cell>
          <cell r="I541">
            <v>793.07905881600004</v>
          </cell>
          <cell r="J541">
            <v>0</v>
          </cell>
        </row>
        <row r="542">
          <cell r="E542">
            <v>10020059</v>
          </cell>
          <cell r="F542" t="str">
            <v>0002</v>
          </cell>
          <cell r="G542">
            <v>14</v>
          </cell>
          <cell r="H542">
            <v>486.79999999999995</v>
          </cell>
          <cell r="I542">
            <v>18686.264041368006</v>
          </cell>
          <cell r="J542">
            <v>1493.88</v>
          </cell>
        </row>
        <row r="543">
          <cell r="E543">
            <v>10020059</v>
          </cell>
          <cell r="F543" t="str">
            <v>0004</v>
          </cell>
          <cell r="G543">
            <v>14</v>
          </cell>
          <cell r="H543">
            <v>163.66</v>
          </cell>
          <cell r="I543">
            <v>6045.6468549707997</v>
          </cell>
          <cell r="J543">
            <v>0</v>
          </cell>
        </row>
        <row r="544">
          <cell r="E544">
            <v>10020059</v>
          </cell>
          <cell r="F544" t="str">
            <v>0007</v>
          </cell>
          <cell r="G544">
            <v>14</v>
          </cell>
          <cell r="H544">
            <v>292.52</v>
          </cell>
          <cell r="I544">
            <v>11694.955116707741</v>
          </cell>
          <cell r="J544">
            <v>0</v>
          </cell>
        </row>
        <row r="545">
          <cell r="E545">
            <v>10020059</v>
          </cell>
          <cell r="F545" t="str">
            <v>0011</v>
          </cell>
          <cell r="G545">
            <v>5</v>
          </cell>
          <cell r="H545">
            <v>93.62</v>
          </cell>
          <cell r="I545">
            <v>3470.905735704001</v>
          </cell>
          <cell r="J545">
            <v>0</v>
          </cell>
        </row>
        <row r="546">
          <cell r="E546">
            <v>10020059</v>
          </cell>
          <cell r="F546" t="str">
            <v>0012</v>
          </cell>
          <cell r="G546">
            <v>12</v>
          </cell>
          <cell r="H546">
            <v>420.52</v>
          </cell>
          <cell r="I546">
            <v>16122.373224408002</v>
          </cell>
          <cell r="J546">
            <v>0</v>
          </cell>
        </row>
        <row r="547">
          <cell r="E547">
            <v>10020059</v>
          </cell>
          <cell r="F547" t="str">
            <v>0015</v>
          </cell>
          <cell r="G547">
            <v>11</v>
          </cell>
          <cell r="H547">
            <v>186.28000000000003</v>
          </cell>
          <cell r="I547">
            <v>6807.165961010568</v>
          </cell>
          <cell r="J547">
            <v>0</v>
          </cell>
        </row>
        <row r="548">
          <cell r="E548">
            <v>10020059</v>
          </cell>
          <cell r="F548" t="str">
            <v>0023</v>
          </cell>
          <cell r="G548">
            <v>7</v>
          </cell>
          <cell r="H548">
            <v>21.599999999999998</v>
          </cell>
          <cell r="I548">
            <v>913.65167520000023</v>
          </cell>
          <cell r="J548">
            <v>0</v>
          </cell>
        </row>
        <row r="549">
          <cell r="E549">
            <v>10020059</v>
          </cell>
          <cell r="F549" t="str">
            <v>0026</v>
          </cell>
          <cell r="G549">
            <v>12</v>
          </cell>
          <cell r="H549">
            <v>47.419999999999995</v>
          </cell>
          <cell r="I549">
            <v>1868.8438217988005</v>
          </cell>
          <cell r="J549">
            <v>0</v>
          </cell>
        </row>
        <row r="550">
          <cell r="E550">
            <v>10020059</v>
          </cell>
          <cell r="F550" t="str">
            <v>0027</v>
          </cell>
          <cell r="G550">
            <v>9</v>
          </cell>
          <cell r="H550">
            <v>11.819999999999999</v>
          </cell>
          <cell r="I550">
            <v>456.14340933480003</v>
          </cell>
          <cell r="J550">
            <v>0</v>
          </cell>
        </row>
        <row r="551">
          <cell r="E551">
            <v>10020062</v>
          </cell>
          <cell r="F551" t="str">
            <v>0001</v>
          </cell>
          <cell r="G551">
            <v>14</v>
          </cell>
          <cell r="H551">
            <v>6.1800000000000006</v>
          </cell>
          <cell r="I551">
            <v>241.41118005180002</v>
          </cell>
          <cell r="J551">
            <v>0</v>
          </cell>
        </row>
        <row r="552">
          <cell r="E552">
            <v>10020062</v>
          </cell>
          <cell r="F552" t="str">
            <v>0002</v>
          </cell>
          <cell r="G552">
            <v>9</v>
          </cell>
          <cell r="H552">
            <v>51.24</v>
          </cell>
          <cell r="I552">
            <v>2507.54898296085</v>
          </cell>
          <cell r="J552">
            <v>1519</v>
          </cell>
        </row>
        <row r="553">
          <cell r="E553">
            <v>10020062</v>
          </cell>
          <cell r="F553" t="str">
            <v>0011</v>
          </cell>
          <cell r="G553">
            <v>13</v>
          </cell>
          <cell r="H553">
            <v>58.750000000000007</v>
          </cell>
          <cell r="I553">
            <v>2240.7551671230003</v>
          </cell>
          <cell r="J553">
            <v>0</v>
          </cell>
        </row>
        <row r="554">
          <cell r="E554">
            <v>10020062</v>
          </cell>
          <cell r="F554" t="str">
            <v>0016</v>
          </cell>
          <cell r="G554">
            <v>7</v>
          </cell>
          <cell r="H554">
            <v>26.58</v>
          </cell>
          <cell r="I554">
            <v>1390.3770447432403</v>
          </cell>
          <cell r="J554">
            <v>0</v>
          </cell>
        </row>
        <row r="555">
          <cell r="E555">
            <v>10020062</v>
          </cell>
          <cell r="F555" t="str">
            <v>0025</v>
          </cell>
          <cell r="G555">
            <v>1</v>
          </cell>
          <cell r="H555">
            <v>1.92</v>
          </cell>
          <cell r="I555">
            <v>65.414766067200006</v>
          </cell>
          <cell r="J555">
            <v>0</v>
          </cell>
        </row>
        <row r="556">
          <cell r="E556">
            <v>10020062</v>
          </cell>
          <cell r="F556" t="str">
            <v>0026</v>
          </cell>
          <cell r="G556">
            <v>12</v>
          </cell>
          <cell r="H556">
            <v>70.950000000000017</v>
          </cell>
          <cell r="I556">
            <v>2461.5796665240005</v>
          </cell>
          <cell r="J556">
            <v>0</v>
          </cell>
        </row>
        <row r="557">
          <cell r="E557">
            <v>10020062</v>
          </cell>
          <cell r="F557" t="str">
            <v>0052</v>
          </cell>
          <cell r="G557">
            <v>9</v>
          </cell>
          <cell r="H557">
            <v>31.919999999999998</v>
          </cell>
          <cell r="I557">
            <v>1410.8344085574001</v>
          </cell>
          <cell r="J557">
            <v>0</v>
          </cell>
        </row>
        <row r="558">
          <cell r="E558">
            <v>10020062</v>
          </cell>
          <cell r="F558" t="str">
            <v>0053</v>
          </cell>
          <cell r="G558">
            <v>3</v>
          </cell>
          <cell r="H558">
            <v>3.51</v>
          </cell>
          <cell r="I558">
            <v>213.79650937529999</v>
          </cell>
          <cell r="J558">
            <v>0</v>
          </cell>
        </row>
        <row r="559">
          <cell r="E559">
            <v>10020062</v>
          </cell>
          <cell r="F559" t="str">
            <v>0062</v>
          </cell>
          <cell r="G559">
            <v>9</v>
          </cell>
          <cell r="H559">
            <v>46.480000000000004</v>
          </cell>
          <cell r="I559">
            <v>2701.8642035514804</v>
          </cell>
          <cell r="J559">
            <v>0</v>
          </cell>
        </row>
        <row r="560">
          <cell r="E560">
            <v>10020062</v>
          </cell>
          <cell r="F560" t="str">
            <v>0075</v>
          </cell>
          <cell r="G560">
            <v>14</v>
          </cell>
          <cell r="H560">
            <v>84.069999999999979</v>
          </cell>
          <cell r="I560">
            <v>2828.0269567044006</v>
          </cell>
          <cell r="J560">
            <v>0</v>
          </cell>
        </row>
        <row r="561">
          <cell r="E561">
            <v>10020062</v>
          </cell>
          <cell r="F561" t="str">
            <v>0081</v>
          </cell>
          <cell r="G561">
            <v>9</v>
          </cell>
          <cell r="H561">
            <v>100.77</v>
          </cell>
          <cell r="I561">
            <v>3936.8754429734404</v>
          </cell>
          <cell r="J561">
            <v>0</v>
          </cell>
        </row>
        <row r="562">
          <cell r="E562">
            <v>10020062</v>
          </cell>
          <cell r="F562" t="str">
            <v>0082</v>
          </cell>
          <cell r="G562">
            <v>10</v>
          </cell>
          <cell r="H562">
            <v>61.33</v>
          </cell>
          <cell r="I562">
            <v>2484.1559169503998</v>
          </cell>
          <cell r="J562">
            <v>0</v>
          </cell>
        </row>
        <row r="563">
          <cell r="E563">
            <v>10020062</v>
          </cell>
          <cell r="F563" t="str">
            <v>0092</v>
          </cell>
          <cell r="G563">
            <v>14</v>
          </cell>
          <cell r="H563">
            <v>55.88</v>
          </cell>
          <cell r="I563">
            <v>1921.8313955214003</v>
          </cell>
          <cell r="J563">
            <v>0</v>
          </cell>
        </row>
        <row r="564">
          <cell r="E564">
            <v>10020063</v>
          </cell>
          <cell r="F564" t="str">
            <v>0001</v>
          </cell>
          <cell r="G564">
            <v>7</v>
          </cell>
          <cell r="H564">
            <v>10.200000000000001</v>
          </cell>
          <cell r="I564">
            <v>406.11304522800009</v>
          </cell>
          <cell r="J564">
            <v>0</v>
          </cell>
        </row>
        <row r="565">
          <cell r="E565">
            <v>10020063</v>
          </cell>
          <cell r="F565" t="str">
            <v>0002</v>
          </cell>
          <cell r="G565">
            <v>13</v>
          </cell>
          <cell r="H565">
            <v>148.99</v>
          </cell>
          <cell r="I565">
            <v>7221.1354647710014</v>
          </cell>
          <cell r="J565">
            <v>413</v>
          </cell>
        </row>
        <row r="566">
          <cell r="E566">
            <v>10020063</v>
          </cell>
          <cell r="F566" t="str">
            <v>0003</v>
          </cell>
          <cell r="G566">
            <v>14</v>
          </cell>
          <cell r="H566">
            <v>69.570000000000007</v>
          </cell>
          <cell r="I566">
            <v>2736.080208972</v>
          </cell>
          <cell r="J566">
            <v>0</v>
          </cell>
        </row>
        <row r="567">
          <cell r="E567">
            <v>10020063</v>
          </cell>
          <cell r="F567" t="str">
            <v>0018</v>
          </cell>
          <cell r="G567">
            <v>14</v>
          </cell>
          <cell r="H567">
            <v>471.29</v>
          </cell>
          <cell r="I567">
            <v>23523.660501436505</v>
          </cell>
          <cell r="J567">
            <v>0</v>
          </cell>
        </row>
        <row r="568">
          <cell r="E568">
            <v>10020063</v>
          </cell>
          <cell r="F568" t="str">
            <v>0019</v>
          </cell>
          <cell r="G568">
            <v>6</v>
          </cell>
          <cell r="H568">
            <v>26.89</v>
          </cell>
          <cell r="I568">
            <v>1088.410752792</v>
          </cell>
          <cell r="J568">
            <v>0</v>
          </cell>
        </row>
        <row r="569">
          <cell r="E569">
            <v>10020063</v>
          </cell>
          <cell r="F569" t="str">
            <v>0026</v>
          </cell>
          <cell r="G569">
            <v>12</v>
          </cell>
          <cell r="H569">
            <v>147.72</v>
          </cell>
          <cell r="I569">
            <v>7352.3179662797011</v>
          </cell>
          <cell r="J569">
            <v>0</v>
          </cell>
        </row>
        <row r="570">
          <cell r="E570">
            <v>10020063</v>
          </cell>
          <cell r="F570" t="str">
            <v>0027</v>
          </cell>
          <cell r="G570">
            <v>11</v>
          </cell>
          <cell r="H570">
            <v>136.99</v>
          </cell>
          <cell r="I570">
            <v>6675.7059801719006</v>
          </cell>
          <cell r="J570">
            <v>0</v>
          </cell>
        </row>
        <row r="571">
          <cell r="E571">
            <v>10020063</v>
          </cell>
          <cell r="F571" t="str">
            <v>0028</v>
          </cell>
          <cell r="G571">
            <v>12</v>
          </cell>
          <cell r="H571">
            <v>120.16999999999999</v>
          </cell>
          <cell r="I571">
            <v>5939.7437295964019</v>
          </cell>
          <cell r="J571">
            <v>0</v>
          </cell>
        </row>
        <row r="572">
          <cell r="E572">
            <v>10020063</v>
          </cell>
          <cell r="F572" t="str">
            <v>0031</v>
          </cell>
          <cell r="G572">
            <v>4</v>
          </cell>
          <cell r="H572">
            <v>8.67</v>
          </cell>
          <cell r="I572">
            <v>511.0620458697</v>
          </cell>
          <cell r="J572">
            <v>0</v>
          </cell>
        </row>
        <row r="573">
          <cell r="E573">
            <v>10020068</v>
          </cell>
          <cell r="F573" t="str">
            <v>0002</v>
          </cell>
          <cell r="G573">
            <v>10</v>
          </cell>
          <cell r="H573">
            <v>295.08999999999997</v>
          </cell>
          <cell r="I573">
            <v>14087.721248943873</v>
          </cell>
          <cell r="J573">
            <v>8314.2800000000007</v>
          </cell>
        </row>
        <row r="574">
          <cell r="E574">
            <v>10020068</v>
          </cell>
          <cell r="F574" t="str">
            <v>0004</v>
          </cell>
          <cell r="G574">
            <v>11</v>
          </cell>
          <cell r="H574">
            <v>36</v>
          </cell>
          <cell r="I574">
            <v>1623.8039012770798</v>
          </cell>
          <cell r="J574">
            <v>0</v>
          </cell>
        </row>
        <row r="575">
          <cell r="E575">
            <v>10020068</v>
          </cell>
          <cell r="F575" t="str">
            <v>0005</v>
          </cell>
          <cell r="G575">
            <v>12</v>
          </cell>
          <cell r="H575">
            <v>72.48</v>
          </cell>
          <cell r="I575">
            <v>2711.068279524</v>
          </cell>
          <cell r="J575">
            <v>0</v>
          </cell>
        </row>
        <row r="576">
          <cell r="E576">
            <v>10020068</v>
          </cell>
          <cell r="F576" t="str">
            <v>0006</v>
          </cell>
          <cell r="G576">
            <v>2</v>
          </cell>
          <cell r="H576">
            <v>3.87</v>
          </cell>
          <cell r="I576">
            <v>152.99888590800001</v>
          </cell>
          <cell r="J576">
            <v>0</v>
          </cell>
        </row>
        <row r="577">
          <cell r="E577">
            <v>10020068</v>
          </cell>
          <cell r="F577" t="str">
            <v>0008</v>
          </cell>
          <cell r="G577">
            <v>7</v>
          </cell>
          <cell r="H577">
            <v>8.5299999999999994</v>
          </cell>
          <cell r="I577">
            <v>368.3594898720001</v>
          </cell>
          <cell r="J577">
            <v>0</v>
          </cell>
        </row>
        <row r="578">
          <cell r="E578">
            <v>10020068</v>
          </cell>
          <cell r="F578" t="str">
            <v>0013</v>
          </cell>
          <cell r="G578">
            <v>9</v>
          </cell>
          <cell r="H578">
            <v>25.53</v>
          </cell>
          <cell r="I578">
            <v>1460.1025912214002</v>
          </cell>
          <cell r="J578">
            <v>0</v>
          </cell>
        </row>
        <row r="579">
          <cell r="E579">
            <v>10020068</v>
          </cell>
          <cell r="F579" t="str">
            <v>0016</v>
          </cell>
          <cell r="G579">
            <v>12</v>
          </cell>
          <cell r="H579">
            <v>73.98</v>
          </cell>
          <cell r="I579">
            <v>3414.9335970777297</v>
          </cell>
          <cell r="J579">
            <v>0</v>
          </cell>
        </row>
        <row r="580">
          <cell r="E580">
            <v>10020068</v>
          </cell>
          <cell r="F580" t="str">
            <v>0017</v>
          </cell>
          <cell r="G580">
            <v>12</v>
          </cell>
          <cell r="H580">
            <v>36.51</v>
          </cell>
          <cell r="I580">
            <v>1444.1842910880002</v>
          </cell>
          <cell r="J580">
            <v>0</v>
          </cell>
        </row>
        <row r="581">
          <cell r="E581">
            <v>10020068</v>
          </cell>
          <cell r="F581" t="str">
            <v>0018</v>
          </cell>
          <cell r="G581">
            <v>12</v>
          </cell>
          <cell r="H581">
            <v>98.37</v>
          </cell>
          <cell r="I581">
            <v>3892.6295927639999</v>
          </cell>
          <cell r="J581">
            <v>0</v>
          </cell>
        </row>
        <row r="582">
          <cell r="E582">
            <v>10020068</v>
          </cell>
          <cell r="F582" t="str">
            <v>0019</v>
          </cell>
          <cell r="G582">
            <v>9</v>
          </cell>
          <cell r="H582">
            <v>42.580000000000005</v>
          </cell>
          <cell r="I582">
            <v>1731.9747828240002</v>
          </cell>
          <cell r="J582">
            <v>0</v>
          </cell>
        </row>
        <row r="583">
          <cell r="E583">
            <v>10020068</v>
          </cell>
          <cell r="F583" t="str">
            <v>0020</v>
          </cell>
          <cell r="G583">
            <v>11</v>
          </cell>
          <cell r="H583">
            <v>30.619999999999997</v>
          </cell>
          <cell r="I583">
            <v>1312.0392538440001</v>
          </cell>
          <cell r="J583">
            <v>0</v>
          </cell>
        </row>
        <row r="584">
          <cell r="E584">
            <v>10020068</v>
          </cell>
          <cell r="F584" t="str">
            <v>0025</v>
          </cell>
          <cell r="G584">
            <v>8</v>
          </cell>
          <cell r="H584">
            <v>18.740000000000002</v>
          </cell>
          <cell r="I584">
            <v>791.50754628000016</v>
          </cell>
          <cell r="J584">
            <v>0</v>
          </cell>
        </row>
        <row r="585">
          <cell r="E585">
            <v>10020068</v>
          </cell>
          <cell r="F585" t="str">
            <v>0031</v>
          </cell>
          <cell r="G585">
            <v>6</v>
          </cell>
          <cell r="H585">
            <v>121.87</v>
          </cell>
          <cell r="I585">
            <v>4777.3267898400009</v>
          </cell>
          <cell r="J585">
            <v>0</v>
          </cell>
        </row>
        <row r="586">
          <cell r="E586">
            <v>10020068</v>
          </cell>
          <cell r="F586" t="str">
            <v>0032</v>
          </cell>
          <cell r="G586">
            <v>7</v>
          </cell>
          <cell r="H586">
            <v>20.099999999999998</v>
          </cell>
          <cell r="I586">
            <v>1104.2424528834902</v>
          </cell>
          <cell r="J586">
            <v>0</v>
          </cell>
        </row>
        <row r="587">
          <cell r="E587">
            <v>10020068</v>
          </cell>
          <cell r="F587" t="str">
            <v>0035</v>
          </cell>
          <cell r="G587">
            <v>7</v>
          </cell>
          <cell r="H587">
            <v>12.009999999999998</v>
          </cell>
          <cell r="I587">
            <v>721.98967044460005</v>
          </cell>
          <cell r="J587">
            <v>0</v>
          </cell>
        </row>
        <row r="588">
          <cell r="E588">
            <v>10020068</v>
          </cell>
          <cell r="F588" t="str">
            <v>0042</v>
          </cell>
          <cell r="G588">
            <v>4</v>
          </cell>
          <cell r="H588">
            <v>9.14</v>
          </cell>
          <cell r="I588">
            <v>358.15245364800001</v>
          </cell>
          <cell r="J588">
            <v>0</v>
          </cell>
        </row>
        <row r="589">
          <cell r="E589">
            <v>10020068</v>
          </cell>
          <cell r="F589" t="str">
            <v>0048</v>
          </cell>
          <cell r="G589">
            <v>7</v>
          </cell>
          <cell r="H589">
            <v>42.940000000000005</v>
          </cell>
          <cell r="I589">
            <v>1815.8649050520003</v>
          </cell>
          <cell r="J589">
            <v>0</v>
          </cell>
        </row>
        <row r="590">
          <cell r="E590">
            <v>10020068</v>
          </cell>
          <cell r="F590" t="str">
            <v>0050</v>
          </cell>
          <cell r="G590">
            <v>6</v>
          </cell>
          <cell r="H590">
            <v>22.75</v>
          </cell>
          <cell r="I590">
            <v>833.83521289200007</v>
          </cell>
          <cell r="J590">
            <v>0</v>
          </cell>
        </row>
        <row r="591">
          <cell r="E591">
            <v>10020068</v>
          </cell>
          <cell r="F591" t="str">
            <v>0056</v>
          </cell>
          <cell r="G591">
            <v>3</v>
          </cell>
          <cell r="H591">
            <v>3.5700000000000003</v>
          </cell>
          <cell r="I591">
            <v>143.96977782000002</v>
          </cell>
          <cell r="J591">
            <v>0</v>
          </cell>
        </row>
        <row r="592">
          <cell r="E592">
            <v>10020068</v>
          </cell>
          <cell r="F592" t="str">
            <v>0059</v>
          </cell>
          <cell r="G592">
            <v>4</v>
          </cell>
          <cell r="H592">
            <v>9.5500000000000007</v>
          </cell>
          <cell r="I592">
            <v>367.75479510000002</v>
          </cell>
          <cell r="J592">
            <v>0</v>
          </cell>
        </row>
        <row r="593">
          <cell r="E593">
            <v>10020068</v>
          </cell>
          <cell r="F593" t="str">
            <v>0066</v>
          </cell>
          <cell r="G593">
            <v>5</v>
          </cell>
          <cell r="H593">
            <v>26.54</v>
          </cell>
          <cell r="I593">
            <v>1185.910694892</v>
          </cell>
          <cell r="J593">
            <v>0</v>
          </cell>
        </row>
        <row r="594">
          <cell r="E594">
            <v>10020068</v>
          </cell>
          <cell r="F594" t="str">
            <v>0067</v>
          </cell>
          <cell r="G594">
            <v>7</v>
          </cell>
          <cell r="H594">
            <v>12.479999999999999</v>
          </cell>
          <cell r="I594">
            <v>557.40521786400006</v>
          </cell>
          <cell r="J594">
            <v>0</v>
          </cell>
        </row>
        <row r="595">
          <cell r="E595">
            <v>10020068</v>
          </cell>
          <cell r="F595" t="str">
            <v>0068</v>
          </cell>
          <cell r="G595">
            <v>13</v>
          </cell>
          <cell r="H595">
            <v>31.439999999999998</v>
          </cell>
          <cell r="I595">
            <v>1484.78855311138</v>
          </cell>
          <cell r="J595">
            <v>0</v>
          </cell>
        </row>
        <row r="596">
          <cell r="E596">
            <v>10020069</v>
          </cell>
          <cell r="F596" t="str">
            <v>0001</v>
          </cell>
          <cell r="G596">
            <v>9</v>
          </cell>
          <cell r="H596">
            <v>0.44</v>
          </cell>
          <cell r="I596">
            <v>17.836298172000003</v>
          </cell>
          <cell r="J596">
            <v>0</v>
          </cell>
        </row>
        <row r="597">
          <cell r="E597">
            <v>10020069</v>
          </cell>
          <cell r="F597" t="str">
            <v>0002</v>
          </cell>
          <cell r="G597">
            <v>10</v>
          </cell>
          <cell r="H597">
            <v>185.48</v>
          </cell>
          <cell r="I597">
            <v>7539.8409603000009</v>
          </cell>
          <cell r="J597">
            <v>0</v>
          </cell>
        </row>
        <row r="598">
          <cell r="E598">
            <v>10020069</v>
          </cell>
          <cell r="F598" t="str">
            <v>0003</v>
          </cell>
          <cell r="G598">
            <v>7</v>
          </cell>
          <cell r="H598">
            <v>135.44</v>
          </cell>
          <cell r="I598">
            <v>5409.2403885960011</v>
          </cell>
          <cell r="J598">
            <v>0</v>
          </cell>
        </row>
        <row r="599">
          <cell r="E599">
            <v>10020070</v>
          </cell>
          <cell r="F599" t="str">
            <v>0002</v>
          </cell>
          <cell r="G599">
            <v>2</v>
          </cell>
          <cell r="H599">
            <v>5.98</v>
          </cell>
          <cell r="I599">
            <v>247.57256487024</v>
          </cell>
          <cell r="J599">
            <v>0</v>
          </cell>
        </row>
        <row r="600">
          <cell r="E600">
            <v>10020070</v>
          </cell>
          <cell r="F600" t="str">
            <v>0003</v>
          </cell>
          <cell r="G600">
            <v>13</v>
          </cell>
          <cell r="H600">
            <v>38.159999999999997</v>
          </cell>
          <cell r="I600">
            <v>2140.3425385983846</v>
          </cell>
          <cell r="J600">
            <v>0</v>
          </cell>
        </row>
        <row r="601">
          <cell r="E601">
            <v>10020070</v>
          </cell>
          <cell r="F601" t="str">
            <v>0005</v>
          </cell>
          <cell r="G601">
            <v>12</v>
          </cell>
          <cell r="H601">
            <v>71.850000000000009</v>
          </cell>
          <cell r="I601">
            <v>3212.0225591594999</v>
          </cell>
          <cell r="J601">
            <v>0</v>
          </cell>
        </row>
        <row r="602">
          <cell r="E602">
            <v>10020070</v>
          </cell>
          <cell r="F602" t="str">
            <v>0008</v>
          </cell>
          <cell r="G602">
            <v>14</v>
          </cell>
          <cell r="H602">
            <v>160.94000000000003</v>
          </cell>
          <cell r="I602">
            <v>6223.5886959912004</v>
          </cell>
          <cell r="J602">
            <v>0</v>
          </cell>
        </row>
        <row r="603">
          <cell r="E603">
            <v>10020070</v>
          </cell>
          <cell r="F603" t="str">
            <v>0009</v>
          </cell>
          <cell r="G603">
            <v>11</v>
          </cell>
          <cell r="H603">
            <v>97.66</v>
          </cell>
          <cell r="I603">
            <v>4544.9158908749696</v>
          </cell>
          <cell r="J603">
            <v>0</v>
          </cell>
        </row>
        <row r="604">
          <cell r="E604">
            <v>10020070</v>
          </cell>
          <cell r="F604" t="str">
            <v>0010</v>
          </cell>
          <cell r="G604">
            <v>12</v>
          </cell>
          <cell r="H604">
            <v>45.610000000000014</v>
          </cell>
          <cell r="I604">
            <v>1786.2742841672</v>
          </cell>
          <cell r="J604">
            <v>0</v>
          </cell>
        </row>
        <row r="605">
          <cell r="E605">
            <v>10020070</v>
          </cell>
          <cell r="F605" t="str">
            <v>0011</v>
          </cell>
          <cell r="G605">
            <v>12</v>
          </cell>
          <cell r="H605">
            <v>26.86</v>
          </cell>
          <cell r="I605">
            <v>1202.6464969052402</v>
          </cell>
          <cell r="J605">
            <v>0</v>
          </cell>
        </row>
        <row r="606">
          <cell r="E606">
            <v>10020070</v>
          </cell>
          <cell r="F606" t="str">
            <v>0012</v>
          </cell>
          <cell r="G606">
            <v>5</v>
          </cell>
          <cell r="H606">
            <v>24.759999999999998</v>
          </cell>
          <cell r="I606">
            <v>893.80254015360003</v>
          </cell>
          <cell r="J606">
            <v>0</v>
          </cell>
        </row>
        <row r="607">
          <cell r="E607">
            <v>10020070</v>
          </cell>
          <cell r="F607" t="str">
            <v>0013</v>
          </cell>
          <cell r="G607">
            <v>10</v>
          </cell>
          <cell r="H607">
            <v>29.26</v>
          </cell>
          <cell r="I607">
            <v>1014.8420869884002</v>
          </cell>
          <cell r="J607">
            <v>0</v>
          </cell>
        </row>
        <row r="608">
          <cell r="E608">
            <v>10020070</v>
          </cell>
          <cell r="F608" t="str">
            <v>0015</v>
          </cell>
          <cell r="G608">
            <v>13</v>
          </cell>
          <cell r="H608">
            <v>84.330000000000013</v>
          </cell>
          <cell r="I608">
            <v>4442.3312359379188</v>
          </cell>
          <cell r="J608">
            <v>0</v>
          </cell>
        </row>
        <row r="609">
          <cell r="E609">
            <v>10020070</v>
          </cell>
          <cell r="F609" t="str">
            <v>0017</v>
          </cell>
          <cell r="G609">
            <v>14</v>
          </cell>
          <cell r="H609">
            <v>174.54999999999995</v>
          </cell>
          <cell r="I609">
            <v>8081.2089968334267</v>
          </cell>
          <cell r="J609">
            <v>0</v>
          </cell>
        </row>
        <row r="610">
          <cell r="E610">
            <v>10020070</v>
          </cell>
          <cell r="F610" t="str">
            <v>0018</v>
          </cell>
          <cell r="G610">
            <v>10</v>
          </cell>
          <cell r="H610">
            <v>22.45</v>
          </cell>
          <cell r="I610">
            <v>993.55078883417013</v>
          </cell>
          <cell r="J610">
            <v>0</v>
          </cell>
        </row>
        <row r="611">
          <cell r="E611">
            <v>10020070</v>
          </cell>
          <cell r="F611" t="str">
            <v>0025</v>
          </cell>
          <cell r="G611">
            <v>6</v>
          </cell>
          <cell r="H611">
            <v>7.11</v>
          </cell>
          <cell r="I611">
            <v>278.13315222</v>
          </cell>
          <cell r="J611">
            <v>0</v>
          </cell>
        </row>
        <row r="612">
          <cell r="E612">
            <v>10020070</v>
          </cell>
          <cell r="F612" t="str">
            <v>0026</v>
          </cell>
          <cell r="G612">
            <v>13</v>
          </cell>
          <cell r="H612">
            <v>110.86</v>
          </cell>
          <cell r="I612">
            <v>7125.0746402137211</v>
          </cell>
          <cell r="J612">
            <v>0</v>
          </cell>
        </row>
        <row r="613">
          <cell r="E613">
            <v>10020070</v>
          </cell>
          <cell r="F613" t="str">
            <v>0027</v>
          </cell>
          <cell r="G613">
            <v>7</v>
          </cell>
          <cell r="H613">
            <v>12.700000000000001</v>
          </cell>
          <cell r="I613">
            <v>536.13200520000009</v>
          </cell>
          <cell r="J613">
            <v>0</v>
          </cell>
        </row>
        <row r="614">
          <cell r="E614">
            <v>10020070</v>
          </cell>
          <cell r="F614" t="str">
            <v>0028</v>
          </cell>
          <cell r="G614">
            <v>12</v>
          </cell>
          <cell r="H614">
            <v>32.64</v>
          </cell>
          <cell r="I614">
            <v>1415.1889959773998</v>
          </cell>
          <cell r="J614">
            <v>0</v>
          </cell>
        </row>
        <row r="615">
          <cell r="E615">
            <v>10020075</v>
          </cell>
          <cell r="F615" t="str">
            <v>0003</v>
          </cell>
          <cell r="G615">
            <v>5</v>
          </cell>
          <cell r="H615">
            <v>16.45</v>
          </cell>
          <cell r="I615">
            <v>924.41698002182204</v>
          </cell>
          <cell r="J615">
            <v>0</v>
          </cell>
        </row>
        <row r="616">
          <cell r="E616">
            <v>10020075</v>
          </cell>
          <cell r="F616" t="str">
            <v>0009</v>
          </cell>
          <cell r="G616">
            <v>7</v>
          </cell>
          <cell r="H616">
            <v>17.599999999999998</v>
          </cell>
          <cell r="I616">
            <v>779.56694442000003</v>
          </cell>
          <cell r="J616">
            <v>0</v>
          </cell>
        </row>
        <row r="617">
          <cell r="E617">
            <v>10020075</v>
          </cell>
          <cell r="F617" t="str">
            <v>0010</v>
          </cell>
          <cell r="G617">
            <v>7</v>
          </cell>
          <cell r="H617">
            <v>24.88</v>
          </cell>
          <cell r="I617">
            <v>1184.3877861254703</v>
          </cell>
          <cell r="J617">
            <v>0</v>
          </cell>
        </row>
        <row r="618">
          <cell r="E618">
            <v>10020075</v>
          </cell>
          <cell r="F618" t="str">
            <v>0012</v>
          </cell>
          <cell r="G618">
            <v>7</v>
          </cell>
          <cell r="H618">
            <v>15.82</v>
          </cell>
          <cell r="I618">
            <v>667.92052641600026</v>
          </cell>
          <cell r="J618">
            <v>0</v>
          </cell>
        </row>
        <row r="619">
          <cell r="E619">
            <v>10020075</v>
          </cell>
          <cell r="F619" t="str">
            <v>0014</v>
          </cell>
          <cell r="G619">
            <v>14</v>
          </cell>
          <cell r="H619">
            <v>181.15</v>
          </cell>
          <cell r="I619">
            <v>9331.7562186459199</v>
          </cell>
          <cell r="J619">
            <v>0</v>
          </cell>
        </row>
        <row r="620">
          <cell r="E620">
            <v>10020075</v>
          </cell>
          <cell r="F620" t="str">
            <v>0015</v>
          </cell>
          <cell r="G620">
            <v>8</v>
          </cell>
          <cell r="H620">
            <v>12.88</v>
          </cell>
          <cell r="I620">
            <v>707.9727776821901</v>
          </cell>
          <cell r="J620">
            <v>0</v>
          </cell>
        </row>
        <row r="621">
          <cell r="E621">
            <v>10020075</v>
          </cell>
          <cell r="F621" t="str">
            <v>0017</v>
          </cell>
          <cell r="G621">
            <v>13</v>
          </cell>
          <cell r="H621">
            <v>49.2</v>
          </cell>
          <cell r="I621">
            <v>2361.36530779853</v>
          </cell>
          <cell r="J621">
            <v>0</v>
          </cell>
        </row>
        <row r="622">
          <cell r="E622">
            <v>10020075</v>
          </cell>
          <cell r="F622" t="str">
            <v>0019</v>
          </cell>
          <cell r="G622">
            <v>7</v>
          </cell>
          <cell r="H622">
            <v>23.300000000000004</v>
          </cell>
          <cell r="I622">
            <v>1410.0281569540903</v>
          </cell>
          <cell r="J622">
            <v>0</v>
          </cell>
        </row>
        <row r="623">
          <cell r="E623">
            <v>10020075</v>
          </cell>
          <cell r="F623" t="str">
            <v>0021</v>
          </cell>
          <cell r="G623">
            <v>5</v>
          </cell>
          <cell r="H623">
            <v>7.2499999999999991</v>
          </cell>
          <cell r="I623">
            <v>425.47888047929007</v>
          </cell>
          <cell r="J623">
            <v>0</v>
          </cell>
        </row>
        <row r="624">
          <cell r="E624">
            <v>10020075</v>
          </cell>
          <cell r="F624" t="str">
            <v>0024</v>
          </cell>
          <cell r="G624">
            <v>7</v>
          </cell>
          <cell r="H624">
            <v>7.57</v>
          </cell>
          <cell r="I624">
            <v>382.89952486893009</v>
          </cell>
          <cell r="J624">
            <v>0</v>
          </cell>
        </row>
        <row r="625">
          <cell r="E625">
            <v>10020075</v>
          </cell>
          <cell r="F625" t="str">
            <v>0025</v>
          </cell>
          <cell r="G625">
            <v>7</v>
          </cell>
          <cell r="H625">
            <v>14.79</v>
          </cell>
          <cell r="I625">
            <v>914.63050340805603</v>
          </cell>
          <cell r="J625">
            <v>0</v>
          </cell>
        </row>
        <row r="626">
          <cell r="E626">
            <v>10020075</v>
          </cell>
          <cell r="F626" t="str">
            <v>0028</v>
          </cell>
          <cell r="G626">
            <v>7</v>
          </cell>
          <cell r="H626">
            <v>14.129999999999999</v>
          </cell>
          <cell r="I626">
            <v>974.72421544400004</v>
          </cell>
          <cell r="J626">
            <v>0</v>
          </cell>
        </row>
        <row r="627">
          <cell r="E627">
            <v>10020075</v>
          </cell>
          <cell r="F627" t="str">
            <v>0029</v>
          </cell>
          <cell r="G627">
            <v>4</v>
          </cell>
          <cell r="H627">
            <v>8.89</v>
          </cell>
          <cell r="I627">
            <v>374.34983176800006</v>
          </cell>
          <cell r="J627">
            <v>0</v>
          </cell>
        </row>
        <row r="628">
          <cell r="E628">
            <v>10020076</v>
          </cell>
          <cell r="F628" t="str">
            <v>0002</v>
          </cell>
          <cell r="G628">
            <v>12</v>
          </cell>
          <cell r="H628">
            <v>167.12999999999997</v>
          </cell>
          <cell r="I628">
            <v>7895.500216331613</v>
          </cell>
          <cell r="J628">
            <v>3569.5</v>
          </cell>
        </row>
        <row r="629">
          <cell r="E629">
            <v>10020076</v>
          </cell>
          <cell r="F629" t="str">
            <v>0004</v>
          </cell>
          <cell r="G629">
            <v>3</v>
          </cell>
          <cell r="H629">
            <v>3.99</v>
          </cell>
          <cell r="I629">
            <v>292.2886843929</v>
          </cell>
          <cell r="J629">
            <v>0</v>
          </cell>
        </row>
        <row r="630">
          <cell r="E630">
            <v>10020076</v>
          </cell>
          <cell r="F630" t="str">
            <v>0005</v>
          </cell>
          <cell r="G630">
            <v>5</v>
          </cell>
          <cell r="H630">
            <v>14.44</v>
          </cell>
          <cell r="I630">
            <v>647.05697885535005</v>
          </cell>
          <cell r="J630">
            <v>0</v>
          </cell>
        </row>
        <row r="631">
          <cell r="E631">
            <v>10020076</v>
          </cell>
          <cell r="F631" t="str">
            <v>0006</v>
          </cell>
          <cell r="G631">
            <v>3</v>
          </cell>
          <cell r="H631">
            <v>4.74</v>
          </cell>
          <cell r="I631">
            <v>285.51612786780004</v>
          </cell>
          <cell r="J631">
            <v>0</v>
          </cell>
        </row>
        <row r="632">
          <cell r="E632">
            <v>10020076</v>
          </cell>
          <cell r="F632" t="str">
            <v>0007</v>
          </cell>
          <cell r="G632">
            <v>3</v>
          </cell>
          <cell r="H632">
            <v>6.82</v>
          </cell>
          <cell r="I632">
            <v>357.34570331140804</v>
          </cell>
          <cell r="J632">
            <v>0</v>
          </cell>
        </row>
        <row r="633">
          <cell r="E633">
            <v>10020076</v>
          </cell>
          <cell r="F633" t="str">
            <v>0009</v>
          </cell>
          <cell r="G633">
            <v>5</v>
          </cell>
          <cell r="H633">
            <v>13.01</v>
          </cell>
          <cell r="I633">
            <v>669.36993664286001</v>
          </cell>
          <cell r="J633">
            <v>0</v>
          </cell>
        </row>
        <row r="634">
          <cell r="E634">
            <v>10020076</v>
          </cell>
          <cell r="F634" t="str">
            <v>0011</v>
          </cell>
          <cell r="G634">
            <v>3</v>
          </cell>
          <cell r="H634">
            <v>3.91</v>
          </cell>
          <cell r="I634">
            <v>230.96979241045602</v>
          </cell>
          <cell r="J634">
            <v>0</v>
          </cell>
        </row>
        <row r="635">
          <cell r="E635">
            <v>10020076</v>
          </cell>
          <cell r="F635" t="str">
            <v>0015</v>
          </cell>
          <cell r="G635">
            <v>5</v>
          </cell>
          <cell r="H635">
            <v>11.030000000000001</v>
          </cell>
          <cell r="I635">
            <v>635.63143950641995</v>
          </cell>
          <cell r="J635">
            <v>0</v>
          </cell>
        </row>
        <row r="636">
          <cell r="E636">
            <v>10020076</v>
          </cell>
          <cell r="F636" t="str">
            <v>0017</v>
          </cell>
          <cell r="G636">
            <v>3</v>
          </cell>
          <cell r="H636">
            <v>12.82</v>
          </cell>
          <cell r="I636">
            <v>706.49293501377201</v>
          </cell>
          <cell r="J636">
            <v>0</v>
          </cell>
        </row>
        <row r="637">
          <cell r="E637">
            <v>10020076</v>
          </cell>
          <cell r="F637" t="str">
            <v>0018</v>
          </cell>
          <cell r="G637">
            <v>3</v>
          </cell>
          <cell r="H637">
            <v>4.22</v>
          </cell>
          <cell r="I637">
            <v>235.78849622008005</v>
          </cell>
          <cell r="J637">
            <v>0</v>
          </cell>
        </row>
        <row r="638">
          <cell r="E638">
            <v>10020076</v>
          </cell>
          <cell r="F638" t="str">
            <v>0020</v>
          </cell>
          <cell r="G638">
            <v>1</v>
          </cell>
          <cell r="H638">
            <v>2.6100000000000003</v>
          </cell>
          <cell r="I638">
            <v>123.95542526400001</v>
          </cell>
          <cell r="J638">
            <v>0</v>
          </cell>
        </row>
        <row r="639">
          <cell r="E639">
            <v>10020076</v>
          </cell>
          <cell r="F639" t="str">
            <v>0021</v>
          </cell>
          <cell r="G639">
            <v>3</v>
          </cell>
          <cell r="H639">
            <v>5.6000000000000005</v>
          </cell>
          <cell r="I639">
            <v>286.28631991437203</v>
          </cell>
          <cell r="J639">
            <v>0</v>
          </cell>
        </row>
        <row r="640">
          <cell r="E640">
            <v>10020076</v>
          </cell>
          <cell r="F640" t="str">
            <v>0022</v>
          </cell>
          <cell r="G640">
            <v>2</v>
          </cell>
          <cell r="H640">
            <v>4.9800000000000004</v>
          </cell>
          <cell r="I640">
            <v>337.909017675212</v>
          </cell>
          <cell r="J640">
            <v>0</v>
          </cell>
        </row>
        <row r="641">
          <cell r="E641">
            <v>10020078</v>
          </cell>
          <cell r="F641" t="str">
            <v>0002</v>
          </cell>
          <cell r="G641">
            <v>14</v>
          </cell>
          <cell r="H641">
            <v>420.72999999999996</v>
          </cell>
          <cell r="I641">
            <v>16380.777568716001</v>
          </cell>
          <cell r="J641">
            <v>0</v>
          </cell>
        </row>
        <row r="642">
          <cell r="E642">
            <v>10020078</v>
          </cell>
          <cell r="F642" t="str">
            <v>0003</v>
          </cell>
          <cell r="G642">
            <v>3</v>
          </cell>
          <cell r="H642">
            <v>21.05</v>
          </cell>
          <cell r="I642">
            <v>1039.5304494954003</v>
          </cell>
          <cell r="J642">
            <v>0</v>
          </cell>
        </row>
        <row r="643">
          <cell r="E643">
            <v>10020078</v>
          </cell>
          <cell r="F643" t="str">
            <v>0004</v>
          </cell>
          <cell r="G643">
            <v>11</v>
          </cell>
          <cell r="H643">
            <v>326.83999999999997</v>
          </cell>
          <cell r="I643">
            <v>19221.577531332943</v>
          </cell>
          <cell r="J643">
            <v>0</v>
          </cell>
        </row>
        <row r="644">
          <cell r="E644">
            <v>10020078</v>
          </cell>
          <cell r="F644" t="str">
            <v>0005</v>
          </cell>
          <cell r="G644">
            <v>8</v>
          </cell>
          <cell r="H644">
            <v>108.64999999999999</v>
          </cell>
          <cell r="I644">
            <v>3710.926636956</v>
          </cell>
          <cell r="J644">
            <v>0</v>
          </cell>
        </row>
        <row r="645">
          <cell r="E645">
            <v>10020079</v>
          </cell>
          <cell r="F645" t="str">
            <v>0002</v>
          </cell>
          <cell r="G645">
            <v>14</v>
          </cell>
          <cell r="H645">
            <v>152.17000000000004</v>
          </cell>
          <cell r="I645">
            <v>9180.4611749253909</v>
          </cell>
          <cell r="J645">
            <v>920.4</v>
          </cell>
        </row>
        <row r="646">
          <cell r="E646">
            <v>10020079</v>
          </cell>
          <cell r="F646" t="str">
            <v>0003</v>
          </cell>
          <cell r="G646">
            <v>11</v>
          </cell>
          <cell r="H646">
            <v>75.069999999999993</v>
          </cell>
          <cell r="I646">
            <v>4135.0781509018198</v>
          </cell>
          <cell r="J646">
            <v>0</v>
          </cell>
        </row>
        <row r="647">
          <cell r="E647">
            <v>10020079</v>
          </cell>
          <cell r="F647" t="str">
            <v>0004</v>
          </cell>
          <cell r="G647">
            <v>8</v>
          </cell>
          <cell r="H647">
            <v>39.19</v>
          </cell>
          <cell r="I647">
            <v>2319.0192511622304</v>
          </cell>
          <cell r="J647">
            <v>0</v>
          </cell>
        </row>
        <row r="648">
          <cell r="E648">
            <v>10020080</v>
          </cell>
          <cell r="F648" t="str">
            <v>0002</v>
          </cell>
          <cell r="G648">
            <v>13</v>
          </cell>
          <cell r="H648">
            <v>174.9</v>
          </cell>
          <cell r="I648">
            <v>6348.9238758000001</v>
          </cell>
          <cell r="J648">
            <v>0</v>
          </cell>
        </row>
        <row r="649">
          <cell r="E649">
            <v>10020083</v>
          </cell>
          <cell r="F649" t="str">
            <v>0002</v>
          </cell>
          <cell r="G649">
            <v>12</v>
          </cell>
          <cell r="H649">
            <v>313.2</v>
          </cell>
          <cell r="I649">
            <v>12168.538137360003</v>
          </cell>
          <cell r="J649">
            <v>0</v>
          </cell>
        </row>
        <row r="650">
          <cell r="E650">
            <v>10020084</v>
          </cell>
          <cell r="F650" t="str">
            <v>0002</v>
          </cell>
          <cell r="G650">
            <v>10</v>
          </cell>
          <cell r="H650">
            <v>61.02000000000001</v>
          </cell>
          <cell r="I650">
            <v>2289.9019122738</v>
          </cell>
          <cell r="J650">
            <v>0</v>
          </cell>
        </row>
        <row r="651">
          <cell r="E651">
            <v>10020084</v>
          </cell>
          <cell r="F651" t="str">
            <v>0003</v>
          </cell>
          <cell r="G651">
            <v>7</v>
          </cell>
          <cell r="H651">
            <v>19.740000000000002</v>
          </cell>
          <cell r="I651">
            <v>809.96251150979992</v>
          </cell>
          <cell r="J651">
            <v>0</v>
          </cell>
        </row>
        <row r="652">
          <cell r="E652">
            <v>10020084</v>
          </cell>
          <cell r="F652" t="str">
            <v>0006</v>
          </cell>
          <cell r="G652">
            <v>12</v>
          </cell>
          <cell r="H652">
            <v>85.94</v>
          </cell>
          <cell r="I652">
            <v>3349.2452068152006</v>
          </cell>
          <cell r="J652">
            <v>0</v>
          </cell>
        </row>
        <row r="653">
          <cell r="E653">
            <v>10020084</v>
          </cell>
          <cell r="F653" t="str">
            <v>0008</v>
          </cell>
          <cell r="G653">
            <v>1</v>
          </cell>
          <cell r="H653">
            <v>2.8099999999999996</v>
          </cell>
          <cell r="I653">
            <v>167.41684497635998</v>
          </cell>
          <cell r="J653">
            <v>0</v>
          </cell>
        </row>
        <row r="654">
          <cell r="E654">
            <v>10020084</v>
          </cell>
          <cell r="F654" t="str">
            <v>0010</v>
          </cell>
          <cell r="G654">
            <v>11</v>
          </cell>
          <cell r="H654">
            <v>28.119999999999997</v>
          </cell>
          <cell r="I654">
            <v>1244.7935444830002</v>
          </cell>
          <cell r="J654">
            <v>0</v>
          </cell>
        </row>
        <row r="655">
          <cell r="E655">
            <v>10020084</v>
          </cell>
          <cell r="F655" t="str">
            <v>0016</v>
          </cell>
          <cell r="G655">
            <v>9</v>
          </cell>
          <cell r="H655">
            <v>60.789999999999992</v>
          </cell>
          <cell r="I655">
            <v>2314.9654803000003</v>
          </cell>
          <cell r="J655">
            <v>0</v>
          </cell>
        </row>
        <row r="656">
          <cell r="E656">
            <v>10020084</v>
          </cell>
          <cell r="F656" t="str">
            <v>0017</v>
          </cell>
          <cell r="G656">
            <v>4</v>
          </cell>
          <cell r="H656">
            <v>8</v>
          </cell>
          <cell r="I656">
            <v>328.04561394000007</v>
          </cell>
          <cell r="J656">
            <v>0</v>
          </cell>
        </row>
        <row r="657">
          <cell r="E657">
            <v>10020084</v>
          </cell>
          <cell r="F657" t="str">
            <v>0018</v>
          </cell>
          <cell r="G657">
            <v>14</v>
          </cell>
          <cell r="H657">
            <v>21.75</v>
          </cell>
          <cell r="I657">
            <v>1499.6755977892001</v>
          </cell>
          <cell r="J657">
            <v>0</v>
          </cell>
        </row>
        <row r="658">
          <cell r="E658">
            <v>10020084</v>
          </cell>
          <cell r="F658" t="str">
            <v>0019</v>
          </cell>
          <cell r="G658">
            <v>1</v>
          </cell>
          <cell r="H658">
            <v>2.5099999999999998</v>
          </cell>
          <cell r="I658">
            <v>95.754130559999993</v>
          </cell>
          <cell r="J658">
            <v>0</v>
          </cell>
        </row>
        <row r="659">
          <cell r="E659">
            <v>10020084</v>
          </cell>
          <cell r="F659" t="str">
            <v>0020</v>
          </cell>
          <cell r="G659">
            <v>11</v>
          </cell>
          <cell r="H659">
            <v>39.39</v>
          </cell>
          <cell r="I659">
            <v>1583.4643052562001</v>
          </cell>
          <cell r="J659">
            <v>0</v>
          </cell>
        </row>
        <row r="660">
          <cell r="E660">
            <v>10020084</v>
          </cell>
          <cell r="F660" t="str">
            <v>0022</v>
          </cell>
          <cell r="G660">
            <v>5</v>
          </cell>
          <cell r="H660">
            <v>9.81</v>
          </cell>
          <cell r="I660">
            <v>369.13844681999996</v>
          </cell>
          <cell r="J660">
            <v>0</v>
          </cell>
        </row>
        <row r="661">
          <cell r="E661">
            <v>10020084</v>
          </cell>
          <cell r="F661" t="str">
            <v>0023</v>
          </cell>
          <cell r="G661">
            <v>7</v>
          </cell>
          <cell r="H661">
            <v>15.17</v>
          </cell>
          <cell r="I661">
            <v>607.84510802400007</v>
          </cell>
          <cell r="J661">
            <v>0</v>
          </cell>
        </row>
        <row r="662">
          <cell r="E662">
            <v>10020084</v>
          </cell>
          <cell r="F662" t="str">
            <v>0024</v>
          </cell>
          <cell r="G662">
            <v>10</v>
          </cell>
          <cell r="H662">
            <v>28.45</v>
          </cell>
          <cell r="I662">
            <v>1358.3524129614602</v>
          </cell>
          <cell r="J662">
            <v>0</v>
          </cell>
        </row>
        <row r="663">
          <cell r="E663">
            <v>10020084</v>
          </cell>
          <cell r="F663" t="str">
            <v>0025</v>
          </cell>
          <cell r="G663">
            <v>5</v>
          </cell>
          <cell r="H663">
            <v>12.23</v>
          </cell>
          <cell r="I663">
            <v>476.1172596312</v>
          </cell>
          <cell r="J663">
            <v>0</v>
          </cell>
        </row>
        <row r="664">
          <cell r="E664">
            <v>10020084</v>
          </cell>
          <cell r="F664" t="str">
            <v>0026</v>
          </cell>
          <cell r="G664">
            <v>5</v>
          </cell>
          <cell r="H664">
            <v>15.08</v>
          </cell>
          <cell r="I664">
            <v>664.79253583806008</v>
          </cell>
          <cell r="J664">
            <v>0</v>
          </cell>
        </row>
        <row r="665">
          <cell r="E665">
            <v>10020084</v>
          </cell>
          <cell r="F665" t="str">
            <v>0027</v>
          </cell>
          <cell r="G665">
            <v>6</v>
          </cell>
          <cell r="H665">
            <v>20.880000000000003</v>
          </cell>
          <cell r="I665">
            <v>855.49520865600016</v>
          </cell>
          <cell r="J665">
            <v>0</v>
          </cell>
        </row>
        <row r="666">
          <cell r="E666">
            <v>10020084</v>
          </cell>
          <cell r="F666" t="str">
            <v>0028</v>
          </cell>
          <cell r="G666">
            <v>5</v>
          </cell>
          <cell r="H666">
            <v>15.290000000000001</v>
          </cell>
          <cell r="I666">
            <v>594.28462024800012</v>
          </cell>
          <cell r="J666">
            <v>0</v>
          </cell>
        </row>
        <row r="667">
          <cell r="E667">
            <v>10020084</v>
          </cell>
          <cell r="F667" t="str">
            <v>0029</v>
          </cell>
          <cell r="G667">
            <v>11</v>
          </cell>
          <cell r="H667">
            <v>33.14</v>
          </cell>
          <cell r="I667">
            <v>1337.904018792</v>
          </cell>
          <cell r="J667">
            <v>0</v>
          </cell>
        </row>
        <row r="668">
          <cell r="E668">
            <v>10020084</v>
          </cell>
          <cell r="F668" t="str">
            <v>0030</v>
          </cell>
          <cell r="G668">
            <v>11</v>
          </cell>
          <cell r="H668">
            <v>44.090000000000011</v>
          </cell>
          <cell r="I668">
            <v>1720.4104820627999</v>
          </cell>
          <cell r="J668">
            <v>0</v>
          </cell>
        </row>
        <row r="669">
          <cell r="E669">
            <v>10020084</v>
          </cell>
          <cell r="F669" t="str">
            <v>0031</v>
          </cell>
          <cell r="G669">
            <v>1</v>
          </cell>
          <cell r="H669">
            <v>1.99</v>
          </cell>
          <cell r="I669">
            <v>83.086051716976016</v>
          </cell>
          <cell r="J669">
            <v>0</v>
          </cell>
        </row>
        <row r="670">
          <cell r="E670">
            <v>10020084</v>
          </cell>
          <cell r="F670" t="str">
            <v>0032</v>
          </cell>
          <cell r="G670">
            <v>1</v>
          </cell>
          <cell r="H670">
            <v>3.91</v>
          </cell>
          <cell r="I670">
            <v>144.51788379600004</v>
          </cell>
          <cell r="J670">
            <v>0</v>
          </cell>
        </row>
        <row r="671">
          <cell r="E671">
            <v>10020084</v>
          </cell>
          <cell r="F671" t="str">
            <v>0033</v>
          </cell>
          <cell r="G671">
            <v>1</v>
          </cell>
          <cell r="H671">
            <v>1.63</v>
          </cell>
          <cell r="I671">
            <v>60.461788860000013</v>
          </cell>
          <cell r="J671">
            <v>0</v>
          </cell>
        </row>
        <row r="672">
          <cell r="E672">
            <v>10020084</v>
          </cell>
          <cell r="F672" t="str">
            <v>0034</v>
          </cell>
          <cell r="G672">
            <v>3</v>
          </cell>
          <cell r="H672">
            <v>10.35</v>
          </cell>
          <cell r="I672">
            <v>390.35147591880002</v>
          </cell>
          <cell r="J672">
            <v>0</v>
          </cell>
        </row>
        <row r="673">
          <cell r="E673">
            <v>10020084</v>
          </cell>
          <cell r="F673" t="str">
            <v>0035</v>
          </cell>
          <cell r="G673">
            <v>7</v>
          </cell>
          <cell r="H673">
            <v>14.95</v>
          </cell>
          <cell r="I673">
            <v>638.43983423580016</v>
          </cell>
          <cell r="J673">
            <v>0</v>
          </cell>
        </row>
        <row r="674">
          <cell r="E674">
            <v>10020084</v>
          </cell>
          <cell r="F674" t="str">
            <v>0036</v>
          </cell>
          <cell r="G674">
            <v>3</v>
          </cell>
          <cell r="H674">
            <v>11.54</v>
          </cell>
          <cell r="I674">
            <v>444.81304335599998</v>
          </cell>
          <cell r="J674">
            <v>0</v>
          </cell>
        </row>
        <row r="675">
          <cell r="E675">
            <v>10020084</v>
          </cell>
          <cell r="F675" t="str">
            <v>0037</v>
          </cell>
          <cell r="G675">
            <v>4</v>
          </cell>
          <cell r="H675">
            <v>9.4499999999999993</v>
          </cell>
          <cell r="I675">
            <v>416.04442704000002</v>
          </cell>
          <cell r="J675">
            <v>0</v>
          </cell>
        </row>
        <row r="676">
          <cell r="E676">
            <v>10020084</v>
          </cell>
          <cell r="F676" t="str">
            <v>0038</v>
          </cell>
          <cell r="G676">
            <v>3</v>
          </cell>
          <cell r="H676">
            <v>13.120000000000001</v>
          </cell>
          <cell r="I676">
            <v>502.519654296</v>
          </cell>
          <cell r="J676">
            <v>0</v>
          </cell>
        </row>
        <row r="677">
          <cell r="E677">
            <v>10030003</v>
          </cell>
          <cell r="F677" t="str">
            <v>0001</v>
          </cell>
          <cell r="G677">
            <v>14</v>
          </cell>
          <cell r="H677">
            <v>21.899999999999995</v>
          </cell>
          <cell r="I677">
            <v>1225.4969799676001</v>
          </cell>
          <cell r="J677">
            <v>0</v>
          </cell>
        </row>
        <row r="678">
          <cell r="E678">
            <v>10030003</v>
          </cell>
          <cell r="F678" t="str">
            <v>0002</v>
          </cell>
          <cell r="G678">
            <v>2</v>
          </cell>
          <cell r="H678">
            <v>7.1</v>
          </cell>
          <cell r="I678">
            <v>289.07472528000005</v>
          </cell>
          <cell r="J678">
            <v>289</v>
          </cell>
        </row>
        <row r="679">
          <cell r="E679">
            <v>10030003</v>
          </cell>
          <cell r="F679" t="str">
            <v>0003</v>
          </cell>
          <cell r="G679">
            <v>14</v>
          </cell>
          <cell r="H679">
            <v>35.199999999999996</v>
          </cell>
          <cell r="I679">
            <v>1412.49190896</v>
          </cell>
          <cell r="J679">
            <v>0</v>
          </cell>
        </row>
        <row r="680">
          <cell r="E680">
            <v>10030003</v>
          </cell>
          <cell r="F680" t="str">
            <v>0008</v>
          </cell>
          <cell r="G680">
            <v>7</v>
          </cell>
          <cell r="H680">
            <v>18.599999999999998</v>
          </cell>
          <cell r="I680">
            <v>842.0667126085001</v>
          </cell>
          <cell r="J680">
            <v>0</v>
          </cell>
        </row>
        <row r="681">
          <cell r="E681">
            <v>10030003</v>
          </cell>
          <cell r="F681" t="str">
            <v>0012</v>
          </cell>
          <cell r="G681">
            <v>7</v>
          </cell>
          <cell r="H681">
            <v>54.6</v>
          </cell>
          <cell r="I681">
            <v>2735.1334048488002</v>
          </cell>
          <cell r="J681">
            <v>0</v>
          </cell>
        </row>
        <row r="682">
          <cell r="E682">
            <v>10030003</v>
          </cell>
          <cell r="F682" t="str">
            <v>0018</v>
          </cell>
          <cell r="G682">
            <v>4</v>
          </cell>
          <cell r="H682">
            <v>6.8</v>
          </cell>
          <cell r="I682">
            <v>270.39183118199998</v>
          </cell>
          <cell r="J682">
            <v>0</v>
          </cell>
        </row>
        <row r="683">
          <cell r="E683">
            <v>10030003</v>
          </cell>
          <cell r="F683" t="str">
            <v>0026</v>
          </cell>
          <cell r="G683">
            <v>14</v>
          </cell>
          <cell r="H683">
            <v>65.599999999999994</v>
          </cell>
          <cell r="I683">
            <v>3126.1206249130009</v>
          </cell>
          <cell r="J683">
            <v>0</v>
          </cell>
        </row>
        <row r="684">
          <cell r="E684">
            <v>10030003</v>
          </cell>
          <cell r="F684" t="str">
            <v>0030</v>
          </cell>
          <cell r="G684">
            <v>7</v>
          </cell>
          <cell r="H684">
            <v>47.300000000000004</v>
          </cell>
          <cell r="I684">
            <v>1836.5954705999998</v>
          </cell>
          <cell r="J684">
            <v>0</v>
          </cell>
        </row>
        <row r="685">
          <cell r="E685">
            <v>10030003</v>
          </cell>
          <cell r="F685" t="str">
            <v>0044</v>
          </cell>
          <cell r="G685">
            <v>7</v>
          </cell>
          <cell r="H685">
            <v>24</v>
          </cell>
          <cell r="I685">
            <v>1554.6558531660003</v>
          </cell>
          <cell r="J685">
            <v>0</v>
          </cell>
        </row>
        <row r="686">
          <cell r="E686">
            <v>10030003</v>
          </cell>
          <cell r="F686" t="str">
            <v>0052</v>
          </cell>
          <cell r="G686">
            <v>14</v>
          </cell>
          <cell r="H686">
            <v>64.8</v>
          </cell>
          <cell r="I686">
            <v>2860.5503190555</v>
          </cell>
          <cell r="J686">
            <v>0</v>
          </cell>
        </row>
        <row r="687">
          <cell r="E687">
            <v>10030003</v>
          </cell>
          <cell r="F687" t="str">
            <v>0062</v>
          </cell>
          <cell r="G687">
            <v>7</v>
          </cell>
          <cell r="H687">
            <v>22.599999999999998</v>
          </cell>
          <cell r="I687">
            <v>918.49443444000008</v>
          </cell>
          <cell r="J687">
            <v>0</v>
          </cell>
        </row>
        <row r="688">
          <cell r="E688">
            <v>10030003</v>
          </cell>
          <cell r="F688" t="str">
            <v>0093</v>
          </cell>
          <cell r="G688">
            <v>6</v>
          </cell>
          <cell r="H688">
            <v>11.7</v>
          </cell>
          <cell r="I688">
            <v>812.75757326600001</v>
          </cell>
          <cell r="J688">
            <v>0</v>
          </cell>
        </row>
        <row r="689">
          <cell r="E689">
            <v>10030003</v>
          </cell>
          <cell r="F689" t="str">
            <v>0104</v>
          </cell>
          <cell r="G689">
            <v>5</v>
          </cell>
          <cell r="H689">
            <v>17.899999999999999</v>
          </cell>
          <cell r="I689">
            <v>564.30222215399999</v>
          </cell>
          <cell r="J689">
            <v>0</v>
          </cell>
        </row>
        <row r="690">
          <cell r="E690">
            <v>10030003</v>
          </cell>
          <cell r="F690" t="str">
            <v>0111</v>
          </cell>
          <cell r="G690">
            <v>7</v>
          </cell>
          <cell r="H690">
            <v>37.799999999999997</v>
          </cell>
          <cell r="I690">
            <v>1435.41015552</v>
          </cell>
          <cell r="J690">
            <v>0</v>
          </cell>
        </row>
        <row r="691">
          <cell r="E691">
            <v>10030003</v>
          </cell>
          <cell r="F691" t="str">
            <v>0126</v>
          </cell>
          <cell r="G691">
            <v>7</v>
          </cell>
          <cell r="H691">
            <v>31.4</v>
          </cell>
          <cell r="I691">
            <v>1059.2819360640001</v>
          </cell>
          <cell r="J691">
            <v>0</v>
          </cell>
        </row>
        <row r="692">
          <cell r="E692">
            <v>10030003</v>
          </cell>
          <cell r="F692" t="str">
            <v>0128</v>
          </cell>
          <cell r="G692">
            <v>7</v>
          </cell>
          <cell r="H692">
            <v>23.5</v>
          </cell>
          <cell r="I692">
            <v>1234.210324141</v>
          </cell>
          <cell r="J692">
            <v>0</v>
          </cell>
        </row>
        <row r="693">
          <cell r="E693">
            <v>10030003</v>
          </cell>
          <cell r="F693" t="str">
            <v>0131</v>
          </cell>
          <cell r="G693">
            <v>14</v>
          </cell>
          <cell r="H693">
            <v>150</v>
          </cell>
          <cell r="I693">
            <v>6032.0403000000006</v>
          </cell>
          <cell r="J693">
            <v>0</v>
          </cell>
        </row>
        <row r="694">
          <cell r="E694">
            <v>10030003</v>
          </cell>
          <cell r="F694" t="str">
            <v>0137</v>
          </cell>
          <cell r="G694">
            <v>9</v>
          </cell>
          <cell r="H694">
            <v>41.1</v>
          </cell>
          <cell r="I694">
            <v>1426.0624426620004</v>
          </cell>
          <cell r="J694">
            <v>0</v>
          </cell>
        </row>
        <row r="695">
          <cell r="E695">
            <v>10030003</v>
          </cell>
          <cell r="F695" t="str">
            <v>0177</v>
          </cell>
          <cell r="G695">
            <v>5</v>
          </cell>
          <cell r="H695">
            <v>6.2</v>
          </cell>
          <cell r="I695">
            <v>429.61294866300005</v>
          </cell>
          <cell r="J695">
            <v>0</v>
          </cell>
        </row>
        <row r="696">
          <cell r="E696">
            <v>10030003</v>
          </cell>
          <cell r="F696" t="str">
            <v>0202</v>
          </cell>
          <cell r="G696">
            <v>13</v>
          </cell>
          <cell r="H696">
            <v>38.800000000000004</v>
          </cell>
          <cell r="I696">
            <v>1667.1189832720002</v>
          </cell>
          <cell r="J696">
            <v>0</v>
          </cell>
        </row>
        <row r="697">
          <cell r="E697">
            <v>10030003</v>
          </cell>
          <cell r="F697" t="str">
            <v>0205</v>
          </cell>
          <cell r="G697">
            <v>13</v>
          </cell>
          <cell r="H697">
            <v>26.999999999999996</v>
          </cell>
          <cell r="I697">
            <v>1019.9404234800003</v>
          </cell>
          <cell r="J697">
            <v>0</v>
          </cell>
        </row>
        <row r="698">
          <cell r="E698">
            <v>10030003</v>
          </cell>
          <cell r="F698" t="str">
            <v>0208</v>
          </cell>
          <cell r="G698">
            <v>7</v>
          </cell>
          <cell r="H698">
            <v>24.8</v>
          </cell>
          <cell r="I698">
            <v>858.08669403599993</v>
          </cell>
          <cell r="J698">
            <v>0</v>
          </cell>
        </row>
        <row r="699">
          <cell r="E699">
            <v>10030003</v>
          </cell>
          <cell r="F699" t="str">
            <v>0225</v>
          </cell>
          <cell r="G699">
            <v>7</v>
          </cell>
          <cell r="H699">
            <v>35</v>
          </cell>
          <cell r="I699">
            <v>1155.0381480000003</v>
          </cell>
          <cell r="J699">
            <v>0</v>
          </cell>
        </row>
        <row r="700">
          <cell r="E700">
            <v>10030003</v>
          </cell>
          <cell r="F700" t="str">
            <v>0233</v>
          </cell>
          <cell r="G700">
            <v>6</v>
          </cell>
          <cell r="H700">
            <v>11.3</v>
          </cell>
          <cell r="I700">
            <v>488.84033617606002</v>
          </cell>
          <cell r="J700">
            <v>0</v>
          </cell>
        </row>
        <row r="701">
          <cell r="E701">
            <v>10030003</v>
          </cell>
          <cell r="F701" t="str">
            <v>0237</v>
          </cell>
          <cell r="G701">
            <v>2</v>
          </cell>
          <cell r="H701">
            <v>5.2</v>
          </cell>
          <cell r="I701">
            <v>224.93380140000002</v>
          </cell>
          <cell r="J701">
            <v>0</v>
          </cell>
        </row>
        <row r="702">
          <cell r="E702">
            <v>10030003</v>
          </cell>
          <cell r="F702" t="str">
            <v>0244</v>
          </cell>
          <cell r="G702">
            <v>8</v>
          </cell>
          <cell r="H702">
            <v>34.5</v>
          </cell>
          <cell r="I702">
            <v>1672.9902157907002</v>
          </cell>
          <cell r="J702">
            <v>0</v>
          </cell>
        </row>
        <row r="703">
          <cell r="E703">
            <v>10030003</v>
          </cell>
          <cell r="F703" t="str">
            <v>0246</v>
          </cell>
          <cell r="G703">
            <v>5</v>
          </cell>
          <cell r="H703">
            <v>15.899999999999999</v>
          </cell>
          <cell r="I703">
            <v>626.31735407999997</v>
          </cell>
          <cell r="J703">
            <v>0</v>
          </cell>
        </row>
        <row r="704">
          <cell r="E704">
            <v>10030003</v>
          </cell>
          <cell r="F704" t="str">
            <v>0247</v>
          </cell>
          <cell r="G704">
            <v>3</v>
          </cell>
          <cell r="H704">
            <v>12.9</v>
          </cell>
          <cell r="I704">
            <v>484.87607783999999</v>
          </cell>
          <cell r="J704">
            <v>0</v>
          </cell>
        </row>
        <row r="705">
          <cell r="E705">
            <v>10030003</v>
          </cell>
          <cell r="F705" t="str">
            <v>0251</v>
          </cell>
          <cell r="G705">
            <v>14</v>
          </cell>
          <cell r="H705">
            <v>133.1</v>
          </cell>
          <cell r="I705">
            <v>5402.3549382000001</v>
          </cell>
          <cell r="J705">
            <v>0</v>
          </cell>
        </row>
        <row r="706">
          <cell r="E706">
            <v>10030003</v>
          </cell>
          <cell r="F706" t="str">
            <v>0274</v>
          </cell>
          <cell r="G706">
            <v>5</v>
          </cell>
          <cell r="H706">
            <v>13.5</v>
          </cell>
          <cell r="I706">
            <v>532.55566188000012</v>
          </cell>
          <cell r="J706">
            <v>0</v>
          </cell>
        </row>
        <row r="707">
          <cell r="E707">
            <v>10030003</v>
          </cell>
          <cell r="F707" t="str">
            <v>0284</v>
          </cell>
          <cell r="G707">
            <v>6</v>
          </cell>
          <cell r="H707">
            <v>10.299999999999999</v>
          </cell>
          <cell r="I707">
            <v>360.26295089400003</v>
          </cell>
          <cell r="J707">
            <v>0</v>
          </cell>
        </row>
        <row r="708">
          <cell r="E708">
            <v>10030003</v>
          </cell>
          <cell r="F708" t="str">
            <v>0293</v>
          </cell>
          <cell r="G708">
            <v>7</v>
          </cell>
          <cell r="H708">
            <v>21.2</v>
          </cell>
          <cell r="I708">
            <v>616.50989195400007</v>
          </cell>
          <cell r="J708">
            <v>0</v>
          </cell>
        </row>
        <row r="709">
          <cell r="E709">
            <v>10030003</v>
          </cell>
          <cell r="F709" t="str">
            <v>0300</v>
          </cell>
          <cell r="G709">
            <v>7</v>
          </cell>
          <cell r="H709">
            <v>22</v>
          </cell>
          <cell r="I709">
            <v>919.16708400000016</v>
          </cell>
          <cell r="J709">
            <v>0</v>
          </cell>
        </row>
        <row r="710">
          <cell r="E710">
            <v>10030003</v>
          </cell>
          <cell r="F710" t="str">
            <v>0307</v>
          </cell>
          <cell r="G710">
            <v>2</v>
          </cell>
          <cell r="H710">
            <v>3.5</v>
          </cell>
          <cell r="I710">
            <v>142.8939072</v>
          </cell>
          <cell r="J710">
            <v>0</v>
          </cell>
        </row>
        <row r="711">
          <cell r="E711">
            <v>10030003</v>
          </cell>
          <cell r="F711" t="str">
            <v>0310</v>
          </cell>
          <cell r="G711">
            <v>7</v>
          </cell>
          <cell r="H711">
            <v>20.399999999999999</v>
          </cell>
          <cell r="I711">
            <v>961.77406658970017</v>
          </cell>
          <cell r="J711">
            <v>0</v>
          </cell>
        </row>
        <row r="712">
          <cell r="E712">
            <v>10030003</v>
          </cell>
          <cell r="F712" t="str">
            <v>0318</v>
          </cell>
          <cell r="G712">
            <v>1</v>
          </cell>
          <cell r="H712">
            <v>7.2</v>
          </cell>
          <cell r="I712">
            <v>274.67348832000005</v>
          </cell>
          <cell r="J712">
            <v>0</v>
          </cell>
        </row>
        <row r="713">
          <cell r="E713">
            <v>10030003</v>
          </cell>
          <cell r="F713" t="str">
            <v>0319</v>
          </cell>
          <cell r="G713">
            <v>6</v>
          </cell>
          <cell r="H713">
            <v>16</v>
          </cell>
          <cell r="I713">
            <v>585.7676985600001</v>
          </cell>
          <cell r="J713">
            <v>0</v>
          </cell>
        </row>
        <row r="714">
          <cell r="E714">
            <v>10030003</v>
          </cell>
          <cell r="F714" t="str">
            <v>0332</v>
          </cell>
          <cell r="G714">
            <v>7</v>
          </cell>
          <cell r="H714">
            <v>26.4</v>
          </cell>
          <cell r="I714">
            <v>1392.878889311</v>
          </cell>
          <cell r="J714">
            <v>0</v>
          </cell>
        </row>
        <row r="715">
          <cell r="E715">
            <v>10030003</v>
          </cell>
          <cell r="F715" t="str">
            <v>0337</v>
          </cell>
          <cell r="G715">
            <v>12</v>
          </cell>
          <cell r="H715">
            <v>30.2</v>
          </cell>
          <cell r="I715">
            <v>1258.9311477600002</v>
          </cell>
          <cell r="J715">
            <v>0</v>
          </cell>
        </row>
        <row r="716">
          <cell r="E716">
            <v>10030003</v>
          </cell>
          <cell r="F716" t="str">
            <v>0340</v>
          </cell>
          <cell r="G716">
            <v>3</v>
          </cell>
          <cell r="H716">
            <v>6.3000000000000007</v>
          </cell>
          <cell r="I716">
            <v>281.16719928000003</v>
          </cell>
          <cell r="J716">
            <v>0</v>
          </cell>
        </row>
        <row r="717">
          <cell r="E717">
            <v>10030003</v>
          </cell>
          <cell r="F717" t="str">
            <v>0352</v>
          </cell>
          <cell r="G717">
            <v>7</v>
          </cell>
          <cell r="H717">
            <v>15.6</v>
          </cell>
          <cell r="I717">
            <v>648.58630320000009</v>
          </cell>
          <cell r="J717">
            <v>0</v>
          </cell>
        </row>
        <row r="718">
          <cell r="E718">
            <v>10030003</v>
          </cell>
          <cell r="F718" t="str">
            <v>0361</v>
          </cell>
          <cell r="G718">
            <v>6</v>
          </cell>
          <cell r="H718">
            <v>14</v>
          </cell>
          <cell r="I718">
            <v>528.96560904000012</v>
          </cell>
          <cell r="J718">
            <v>0</v>
          </cell>
        </row>
        <row r="719">
          <cell r="E719">
            <v>10030003</v>
          </cell>
          <cell r="F719" t="str">
            <v>0373</v>
          </cell>
          <cell r="G719">
            <v>2</v>
          </cell>
          <cell r="H719">
            <v>3.5999999999999996</v>
          </cell>
          <cell r="I719">
            <v>214.14466148669999</v>
          </cell>
          <cell r="J719">
            <v>0</v>
          </cell>
        </row>
        <row r="720">
          <cell r="E720">
            <v>10030003</v>
          </cell>
          <cell r="F720" t="str">
            <v>0385</v>
          </cell>
          <cell r="G720">
            <v>7</v>
          </cell>
          <cell r="H720">
            <v>25.900000000000002</v>
          </cell>
          <cell r="I720">
            <v>1188.5430178083</v>
          </cell>
          <cell r="J720">
            <v>0</v>
          </cell>
        </row>
        <row r="721">
          <cell r="E721">
            <v>10030003</v>
          </cell>
          <cell r="F721" t="str">
            <v>0386</v>
          </cell>
          <cell r="G721">
            <v>14</v>
          </cell>
          <cell r="H721">
            <v>32.299999999999997</v>
          </cell>
          <cell r="I721">
            <v>1506.216103536</v>
          </cell>
          <cell r="J721">
            <v>0</v>
          </cell>
        </row>
        <row r="722">
          <cell r="E722">
            <v>10030003</v>
          </cell>
          <cell r="F722" t="str">
            <v>0388</v>
          </cell>
          <cell r="G722">
            <v>6</v>
          </cell>
          <cell r="H722">
            <v>9.6</v>
          </cell>
          <cell r="I722">
            <v>303.96831379200006</v>
          </cell>
          <cell r="J722">
            <v>0</v>
          </cell>
        </row>
        <row r="723">
          <cell r="E723">
            <v>10030003</v>
          </cell>
          <cell r="F723" t="str">
            <v>0399</v>
          </cell>
          <cell r="G723">
            <v>6</v>
          </cell>
          <cell r="H723">
            <v>36.200000000000003</v>
          </cell>
          <cell r="I723">
            <v>1443.93574644</v>
          </cell>
          <cell r="J723">
            <v>0</v>
          </cell>
        </row>
        <row r="724">
          <cell r="E724">
            <v>10030003</v>
          </cell>
          <cell r="F724" t="str">
            <v>0410</v>
          </cell>
          <cell r="G724">
            <v>6</v>
          </cell>
          <cell r="H724">
            <v>17.900000000000002</v>
          </cell>
          <cell r="I724">
            <v>771.5205907200002</v>
          </cell>
          <cell r="J724">
            <v>0</v>
          </cell>
        </row>
        <row r="725">
          <cell r="E725">
            <v>10030003</v>
          </cell>
          <cell r="F725" t="str">
            <v>0416</v>
          </cell>
          <cell r="G725">
            <v>14</v>
          </cell>
          <cell r="H725">
            <v>104.5</v>
          </cell>
          <cell r="I725">
            <v>4420.0976489999994</v>
          </cell>
          <cell r="J725">
            <v>0</v>
          </cell>
        </row>
        <row r="726">
          <cell r="E726">
            <v>10030003</v>
          </cell>
          <cell r="F726" t="str">
            <v>0427</v>
          </cell>
          <cell r="G726">
            <v>7</v>
          </cell>
          <cell r="H726">
            <v>21.9</v>
          </cell>
          <cell r="I726">
            <v>922.42737180000006</v>
          </cell>
          <cell r="J726">
            <v>0</v>
          </cell>
        </row>
        <row r="727">
          <cell r="E727">
            <v>10030003</v>
          </cell>
          <cell r="F727" t="str">
            <v>0429</v>
          </cell>
          <cell r="G727">
            <v>7</v>
          </cell>
          <cell r="H727">
            <v>15.7</v>
          </cell>
          <cell r="I727">
            <v>562.89898803600011</v>
          </cell>
          <cell r="J727">
            <v>0</v>
          </cell>
        </row>
        <row r="728">
          <cell r="E728">
            <v>10030003</v>
          </cell>
          <cell r="F728" t="str">
            <v>0430</v>
          </cell>
          <cell r="G728">
            <v>7</v>
          </cell>
          <cell r="H728">
            <v>27.1</v>
          </cell>
          <cell r="I728">
            <v>1045.7069317200001</v>
          </cell>
          <cell r="J728">
            <v>0</v>
          </cell>
        </row>
        <row r="729">
          <cell r="E729">
            <v>10030003</v>
          </cell>
          <cell r="F729" t="str">
            <v>0431</v>
          </cell>
          <cell r="G729">
            <v>6</v>
          </cell>
          <cell r="H729">
            <v>17.899999999999999</v>
          </cell>
          <cell r="I729">
            <v>618.10078532400007</v>
          </cell>
          <cell r="J729">
            <v>0</v>
          </cell>
        </row>
        <row r="730">
          <cell r="E730">
            <v>10030003</v>
          </cell>
          <cell r="F730" t="str">
            <v>0436</v>
          </cell>
          <cell r="G730">
            <v>6</v>
          </cell>
          <cell r="H730">
            <v>42.8</v>
          </cell>
          <cell r="I730">
            <v>1549.0661274000001</v>
          </cell>
          <cell r="J730">
            <v>0</v>
          </cell>
        </row>
        <row r="731">
          <cell r="E731">
            <v>10030003</v>
          </cell>
          <cell r="F731" t="str">
            <v>0438</v>
          </cell>
          <cell r="G731">
            <v>6</v>
          </cell>
          <cell r="H731">
            <v>15.1</v>
          </cell>
          <cell r="I731">
            <v>594.87675865200003</v>
          </cell>
          <cell r="J731">
            <v>0</v>
          </cell>
        </row>
        <row r="732">
          <cell r="E732">
            <v>10030003</v>
          </cell>
          <cell r="F732" t="str">
            <v>0439</v>
          </cell>
          <cell r="G732">
            <v>8</v>
          </cell>
          <cell r="H732">
            <v>18.400000000000002</v>
          </cell>
          <cell r="I732">
            <v>817.58076531450001</v>
          </cell>
          <cell r="J732">
            <v>0</v>
          </cell>
        </row>
        <row r="733">
          <cell r="E733">
            <v>10030003</v>
          </cell>
          <cell r="F733" t="str">
            <v>0440</v>
          </cell>
          <cell r="G733">
            <v>1</v>
          </cell>
          <cell r="H733">
            <v>2.5</v>
          </cell>
          <cell r="I733">
            <v>70.753953600000017</v>
          </cell>
          <cell r="J733">
            <v>0</v>
          </cell>
        </row>
        <row r="734">
          <cell r="E734">
            <v>10030003</v>
          </cell>
          <cell r="F734" t="str">
            <v>0441</v>
          </cell>
          <cell r="G734">
            <v>6</v>
          </cell>
          <cell r="H734">
            <v>17.3</v>
          </cell>
          <cell r="I734">
            <v>565.31770673400001</v>
          </cell>
          <cell r="J734">
            <v>0</v>
          </cell>
        </row>
        <row r="735">
          <cell r="E735">
            <v>10030008</v>
          </cell>
          <cell r="F735" t="str">
            <v>0001</v>
          </cell>
          <cell r="G735">
            <v>8</v>
          </cell>
          <cell r="H735">
            <v>1.5999999999999999</v>
          </cell>
          <cell r="I735">
            <v>55.969689600000024</v>
          </cell>
          <cell r="J735">
            <v>0</v>
          </cell>
        </row>
        <row r="736">
          <cell r="E736">
            <v>10030008</v>
          </cell>
          <cell r="F736" t="str">
            <v>0003</v>
          </cell>
          <cell r="G736">
            <v>9</v>
          </cell>
          <cell r="H736">
            <v>282</v>
          </cell>
          <cell r="I736">
            <v>11416.185792000002</v>
          </cell>
          <cell r="J736">
            <v>0</v>
          </cell>
        </row>
        <row r="737">
          <cell r="E737">
            <v>10030008</v>
          </cell>
          <cell r="F737" t="str">
            <v>0013</v>
          </cell>
          <cell r="G737">
            <v>8</v>
          </cell>
          <cell r="H737">
            <v>168.60000000000002</v>
          </cell>
          <cell r="I737">
            <v>5897.8060416000017</v>
          </cell>
          <cell r="J737">
            <v>0</v>
          </cell>
        </row>
        <row r="738">
          <cell r="E738">
            <v>10030008</v>
          </cell>
          <cell r="F738" t="str">
            <v>0015</v>
          </cell>
          <cell r="G738">
            <v>8</v>
          </cell>
          <cell r="H738">
            <v>182.3</v>
          </cell>
          <cell r="I738">
            <v>6377.046508800001</v>
          </cell>
          <cell r="J738">
            <v>0</v>
          </cell>
        </row>
        <row r="739">
          <cell r="E739">
            <v>10030008</v>
          </cell>
          <cell r="F739" t="str">
            <v>0016</v>
          </cell>
          <cell r="G739">
            <v>8</v>
          </cell>
          <cell r="H739">
            <v>182</v>
          </cell>
          <cell r="I739">
            <v>6366.552192000001</v>
          </cell>
          <cell r="J739">
            <v>0</v>
          </cell>
        </row>
        <row r="740">
          <cell r="E740">
            <v>10030010</v>
          </cell>
          <cell r="F740" t="str">
            <v>0002</v>
          </cell>
          <cell r="G740">
            <v>13</v>
          </cell>
          <cell r="H740">
            <v>208</v>
          </cell>
          <cell r="I740">
            <v>9997.8384072589979</v>
          </cell>
          <cell r="J740">
            <v>413</v>
          </cell>
        </row>
        <row r="741">
          <cell r="E741">
            <v>10030010</v>
          </cell>
          <cell r="F741" t="str">
            <v>0006</v>
          </cell>
          <cell r="G741">
            <v>8</v>
          </cell>
          <cell r="H741">
            <v>168</v>
          </cell>
          <cell r="I741">
            <v>8014.584204054001</v>
          </cell>
          <cell r="J741">
            <v>0</v>
          </cell>
        </row>
        <row r="742">
          <cell r="E742">
            <v>10030010</v>
          </cell>
          <cell r="F742" t="str">
            <v>0007</v>
          </cell>
          <cell r="G742">
            <v>1</v>
          </cell>
          <cell r="H742">
            <v>35</v>
          </cell>
          <cell r="I742">
            <v>1649.27998529</v>
          </cell>
          <cell r="J742">
            <v>0</v>
          </cell>
        </row>
        <row r="743">
          <cell r="E743">
            <v>10030011</v>
          </cell>
          <cell r="F743" t="str">
            <v>0001</v>
          </cell>
          <cell r="G743">
            <v>14</v>
          </cell>
          <cell r="H743">
            <v>7.1</v>
          </cell>
          <cell r="I743">
            <v>288.49390812000001</v>
          </cell>
          <cell r="J743">
            <v>0</v>
          </cell>
        </row>
        <row r="744">
          <cell r="E744">
            <v>10030011</v>
          </cell>
          <cell r="F744" t="str">
            <v>0002</v>
          </cell>
          <cell r="G744">
            <v>14</v>
          </cell>
          <cell r="H744">
            <v>107.3</v>
          </cell>
          <cell r="I744">
            <v>4368.8839787999996</v>
          </cell>
          <cell r="J744">
            <v>0</v>
          </cell>
        </row>
        <row r="745">
          <cell r="E745">
            <v>10030011</v>
          </cell>
          <cell r="F745" t="str">
            <v>0005</v>
          </cell>
          <cell r="G745">
            <v>14</v>
          </cell>
          <cell r="H745">
            <v>108</v>
          </cell>
          <cell r="I745">
            <v>4399.1523972000005</v>
          </cell>
          <cell r="J745">
            <v>0</v>
          </cell>
        </row>
        <row r="746">
          <cell r="E746">
            <v>10030011</v>
          </cell>
          <cell r="F746" t="str">
            <v>0101</v>
          </cell>
          <cell r="G746">
            <v>14</v>
          </cell>
          <cell r="H746">
            <v>108</v>
          </cell>
          <cell r="I746">
            <v>4399.1523972000005</v>
          </cell>
          <cell r="J746">
            <v>0</v>
          </cell>
        </row>
        <row r="747">
          <cell r="E747">
            <v>10030011</v>
          </cell>
          <cell r="F747" t="str">
            <v>0102</v>
          </cell>
          <cell r="G747">
            <v>13</v>
          </cell>
          <cell r="H747">
            <v>99</v>
          </cell>
          <cell r="I747">
            <v>3992.8460220000006</v>
          </cell>
          <cell r="J747">
            <v>0</v>
          </cell>
        </row>
        <row r="748">
          <cell r="E748">
            <v>10030011</v>
          </cell>
          <cell r="F748" t="str">
            <v>0104</v>
          </cell>
          <cell r="G748">
            <v>14</v>
          </cell>
          <cell r="H748">
            <v>104</v>
          </cell>
          <cell r="I748">
            <v>4229.3958696</v>
          </cell>
          <cell r="J748">
            <v>0</v>
          </cell>
        </row>
        <row r="749">
          <cell r="E749">
            <v>10030011</v>
          </cell>
          <cell r="F749" t="str">
            <v>0107</v>
          </cell>
          <cell r="G749">
            <v>13</v>
          </cell>
          <cell r="H749">
            <v>97</v>
          </cell>
          <cell r="I749">
            <v>3904.4033028000003</v>
          </cell>
          <cell r="J749">
            <v>0</v>
          </cell>
        </row>
        <row r="750">
          <cell r="E750">
            <v>10030011</v>
          </cell>
          <cell r="F750" t="str">
            <v>0108</v>
          </cell>
          <cell r="G750">
            <v>13</v>
          </cell>
          <cell r="H750">
            <v>95</v>
          </cell>
          <cell r="I750">
            <v>3832.8575868000003</v>
          </cell>
          <cell r="J750">
            <v>0</v>
          </cell>
        </row>
        <row r="751">
          <cell r="E751">
            <v>10030011</v>
          </cell>
          <cell r="F751" t="str">
            <v>0109</v>
          </cell>
          <cell r="G751">
            <v>13</v>
          </cell>
          <cell r="H751">
            <v>95</v>
          </cell>
          <cell r="I751">
            <v>3832.8575868000003</v>
          </cell>
          <cell r="J751">
            <v>0</v>
          </cell>
        </row>
        <row r="752">
          <cell r="E752">
            <v>10030011</v>
          </cell>
          <cell r="F752" t="str">
            <v>0110</v>
          </cell>
          <cell r="G752">
            <v>13</v>
          </cell>
          <cell r="H752">
            <v>95</v>
          </cell>
          <cell r="I752">
            <v>3839.1935868000005</v>
          </cell>
          <cell r="J752">
            <v>0</v>
          </cell>
        </row>
        <row r="753">
          <cell r="E753">
            <v>10030011</v>
          </cell>
          <cell r="F753" t="str">
            <v>0112</v>
          </cell>
          <cell r="G753">
            <v>14</v>
          </cell>
          <cell r="H753">
            <v>106</v>
          </cell>
          <cell r="I753">
            <v>4324.0421664000005</v>
          </cell>
          <cell r="J753">
            <v>0</v>
          </cell>
        </row>
        <row r="754">
          <cell r="E754">
            <v>10030013</v>
          </cell>
          <cell r="F754" t="str">
            <v>0001</v>
          </cell>
          <cell r="G754">
            <v>13</v>
          </cell>
          <cell r="H754">
            <v>16.18</v>
          </cell>
          <cell r="I754">
            <v>824.05876333800018</v>
          </cell>
          <cell r="J754">
            <v>0</v>
          </cell>
        </row>
        <row r="755">
          <cell r="E755">
            <v>10030013</v>
          </cell>
          <cell r="F755" t="str">
            <v>0002</v>
          </cell>
          <cell r="G755">
            <v>9</v>
          </cell>
          <cell r="H755">
            <v>98.94</v>
          </cell>
          <cell r="I755">
            <v>4683.2505963724007</v>
          </cell>
          <cell r="J755">
            <v>0</v>
          </cell>
        </row>
        <row r="756">
          <cell r="E756">
            <v>10030013</v>
          </cell>
          <cell r="F756" t="str">
            <v>0003</v>
          </cell>
          <cell r="G756">
            <v>13</v>
          </cell>
          <cell r="H756">
            <v>119.18</v>
          </cell>
          <cell r="I756">
            <v>6268.1836804864006</v>
          </cell>
          <cell r="J756">
            <v>0</v>
          </cell>
        </row>
        <row r="757">
          <cell r="E757">
            <v>10030013</v>
          </cell>
          <cell r="F757" t="str">
            <v>0007</v>
          </cell>
          <cell r="G757">
            <v>1</v>
          </cell>
          <cell r="H757">
            <v>3.94</v>
          </cell>
          <cell r="I757">
            <v>146.14690068000004</v>
          </cell>
          <cell r="J757">
            <v>0</v>
          </cell>
        </row>
        <row r="758">
          <cell r="E758">
            <v>10030013</v>
          </cell>
          <cell r="F758" t="str">
            <v>0008</v>
          </cell>
          <cell r="G758">
            <v>9</v>
          </cell>
          <cell r="H758">
            <v>69.759999999999991</v>
          </cell>
          <cell r="I758">
            <v>3221.0781817964398</v>
          </cell>
          <cell r="J758">
            <v>0</v>
          </cell>
        </row>
        <row r="759">
          <cell r="E759">
            <v>10030013</v>
          </cell>
          <cell r="F759" t="str">
            <v>0010</v>
          </cell>
          <cell r="G759">
            <v>12</v>
          </cell>
          <cell r="H759">
            <v>118.64</v>
          </cell>
          <cell r="I759">
            <v>6480.2333692286202</v>
          </cell>
          <cell r="J759">
            <v>0</v>
          </cell>
        </row>
        <row r="760">
          <cell r="E760">
            <v>10030013</v>
          </cell>
          <cell r="F760" t="str">
            <v>0014</v>
          </cell>
          <cell r="G760">
            <v>6</v>
          </cell>
          <cell r="H760">
            <v>6.72</v>
          </cell>
          <cell r="I760">
            <v>293.97862895940006</v>
          </cell>
          <cell r="J760">
            <v>0</v>
          </cell>
        </row>
        <row r="761">
          <cell r="E761">
            <v>10030013</v>
          </cell>
          <cell r="F761" t="str">
            <v>0015</v>
          </cell>
          <cell r="G761">
            <v>2</v>
          </cell>
          <cell r="H761">
            <v>8.9</v>
          </cell>
          <cell r="I761">
            <v>522.02017870739996</v>
          </cell>
          <cell r="J761">
            <v>0</v>
          </cell>
        </row>
        <row r="762">
          <cell r="E762">
            <v>10030013</v>
          </cell>
          <cell r="F762" t="str">
            <v>0017</v>
          </cell>
          <cell r="G762">
            <v>4</v>
          </cell>
          <cell r="H762">
            <v>7.24</v>
          </cell>
          <cell r="I762">
            <v>464.84071377240008</v>
          </cell>
          <cell r="J762">
            <v>0</v>
          </cell>
        </row>
        <row r="763">
          <cell r="E763">
            <v>10030013</v>
          </cell>
          <cell r="F763" t="str">
            <v>0018</v>
          </cell>
          <cell r="G763">
            <v>5</v>
          </cell>
          <cell r="H763">
            <v>26.62</v>
          </cell>
          <cell r="I763">
            <v>1421.5169035246802</v>
          </cell>
          <cell r="J763">
            <v>0</v>
          </cell>
        </row>
        <row r="764">
          <cell r="E764">
            <v>10030013</v>
          </cell>
          <cell r="F764" t="str">
            <v>0019</v>
          </cell>
          <cell r="G764">
            <v>7</v>
          </cell>
          <cell r="H764">
            <v>63.860000000000007</v>
          </cell>
          <cell r="I764">
            <v>2645.7741699696003</v>
          </cell>
          <cell r="J764">
            <v>0</v>
          </cell>
        </row>
        <row r="765">
          <cell r="E765">
            <v>10030013</v>
          </cell>
          <cell r="F765" t="str">
            <v>0020</v>
          </cell>
          <cell r="G765">
            <v>1</v>
          </cell>
          <cell r="H765">
            <v>0.92</v>
          </cell>
          <cell r="I765">
            <v>32.182607952000005</v>
          </cell>
          <cell r="J765">
            <v>0</v>
          </cell>
        </row>
        <row r="766">
          <cell r="E766">
            <v>10030013</v>
          </cell>
          <cell r="F766" t="str">
            <v>0021</v>
          </cell>
          <cell r="G766">
            <v>11</v>
          </cell>
          <cell r="H766">
            <v>30.099999999999998</v>
          </cell>
          <cell r="I766">
            <v>1761.6051058768003</v>
          </cell>
          <cell r="J766">
            <v>0</v>
          </cell>
        </row>
        <row r="767">
          <cell r="E767">
            <v>10030013</v>
          </cell>
          <cell r="F767" t="str">
            <v>0023</v>
          </cell>
          <cell r="G767">
            <v>6</v>
          </cell>
          <cell r="H767">
            <v>15.660000000000002</v>
          </cell>
          <cell r="I767">
            <v>788.71937117620018</v>
          </cell>
          <cell r="J767">
            <v>0</v>
          </cell>
        </row>
        <row r="768">
          <cell r="E768">
            <v>10030015</v>
          </cell>
          <cell r="F768" t="str">
            <v>0001</v>
          </cell>
          <cell r="G768">
            <v>13</v>
          </cell>
          <cell r="H768">
            <v>17.239999999999998</v>
          </cell>
          <cell r="I768">
            <v>649.96150239377016</v>
          </cell>
          <cell r="J768">
            <v>0</v>
          </cell>
        </row>
        <row r="769">
          <cell r="E769">
            <v>10030015</v>
          </cell>
          <cell r="F769" t="str">
            <v>0002</v>
          </cell>
          <cell r="G769">
            <v>13</v>
          </cell>
          <cell r="H769">
            <v>148.16999999999999</v>
          </cell>
          <cell r="I769">
            <v>5612.2624968676191</v>
          </cell>
          <cell r="J769">
            <v>0</v>
          </cell>
        </row>
        <row r="770">
          <cell r="E770">
            <v>10030015</v>
          </cell>
          <cell r="F770" t="str">
            <v>0003</v>
          </cell>
          <cell r="G770">
            <v>13</v>
          </cell>
          <cell r="H770">
            <v>55.599999999999994</v>
          </cell>
          <cell r="I770">
            <v>2512.6966295983402</v>
          </cell>
          <cell r="J770">
            <v>0</v>
          </cell>
        </row>
        <row r="771">
          <cell r="E771">
            <v>10030015</v>
          </cell>
          <cell r="F771" t="str">
            <v>0004</v>
          </cell>
          <cell r="G771">
            <v>14</v>
          </cell>
          <cell r="H771">
            <v>142.18</v>
          </cell>
          <cell r="I771">
            <v>5326.7760945661012</v>
          </cell>
          <cell r="J771">
            <v>0</v>
          </cell>
        </row>
        <row r="772">
          <cell r="E772">
            <v>10030015</v>
          </cell>
          <cell r="F772" t="str">
            <v>0005</v>
          </cell>
          <cell r="G772">
            <v>12</v>
          </cell>
          <cell r="H772">
            <v>100.02000000000002</v>
          </cell>
          <cell r="I772">
            <v>4195.7421989619997</v>
          </cell>
          <cell r="J772">
            <v>0</v>
          </cell>
        </row>
        <row r="773">
          <cell r="E773">
            <v>10030016</v>
          </cell>
          <cell r="F773" t="str">
            <v>0001</v>
          </cell>
          <cell r="G773">
            <v>14</v>
          </cell>
          <cell r="H773">
            <v>7.88</v>
          </cell>
          <cell r="I773">
            <v>311.20788560400001</v>
          </cell>
          <cell r="J773">
            <v>0</v>
          </cell>
        </row>
        <row r="774">
          <cell r="E774">
            <v>10030016</v>
          </cell>
          <cell r="F774" t="str">
            <v>0002</v>
          </cell>
          <cell r="G774">
            <v>14</v>
          </cell>
          <cell r="H774">
            <v>87.77</v>
          </cell>
          <cell r="I774">
            <v>4951.6197548268201</v>
          </cell>
          <cell r="J774">
            <v>0</v>
          </cell>
        </row>
        <row r="775">
          <cell r="E775">
            <v>10030016</v>
          </cell>
          <cell r="F775" t="str">
            <v>0003</v>
          </cell>
          <cell r="G775">
            <v>8</v>
          </cell>
          <cell r="H775">
            <v>51.809999999999988</v>
          </cell>
          <cell r="I775">
            <v>2319.9233746375899</v>
          </cell>
          <cell r="J775">
            <v>0</v>
          </cell>
        </row>
        <row r="776">
          <cell r="E776">
            <v>10030016</v>
          </cell>
          <cell r="F776" t="str">
            <v>0006</v>
          </cell>
          <cell r="G776">
            <v>2</v>
          </cell>
          <cell r="H776">
            <v>8.74</v>
          </cell>
          <cell r="I776">
            <v>423.31297713516</v>
          </cell>
          <cell r="J776">
            <v>0</v>
          </cell>
        </row>
        <row r="777">
          <cell r="E777">
            <v>10030016</v>
          </cell>
          <cell r="F777" t="str">
            <v>0015</v>
          </cell>
          <cell r="G777">
            <v>1</v>
          </cell>
          <cell r="H777">
            <v>1.82</v>
          </cell>
          <cell r="I777">
            <v>74.716682040000009</v>
          </cell>
          <cell r="J777">
            <v>0</v>
          </cell>
        </row>
        <row r="778">
          <cell r="E778">
            <v>10030016</v>
          </cell>
          <cell r="F778" t="str">
            <v>0019</v>
          </cell>
          <cell r="G778">
            <v>1</v>
          </cell>
          <cell r="H778">
            <v>5.37</v>
          </cell>
          <cell r="I778">
            <v>279.30163182294001</v>
          </cell>
          <cell r="J778">
            <v>0</v>
          </cell>
        </row>
        <row r="779">
          <cell r="E779">
            <v>10030016</v>
          </cell>
          <cell r="F779" t="str">
            <v>0025</v>
          </cell>
          <cell r="G779">
            <v>14</v>
          </cell>
          <cell r="H779">
            <v>122.77000000000001</v>
          </cell>
          <cell r="I779">
            <v>4834.9904343840008</v>
          </cell>
          <cell r="J779">
            <v>0</v>
          </cell>
        </row>
        <row r="780">
          <cell r="E780">
            <v>10030016</v>
          </cell>
          <cell r="F780" t="str">
            <v>0026</v>
          </cell>
          <cell r="G780">
            <v>14</v>
          </cell>
          <cell r="H780">
            <v>119.34000000000002</v>
          </cell>
          <cell r="I780">
            <v>4790.6447759279999</v>
          </cell>
          <cell r="J780">
            <v>0</v>
          </cell>
        </row>
        <row r="781">
          <cell r="E781">
            <v>10030016</v>
          </cell>
          <cell r="F781" t="str">
            <v>0027</v>
          </cell>
          <cell r="G781">
            <v>14</v>
          </cell>
          <cell r="H781">
            <v>119.66</v>
          </cell>
          <cell r="I781">
            <v>4767.2888083920006</v>
          </cell>
          <cell r="J781">
            <v>0</v>
          </cell>
        </row>
        <row r="782">
          <cell r="E782">
            <v>10030016</v>
          </cell>
          <cell r="F782" t="str">
            <v>0028</v>
          </cell>
          <cell r="G782">
            <v>14</v>
          </cell>
          <cell r="H782">
            <v>106.75999999999999</v>
          </cell>
          <cell r="I782">
            <v>4360.6953786622917</v>
          </cell>
          <cell r="J782">
            <v>0</v>
          </cell>
        </row>
        <row r="783">
          <cell r="E783">
            <v>10030016</v>
          </cell>
          <cell r="F783" t="str">
            <v>0029</v>
          </cell>
          <cell r="G783">
            <v>14</v>
          </cell>
          <cell r="H783">
            <v>98.05</v>
          </cell>
          <cell r="I783">
            <v>4228.4815276969812</v>
          </cell>
          <cell r="J783">
            <v>0</v>
          </cell>
        </row>
        <row r="784">
          <cell r="E784">
            <v>10030016</v>
          </cell>
          <cell r="F784" t="str">
            <v>0030</v>
          </cell>
          <cell r="G784">
            <v>14</v>
          </cell>
          <cell r="H784">
            <v>116.91000000000001</v>
          </cell>
          <cell r="I784">
            <v>4685.026607316001</v>
          </cell>
          <cell r="J784">
            <v>0</v>
          </cell>
        </row>
        <row r="785">
          <cell r="E785">
            <v>10030016</v>
          </cell>
          <cell r="F785" t="str">
            <v>0031</v>
          </cell>
          <cell r="G785">
            <v>14</v>
          </cell>
          <cell r="H785">
            <v>119.32000000000002</v>
          </cell>
          <cell r="I785">
            <v>4801.7234121120009</v>
          </cell>
          <cell r="J785">
            <v>0</v>
          </cell>
        </row>
        <row r="786">
          <cell r="E786">
            <v>10030016</v>
          </cell>
          <cell r="F786" t="str">
            <v>0034</v>
          </cell>
          <cell r="G786">
            <v>5</v>
          </cell>
          <cell r="H786">
            <v>22.990000000000002</v>
          </cell>
          <cell r="I786">
            <v>1003.95965802308</v>
          </cell>
          <cell r="J786">
            <v>0</v>
          </cell>
        </row>
        <row r="787">
          <cell r="E787">
            <v>10030016</v>
          </cell>
          <cell r="F787" t="str">
            <v>0035</v>
          </cell>
          <cell r="G787">
            <v>14</v>
          </cell>
          <cell r="H787">
            <v>119.35</v>
          </cell>
          <cell r="I787">
            <v>4717.9266239160006</v>
          </cell>
          <cell r="J787">
            <v>0</v>
          </cell>
        </row>
        <row r="788">
          <cell r="E788">
            <v>10030017</v>
          </cell>
          <cell r="F788" t="str">
            <v>0001</v>
          </cell>
          <cell r="G788">
            <v>14</v>
          </cell>
          <cell r="H788">
            <v>22.419999999999998</v>
          </cell>
          <cell r="I788">
            <v>1122.62999543514</v>
          </cell>
          <cell r="J788">
            <v>0</v>
          </cell>
        </row>
        <row r="789">
          <cell r="E789">
            <v>10030017</v>
          </cell>
          <cell r="F789" t="str">
            <v>0002</v>
          </cell>
          <cell r="G789">
            <v>14</v>
          </cell>
          <cell r="H789">
            <v>144.10999999999999</v>
          </cell>
          <cell r="I789">
            <v>7130.9025235589015</v>
          </cell>
          <cell r="J789">
            <v>0</v>
          </cell>
        </row>
        <row r="790">
          <cell r="E790">
            <v>10030017</v>
          </cell>
          <cell r="F790" t="str">
            <v>0003</v>
          </cell>
          <cell r="G790">
            <v>14</v>
          </cell>
          <cell r="H790">
            <v>116.17000000000002</v>
          </cell>
          <cell r="I790">
            <v>5567.529401029381</v>
          </cell>
          <cell r="J790">
            <v>0</v>
          </cell>
        </row>
        <row r="791">
          <cell r="E791">
            <v>10030017</v>
          </cell>
          <cell r="F791" t="str">
            <v>0004</v>
          </cell>
          <cell r="G791">
            <v>13</v>
          </cell>
          <cell r="H791">
            <v>19.02</v>
          </cell>
          <cell r="I791">
            <v>643.34762949600008</v>
          </cell>
          <cell r="J791">
            <v>0</v>
          </cell>
        </row>
        <row r="792">
          <cell r="E792">
            <v>10030017</v>
          </cell>
          <cell r="F792" t="str">
            <v>0005</v>
          </cell>
          <cell r="G792">
            <v>14</v>
          </cell>
          <cell r="H792">
            <v>138.36000000000001</v>
          </cell>
          <cell r="I792">
            <v>6790.3501657895104</v>
          </cell>
          <cell r="J792">
            <v>0</v>
          </cell>
        </row>
        <row r="793">
          <cell r="E793">
            <v>10030017</v>
          </cell>
          <cell r="F793" t="str">
            <v>0009</v>
          </cell>
          <cell r="G793">
            <v>14</v>
          </cell>
          <cell r="H793">
            <v>25.09</v>
          </cell>
          <cell r="I793">
            <v>1515.2844521190598</v>
          </cell>
          <cell r="J793">
            <v>0</v>
          </cell>
        </row>
        <row r="794">
          <cell r="E794">
            <v>10030017</v>
          </cell>
          <cell r="F794" t="str">
            <v>0011</v>
          </cell>
          <cell r="G794">
            <v>7</v>
          </cell>
          <cell r="H794">
            <v>12.120000000000001</v>
          </cell>
          <cell r="I794">
            <v>548.21815970519015</v>
          </cell>
          <cell r="J794">
            <v>0</v>
          </cell>
        </row>
        <row r="795">
          <cell r="E795">
            <v>10030017</v>
          </cell>
          <cell r="F795" t="str">
            <v>0012</v>
          </cell>
          <cell r="G795">
            <v>8</v>
          </cell>
          <cell r="H795">
            <v>12.990000000000002</v>
          </cell>
          <cell r="I795">
            <v>608.64957865513998</v>
          </cell>
          <cell r="J795">
            <v>0</v>
          </cell>
        </row>
        <row r="796">
          <cell r="E796">
            <v>10030017</v>
          </cell>
          <cell r="F796" t="str">
            <v>0016</v>
          </cell>
          <cell r="G796">
            <v>1</v>
          </cell>
          <cell r="H796">
            <v>2.16</v>
          </cell>
          <cell r="I796">
            <v>127.97626539456002</v>
          </cell>
          <cell r="J796">
            <v>0</v>
          </cell>
        </row>
        <row r="797">
          <cell r="E797">
            <v>10030017</v>
          </cell>
          <cell r="F797" t="str">
            <v>0017</v>
          </cell>
          <cell r="G797">
            <v>13</v>
          </cell>
          <cell r="H797">
            <v>48.47</v>
          </cell>
          <cell r="I797">
            <v>2370.6444459455147</v>
          </cell>
          <cell r="J797">
            <v>0</v>
          </cell>
        </row>
        <row r="798">
          <cell r="E798">
            <v>10030017</v>
          </cell>
          <cell r="F798" t="str">
            <v>0019</v>
          </cell>
          <cell r="G798">
            <v>13</v>
          </cell>
          <cell r="H798">
            <v>19.7</v>
          </cell>
          <cell r="I798">
            <v>842.85836865180022</v>
          </cell>
          <cell r="J798">
            <v>0</v>
          </cell>
        </row>
        <row r="799">
          <cell r="E799">
            <v>10030017</v>
          </cell>
          <cell r="F799" t="str">
            <v>0021</v>
          </cell>
          <cell r="G799">
            <v>14</v>
          </cell>
          <cell r="H799">
            <v>67.09</v>
          </cell>
          <cell r="I799">
            <v>3748.4709637827809</v>
          </cell>
          <cell r="J799">
            <v>0</v>
          </cell>
        </row>
        <row r="800">
          <cell r="E800">
            <v>10030017</v>
          </cell>
          <cell r="F800" t="str">
            <v>0027</v>
          </cell>
          <cell r="G800">
            <v>14</v>
          </cell>
          <cell r="H800">
            <v>75.720000000000013</v>
          </cell>
          <cell r="I800">
            <v>3877.9323843731709</v>
          </cell>
          <cell r="J800">
            <v>0</v>
          </cell>
        </row>
        <row r="801">
          <cell r="E801">
            <v>10030017</v>
          </cell>
          <cell r="F801" t="str">
            <v>0035</v>
          </cell>
          <cell r="G801">
            <v>10</v>
          </cell>
          <cell r="H801">
            <v>30.44</v>
          </cell>
          <cell r="I801">
            <v>1547.5428543654423</v>
          </cell>
          <cell r="J801">
            <v>0</v>
          </cell>
        </row>
        <row r="802">
          <cell r="E802">
            <v>10030017</v>
          </cell>
          <cell r="F802" t="str">
            <v>0037</v>
          </cell>
          <cell r="G802">
            <v>12</v>
          </cell>
          <cell r="H802">
            <v>40.200000000000003</v>
          </cell>
          <cell r="I802">
            <v>1417.8681530442</v>
          </cell>
          <cell r="J802">
            <v>0</v>
          </cell>
        </row>
        <row r="803">
          <cell r="E803">
            <v>10030017</v>
          </cell>
          <cell r="F803" t="str">
            <v>0041</v>
          </cell>
          <cell r="G803">
            <v>3</v>
          </cell>
          <cell r="H803">
            <v>7.3699999999999992</v>
          </cell>
          <cell r="I803">
            <v>348.67618878296997</v>
          </cell>
          <cell r="J803">
            <v>0</v>
          </cell>
        </row>
        <row r="804">
          <cell r="E804">
            <v>10030017</v>
          </cell>
          <cell r="F804" t="str">
            <v>0042</v>
          </cell>
          <cell r="G804">
            <v>14</v>
          </cell>
          <cell r="H804">
            <v>62.099999999999994</v>
          </cell>
          <cell r="I804">
            <v>3285.4041183560998</v>
          </cell>
          <cell r="J804">
            <v>0</v>
          </cell>
        </row>
        <row r="805">
          <cell r="E805">
            <v>10030017</v>
          </cell>
          <cell r="F805" t="str">
            <v>0044</v>
          </cell>
          <cell r="G805">
            <v>7</v>
          </cell>
          <cell r="H805">
            <v>9.35</v>
          </cell>
          <cell r="I805">
            <v>532.66107127559997</v>
          </cell>
          <cell r="J805">
            <v>0</v>
          </cell>
        </row>
        <row r="806">
          <cell r="E806">
            <v>10030017</v>
          </cell>
          <cell r="F806" t="str">
            <v>0045</v>
          </cell>
          <cell r="G806">
            <v>5</v>
          </cell>
          <cell r="H806">
            <v>8.0399999999999991</v>
          </cell>
          <cell r="I806">
            <v>251.043582042</v>
          </cell>
          <cell r="J806">
            <v>0</v>
          </cell>
        </row>
        <row r="807">
          <cell r="E807">
            <v>10030017</v>
          </cell>
          <cell r="F807" t="str">
            <v>0046</v>
          </cell>
          <cell r="G807">
            <v>14</v>
          </cell>
          <cell r="H807">
            <v>40.180000000000007</v>
          </cell>
          <cell r="I807">
            <v>2227.6313988682996</v>
          </cell>
          <cell r="J807">
            <v>0</v>
          </cell>
        </row>
        <row r="808">
          <cell r="E808">
            <v>10030017</v>
          </cell>
          <cell r="F808" t="str">
            <v>0055</v>
          </cell>
          <cell r="G808">
            <v>14</v>
          </cell>
          <cell r="H808">
            <v>53.61</v>
          </cell>
          <cell r="I808">
            <v>2678.9819325983008</v>
          </cell>
          <cell r="J808">
            <v>0</v>
          </cell>
        </row>
        <row r="809">
          <cell r="E809">
            <v>10030017</v>
          </cell>
          <cell r="F809" t="str">
            <v>0057</v>
          </cell>
          <cell r="G809">
            <v>8</v>
          </cell>
          <cell r="H809">
            <v>14.450000000000001</v>
          </cell>
          <cell r="I809">
            <v>739.12483398645008</v>
          </cell>
          <cell r="J809">
            <v>0</v>
          </cell>
        </row>
        <row r="810">
          <cell r="E810">
            <v>10030017</v>
          </cell>
          <cell r="F810" t="str">
            <v>0059</v>
          </cell>
          <cell r="G810">
            <v>7</v>
          </cell>
          <cell r="H810">
            <v>9.44</v>
          </cell>
          <cell r="I810">
            <v>517.30572412758011</v>
          </cell>
          <cell r="J810">
            <v>0</v>
          </cell>
        </row>
        <row r="811">
          <cell r="E811">
            <v>10030017</v>
          </cell>
          <cell r="F811" t="str">
            <v>0066</v>
          </cell>
          <cell r="G811">
            <v>13</v>
          </cell>
          <cell r="H811">
            <v>38.199999999999996</v>
          </cell>
          <cell r="I811">
            <v>1958.0721861061641</v>
          </cell>
          <cell r="J811">
            <v>0</v>
          </cell>
        </row>
        <row r="812">
          <cell r="E812">
            <v>10030017</v>
          </cell>
          <cell r="F812" t="str">
            <v>0069</v>
          </cell>
          <cell r="G812">
            <v>7</v>
          </cell>
          <cell r="H812">
            <v>13.01</v>
          </cell>
          <cell r="I812">
            <v>616.04232093890994</v>
          </cell>
          <cell r="J812">
            <v>0</v>
          </cell>
        </row>
        <row r="813">
          <cell r="E813">
            <v>10030017</v>
          </cell>
          <cell r="F813" t="str">
            <v>0076</v>
          </cell>
          <cell r="G813">
            <v>8</v>
          </cell>
          <cell r="H813">
            <v>29.11</v>
          </cell>
          <cell r="I813">
            <v>1355.9182017683399</v>
          </cell>
          <cell r="J813">
            <v>0</v>
          </cell>
        </row>
        <row r="814">
          <cell r="E814">
            <v>10030017</v>
          </cell>
          <cell r="F814" t="str">
            <v>0080</v>
          </cell>
          <cell r="G814">
            <v>13</v>
          </cell>
          <cell r="H814">
            <v>20.169999999999998</v>
          </cell>
          <cell r="I814">
            <v>659.52451412100004</v>
          </cell>
          <cell r="J814">
            <v>0</v>
          </cell>
        </row>
        <row r="815">
          <cell r="E815">
            <v>10030017</v>
          </cell>
          <cell r="F815" t="str">
            <v>0095</v>
          </cell>
          <cell r="G815">
            <v>7</v>
          </cell>
          <cell r="H815">
            <v>21.49</v>
          </cell>
          <cell r="I815">
            <v>1016.7341499338399</v>
          </cell>
          <cell r="J815">
            <v>0</v>
          </cell>
        </row>
        <row r="816">
          <cell r="E816">
            <v>10030017</v>
          </cell>
          <cell r="F816" t="str">
            <v>0103</v>
          </cell>
          <cell r="G816">
            <v>6</v>
          </cell>
          <cell r="H816">
            <v>7.1300000000000008</v>
          </cell>
          <cell r="I816">
            <v>340.81706556535005</v>
          </cell>
          <cell r="J816">
            <v>0</v>
          </cell>
        </row>
        <row r="817">
          <cell r="E817">
            <v>10030017</v>
          </cell>
          <cell r="F817" t="str">
            <v>0110</v>
          </cell>
          <cell r="G817">
            <v>14</v>
          </cell>
          <cell r="H817">
            <v>72.959999999999994</v>
          </cell>
          <cell r="I817">
            <v>3706.6091860005004</v>
          </cell>
          <cell r="J817">
            <v>0</v>
          </cell>
        </row>
        <row r="818">
          <cell r="E818">
            <v>10030017</v>
          </cell>
          <cell r="F818" t="str">
            <v>0114</v>
          </cell>
          <cell r="G818">
            <v>3</v>
          </cell>
          <cell r="H818">
            <v>3.4699999999999998</v>
          </cell>
          <cell r="I818">
            <v>194.29326542320001</v>
          </cell>
          <cell r="J818">
            <v>0</v>
          </cell>
        </row>
        <row r="819">
          <cell r="E819">
            <v>10030017</v>
          </cell>
          <cell r="F819" t="str">
            <v>0124</v>
          </cell>
          <cell r="G819">
            <v>7</v>
          </cell>
          <cell r="H819">
            <v>9.67</v>
          </cell>
          <cell r="I819">
            <v>391.54906200960005</v>
          </cell>
          <cell r="J819">
            <v>0</v>
          </cell>
        </row>
        <row r="820">
          <cell r="E820">
            <v>10030017</v>
          </cell>
          <cell r="F820" t="str">
            <v>0129</v>
          </cell>
          <cell r="G820">
            <v>12</v>
          </cell>
          <cell r="H820">
            <v>45.639999999999993</v>
          </cell>
          <cell r="I820">
            <v>2696.9054213607096</v>
          </cell>
          <cell r="J820">
            <v>0</v>
          </cell>
        </row>
        <row r="821">
          <cell r="E821">
            <v>10030017</v>
          </cell>
          <cell r="F821" t="str">
            <v>0131</v>
          </cell>
          <cell r="G821">
            <v>6</v>
          </cell>
          <cell r="H821">
            <v>15.200000000000001</v>
          </cell>
          <cell r="I821">
            <v>796.87354268698004</v>
          </cell>
          <cell r="J821">
            <v>0</v>
          </cell>
        </row>
        <row r="822">
          <cell r="E822">
            <v>10030017</v>
          </cell>
          <cell r="F822" t="str">
            <v>0136</v>
          </cell>
          <cell r="G822">
            <v>6</v>
          </cell>
          <cell r="H822">
            <v>10.84</v>
          </cell>
          <cell r="I822">
            <v>516.73982243779608</v>
          </cell>
          <cell r="J822">
            <v>0</v>
          </cell>
        </row>
        <row r="823">
          <cell r="E823">
            <v>10030017</v>
          </cell>
          <cell r="F823" t="str">
            <v>0138</v>
          </cell>
          <cell r="G823">
            <v>7</v>
          </cell>
          <cell r="H823">
            <v>16.23</v>
          </cell>
          <cell r="I823">
            <v>546.85129593600004</v>
          </cell>
          <cell r="J823">
            <v>0</v>
          </cell>
        </row>
        <row r="824">
          <cell r="E824">
            <v>10030017</v>
          </cell>
          <cell r="F824" t="str">
            <v>0144</v>
          </cell>
          <cell r="G824">
            <v>6</v>
          </cell>
          <cell r="H824">
            <v>17.2</v>
          </cell>
          <cell r="I824">
            <v>564.17512413240001</v>
          </cell>
          <cell r="J824">
            <v>0</v>
          </cell>
        </row>
        <row r="825">
          <cell r="E825">
            <v>10030017</v>
          </cell>
          <cell r="F825" t="str">
            <v>0145</v>
          </cell>
          <cell r="G825">
            <v>7</v>
          </cell>
          <cell r="H825">
            <v>31.04</v>
          </cell>
          <cell r="I825">
            <v>1455.62351028182</v>
          </cell>
          <cell r="J825">
            <v>0</v>
          </cell>
        </row>
        <row r="826">
          <cell r="E826">
            <v>10030017</v>
          </cell>
          <cell r="F826" t="str">
            <v>0147</v>
          </cell>
          <cell r="G826">
            <v>13</v>
          </cell>
          <cell r="H826">
            <v>50.500000000000007</v>
          </cell>
          <cell r="I826">
            <v>1949.3218732680004</v>
          </cell>
          <cell r="J826">
            <v>0</v>
          </cell>
        </row>
        <row r="827">
          <cell r="E827">
            <v>10030018</v>
          </cell>
          <cell r="F827" t="str">
            <v>0001</v>
          </cell>
          <cell r="G827">
            <v>13</v>
          </cell>
          <cell r="H827">
            <v>22.619999999999997</v>
          </cell>
          <cell r="I827">
            <v>920.01652490880019</v>
          </cell>
          <cell r="J827">
            <v>0</v>
          </cell>
        </row>
        <row r="828">
          <cell r="E828">
            <v>10030018</v>
          </cell>
          <cell r="F828" t="str">
            <v>0002</v>
          </cell>
          <cell r="G828">
            <v>12</v>
          </cell>
          <cell r="H828">
            <v>58.459999999999994</v>
          </cell>
          <cell r="I828">
            <v>2452.1550447240006</v>
          </cell>
          <cell r="J828">
            <v>165.2</v>
          </cell>
        </row>
        <row r="829">
          <cell r="E829">
            <v>10030018</v>
          </cell>
          <cell r="F829" t="str">
            <v>0008</v>
          </cell>
          <cell r="G829">
            <v>14</v>
          </cell>
          <cell r="H829">
            <v>42.599999999999994</v>
          </cell>
          <cell r="I829">
            <v>2001.4466575731503</v>
          </cell>
          <cell r="J829">
            <v>0</v>
          </cell>
        </row>
        <row r="830">
          <cell r="E830">
            <v>10030018</v>
          </cell>
          <cell r="F830" t="str">
            <v>0014</v>
          </cell>
          <cell r="G830">
            <v>1</v>
          </cell>
          <cell r="H830">
            <v>3.43</v>
          </cell>
          <cell r="I830">
            <v>140.812072632</v>
          </cell>
          <cell r="J830">
            <v>0</v>
          </cell>
        </row>
        <row r="831">
          <cell r="E831">
            <v>10030018</v>
          </cell>
          <cell r="F831" t="str">
            <v>0022</v>
          </cell>
          <cell r="G831">
            <v>12</v>
          </cell>
          <cell r="H831">
            <v>91.83</v>
          </cell>
          <cell r="I831">
            <v>3835.5250457260008</v>
          </cell>
          <cell r="J831">
            <v>0</v>
          </cell>
        </row>
        <row r="832">
          <cell r="E832">
            <v>10030018</v>
          </cell>
          <cell r="F832" t="str">
            <v>0023</v>
          </cell>
          <cell r="G832">
            <v>13</v>
          </cell>
          <cell r="H832">
            <v>127.87999999999998</v>
          </cell>
          <cell r="I832">
            <v>5205.7421551080006</v>
          </cell>
          <cell r="J832">
            <v>0</v>
          </cell>
        </row>
        <row r="833">
          <cell r="E833">
            <v>10030018</v>
          </cell>
          <cell r="F833" t="str">
            <v>0025</v>
          </cell>
          <cell r="G833">
            <v>4</v>
          </cell>
          <cell r="H833">
            <v>6.2899999999999991</v>
          </cell>
          <cell r="I833">
            <v>261.099161928</v>
          </cell>
          <cell r="J833">
            <v>0</v>
          </cell>
        </row>
        <row r="834">
          <cell r="E834">
            <v>10030018</v>
          </cell>
          <cell r="F834" t="str">
            <v>0026</v>
          </cell>
          <cell r="G834">
            <v>14</v>
          </cell>
          <cell r="H834">
            <v>27.029999999999998</v>
          </cell>
          <cell r="I834">
            <v>1093.369726548</v>
          </cell>
          <cell r="J834">
            <v>0</v>
          </cell>
        </row>
        <row r="835">
          <cell r="E835">
            <v>10030018</v>
          </cell>
          <cell r="F835" t="str">
            <v>0027</v>
          </cell>
          <cell r="G835">
            <v>14</v>
          </cell>
          <cell r="H835">
            <v>28.75</v>
          </cell>
          <cell r="I835">
            <v>1280.0179324983599</v>
          </cell>
          <cell r="J835">
            <v>0</v>
          </cell>
        </row>
        <row r="836">
          <cell r="E836">
            <v>10030018</v>
          </cell>
          <cell r="F836" t="str">
            <v>0029</v>
          </cell>
          <cell r="G836">
            <v>4</v>
          </cell>
          <cell r="H836">
            <v>4.47</v>
          </cell>
          <cell r="I836">
            <v>155.00459977200003</v>
          </cell>
          <cell r="J836">
            <v>0</v>
          </cell>
        </row>
        <row r="837">
          <cell r="E837">
            <v>10030018</v>
          </cell>
          <cell r="F837" t="str">
            <v>0030</v>
          </cell>
          <cell r="G837">
            <v>7</v>
          </cell>
          <cell r="H837">
            <v>22.839999999999996</v>
          </cell>
          <cell r="I837">
            <v>1793.8920099824998</v>
          </cell>
          <cell r="J837">
            <v>0</v>
          </cell>
        </row>
        <row r="838">
          <cell r="E838">
            <v>10030018</v>
          </cell>
          <cell r="F838" t="str">
            <v>0038</v>
          </cell>
          <cell r="G838">
            <v>4</v>
          </cell>
          <cell r="H838">
            <v>4.3100000000000005</v>
          </cell>
          <cell r="I838">
            <v>154.02092349600002</v>
          </cell>
          <cell r="J838">
            <v>0</v>
          </cell>
        </row>
        <row r="839">
          <cell r="E839">
            <v>10030018</v>
          </cell>
          <cell r="F839" t="str">
            <v>0039</v>
          </cell>
          <cell r="G839">
            <v>14</v>
          </cell>
          <cell r="H839">
            <v>28.369999999999997</v>
          </cell>
          <cell r="I839">
            <v>1364.3045844126</v>
          </cell>
          <cell r="J839">
            <v>0</v>
          </cell>
        </row>
        <row r="840">
          <cell r="E840">
            <v>10030018</v>
          </cell>
          <cell r="F840" t="str">
            <v>0044</v>
          </cell>
          <cell r="G840">
            <v>14</v>
          </cell>
          <cell r="H840">
            <v>55.63</v>
          </cell>
          <cell r="I840">
            <v>2102.7697788240002</v>
          </cell>
          <cell r="J840">
            <v>0</v>
          </cell>
        </row>
        <row r="841">
          <cell r="E841">
            <v>10030018</v>
          </cell>
          <cell r="F841" t="str">
            <v>0045</v>
          </cell>
          <cell r="G841">
            <v>6</v>
          </cell>
          <cell r="H841">
            <v>12.1</v>
          </cell>
          <cell r="I841">
            <v>736.00013906060008</v>
          </cell>
          <cell r="J841">
            <v>0</v>
          </cell>
        </row>
        <row r="842">
          <cell r="E842">
            <v>10030018</v>
          </cell>
          <cell r="F842" t="str">
            <v>0046</v>
          </cell>
          <cell r="G842">
            <v>5</v>
          </cell>
          <cell r="H842">
            <v>5.33</v>
          </cell>
          <cell r="I842">
            <v>292.01672976810005</v>
          </cell>
          <cell r="J842">
            <v>0</v>
          </cell>
        </row>
        <row r="843">
          <cell r="E843">
            <v>10030018</v>
          </cell>
          <cell r="F843" t="str">
            <v>0047</v>
          </cell>
          <cell r="G843">
            <v>12</v>
          </cell>
          <cell r="H843">
            <v>16.099999999999998</v>
          </cell>
          <cell r="I843">
            <v>684.38793416400006</v>
          </cell>
          <cell r="J843">
            <v>0</v>
          </cell>
        </row>
        <row r="844">
          <cell r="E844">
            <v>10030018</v>
          </cell>
          <cell r="F844" t="str">
            <v>0048</v>
          </cell>
          <cell r="G844">
            <v>14</v>
          </cell>
          <cell r="H844">
            <v>25.22</v>
          </cell>
          <cell r="I844">
            <v>1154.1944296222798</v>
          </cell>
          <cell r="J844">
            <v>0</v>
          </cell>
        </row>
        <row r="845">
          <cell r="E845">
            <v>10030018</v>
          </cell>
          <cell r="F845" t="str">
            <v>0049</v>
          </cell>
          <cell r="G845">
            <v>13</v>
          </cell>
          <cell r="H845">
            <v>57</v>
          </cell>
          <cell r="I845">
            <v>2349.4549831615204</v>
          </cell>
          <cell r="J845">
            <v>0</v>
          </cell>
        </row>
        <row r="846">
          <cell r="E846">
            <v>10030018</v>
          </cell>
          <cell r="F846" t="str">
            <v>0051</v>
          </cell>
          <cell r="G846">
            <v>3</v>
          </cell>
          <cell r="H846">
            <v>8.7799999999999994</v>
          </cell>
          <cell r="I846">
            <v>415.9310672844</v>
          </cell>
          <cell r="J846">
            <v>0</v>
          </cell>
        </row>
        <row r="847">
          <cell r="E847">
            <v>10030018</v>
          </cell>
          <cell r="F847" t="str">
            <v>0052</v>
          </cell>
          <cell r="G847">
            <v>6</v>
          </cell>
          <cell r="H847">
            <v>22.509999999999998</v>
          </cell>
          <cell r="I847">
            <v>1385.6709075158001</v>
          </cell>
          <cell r="J847">
            <v>0</v>
          </cell>
        </row>
        <row r="848">
          <cell r="E848">
            <v>10030018</v>
          </cell>
          <cell r="F848" t="str">
            <v>0055</v>
          </cell>
          <cell r="G848">
            <v>11</v>
          </cell>
          <cell r="H848">
            <v>25.51</v>
          </cell>
          <cell r="I848">
            <v>1130.28745536624</v>
          </cell>
          <cell r="J848">
            <v>0</v>
          </cell>
        </row>
        <row r="849">
          <cell r="E849">
            <v>10030018</v>
          </cell>
          <cell r="F849" t="str">
            <v>0056</v>
          </cell>
          <cell r="G849">
            <v>6</v>
          </cell>
          <cell r="H849">
            <v>49.78</v>
          </cell>
          <cell r="I849">
            <v>2643.8760170182309</v>
          </cell>
          <cell r="J849">
            <v>0</v>
          </cell>
        </row>
        <row r="850">
          <cell r="E850">
            <v>10030018</v>
          </cell>
          <cell r="F850" t="str">
            <v>0057</v>
          </cell>
          <cell r="G850">
            <v>14</v>
          </cell>
          <cell r="H850">
            <v>64.45</v>
          </cell>
          <cell r="I850">
            <v>2953.1230373178005</v>
          </cell>
          <cell r="J850">
            <v>0</v>
          </cell>
        </row>
        <row r="851">
          <cell r="E851">
            <v>10030018</v>
          </cell>
          <cell r="F851" t="str">
            <v>0062</v>
          </cell>
          <cell r="G851">
            <v>2</v>
          </cell>
          <cell r="H851">
            <v>11.15</v>
          </cell>
          <cell r="I851">
            <v>366.91476006240003</v>
          </cell>
          <cell r="J851">
            <v>0</v>
          </cell>
        </row>
        <row r="852">
          <cell r="E852">
            <v>10030018</v>
          </cell>
          <cell r="F852" t="str">
            <v>0067</v>
          </cell>
          <cell r="G852">
            <v>14</v>
          </cell>
          <cell r="H852">
            <v>126.58</v>
          </cell>
          <cell r="I852">
            <v>5283.7181295300006</v>
          </cell>
          <cell r="J852">
            <v>0</v>
          </cell>
        </row>
        <row r="853">
          <cell r="E853">
            <v>10030018</v>
          </cell>
          <cell r="F853" t="str">
            <v>0069</v>
          </cell>
          <cell r="G853">
            <v>7</v>
          </cell>
          <cell r="H853">
            <v>14.9</v>
          </cell>
          <cell r="I853">
            <v>680.38501303278008</v>
          </cell>
          <cell r="J853">
            <v>0</v>
          </cell>
        </row>
        <row r="854">
          <cell r="E854">
            <v>10030018</v>
          </cell>
          <cell r="F854" t="str">
            <v>0070</v>
          </cell>
          <cell r="G854">
            <v>13</v>
          </cell>
          <cell r="H854">
            <v>44.839999999999996</v>
          </cell>
          <cell r="I854">
            <v>1823.8423709880003</v>
          </cell>
          <cell r="J854">
            <v>0</v>
          </cell>
        </row>
        <row r="855">
          <cell r="E855">
            <v>10030018</v>
          </cell>
          <cell r="F855" t="str">
            <v>0071</v>
          </cell>
          <cell r="G855">
            <v>13</v>
          </cell>
          <cell r="H855">
            <v>71.08</v>
          </cell>
          <cell r="I855">
            <v>2708.8034158944001</v>
          </cell>
          <cell r="J855">
            <v>0</v>
          </cell>
        </row>
        <row r="856">
          <cell r="E856">
            <v>10030019</v>
          </cell>
          <cell r="F856" t="str">
            <v>0001</v>
          </cell>
          <cell r="G856">
            <v>12</v>
          </cell>
          <cell r="H856">
            <v>22</v>
          </cell>
          <cell r="I856">
            <v>1296.0067843056001</v>
          </cell>
          <cell r="J856">
            <v>0</v>
          </cell>
        </row>
        <row r="857">
          <cell r="E857">
            <v>10030019</v>
          </cell>
          <cell r="F857" t="str">
            <v>0002</v>
          </cell>
          <cell r="G857">
            <v>14</v>
          </cell>
          <cell r="H857">
            <v>124.30000000000003</v>
          </cell>
          <cell r="I857">
            <v>5974.9758578636001</v>
          </cell>
          <cell r="J857">
            <v>3304</v>
          </cell>
        </row>
        <row r="858">
          <cell r="E858">
            <v>10030019</v>
          </cell>
          <cell r="F858" t="str">
            <v>0003</v>
          </cell>
          <cell r="G858">
            <v>14</v>
          </cell>
          <cell r="H858">
            <v>141.19999999999996</v>
          </cell>
          <cell r="I858">
            <v>5663.7184243520005</v>
          </cell>
          <cell r="J858">
            <v>0</v>
          </cell>
        </row>
        <row r="859">
          <cell r="E859">
            <v>10030019</v>
          </cell>
          <cell r="F859" t="str">
            <v>0008</v>
          </cell>
          <cell r="G859">
            <v>9</v>
          </cell>
          <cell r="H859">
            <v>12.3</v>
          </cell>
          <cell r="I859">
            <v>489.81275640000007</v>
          </cell>
          <cell r="J859">
            <v>0</v>
          </cell>
        </row>
        <row r="860">
          <cell r="E860">
            <v>10030019</v>
          </cell>
          <cell r="F860" t="str">
            <v>0012</v>
          </cell>
          <cell r="G860">
            <v>14</v>
          </cell>
          <cell r="H860">
            <v>66.099999999999994</v>
          </cell>
          <cell r="I860">
            <v>2488.1263664400003</v>
          </cell>
          <cell r="J860">
            <v>0</v>
          </cell>
        </row>
        <row r="861">
          <cell r="E861">
            <v>10030019</v>
          </cell>
          <cell r="F861" t="str">
            <v>0014</v>
          </cell>
          <cell r="G861">
            <v>12</v>
          </cell>
          <cell r="H861">
            <v>95.300000000000026</v>
          </cell>
          <cell r="I861">
            <v>3512.7055933200004</v>
          </cell>
          <cell r="J861">
            <v>0</v>
          </cell>
        </row>
        <row r="862">
          <cell r="E862">
            <v>10030019</v>
          </cell>
          <cell r="F862" t="str">
            <v>0015</v>
          </cell>
          <cell r="G862">
            <v>13</v>
          </cell>
          <cell r="H862">
            <v>51.099999999999994</v>
          </cell>
          <cell r="I862">
            <v>2135.9427547670002</v>
          </cell>
          <cell r="J862">
            <v>0</v>
          </cell>
        </row>
        <row r="863">
          <cell r="E863">
            <v>10030019</v>
          </cell>
          <cell r="F863" t="str">
            <v>0025</v>
          </cell>
          <cell r="G863">
            <v>14</v>
          </cell>
          <cell r="H863">
            <v>132.4</v>
          </cell>
          <cell r="I863">
            <v>7415.7583018417017</v>
          </cell>
          <cell r="J863">
            <v>0</v>
          </cell>
        </row>
        <row r="864">
          <cell r="E864">
            <v>10030019</v>
          </cell>
          <cell r="F864" t="str">
            <v>0026</v>
          </cell>
          <cell r="G864">
            <v>14</v>
          </cell>
          <cell r="H864">
            <v>143.4</v>
          </cell>
          <cell r="I864">
            <v>8305.0917153406008</v>
          </cell>
          <cell r="J864">
            <v>0</v>
          </cell>
        </row>
        <row r="865">
          <cell r="E865">
            <v>10030019</v>
          </cell>
          <cell r="F865" t="str">
            <v>0033</v>
          </cell>
          <cell r="G865">
            <v>14</v>
          </cell>
          <cell r="H865">
            <v>31.500000000000004</v>
          </cell>
          <cell r="I865">
            <v>1237.6804769999999</v>
          </cell>
          <cell r="J865">
            <v>0</v>
          </cell>
        </row>
        <row r="866">
          <cell r="E866">
            <v>10030019</v>
          </cell>
          <cell r="F866" t="str">
            <v>0037</v>
          </cell>
          <cell r="G866">
            <v>14</v>
          </cell>
          <cell r="H866">
            <v>72.2</v>
          </cell>
          <cell r="I866">
            <v>3834.6173838636005</v>
          </cell>
          <cell r="J866">
            <v>0</v>
          </cell>
        </row>
        <row r="867">
          <cell r="E867">
            <v>10030019</v>
          </cell>
          <cell r="F867" t="str">
            <v>0058</v>
          </cell>
          <cell r="G867">
            <v>4</v>
          </cell>
          <cell r="H867">
            <v>4.7</v>
          </cell>
          <cell r="I867">
            <v>282.01466421420002</v>
          </cell>
          <cell r="J867">
            <v>0</v>
          </cell>
        </row>
        <row r="868">
          <cell r="E868">
            <v>10030019</v>
          </cell>
          <cell r="F868" t="str">
            <v>0060</v>
          </cell>
          <cell r="G868">
            <v>13</v>
          </cell>
          <cell r="H868">
            <v>35.70000000000001</v>
          </cell>
          <cell r="I868">
            <v>1193.4647208000001</v>
          </cell>
          <cell r="J868">
            <v>0</v>
          </cell>
        </row>
        <row r="869">
          <cell r="E869">
            <v>10030021</v>
          </cell>
          <cell r="F869" t="str">
            <v>0001</v>
          </cell>
          <cell r="G869">
            <v>13</v>
          </cell>
          <cell r="H869">
            <v>26.66</v>
          </cell>
          <cell r="I869">
            <v>1111.7259925200003</v>
          </cell>
          <cell r="J869">
            <v>0</v>
          </cell>
        </row>
        <row r="870">
          <cell r="E870">
            <v>10030021</v>
          </cell>
          <cell r="F870" t="str">
            <v>0002</v>
          </cell>
          <cell r="G870">
            <v>13</v>
          </cell>
          <cell r="H870">
            <v>258.23</v>
          </cell>
          <cell r="I870">
            <v>10608.172734059997</v>
          </cell>
          <cell r="J870">
            <v>51.92</v>
          </cell>
        </row>
        <row r="871">
          <cell r="E871">
            <v>10030021</v>
          </cell>
          <cell r="F871" t="str">
            <v>0003</v>
          </cell>
          <cell r="G871">
            <v>14</v>
          </cell>
          <cell r="H871">
            <v>231.42000000000002</v>
          </cell>
          <cell r="I871">
            <v>9514.7116251000007</v>
          </cell>
          <cell r="J871">
            <v>0</v>
          </cell>
        </row>
        <row r="872">
          <cell r="E872">
            <v>10030021</v>
          </cell>
          <cell r="F872" t="str">
            <v>0010</v>
          </cell>
          <cell r="G872">
            <v>14</v>
          </cell>
          <cell r="H872">
            <v>54.410000000000004</v>
          </cell>
          <cell r="I872">
            <v>2584.16301462813</v>
          </cell>
          <cell r="J872">
            <v>0</v>
          </cell>
        </row>
        <row r="873">
          <cell r="E873">
            <v>10030021</v>
          </cell>
          <cell r="F873" t="str">
            <v>0034</v>
          </cell>
          <cell r="G873">
            <v>7</v>
          </cell>
          <cell r="H873">
            <v>18.149999999999999</v>
          </cell>
          <cell r="I873">
            <v>897.00995303315005</v>
          </cell>
          <cell r="J873">
            <v>0</v>
          </cell>
        </row>
        <row r="874">
          <cell r="E874">
            <v>10030021</v>
          </cell>
          <cell r="F874" t="str">
            <v>0037</v>
          </cell>
          <cell r="G874">
            <v>8</v>
          </cell>
          <cell r="H874">
            <v>13.23</v>
          </cell>
          <cell r="I874">
            <v>507.31312737600012</v>
          </cell>
          <cell r="J874">
            <v>0</v>
          </cell>
        </row>
        <row r="875">
          <cell r="E875">
            <v>10030021</v>
          </cell>
          <cell r="F875" t="str">
            <v>0060</v>
          </cell>
          <cell r="G875">
            <v>13</v>
          </cell>
          <cell r="H875">
            <v>14.569999999999997</v>
          </cell>
          <cell r="I875">
            <v>687.82348365806013</v>
          </cell>
          <cell r="J875">
            <v>0</v>
          </cell>
        </row>
        <row r="876">
          <cell r="E876">
            <v>10030021</v>
          </cell>
          <cell r="F876" t="str">
            <v>0062</v>
          </cell>
          <cell r="G876">
            <v>14</v>
          </cell>
          <cell r="H876">
            <v>111.46000000000002</v>
          </cell>
          <cell r="I876">
            <v>4496.2678248840002</v>
          </cell>
          <cell r="J876">
            <v>0</v>
          </cell>
        </row>
        <row r="877">
          <cell r="E877">
            <v>10030021</v>
          </cell>
          <cell r="F877" t="str">
            <v>0063</v>
          </cell>
          <cell r="G877">
            <v>13</v>
          </cell>
          <cell r="H877">
            <v>103.12</v>
          </cell>
          <cell r="I877">
            <v>4252.8788450279999</v>
          </cell>
          <cell r="J877">
            <v>0</v>
          </cell>
        </row>
        <row r="878">
          <cell r="E878">
            <v>10030021</v>
          </cell>
          <cell r="F878" t="str">
            <v>0071</v>
          </cell>
          <cell r="G878">
            <v>6</v>
          </cell>
          <cell r="H878">
            <v>15.780000000000001</v>
          </cell>
          <cell r="I878">
            <v>601.56137448000004</v>
          </cell>
          <cell r="J878">
            <v>0</v>
          </cell>
        </row>
        <row r="879">
          <cell r="E879">
            <v>10030021</v>
          </cell>
          <cell r="F879" t="str">
            <v>0102</v>
          </cell>
          <cell r="G879">
            <v>6</v>
          </cell>
          <cell r="H879">
            <v>12.370000000000001</v>
          </cell>
          <cell r="I879">
            <v>474.01663914000011</v>
          </cell>
          <cell r="J879">
            <v>0</v>
          </cell>
        </row>
        <row r="880">
          <cell r="E880">
            <v>10030021</v>
          </cell>
          <cell r="F880" t="str">
            <v>0104</v>
          </cell>
          <cell r="G880">
            <v>14</v>
          </cell>
          <cell r="H880">
            <v>86.38</v>
          </cell>
          <cell r="I880">
            <v>3473.7959306160001</v>
          </cell>
          <cell r="J880">
            <v>0</v>
          </cell>
        </row>
        <row r="881">
          <cell r="E881">
            <v>10030021</v>
          </cell>
          <cell r="F881" t="str">
            <v>0107</v>
          </cell>
          <cell r="G881">
            <v>14</v>
          </cell>
          <cell r="H881">
            <v>20.609999999999996</v>
          </cell>
          <cell r="I881">
            <v>1059.7341814636702</v>
          </cell>
          <cell r="J881">
            <v>0</v>
          </cell>
        </row>
        <row r="882">
          <cell r="E882">
            <v>10030021</v>
          </cell>
          <cell r="F882" t="str">
            <v>0109</v>
          </cell>
          <cell r="G882">
            <v>5</v>
          </cell>
          <cell r="H882">
            <v>8.120000000000001</v>
          </cell>
          <cell r="I882">
            <v>307.796129388</v>
          </cell>
          <cell r="J882">
            <v>0</v>
          </cell>
        </row>
        <row r="883">
          <cell r="E883">
            <v>10030022</v>
          </cell>
          <cell r="F883" t="str">
            <v>0001</v>
          </cell>
          <cell r="G883">
            <v>14</v>
          </cell>
          <cell r="H883">
            <v>25.13</v>
          </cell>
          <cell r="I883">
            <v>1008.5418530505001</v>
          </cell>
          <cell r="J883">
            <v>0</v>
          </cell>
        </row>
        <row r="884">
          <cell r="E884">
            <v>10030022</v>
          </cell>
          <cell r="F884" t="str">
            <v>0002</v>
          </cell>
          <cell r="G884">
            <v>13</v>
          </cell>
          <cell r="H884">
            <v>115.19</v>
          </cell>
          <cell r="I884">
            <v>4877.7181009345213</v>
          </cell>
          <cell r="J884">
            <v>0</v>
          </cell>
        </row>
        <row r="885">
          <cell r="E885">
            <v>10030022</v>
          </cell>
          <cell r="F885" t="str">
            <v>0003</v>
          </cell>
          <cell r="G885">
            <v>13</v>
          </cell>
          <cell r="H885">
            <v>113.54</v>
          </cell>
          <cell r="I885">
            <v>4729.5304857116007</v>
          </cell>
          <cell r="J885">
            <v>0</v>
          </cell>
        </row>
        <row r="886">
          <cell r="E886">
            <v>10030022</v>
          </cell>
          <cell r="F886" t="str">
            <v>0007</v>
          </cell>
          <cell r="G886">
            <v>12</v>
          </cell>
          <cell r="H886">
            <v>101.08999999999997</v>
          </cell>
          <cell r="I886">
            <v>4203.2582220873201</v>
          </cell>
          <cell r="J886">
            <v>0</v>
          </cell>
        </row>
        <row r="887">
          <cell r="E887">
            <v>10030022</v>
          </cell>
          <cell r="F887" t="str">
            <v>0008</v>
          </cell>
          <cell r="G887">
            <v>13</v>
          </cell>
          <cell r="H887">
            <v>113.09</v>
          </cell>
          <cell r="I887">
            <v>4971.9843867639302</v>
          </cell>
          <cell r="J887">
            <v>0</v>
          </cell>
        </row>
        <row r="888">
          <cell r="E888">
            <v>10030022</v>
          </cell>
          <cell r="F888" t="str">
            <v>0010</v>
          </cell>
          <cell r="G888">
            <v>11</v>
          </cell>
          <cell r="H888">
            <v>64.61999999999999</v>
          </cell>
          <cell r="I888">
            <v>2428.796364588</v>
          </cell>
          <cell r="J888">
            <v>0</v>
          </cell>
        </row>
        <row r="889">
          <cell r="E889">
            <v>10030022</v>
          </cell>
          <cell r="F889" t="str">
            <v>0013</v>
          </cell>
          <cell r="G889">
            <v>12</v>
          </cell>
          <cell r="H889">
            <v>99.72999999999999</v>
          </cell>
          <cell r="I889">
            <v>4094.86026460007</v>
          </cell>
          <cell r="J889">
            <v>0</v>
          </cell>
        </row>
        <row r="890">
          <cell r="E890">
            <v>10030022</v>
          </cell>
          <cell r="F890" t="str">
            <v>0014</v>
          </cell>
          <cell r="G890">
            <v>14</v>
          </cell>
          <cell r="H890">
            <v>119.82999999999998</v>
          </cell>
          <cell r="I890">
            <v>4922.9768920018805</v>
          </cell>
          <cell r="J890">
            <v>0</v>
          </cell>
        </row>
        <row r="891">
          <cell r="E891">
            <v>10030022</v>
          </cell>
          <cell r="F891" t="str">
            <v>0015</v>
          </cell>
          <cell r="G891">
            <v>13</v>
          </cell>
          <cell r="H891">
            <v>98.9</v>
          </cell>
          <cell r="I891">
            <v>4104.4433332410599</v>
          </cell>
          <cell r="J891">
            <v>0</v>
          </cell>
        </row>
        <row r="892">
          <cell r="E892">
            <v>10030022</v>
          </cell>
          <cell r="F892" t="str">
            <v>0017</v>
          </cell>
          <cell r="G892">
            <v>11</v>
          </cell>
          <cell r="H892">
            <v>79.98</v>
          </cell>
          <cell r="I892">
            <v>3471.9330324288298</v>
          </cell>
          <cell r="J892">
            <v>0</v>
          </cell>
        </row>
        <row r="893">
          <cell r="E893">
            <v>10030022</v>
          </cell>
          <cell r="F893" t="str">
            <v>0018</v>
          </cell>
          <cell r="G893">
            <v>13</v>
          </cell>
          <cell r="H893">
            <v>85.86999999999999</v>
          </cell>
          <cell r="I893">
            <v>3422.8385537995809</v>
          </cell>
          <cell r="J893">
            <v>0</v>
          </cell>
        </row>
        <row r="894">
          <cell r="E894">
            <v>10030022</v>
          </cell>
          <cell r="F894" t="str">
            <v>0020</v>
          </cell>
          <cell r="G894">
            <v>12</v>
          </cell>
          <cell r="H894">
            <v>82.940000000000012</v>
          </cell>
          <cell r="I894">
            <v>3308.6079581233503</v>
          </cell>
          <cell r="J894">
            <v>0</v>
          </cell>
        </row>
        <row r="895">
          <cell r="E895">
            <v>10030022</v>
          </cell>
          <cell r="F895" t="str">
            <v>0021</v>
          </cell>
          <cell r="G895">
            <v>11</v>
          </cell>
          <cell r="H895">
            <v>96.440000000000012</v>
          </cell>
          <cell r="I895">
            <v>3955.1179374200992</v>
          </cell>
          <cell r="J895">
            <v>0</v>
          </cell>
        </row>
        <row r="896">
          <cell r="E896">
            <v>10030022</v>
          </cell>
          <cell r="F896" t="str">
            <v>0024</v>
          </cell>
          <cell r="G896">
            <v>14</v>
          </cell>
          <cell r="H896">
            <v>90.15</v>
          </cell>
          <cell r="I896">
            <v>3615.7992666092605</v>
          </cell>
          <cell r="J896">
            <v>0</v>
          </cell>
        </row>
        <row r="897">
          <cell r="E897">
            <v>10030022</v>
          </cell>
          <cell r="F897" t="str">
            <v>0025</v>
          </cell>
          <cell r="G897">
            <v>9</v>
          </cell>
          <cell r="H897">
            <v>33.769999999999996</v>
          </cell>
          <cell r="I897">
            <v>1538.9053417261</v>
          </cell>
          <cell r="J897">
            <v>0</v>
          </cell>
        </row>
        <row r="898">
          <cell r="E898">
            <v>10030022</v>
          </cell>
          <cell r="F898" t="str">
            <v>0026</v>
          </cell>
          <cell r="G898">
            <v>10</v>
          </cell>
          <cell r="H898">
            <v>58.069999999999993</v>
          </cell>
          <cell r="I898">
            <v>2181.6828149490002</v>
          </cell>
          <cell r="J898">
            <v>0</v>
          </cell>
        </row>
        <row r="899">
          <cell r="E899">
            <v>10030022</v>
          </cell>
          <cell r="F899" t="str">
            <v>0028</v>
          </cell>
          <cell r="G899">
            <v>11</v>
          </cell>
          <cell r="H899">
            <v>65.42</v>
          </cell>
          <cell r="I899">
            <v>2459.8112560559998</v>
          </cell>
          <cell r="J899">
            <v>0</v>
          </cell>
        </row>
        <row r="900">
          <cell r="E900">
            <v>10030022</v>
          </cell>
          <cell r="F900" t="str">
            <v>0032</v>
          </cell>
          <cell r="G900">
            <v>13</v>
          </cell>
          <cell r="H900">
            <v>109.28999999999999</v>
          </cell>
          <cell r="I900">
            <v>4642.8917321726003</v>
          </cell>
          <cell r="J900">
            <v>0</v>
          </cell>
        </row>
        <row r="901">
          <cell r="E901">
            <v>10030022</v>
          </cell>
          <cell r="F901" t="str">
            <v>0033</v>
          </cell>
          <cell r="G901">
            <v>8</v>
          </cell>
          <cell r="H901">
            <v>41.27</v>
          </cell>
          <cell r="I901">
            <v>1540.5356579184001</v>
          </cell>
          <cell r="J901">
            <v>0</v>
          </cell>
        </row>
        <row r="902">
          <cell r="E902">
            <v>10030022</v>
          </cell>
          <cell r="F902" t="str">
            <v>0037</v>
          </cell>
          <cell r="G902">
            <v>13</v>
          </cell>
          <cell r="H902">
            <v>76.790000000000006</v>
          </cell>
          <cell r="I902">
            <v>2897.4207620160005</v>
          </cell>
          <cell r="J902">
            <v>0</v>
          </cell>
        </row>
        <row r="903">
          <cell r="E903">
            <v>10030022</v>
          </cell>
          <cell r="F903" t="str">
            <v>0038</v>
          </cell>
          <cell r="G903">
            <v>11</v>
          </cell>
          <cell r="H903">
            <v>59.320000000000007</v>
          </cell>
          <cell r="I903">
            <v>2165.4001373400001</v>
          </cell>
          <cell r="J903">
            <v>0</v>
          </cell>
        </row>
        <row r="904">
          <cell r="E904">
            <v>10030022</v>
          </cell>
          <cell r="F904" t="str">
            <v>0039</v>
          </cell>
          <cell r="G904">
            <v>8</v>
          </cell>
          <cell r="H904">
            <v>45.54999999999999</v>
          </cell>
          <cell r="I904">
            <v>1774.2167591213999</v>
          </cell>
          <cell r="J904">
            <v>0</v>
          </cell>
        </row>
        <row r="905">
          <cell r="E905">
            <v>10030022</v>
          </cell>
          <cell r="F905" t="str">
            <v>0040</v>
          </cell>
          <cell r="G905">
            <v>14</v>
          </cell>
          <cell r="H905">
            <v>83.939999999999984</v>
          </cell>
          <cell r="I905">
            <v>3472.3764678049401</v>
          </cell>
          <cell r="J905">
            <v>0</v>
          </cell>
        </row>
        <row r="906">
          <cell r="E906">
            <v>10030022</v>
          </cell>
          <cell r="F906" t="str">
            <v>0041</v>
          </cell>
          <cell r="G906">
            <v>12</v>
          </cell>
          <cell r="H906">
            <v>87.329999999999984</v>
          </cell>
          <cell r="I906">
            <v>3468.2061001482002</v>
          </cell>
          <cell r="J906">
            <v>0</v>
          </cell>
        </row>
        <row r="907">
          <cell r="E907">
            <v>10030022</v>
          </cell>
          <cell r="F907" t="str">
            <v>0042</v>
          </cell>
          <cell r="G907">
            <v>12</v>
          </cell>
          <cell r="H907">
            <v>82.99</v>
          </cell>
          <cell r="I907">
            <v>3400.1354787198502</v>
          </cell>
          <cell r="J907">
            <v>0</v>
          </cell>
        </row>
        <row r="908">
          <cell r="E908">
            <v>10030023</v>
          </cell>
          <cell r="F908" t="str">
            <v>0001</v>
          </cell>
          <cell r="G908">
            <v>13</v>
          </cell>
          <cell r="H908">
            <v>8.5</v>
          </cell>
          <cell r="I908">
            <v>337.40676010800001</v>
          </cell>
          <cell r="J908">
            <v>0</v>
          </cell>
        </row>
        <row r="909">
          <cell r="E909">
            <v>10030023</v>
          </cell>
          <cell r="F909" t="str">
            <v>0002</v>
          </cell>
          <cell r="G909">
            <v>14</v>
          </cell>
          <cell r="H909">
            <v>23.299999999999997</v>
          </cell>
          <cell r="I909">
            <v>851.17234938120009</v>
          </cell>
          <cell r="J909">
            <v>413</v>
          </cell>
        </row>
        <row r="910">
          <cell r="E910">
            <v>10030023</v>
          </cell>
          <cell r="F910" t="str">
            <v>0005</v>
          </cell>
          <cell r="G910">
            <v>14</v>
          </cell>
          <cell r="H910">
            <v>27.449999999999996</v>
          </cell>
          <cell r="I910">
            <v>974.94261955200011</v>
          </cell>
          <cell r="J910">
            <v>0</v>
          </cell>
        </row>
        <row r="911">
          <cell r="E911">
            <v>10030023</v>
          </cell>
          <cell r="F911" t="str">
            <v>0010</v>
          </cell>
          <cell r="G911">
            <v>14</v>
          </cell>
          <cell r="H911">
            <v>84.47999999999999</v>
          </cell>
          <cell r="I911">
            <v>3226.7189805444004</v>
          </cell>
          <cell r="J911">
            <v>0</v>
          </cell>
        </row>
        <row r="912">
          <cell r="E912">
            <v>10030023</v>
          </cell>
          <cell r="F912" t="str">
            <v>0023</v>
          </cell>
          <cell r="G912">
            <v>13</v>
          </cell>
          <cell r="H912">
            <v>15.58</v>
          </cell>
          <cell r="I912">
            <v>609.46808076000002</v>
          </cell>
          <cell r="J912">
            <v>0</v>
          </cell>
        </row>
        <row r="913">
          <cell r="E913">
            <v>10030023</v>
          </cell>
          <cell r="F913" t="str">
            <v>0026</v>
          </cell>
          <cell r="G913">
            <v>7</v>
          </cell>
          <cell r="H913">
            <v>9.48</v>
          </cell>
          <cell r="I913">
            <v>583.27514177770001</v>
          </cell>
          <cell r="J913">
            <v>0</v>
          </cell>
        </row>
        <row r="914">
          <cell r="E914">
            <v>10030023</v>
          </cell>
          <cell r="F914" t="str">
            <v>0027</v>
          </cell>
          <cell r="G914">
            <v>11</v>
          </cell>
          <cell r="H914">
            <v>19.37</v>
          </cell>
          <cell r="I914">
            <v>823.18012673550015</v>
          </cell>
          <cell r="J914">
            <v>0</v>
          </cell>
        </row>
        <row r="915">
          <cell r="E915">
            <v>10030025</v>
          </cell>
          <cell r="F915" t="str">
            <v>0001</v>
          </cell>
          <cell r="G915">
            <v>14</v>
          </cell>
          <cell r="H915">
            <v>11</v>
          </cell>
          <cell r="I915">
            <v>445.52531311200005</v>
          </cell>
          <cell r="J915">
            <v>0</v>
          </cell>
        </row>
        <row r="916">
          <cell r="E916">
            <v>10030025</v>
          </cell>
          <cell r="F916" t="str">
            <v>0002</v>
          </cell>
          <cell r="G916">
            <v>13</v>
          </cell>
          <cell r="H916">
            <v>106.53</v>
          </cell>
          <cell r="I916">
            <v>4664.1540985831798</v>
          </cell>
          <cell r="J916">
            <v>908.6</v>
          </cell>
        </row>
        <row r="917">
          <cell r="E917">
            <v>10030025</v>
          </cell>
          <cell r="F917" t="str">
            <v>0008</v>
          </cell>
          <cell r="G917">
            <v>13</v>
          </cell>
          <cell r="H917">
            <v>117.29999999999998</v>
          </cell>
          <cell r="I917">
            <v>4706.8775320328996</v>
          </cell>
          <cell r="J917">
            <v>0</v>
          </cell>
        </row>
        <row r="918">
          <cell r="E918">
            <v>10030025</v>
          </cell>
          <cell r="F918" t="str">
            <v>0018</v>
          </cell>
          <cell r="G918">
            <v>13</v>
          </cell>
          <cell r="H918">
            <v>142.10000000000002</v>
          </cell>
          <cell r="I918">
            <v>5702.027958396</v>
          </cell>
          <cell r="J918">
            <v>0</v>
          </cell>
        </row>
        <row r="919">
          <cell r="E919">
            <v>10030025</v>
          </cell>
          <cell r="F919" t="str">
            <v>0031</v>
          </cell>
          <cell r="G919">
            <v>5</v>
          </cell>
          <cell r="H919">
            <v>47.49</v>
          </cell>
          <cell r="I919">
            <v>1795.2411987972002</v>
          </cell>
          <cell r="J919">
            <v>0</v>
          </cell>
        </row>
        <row r="920">
          <cell r="E920">
            <v>10030026</v>
          </cell>
          <cell r="F920" t="str">
            <v>0002</v>
          </cell>
          <cell r="G920">
            <v>8</v>
          </cell>
          <cell r="H920">
            <v>52.59</v>
          </cell>
          <cell r="I920">
            <v>2210.9129690316804</v>
          </cell>
          <cell r="J920">
            <v>240.72</v>
          </cell>
        </row>
        <row r="921">
          <cell r="E921">
            <v>10030026</v>
          </cell>
          <cell r="F921" t="str">
            <v>0008</v>
          </cell>
          <cell r="G921">
            <v>1</v>
          </cell>
          <cell r="H921">
            <v>2.0499999999999998</v>
          </cell>
          <cell r="I921">
            <v>75.499673040000005</v>
          </cell>
          <cell r="J921">
            <v>0</v>
          </cell>
        </row>
        <row r="922">
          <cell r="E922">
            <v>10030026</v>
          </cell>
          <cell r="F922" t="str">
            <v>0010</v>
          </cell>
          <cell r="G922">
            <v>12</v>
          </cell>
          <cell r="H922">
            <v>21.48</v>
          </cell>
          <cell r="I922">
            <v>916.34283978500991</v>
          </cell>
          <cell r="J922">
            <v>0</v>
          </cell>
        </row>
        <row r="923">
          <cell r="E923">
            <v>10030026</v>
          </cell>
          <cell r="F923" t="str">
            <v>0015</v>
          </cell>
          <cell r="G923">
            <v>8</v>
          </cell>
          <cell r="H923">
            <v>17.759999999999998</v>
          </cell>
          <cell r="I923">
            <v>661.73138024400009</v>
          </cell>
          <cell r="J923">
            <v>0</v>
          </cell>
        </row>
        <row r="924">
          <cell r="E924">
            <v>10030026</v>
          </cell>
          <cell r="F924" t="str">
            <v>0021</v>
          </cell>
          <cell r="G924">
            <v>6</v>
          </cell>
          <cell r="H924">
            <v>22.59</v>
          </cell>
          <cell r="I924">
            <v>1430.1560922794001</v>
          </cell>
          <cell r="J924">
            <v>0</v>
          </cell>
        </row>
        <row r="925">
          <cell r="E925">
            <v>10030026</v>
          </cell>
          <cell r="F925" t="str">
            <v>0022</v>
          </cell>
          <cell r="G925">
            <v>9</v>
          </cell>
          <cell r="H925">
            <v>22.049999999999997</v>
          </cell>
          <cell r="I925">
            <v>733.78220652000016</v>
          </cell>
          <cell r="J925">
            <v>0</v>
          </cell>
        </row>
        <row r="926">
          <cell r="E926">
            <v>10030026</v>
          </cell>
          <cell r="F926" t="str">
            <v>0024</v>
          </cell>
          <cell r="G926">
            <v>8</v>
          </cell>
          <cell r="H926">
            <v>12.370000000000001</v>
          </cell>
          <cell r="I926">
            <v>479.56047796800004</v>
          </cell>
          <cell r="J926">
            <v>0</v>
          </cell>
        </row>
        <row r="927">
          <cell r="E927">
            <v>10030026</v>
          </cell>
          <cell r="F927" t="str">
            <v>0026</v>
          </cell>
          <cell r="G927">
            <v>14</v>
          </cell>
          <cell r="H927">
            <v>26.46</v>
          </cell>
          <cell r="I927">
            <v>1288.7775693476201</v>
          </cell>
          <cell r="J927">
            <v>0</v>
          </cell>
        </row>
        <row r="928">
          <cell r="E928">
            <v>10030026</v>
          </cell>
          <cell r="F928" t="str">
            <v>0029</v>
          </cell>
          <cell r="G928">
            <v>5</v>
          </cell>
          <cell r="H928">
            <v>12.84</v>
          </cell>
          <cell r="I928">
            <v>839.35293758490002</v>
          </cell>
          <cell r="J928">
            <v>0</v>
          </cell>
        </row>
        <row r="929">
          <cell r="E929">
            <v>10030026</v>
          </cell>
          <cell r="F929" t="str">
            <v>0032</v>
          </cell>
          <cell r="G929">
            <v>14</v>
          </cell>
          <cell r="H929">
            <v>37.79</v>
          </cell>
          <cell r="I929">
            <v>1512.0647669952002</v>
          </cell>
          <cell r="J929">
            <v>0</v>
          </cell>
        </row>
        <row r="930">
          <cell r="E930">
            <v>10030026</v>
          </cell>
          <cell r="F930" t="str">
            <v>0033</v>
          </cell>
          <cell r="G930">
            <v>13</v>
          </cell>
          <cell r="H930">
            <v>17.449999999999996</v>
          </cell>
          <cell r="I930">
            <v>825.15826250999999</v>
          </cell>
          <cell r="J930">
            <v>0</v>
          </cell>
        </row>
        <row r="931">
          <cell r="E931">
            <v>10030026</v>
          </cell>
          <cell r="F931" t="str">
            <v>0036</v>
          </cell>
          <cell r="G931">
            <v>8</v>
          </cell>
          <cell r="H931">
            <v>33.239999999999995</v>
          </cell>
          <cell r="I931">
            <v>1126.7336005200002</v>
          </cell>
          <cell r="J931">
            <v>0</v>
          </cell>
        </row>
        <row r="932">
          <cell r="E932">
            <v>10030026</v>
          </cell>
          <cell r="F932" t="str">
            <v>0037</v>
          </cell>
          <cell r="G932">
            <v>10</v>
          </cell>
          <cell r="H932">
            <v>16.27</v>
          </cell>
          <cell r="I932">
            <v>644.66742265200014</v>
          </cell>
          <cell r="J932">
            <v>0</v>
          </cell>
        </row>
        <row r="933">
          <cell r="E933">
            <v>10030026</v>
          </cell>
          <cell r="F933" t="str">
            <v>0045</v>
          </cell>
          <cell r="G933">
            <v>4</v>
          </cell>
          <cell r="H933">
            <v>9.43</v>
          </cell>
          <cell r="I933">
            <v>341.42421139200007</v>
          </cell>
          <cell r="J933">
            <v>0</v>
          </cell>
        </row>
        <row r="934">
          <cell r="E934">
            <v>10030026</v>
          </cell>
          <cell r="F934" t="str">
            <v>0046</v>
          </cell>
          <cell r="G934">
            <v>2</v>
          </cell>
          <cell r="H934">
            <v>4.62</v>
          </cell>
          <cell r="I934">
            <v>220.69801470480002</v>
          </cell>
          <cell r="J934">
            <v>0</v>
          </cell>
        </row>
        <row r="935">
          <cell r="E935">
            <v>10030026</v>
          </cell>
          <cell r="F935" t="str">
            <v>0055</v>
          </cell>
          <cell r="G935">
            <v>14</v>
          </cell>
          <cell r="H935">
            <v>59.34</v>
          </cell>
          <cell r="I935">
            <v>2121.1968466062003</v>
          </cell>
          <cell r="J935">
            <v>0</v>
          </cell>
        </row>
        <row r="936">
          <cell r="E936">
            <v>10030026</v>
          </cell>
          <cell r="F936" t="str">
            <v>0063</v>
          </cell>
          <cell r="G936">
            <v>13</v>
          </cell>
          <cell r="H936">
            <v>39.72</v>
          </cell>
          <cell r="I936">
            <v>1992.3751841326</v>
          </cell>
          <cell r="J936">
            <v>0</v>
          </cell>
        </row>
        <row r="937">
          <cell r="E937">
            <v>10030026</v>
          </cell>
          <cell r="F937" t="str">
            <v>0082</v>
          </cell>
          <cell r="G937">
            <v>7</v>
          </cell>
          <cell r="H937">
            <v>15.49</v>
          </cell>
          <cell r="I937">
            <v>679.91269975199998</v>
          </cell>
          <cell r="J937">
            <v>0</v>
          </cell>
        </row>
        <row r="938">
          <cell r="E938">
            <v>10030026</v>
          </cell>
          <cell r="F938" t="str">
            <v>0088</v>
          </cell>
          <cell r="G938">
            <v>14</v>
          </cell>
          <cell r="H938">
            <v>81.48</v>
          </cell>
          <cell r="I938">
            <v>3177.6529417182001</v>
          </cell>
          <cell r="J938">
            <v>0</v>
          </cell>
        </row>
        <row r="939">
          <cell r="E939">
            <v>10030026</v>
          </cell>
          <cell r="F939" t="str">
            <v>0089</v>
          </cell>
          <cell r="G939">
            <v>13</v>
          </cell>
          <cell r="H939">
            <v>34.11</v>
          </cell>
          <cell r="I939">
            <v>1293.1676867142</v>
          </cell>
          <cell r="J939">
            <v>0</v>
          </cell>
        </row>
        <row r="940">
          <cell r="E940">
            <v>10030026</v>
          </cell>
          <cell r="F940" t="str">
            <v>0092</v>
          </cell>
          <cell r="G940">
            <v>7</v>
          </cell>
          <cell r="H940">
            <v>17.899999999999999</v>
          </cell>
          <cell r="I940">
            <v>865.16063915526001</v>
          </cell>
          <cell r="J940">
            <v>0</v>
          </cell>
        </row>
        <row r="941">
          <cell r="E941">
            <v>10030026</v>
          </cell>
          <cell r="F941" t="str">
            <v>0097</v>
          </cell>
          <cell r="G941">
            <v>7</v>
          </cell>
          <cell r="H941">
            <v>14.650000000000002</v>
          </cell>
          <cell r="I941">
            <v>503.53265674800002</v>
          </cell>
          <cell r="J941">
            <v>0</v>
          </cell>
        </row>
        <row r="942">
          <cell r="E942">
            <v>10030026</v>
          </cell>
          <cell r="F942" t="str">
            <v>0102</v>
          </cell>
          <cell r="G942">
            <v>12</v>
          </cell>
          <cell r="H942">
            <v>12.649999999999999</v>
          </cell>
          <cell r="I942">
            <v>443.02528321920011</v>
          </cell>
          <cell r="J942">
            <v>0</v>
          </cell>
        </row>
        <row r="943">
          <cell r="E943">
            <v>10030026</v>
          </cell>
          <cell r="F943" t="str">
            <v>0104</v>
          </cell>
          <cell r="G943">
            <v>14</v>
          </cell>
          <cell r="H943">
            <v>44.73</v>
          </cell>
          <cell r="I943">
            <v>1785.0510077399997</v>
          </cell>
          <cell r="J943">
            <v>0</v>
          </cell>
        </row>
        <row r="944">
          <cell r="E944">
            <v>10030026</v>
          </cell>
          <cell r="F944" t="str">
            <v>0106</v>
          </cell>
          <cell r="G944">
            <v>2</v>
          </cell>
          <cell r="H944">
            <v>4.5299999999999994</v>
          </cell>
          <cell r="I944">
            <v>182.38288266000001</v>
          </cell>
          <cell r="J944">
            <v>0</v>
          </cell>
        </row>
        <row r="945">
          <cell r="E945">
            <v>10030026</v>
          </cell>
          <cell r="F945" t="str">
            <v>0108</v>
          </cell>
          <cell r="G945">
            <v>14</v>
          </cell>
          <cell r="H945">
            <v>79.25</v>
          </cell>
          <cell r="I945">
            <v>3000.2832161280007</v>
          </cell>
          <cell r="J945">
            <v>0</v>
          </cell>
        </row>
        <row r="946">
          <cell r="E946">
            <v>10030026</v>
          </cell>
          <cell r="F946" t="str">
            <v>0109</v>
          </cell>
          <cell r="G946">
            <v>13</v>
          </cell>
          <cell r="H946">
            <v>43.929999999999993</v>
          </cell>
          <cell r="I946">
            <v>1326.0135819744</v>
          </cell>
          <cell r="J946">
            <v>0</v>
          </cell>
        </row>
        <row r="947">
          <cell r="E947">
            <v>10030026</v>
          </cell>
          <cell r="F947" t="str">
            <v>0110</v>
          </cell>
          <cell r="G947">
            <v>6</v>
          </cell>
          <cell r="H947">
            <v>26.34</v>
          </cell>
          <cell r="I947">
            <v>1006.212665304</v>
          </cell>
          <cell r="J947">
            <v>0</v>
          </cell>
        </row>
        <row r="948">
          <cell r="E948">
            <v>10030026</v>
          </cell>
          <cell r="F948" t="str">
            <v>0113</v>
          </cell>
          <cell r="G948">
            <v>6</v>
          </cell>
          <cell r="H948">
            <v>15.320000000000002</v>
          </cell>
          <cell r="I948">
            <v>568.28502957600006</v>
          </cell>
          <cell r="J948">
            <v>0</v>
          </cell>
        </row>
        <row r="949">
          <cell r="E949">
            <v>10030026</v>
          </cell>
          <cell r="F949" t="str">
            <v>0114</v>
          </cell>
          <cell r="G949">
            <v>7</v>
          </cell>
          <cell r="H949">
            <v>23.130000000000003</v>
          </cell>
          <cell r="I949">
            <v>837.01659848400016</v>
          </cell>
          <cell r="J949">
            <v>0</v>
          </cell>
        </row>
        <row r="950">
          <cell r="E950">
            <v>10030026</v>
          </cell>
          <cell r="F950" t="str">
            <v>0116</v>
          </cell>
          <cell r="G950">
            <v>14</v>
          </cell>
          <cell r="H950">
            <v>28.71</v>
          </cell>
          <cell r="I950">
            <v>1014.3757141452002</v>
          </cell>
          <cell r="J950">
            <v>0</v>
          </cell>
        </row>
        <row r="951">
          <cell r="E951">
            <v>10030026</v>
          </cell>
          <cell r="F951" t="str">
            <v>0117</v>
          </cell>
          <cell r="G951">
            <v>2</v>
          </cell>
          <cell r="H951">
            <v>2.63</v>
          </cell>
          <cell r="I951">
            <v>112.3527002796</v>
          </cell>
          <cell r="J951">
            <v>0</v>
          </cell>
        </row>
        <row r="952">
          <cell r="E952">
            <v>10030027</v>
          </cell>
          <cell r="F952" t="str">
            <v>0001</v>
          </cell>
          <cell r="G952">
            <v>14</v>
          </cell>
          <cell r="H952">
            <v>25.499999999999996</v>
          </cell>
          <cell r="I952">
            <v>915.63327900000013</v>
          </cell>
          <cell r="J952">
            <v>0</v>
          </cell>
        </row>
        <row r="953">
          <cell r="E953">
            <v>10030027</v>
          </cell>
          <cell r="F953" t="str">
            <v>0002</v>
          </cell>
          <cell r="G953">
            <v>1</v>
          </cell>
          <cell r="H953">
            <v>60</v>
          </cell>
          <cell r="I953">
            <v>2281.0265280000003</v>
          </cell>
          <cell r="J953">
            <v>413</v>
          </cell>
        </row>
        <row r="954">
          <cell r="E954">
            <v>10030027</v>
          </cell>
          <cell r="F954" t="str">
            <v>0003</v>
          </cell>
          <cell r="G954">
            <v>13</v>
          </cell>
          <cell r="H954">
            <v>51.099999999999987</v>
          </cell>
          <cell r="I954">
            <v>1838.2363322400004</v>
          </cell>
          <cell r="J954">
            <v>0</v>
          </cell>
        </row>
        <row r="955">
          <cell r="E955">
            <v>10030027</v>
          </cell>
          <cell r="F955" t="str">
            <v>0007</v>
          </cell>
          <cell r="G955">
            <v>10</v>
          </cell>
          <cell r="H955">
            <v>48.499999999999993</v>
          </cell>
          <cell r="I955">
            <v>1768.049217</v>
          </cell>
          <cell r="J955">
            <v>0</v>
          </cell>
        </row>
        <row r="956">
          <cell r="E956">
            <v>10030027</v>
          </cell>
          <cell r="F956" t="str">
            <v>0010</v>
          </cell>
          <cell r="G956">
            <v>14</v>
          </cell>
          <cell r="H956">
            <v>54</v>
          </cell>
          <cell r="I956">
            <v>1858.2182900820005</v>
          </cell>
          <cell r="J956">
            <v>0</v>
          </cell>
        </row>
        <row r="957">
          <cell r="E957">
            <v>10030027</v>
          </cell>
          <cell r="F957" t="str">
            <v>0011</v>
          </cell>
          <cell r="G957">
            <v>6</v>
          </cell>
          <cell r="H957">
            <v>14.3</v>
          </cell>
          <cell r="I957">
            <v>533.78376876000004</v>
          </cell>
          <cell r="J957">
            <v>0</v>
          </cell>
        </row>
        <row r="958">
          <cell r="E958">
            <v>10030027</v>
          </cell>
          <cell r="F958" t="str">
            <v>0012</v>
          </cell>
          <cell r="G958">
            <v>14</v>
          </cell>
          <cell r="H958">
            <v>87.399999999999991</v>
          </cell>
          <cell r="I958">
            <v>3313.5349064400002</v>
          </cell>
          <cell r="J958">
            <v>0</v>
          </cell>
        </row>
        <row r="959">
          <cell r="E959">
            <v>10030027</v>
          </cell>
          <cell r="F959" t="str">
            <v>0014</v>
          </cell>
          <cell r="G959">
            <v>2</v>
          </cell>
          <cell r="H959">
            <v>2.8</v>
          </cell>
          <cell r="I959">
            <v>84.585696228000018</v>
          </cell>
          <cell r="J959">
            <v>0</v>
          </cell>
        </row>
        <row r="960">
          <cell r="E960">
            <v>10030027</v>
          </cell>
          <cell r="F960" t="str">
            <v>0017</v>
          </cell>
          <cell r="G960">
            <v>6</v>
          </cell>
          <cell r="H960">
            <v>7.2000000000000011</v>
          </cell>
          <cell r="I960">
            <v>283.14807840000003</v>
          </cell>
          <cell r="J960">
            <v>0</v>
          </cell>
        </row>
        <row r="961">
          <cell r="E961">
            <v>10030027</v>
          </cell>
          <cell r="F961" t="str">
            <v>0030</v>
          </cell>
          <cell r="G961">
            <v>7</v>
          </cell>
          <cell r="H961">
            <v>25.5</v>
          </cell>
          <cell r="I961">
            <v>835.21825199999989</v>
          </cell>
          <cell r="J961">
            <v>0</v>
          </cell>
        </row>
        <row r="962">
          <cell r="E962">
            <v>10030027</v>
          </cell>
          <cell r="F962" t="str">
            <v>0067</v>
          </cell>
          <cell r="G962">
            <v>7</v>
          </cell>
          <cell r="H962">
            <v>10.1</v>
          </cell>
          <cell r="I962">
            <v>372.26453220000002</v>
          </cell>
          <cell r="J962">
            <v>0</v>
          </cell>
        </row>
        <row r="963">
          <cell r="E963">
            <v>10030027</v>
          </cell>
          <cell r="F963" t="str">
            <v>0072</v>
          </cell>
          <cell r="G963">
            <v>14</v>
          </cell>
          <cell r="H963">
            <v>27.8</v>
          </cell>
          <cell r="I963">
            <v>1218.0248082450003</v>
          </cell>
          <cell r="J963">
            <v>0</v>
          </cell>
        </row>
        <row r="964">
          <cell r="E964">
            <v>10030027</v>
          </cell>
          <cell r="F964" t="str">
            <v>0074</v>
          </cell>
          <cell r="G964">
            <v>6</v>
          </cell>
          <cell r="H964">
            <v>21.699999999999996</v>
          </cell>
          <cell r="I964">
            <v>651.89331405000007</v>
          </cell>
          <cell r="J964">
            <v>0</v>
          </cell>
        </row>
        <row r="965">
          <cell r="E965">
            <v>10030027</v>
          </cell>
          <cell r="F965" t="str">
            <v>0076</v>
          </cell>
          <cell r="G965">
            <v>13</v>
          </cell>
          <cell r="H965">
            <v>33.099999999999994</v>
          </cell>
          <cell r="I965">
            <v>1368.3623382000001</v>
          </cell>
          <cell r="J965">
            <v>0</v>
          </cell>
        </row>
        <row r="966">
          <cell r="E966">
            <v>10030027</v>
          </cell>
          <cell r="F966" t="str">
            <v>0091</v>
          </cell>
          <cell r="G966">
            <v>7</v>
          </cell>
          <cell r="H966">
            <v>14</v>
          </cell>
          <cell r="I966">
            <v>834.12740818500004</v>
          </cell>
          <cell r="J966">
            <v>0</v>
          </cell>
        </row>
        <row r="967">
          <cell r="E967">
            <v>10030027</v>
          </cell>
          <cell r="F967" t="str">
            <v>0102</v>
          </cell>
          <cell r="G967">
            <v>14</v>
          </cell>
          <cell r="H967">
            <v>47.5</v>
          </cell>
          <cell r="I967">
            <v>1596.9241789380005</v>
          </cell>
          <cell r="J967">
            <v>0</v>
          </cell>
        </row>
        <row r="968">
          <cell r="E968">
            <v>10030027</v>
          </cell>
          <cell r="F968" t="str">
            <v>0103</v>
          </cell>
          <cell r="G968">
            <v>13</v>
          </cell>
          <cell r="H968">
            <v>44.699999999999996</v>
          </cell>
          <cell r="I968">
            <v>1539.4670331899999</v>
          </cell>
          <cell r="J968">
            <v>0</v>
          </cell>
        </row>
        <row r="969">
          <cell r="E969">
            <v>10030027</v>
          </cell>
          <cell r="F969" t="str">
            <v>0107</v>
          </cell>
          <cell r="G969">
            <v>7</v>
          </cell>
          <cell r="H969">
            <v>15.7</v>
          </cell>
          <cell r="I969">
            <v>600.92067024000005</v>
          </cell>
          <cell r="J969">
            <v>0</v>
          </cell>
        </row>
        <row r="970">
          <cell r="E970">
            <v>10030027</v>
          </cell>
          <cell r="F970" t="str">
            <v>0113</v>
          </cell>
          <cell r="G970">
            <v>4</v>
          </cell>
          <cell r="H970">
            <v>5.3000000000000007</v>
          </cell>
          <cell r="I970">
            <v>179.01430687800004</v>
          </cell>
          <cell r="J970">
            <v>0</v>
          </cell>
        </row>
        <row r="971">
          <cell r="E971">
            <v>10030027</v>
          </cell>
          <cell r="F971" t="str">
            <v>0144</v>
          </cell>
          <cell r="G971">
            <v>7</v>
          </cell>
          <cell r="H971">
            <v>8.8000000000000007</v>
          </cell>
          <cell r="I971">
            <v>387.28480428000006</v>
          </cell>
          <cell r="J971">
            <v>0</v>
          </cell>
        </row>
        <row r="972">
          <cell r="E972">
            <v>10030027</v>
          </cell>
          <cell r="F972" t="str">
            <v>0156</v>
          </cell>
          <cell r="G972">
            <v>9</v>
          </cell>
          <cell r="H972">
            <v>22</v>
          </cell>
          <cell r="I972">
            <v>850.81741272000022</v>
          </cell>
          <cell r="J972">
            <v>0</v>
          </cell>
        </row>
        <row r="973">
          <cell r="E973">
            <v>10030027</v>
          </cell>
          <cell r="F973" t="str">
            <v>0161</v>
          </cell>
          <cell r="G973">
            <v>14</v>
          </cell>
          <cell r="H973">
            <v>60.800000000000004</v>
          </cell>
          <cell r="I973">
            <v>2002.2103349820002</v>
          </cell>
          <cell r="J973">
            <v>0</v>
          </cell>
        </row>
        <row r="974">
          <cell r="E974">
            <v>10030027</v>
          </cell>
          <cell r="F974" t="str">
            <v>0184</v>
          </cell>
          <cell r="G974">
            <v>6</v>
          </cell>
          <cell r="H974">
            <v>9.6999999999999993</v>
          </cell>
          <cell r="I974">
            <v>399.627657</v>
          </cell>
          <cell r="J974">
            <v>0</v>
          </cell>
        </row>
        <row r="975">
          <cell r="E975">
            <v>10030027</v>
          </cell>
          <cell r="F975" t="str">
            <v>0191</v>
          </cell>
          <cell r="G975">
            <v>7</v>
          </cell>
          <cell r="H975">
            <v>18.3</v>
          </cell>
          <cell r="I975">
            <v>747.15373260000001</v>
          </cell>
          <cell r="J975">
            <v>0</v>
          </cell>
        </row>
        <row r="976">
          <cell r="E976">
            <v>10030027</v>
          </cell>
          <cell r="F976" t="str">
            <v>0192</v>
          </cell>
          <cell r="G976">
            <v>13</v>
          </cell>
          <cell r="H976">
            <v>33.900000000000006</v>
          </cell>
          <cell r="I976">
            <v>1198.2307888980001</v>
          </cell>
          <cell r="J976">
            <v>0</v>
          </cell>
        </row>
        <row r="977">
          <cell r="E977">
            <v>10030027</v>
          </cell>
          <cell r="F977" t="str">
            <v>0193</v>
          </cell>
          <cell r="G977">
            <v>6</v>
          </cell>
          <cell r="H977">
            <v>16</v>
          </cell>
          <cell r="I977">
            <v>868.34169022920025</v>
          </cell>
          <cell r="J977">
            <v>0</v>
          </cell>
        </row>
        <row r="978">
          <cell r="E978">
            <v>10030027</v>
          </cell>
          <cell r="F978" t="str">
            <v>0212</v>
          </cell>
          <cell r="G978">
            <v>4</v>
          </cell>
          <cell r="H978">
            <v>9.1999999999999993</v>
          </cell>
          <cell r="I978">
            <v>344.10792240000001</v>
          </cell>
          <cell r="J978">
            <v>0</v>
          </cell>
        </row>
        <row r="979">
          <cell r="E979">
            <v>10030027</v>
          </cell>
          <cell r="F979" t="str">
            <v>0214</v>
          </cell>
          <cell r="G979">
            <v>6</v>
          </cell>
          <cell r="H979">
            <v>11.1</v>
          </cell>
          <cell r="I979">
            <v>424.08877896000001</v>
          </cell>
          <cell r="J979">
            <v>0</v>
          </cell>
        </row>
        <row r="980">
          <cell r="E980">
            <v>10030027</v>
          </cell>
          <cell r="F980" t="str">
            <v>0222</v>
          </cell>
          <cell r="G980">
            <v>11</v>
          </cell>
          <cell r="H980">
            <v>31.2</v>
          </cell>
          <cell r="I980">
            <v>1153.9116626400003</v>
          </cell>
          <cell r="J980">
            <v>0</v>
          </cell>
        </row>
        <row r="981">
          <cell r="E981">
            <v>10030027</v>
          </cell>
          <cell r="F981" t="str">
            <v>0223</v>
          </cell>
          <cell r="G981">
            <v>7</v>
          </cell>
          <cell r="H981">
            <v>9.6000000000000014</v>
          </cell>
          <cell r="I981">
            <v>381.99237120000004</v>
          </cell>
          <cell r="J981">
            <v>0</v>
          </cell>
        </row>
        <row r="982">
          <cell r="E982">
            <v>10030027</v>
          </cell>
          <cell r="F982" t="str">
            <v>0226</v>
          </cell>
          <cell r="G982">
            <v>7</v>
          </cell>
          <cell r="H982">
            <v>17.600000000000001</v>
          </cell>
          <cell r="I982">
            <v>1026.3627206169999</v>
          </cell>
          <cell r="J982">
            <v>0</v>
          </cell>
        </row>
        <row r="983">
          <cell r="E983">
            <v>10030027</v>
          </cell>
          <cell r="F983" t="str">
            <v>0228</v>
          </cell>
          <cell r="G983">
            <v>13</v>
          </cell>
          <cell r="H983">
            <v>23.799999999999997</v>
          </cell>
          <cell r="I983">
            <v>765.41051248200017</v>
          </cell>
          <cell r="J983">
            <v>0</v>
          </cell>
        </row>
        <row r="984">
          <cell r="E984">
            <v>10030027</v>
          </cell>
          <cell r="F984" t="str">
            <v>0231</v>
          </cell>
          <cell r="G984">
            <v>14</v>
          </cell>
          <cell r="H984">
            <v>57.499999999999993</v>
          </cell>
          <cell r="I984">
            <v>1898.3152821600002</v>
          </cell>
          <cell r="J984">
            <v>0</v>
          </cell>
        </row>
        <row r="985">
          <cell r="E985">
            <v>10030027</v>
          </cell>
          <cell r="F985" t="str">
            <v>0232</v>
          </cell>
          <cell r="G985">
            <v>1</v>
          </cell>
          <cell r="H985">
            <v>1.8</v>
          </cell>
          <cell r="I985">
            <v>52.582618044000007</v>
          </cell>
          <cell r="J985">
            <v>0</v>
          </cell>
        </row>
        <row r="986">
          <cell r="E986">
            <v>10030028</v>
          </cell>
          <cell r="F986" t="str">
            <v>0001</v>
          </cell>
          <cell r="G986">
            <v>13</v>
          </cell>
          <cell r="H986">
            <v>14.999999999999998</v>
          </cell>
          <cell r="I986">
            <v>605.18849846400008</v>
          </cell>
          <cell r="J986">
            <v>0</v>
          </cell>
        </row>
        <row r="987">
          <cell r="E987">
            <v>10030028</v>
          </cell>
          <cell r="F987" t="str">
            <v>0002</v>
          </cell>
          <cell r="G987">
            <v>12</v>
          </cell>
          <cell r="H987">
            <v>23.700000000000003</v>
          </cell>
          <cell r="I987">
            <v>766.61977352400004</v>
          </cell>
          <cell r="J987">
            <v>0</v>
          </cell>
        </row>
        <row r="988">
          <cell r="E988">
            <v>10030028</v>
          </cell>
          <cell r="F988" t="str">
            <v>0003</v>
          </cell>
          <cell r="G988">
            <v>12</v>
          </cell>
          <cell r="H988">
            <v>113.9</v>
          </cell>
          <cell r="I988">
            <v>3997.9583305199999</v>
          </cell>
          <cell r="J988">
            <v>0</v>
          </cell>
        </row>
        <row r="989">
          <cell r="E989">
            <v>10030028</v>
          </cell>
          <cell r="F989" t="str">
            <v>0005</v>
          </cell>
          <cell r="G989">
            <v>14</v>
          </cell>
          <cell r="H989">
            <v>92.300000000000011</v>
          </cell>
          <cell r="I989">
            <v>3253.1504068800004</v>
          </cell>
          <cell r="J989">
            <v>0</v>
          </cell>
        </row>
        <row r="990">
          <cell r="E990">
            <v>10030028</v>
          </cell>
          <cell r="F990" t="str">
            <v>0010</v>
          </cell>
          <cell r="G990">
            <v>2</v>
          </cell>
          <cell r="H990">
            <v>3.2</v>
          </cell>
          <cell r="I990">
            <v>103.91394816000002</v>
          </cell>
          <cell r="J990">
            <v>0</v>
          </cell>
        </row>
        <row r="991">
          <cell r="E991">
            <v>10030028</v>
          </cell>
          <cell r="F991" t="str">
            <v>0011</v>
          </cell>
          <cell r="G991">
            <v>4</v>
          </cell>
          <cell r="H991">
            <v>11.899999999999999</v>
          </cell>
          <cell r="I991">
            <v>602.3436553500901</v>
          </cell>
          <cell r="J991">
            <v>0</v>
          </cell>
        </row>
        <row r="992">
          <cell r="E992">
            <v>10030028</v>
          </cell>
          <cell r="F992" t="str">
            <v>0012</v>
          </cell>
          <cell r="G992">
            <v>14</v>
          </cell>
          <cell r="H992">
            <v>49.999999999999993</v>
          </cell>
          <cell r="I992">
            <v>1908.1942862400006</v>
          </cell>
          <cell r="J992">
            <v>0</v>
          </cell>
        </row>
        <row r="993">
          <cell r="E993">
            <v>10030028</v>
          </cell>
          <cell r="F993" t="str">
            <v>0014</v>
          </cell>
          <cell r="G993">
            <v>4</v>
          </cell>
          <cell r="H993">
            <v>8.8000000000000007</v>
          </cell>
          <cell r="I993">
            <v>300.21697728000004</v>
          </cell>
          <cell r="J993">
            <v>0</v>
          </cell>
        </row>
        <row r="994">
          <cell r="E994">
            <v>10030028</v>
          </cell>
          <cell r="F994" t="str">
            <v>0018</v>
          </cell>
          <cell r="G994">
            <v>13</v>
          </cell>
          <cell r="H994">
            <v>72.200000000000017</v>
          </cell>
          <cell r="I994">
            <v>3985.6439071098002</v>
          </cell>
          <cell r="J994">
            <v>0</v>
          </cell>
        </row>
        <row r="995">
          <cell r="E995">
            <v>10030028</v>
          </cell>
          <cell r="F995" t="str">
            <v>0024</v>
          </cell>
          <cell r="G995">
            <v>14</v>
          </cell>
          <cell r="H995">
            <v>17.2</v>
          </cell>
          <cell r="I995">
            <v>730.82409840000025</v>
          </cell>
          <cell r="J995">
            <v>0</v>
          </cell>
        </row>
        <row r="996">
          <cell r="E996">
            <v>10030028</v>
          </cell>
          <cell r="F996" t="str">
            <v>0034</v>
          </cell>
          <cell r="G996">
            <v>2</v>
          </cell>
          <cell r="H996">
            <v>2.1</v>
          </cell>
          <cell r="I996">
            <v>71.361556199999995</v>
          </cell>
          <cell r="J996">
            <v>0</v>
          </cell>
        </row>
        <row r="997">
          <cell r="E997">
            <v>10030028</v>
          </cell>
          <cell r="F997" t="str">
            <v>0036</v>
          </cell>
          <cell r="G997">
            <v>7</v>
          </cell>
          <cell r="H997">
            <v>24.799999999999997</v>
          </cell>
          <cell r="I997">
            <v>1107.6666559200003</v>
          </cell>
          <cell r="J997">
            <v>0</v>
          </cell>
        </row>
        <row r="998">
          <cell r="E998">
            <v>10030028</v>
          </cell>
          <cell r="F998" t="str">
            <v>0040</v>
          </cell>
          <cell r="G998">
            <v>7</v>
          </cell>
          <cell r="H998">
            <v>10.199999999999999</v>
          </cell>
          <cell r="I998">
            <v>321.74726166000005</v>
          </cell>
          <cell r="J998">
            <v>0</v>
          </cell>
        </row>
        <row r="999">
          <cell r="E999">
            <v>10030028</v>
          </cell>
          <cell r="F999" t="str">
            <v>0043</v>
          </cell>
          <cell r="G999">
            <v>14</v>
          </cell>
          <cell r="H999">
            <v>55.599999999999994</v>
          </cell>
          <cell r="I999">
            <v>2114.0951832000001</v>
          </cell>
          <cell r="J999">
            <v>0</v>
          </cell>
        </row>
        <row r="1000">
          <cell r="E1000">
            <v>10030028</v>
          </cell>
          <cell r="F1000" t="str">
            <v>0044</v>
          </cell>
          <cell r="G1000">
            <v>14</v>
          </cell>
          <cell r="H1000">
            <v>35.799999999999997</v>
          </cell>
          <cell r="I1000">
            <v>1165.6779908400003</v>
          </cell>
          <cell r="J1000">
            <v>0</v>
          </cell>
        </row>
        <row r="1001">
          <cell r="E1001">
            <v>10030028</v>
          </cell>
          <cell r="F1001" t="str">
            <v>0048</v>
          </cell>
          <cell r="G1001">
            <v>13</v>
          </cell>
          <cell r="H1001">
            <v>62.000000000000007</v>
          </cell>
          <cell r="I1001">
            <v>2418.4793437200005</v>
          </cell>
          <cell r="J1001">
            <v>0</v>
          </cell>
        </row>
        <row r="1002">
          <cell r="E1002">
            <v>10030028</v>
          </cell>
          <cell r="F1002" t="str">
            <v>0052</v>
          </cell>
          <cell r="G1002">
            <v>10</v>
          </cell>
          <cell r="H1002">
            <v>16.100000000000001</v>
          </cell>
          <cell r="I1002">
            <v>581.09487480000018</v>
          </cell>
          <cell r="J1002">
            <v>0</v>
          </cell>
        </row>
        <row r="1003">
          <cell r="E1003">
            <v>10030028</v>
          </cell>
          <cell r="F1003" t="str">
            <v>0057</v>
          </cell>
          <cell r="G1003">
            <v>2</v>
          </cell>
          <cell r="H1003">
            <v>2.9</v>
          </cell>
          <cell r="I1003">
            <v>106.85725380000001</v>
          </cell>
          <cell r="J1003">
            <v>0</v>
          </cell>
        </row>
        <row r="1004">
          <cell r="E1004">
            <v>10030028</v>
          </cell>
          <cell r="F1004" t="str">
            <v>0059</v>
          </cell>
          <cell r="G1004">
            <v>7</v>
          </cell>
          <cell r="H1004">
            <v>20.599999999999998</v>
          </cell>
          <cell r="I1004">
            <v>1107.4569559390002</v>
          </cell>
          <cell r="J1004">
            <v>0</v>
          </cell>
        </row>
        <row r="1005">
          <cell r="E1005">
            <v>10030028</v>
          </cell>
          <cell r="F1005" t="str">
            <v>0071</v>
          </cell>
          <cell r="G1005">
            <v>6</v>
          </cell>
          <cell r="H1005">
            <v>25.4</v>
          </cell>
          <cell r="I1005">
            <v>1330.7885244781003</v>
          </cell>
          <cell r="J1005">
            <v>0</v>
          </cell>
        </row>
        <row r="1006">
          <cell r="E1006">
            <v>10030028</v>
          </cell>
          <cell r="F1006" t="str">
            <v>0073</v>
          </cell>
          <cell r="G1006">
            <v>7</v>
          </cell>
          <cell r="H1006">
            <v>10.199999999999999</v>
          </cell>
          <cell r="I1006">
            <v>340.16343160800005</v>
          </cell>
          <cell r="J1006">
            <v>0</v>
          </cell>
        </row>
        <row r="1007">
          <cell r="E1007">
            <v>10030028</v>
          </cell>
          <cell r="F1007" t="str">
            <v>0088</v>
          </cell>
          <cell r="G1007">
            <v>12</v>
          </cell>
          <cell r="H1007">
            <v>15.1</v>
          </cell>
          <cell r="I1007">
            <v>480.437159796</v>
          </cell>
          <cell r="J1007">
            <v>0</v>
          </cell>
        </row>
        <row r="1008">
          <cell r="E1008">
            <v>10030028</v>
          </cell>
          <cell r="F1008" t="str">
            <v>0091</v>
          </cell>
          <cell r="G1008">
            <v>6</v>
          </cell>
          <cell r="H1008">
            <v>7.6000000000000005</v>
          </cell>
          <cell r="I1008">
            <v>276.46195599000004</v>
          </cell>
          <cell r="J1008">
            <v>0</v>
          </cell>
        </row>
        <row r="1009">
          <cell r="E1009">
            <v>10030028</v>
          </cell>
          <cell r="F1009" t="str">
            <v>0102</v>
          </cell>
          <cell r="G1009">
            <v>14</v>
          </cell>
          <cell r="H1009">
            <v>21.2</v>
          </cell>
          <cell r="I1009">
            <v>655.7562158400001</v>
          </cell>
          <cell r="J1009">
            <v>0</v>
          </cell>
        </row>
        <row r="1010">
          <cell r="E1010">
            <v>10030028</v>
          </cell>
          <cell r="F1010" t="str">
            <v>0105</v>
          </cell>
          <cell r="G1010">
            <v>9</v>
          </cell>
          <cell r="H1010">
            <v>16.3</v>
          </cell>
          <cell r="I1010">
            <v>525.35916358200006</v>
          </cell>
          <cell r="J1010">
            <v>0</v>
          </cell>
        </row>
        <row r="1011">
          <cell r="E1011">
            <v>10030028</v>
          </cell>
          <cell r="F1011" t="str">
            <v>0111</v>
          </cell>
          <cell r="G1011">
            <v>6</v>
          </cell>
          <cell r="H1011">
            <v>8.9</v>
          </cell>
          <cell r="I1011">
            <v>325.37678580000005</v>
          </cell>
          <cell r="J1011">
            <v>0</v>
          </cell>
        </row>
        <row r="1012">
          <cell r="E1012">
            <v>10030028</v>
          </cell>
          <cell r="F1012" t="str">
            <v>0113</v>
          </cell>
          <cell r="G1012">
            <v>12</v>
          </cell>
          <cell r="H1012">
            <v>32.200000000000003</v>
          </cell>
          <cell r="I1012">
            <v>1266.0611673600001</v>
          </cell>
          <cell r="J1012">
            <v>0</v>
          </cell>
        </row>
        <row r="1013">
          <cell r="E1013">
            <v>10030028</v>
          </cell>
          <cell r="F1013" t="str">
            <v>0120</v>
          </cell>
          <cell r="G1013">
            <v>10</v>
          </cell>
          <cell r="H1013">
            <v>28.3</v>
          </cell>
          <cell r="I1013">
            <v>1274.487525125</v>
          </cell>
          <cell r="J1013">
            <v>0</v>
          </cell>
        </row>
        <row r="1014">
          <cell r="E1014">
            <v>10030028</v>
          </cell>
          <cell r="F1014" t="str">
            <v>0122</v>
          </cell>
          <cell r="G1014">
            <v>13</v>
          </cell>
          <cell r="H1014">
            <v>34.6</v>
          </cell>
          <cell r="I1014">
            <v>1121.996288952</v>
          </cell>
          <cell r="J1014">
            <v>0</v>
          </cell>
        </row>
        <row r="1015">
          <cell r="E1015">
            <v>10030028</v>
          </cell>
          <cell r="F1015" t="str">
            <v>0133</v>
          </cell>
          <cell r="G1015">
            <v>14</v>
          </cell>
          <cell r="H1015">
            <v>29.799999999999997</v>
          </cell>
          <cell r="I1015">
            <v>1111.4331307200002</v>
          </cell>
          <cell r="J1015">
            <v>0</v>
          </cell>
        </row>
        <row r="1016">
          <cell r="E1016">
            <v>10030028</v>
          </cell>
          <cell r="F1016" t="str">
            <v>0135</v>
          </cell>
          <cell r="G1016">
            <v>14</v>
          </cell>
          <cell r="H1016">
            <v>14.6</v>
          </cell>
          <cell r="I1016">
            <v>527.03890668000008</v>
          </cell>
          <cell r="J1016">
            <v>0</v>
          </cell>
        </row>
        <row r="1017">
          <cell r="E1017">
            <v>10030028</v>
          </cell>
          <cell r="F1017" t="str">
            <v>0136</v>
          </cell>
          <cell r="G1017">
            <v>7</v>
          </cell>
          <cell r="H1017">
            <v>9.6999999999999993</v>
          </cell>
          <cell r="I1017">
            <v>397.42301016000005</v>
          </cell>
          <cell r="J1017">
            <v>0</v>
          </cell>
        </row>
        <row r="1018">
          <cell r="E1018">
            <v>10030028</v>
          </cell>
          <cell r="F1018" t="str">
            <v>0137</v>
          </cell>
          <cell r="G1018">
            <v>3</v>
          </cell>
          <cell r="H1018">
            <v>3.2</v>
          </cell>
          <cell r="I1018">
            <v>103.46502276000001</v>
          </cell>
          <cell r="J1018">
            <v>0</v>
          </cell>
        </row>
        <row r="1019">
          <cell r="E1019">
            <v>10030031</v>
          </cell>
          <cell r="F1019" t="str">
            <v>0002</v>
          </cell>
          <cell r="G1019">
            <v>7</v>
          </cell>
          <cell r="H1019">
            <v>16.440000000000001</v>
          </cell>
          <cell r="I1019">
            <v>641.28974857200001</v>
          </cell>
          <cell r="J1019">
            <v>0</v>
          </cell>
        </row>
        <row r="1020">
          <cell r="E1020">
            <v>10030031</v>
          </cell>
          <cell r="F1020" t="str">
            <v>0004</v>
          </cell>
          <cell r="G1020">
            <v>13</v>
          </cell>
          <cell r="H1020">
            <v>49.859999999999992</v>
          </cell>
          <cell r="I1020">
            <v>1947.94984692</v>
          </cell>
          <cell r="J1020">
            <v>0</v>
          </cell>
        </row>
        <row r="1021">
          <cell r="E1021">
            <v>10030031</v>
          </cell>
          <cell r="F1021" t="str">
            <v>0005</v>
          </cell>
          <cell r="G1021">
            <v>5</v>
          </cell>
          <cell r="H1021">
            <v>11.01</v>
          </cell>
          <cell r="I1021">
            <v>447.540833916</v>
          </cell>
          <cell r="J1021">
            <v>0</v>
          </cell>
        </row>
        <row r="1022">
          <cell r="E1022">
            <v>10030031</v>
          </cell>
          <cell r="F1022" t="str">
            <v>0016</v>
          </cell>
          <cell r="G1022">
            <v>13</v>
          </cell>
          <cell r="H1022">
            <v>73.969999999999985</v>
          </cell>
          <cell r="I1022">
            <v>2812.4367911640002</v>
          </cell>
          <cell r="J1022">
            <v>0</v>
          </cell>
        </row>
        <row r="1023">
          <cell r="E1023">
            <v>10030031</v>
          </cell>
          <cell r="F1023" t="str">
            <v>0018</v>
          </cell>
          <cell r="G1023">
            <v>13</v>
          </cell>
          <cell r="H1023">
            <v>45.53</v>
          </cell>
          <cell r="I1023">
            <v>1688.8569089040002</v>
          </cell>
          <cell r="J1023">
            <v>0</v>
          </cell>
        </row>
        <row r="1024">
          <cell r="E1024">
            <v>10030031</v>
          </cell>
          <cell r="F1024" t="str">
            <v>0019</v>
          </cell>
          <cell r="G1024">
            <v>4</v>
          </cell>
          <cell r="H1024">
            <v>7.6199999999999992</v>
          </cell>
          <cell r="I1024">
            <v>301.43283825600003</v>
          </cell>
          <cell r="J1024">
            <v>0</v>
          </cell>
        </row>
        <row r="1025">
          <cell r="E1025">
            <v>10030031</v>
          </cell>
          <cell r="F1025" t="str">
            <v>0020</v>
          </cell>
          <cell r="G1025">
            <v>8</v>
          </cell>
          <cell r="H1025">
            <v>17.84</v>
          </cell>
          <cell r="I1025">
            <v>819.12660603188021</v>
          </cell>
          <cell r="J1025">
            <v>0</v>
          </cell>
        </row>
        <row r="1026">
          <cell r="E1026">
            <v>10030031</v>
          </cell>
          <cell r="F1026" t="str">
            <v>0023</v>
          </cell>
          <cell r="G1026">
            <v>12</v>
          </cell>
          <cell r="H1026">
            <v>48.769999999999996</v>
          </cell>
          <cell r="I1026">
            <v>2559.19449948594</v>
          </cell>
          <cell r="J1026">
            <v>0</v>
          </cell>
        </row>
        <row r="1027">
          <cell r="E1027">
            <v>10030031</v>
          </cell>
          <cell r="F1027" t="str">
            <v>0025</v>
          </cell>
          <cell r="G1027">
            <v>13</v>
          </cell>
          <cell r="H1027">
            <v>49.129999999999988</v>
          </cell>
          <cell r="I1027">
            <v>1935.8036244755997</v>
          </cell>
          <cell r="J1027">
            <v>0</v>
          </cell>
        </row>
        <row r="1028">
          <cell r="E1028">
            <v>10030031</v>
          </cell>
          <cell r="F1028" t="str">
            <v>0026</v>
          </cell>
          <cell r="G1028">
            <v>8</v>
          </cell>
          <cell r="H1028">
            <v>13.030000000000003</v>
          </cell>
          <cell r="I1028">
            <v>492.53261563440003</v>
          </cell>
          <cell r="J1028">
            <v>0</v>
          </cell>
        </row>
        <row r="1029">
          <cell r="E1029">
            <v>10030031</v>
          </cell>
          <cell r="F1029" t="str">
            <v>0030</v>
          </cell>
          <cell r="G1029">
            <v>6</v>
          </cell>
          <cell r="H1029">
            <v>16.600000000000001</v>
          </cell>
          <cell r="I1029">
            <v>651.04828074</v>
          </cell>
          <cell r="J1029">
            <v>0</v>
          </cell>
        </row>
        <row r="1030">
          <cell r="E1030">
            <v>10030031</v>
          </cell>
          <cell r="F1030" t="str">
            <v>0031</v>
          </cell>
          <cell r="G1030">
            <v>5</v>
          </cell>
          <cell r="H1030">
            <v>11.46</v>
          </cell>
          <cell r="I1030">
            <v>440.56906700400003</v>
          </cell>
          <cell r="J1030">
            <v>0</v>
          </cell>
        </row>
        <row r="1031">
          <cell r="E1031">
            <v>10030031</v>
          </cell>
          <cell r="F1031" t="str">
            <v>0032</v>
          </cell>
          <cell r="G1031">
            <v>13</v>
          </cell>
          <cell r="H1031">
            <v>19.310000000000002</v>
          </cell>
          <cell r="I1031">
            <v>761.49941650200003</v>
          </cell>
          <cell r="J1031">
            <v>0</v>
          </cell>
        </row>
        <row r="1032">
          <cell r="E1032">
            <v>10030031</v>
          </cell>
          <cell r="F1032" t="str">
            <v>0034</v>
          </cell>
          <cell r="G1032">
            <v>10</v>
          </cell>
          <cell r="H1032">
            <v>28.720000000000002</v>
          </cell>
          <cell r="I1032">
            <v>1077.3183544200001</v>
          </cell>
          <cell r="J1032">
            <v>0</v>
          </cell>
        </row>
        <row r="1033">
          <cell r="E1033">
            <v>10030031</v>
          </cell>
          <cell r="F1033" t="str">
            <v>0039</v>
          </cell>
          <cell r="G1033">
            <v>6</v>
          </cell>
          <cell r="H1033">
            <v>9.7899999999999991</v>
          </cell>
          <cell r="I1033">
            <v>374.27296680180001</v>
          </cell>
          <cell r="J1033">
            <v>0</v>
          </cell>
        </row>
        <row r="1034">
          <cell r="E1034">
            <v>10030031</v>
          </cell>
          <cell r="F1034" t="str">
            <v>0040</v>
          </cell>
          <cell r="G1034">
            <v>13</v>
          </cell>
          <cell r="H1034">
            <v>52.469999999999992</v>
          </cell>
          <cell r="I1034">
            <v>1947.5053016958</v>
          </cell>
          <cell r="J1034">
            <v>0</v>
          </cell>
        </row>
        <row r="1035">
          <cell r="E1035">
            <v>10030031</v>
          </cell>
          <cell r="F1035" t="str">
            <v>0041</v>
          </cell>
          <cell r="G1035">
            <v>5</v>
          </cell>
          <cell r="H1035">
            <v>9.94</v>
          </cell>
          <cell r="I1035">
            <v>376.36958604960006</v>
          </cell>
          <cell r="J1035">
            <v>0</v>
          </cell>
        </row>
        <row r="1036">
          <cell r="E1036">
            <v>10030031</v>
          </cell>
          <cell r="F1036" t="str">
            <v>0042</v>
          </cell>
          <cell r="G1036">
            <v>12</v>
          </cell>
          <cell r="H1036">
            <v>32.650000000000006</v>
          </cell>
          <cell r="I1036">
            <v>1243.6268027040001</v>
          </cell>
          <cell r="J1036">
            <v>0</v>
          </cell>
        </row>
        <row r="1037">
          <cell r="E1037">
            <v>10030031</v>
          </cell>
          <cell r="F1037" t="str">
            <v>0043</v>
          </cell>
          <cell r="G1037">
            <v>13</v>
          </cell>
          <cell r="H1037">
            <v>67.41</v>
          </cell>
          <cell r="I1037">
            <v>2819.4906782472003</v>
          </cell>
          <cell r="J1037">
            <v>0</v>
          </cell>
        </row>
        <row r="1038">
          <cell r="E1038">
            <v>10030032</v>
          </cell>
          <cell r="F1038" t="str">
            <v>0001</v>
          </cell>
          <cell r="G1038">
            <v>2</v>
          </cell>
          <cell r="H1038">
            <v>9.8000000000000007</v>
          </cell>
          <cell r="I1038">
            <v>448.65108681360005</v>
          </cell>
          <cell r="J1038">
            <v>0</v>
          </cell>
        </row>
        <row r="1039">
          <cell r="E1039">
            <v>10030032</v>
          </cell>
          <cell r="F1039" t="str">
            <v>0002</v>
          </cell>
          <cell r="G1039">
            <v>14</v>
          </cell>
          <cell r="H1039">
            <v>440.1</v>
          </cell>
          <cell r="I1039">
            <v>17158.359301438803</v>
          </cell>
          <cell r="J1039">
            <v>99.12</v>
          </cell>
        </row>
        <row r="1040">
          <cell r="E1040">
            <v>10030032</v>
          </cell>
          <cell r="F1040" t="str">
            <v>0003</v>
          </cell>
          <cell r="G1040">
            <v>11</v>
          </cell>
          <cell r="H1040">
            <v>267.89999999999998</v>
          </cell>
          <cell r="I1040">
            <v>10066.376467223999</v>
          </cell>
          <cell r="J1040">
            <v>0</v>
          </cell>
        </row>
        <row r="1041">
          <cell r="E1041">
            <v>10030032</v>
          </cell>
          <cell r="F1041" t="str">
            <v>0005</v>
          </cell>
          <cell r="G1041">
            <v>8</v>
          </cell>
          <cell r="H1041">
            <v>43.7</v>
          </cell>
          <cell r="I1041">
            <v>1513.8458806680001</v>
          </cell>
          <cell r="J1041">
            <v>0</v>
          </cell>
        </row>
        <row r="1042">
          <cell r="E1042">
            <v>10030032</v>
          </cell>
          <cell r="F1042" t="str">
            <v>0010</v>
          </cell>
          <cell r="G1042">
            <v>4</v>
          </cell>
          <cell r="H1042">
            <v>12.7</v>
          </cell>
          <cell r="I1042">
            <v>437.54219665200003</v>
          </cell>
          <cell r="J1042">
            <v>0</v>
          </cell>
        </row>
        <row r="1043">
          <cell r="E1043">
            <v>10030032</v>
          </cell>
          <cell r="F1043" t="str">
            <v>0011</v>
          </cell>
          <cell r="G1043">
            <v>7</v>
          </cell>
          <cell r="H1043">
            <v>14.799999999999999</v>
          </cell>
          <cell r="I1043">
            <v>1200.881675696</v>
          </cell>
          <cell r="J1043">
            <v>0</v>
          </cell>
        </row>
        <row r="1044">
          <cell r="E1044">
            <v>10030032</v>
          </cell>
          <cell r="F1044" t="str">
            <v>0013</v>
          </cell>
          <cell r="G1044">
            <v>5</v>
          </cell>
          <cell r="H1044">
            <v>12.1</v>
          </cell>
          <cell r="I1044">
            <v>485.02078019999999</v>
          </cell>
          <cell r="J1044">
            <v>0</v>
          </cell>
        </row>
        <row r="1045">
          <cell r="E1045">
            <v>10030032</v>
          </cell>
          <cell r="F1045" t="str">
            <v>0017</v>
          </cell>
          <cell r="G1045">
            <v>10</v>
          </cell>
          <cell r="H1045">
            <v>28.199999999999996</v>
          </cell>
          <cell r="I1045">
            <v>2040.9152770619999</v>
          </cell>
          <cell r="J1045">
            <v>0</v>
          </cell>
        </row>
        <row r="1046">
          <cell r="E1046">
            <v>10030032</v>
          </cell>
          <cell r="F1046" t="str">
            <v>0033</v>
          </cell>
          <cell r="G1046">
            <v>6</v>
          </cell>
          <cell r="H1046">
            <v>38.999999999999993</v>
          </cell>
          <cell r="I1046">
            <v>1438.9617409200002</v>
          </cell>
          <cell r="J1046">
            <v>0</v>
          </cell>
        </row>
        <row r="1047">
          <cell r="E1047">
            <v>10030032</v>
          </cell>
          <cell r="F1047" t="str">
            <v>0036</v>
          </cell>
          <cell r="G1047">
            <v>10</v>
          </cell>
          <cell r="H1047">
            <v>20.100000000000001</v>
          </cell>
          <cell r="I1047">
            <v>1284.6531648822001</v>
          </cell>
          <cell r="J1047">
            <v>0</v>
          </cell>
        </row>
        <row r="1048">
          <cell r="E1048">
            <v>10030032</v>
          </cell>
          <cell r="F1048" t="str">
            <v>0041</v>
          </cell>
          <cell r="G1048">
            <v>10</v>
          </cell>
          <cell r="H1048">
            <v>23.900000000000002</v>
          </cell>
          <cell r="I1048">
            <v>927.39227724000011</v>
          </cell>
          <cell r="J1048">
            <v>0</v>
          </cell>
        </row>
        <row r="1049">
          <cell r="E1049">
            <v>10030032</v>
          </cell>
          <cell r="F1049" t="str">
            <v>0056</v>
          </cell>
          <cell r="G1049">
            <v>3</v>
          </cell>
          <cell r="H1049">
            <v>9.8000000000000007</v>
          </cell>
          <cell r="I1049">
            <v>329.70227974199997</v>
          </cell>
          <cell r="J1049">
            <v>0</v>
          </cell>
        </row>
        <row r="1050">
          <cell r="E1050">
            <v>10030032</v>
          </cell>
          <cell r="F1050" t="str">
            <v>0058</v>
          </cell>
          <cell r="G1050">
            <v>4</v>
          </cell>
          <cell r="H1050">
            <v>9.8999999999999986</v>
          </cell>
          <cell r="I1050">
            <v>548.75036197730003</v>
          </cell>
          <cell r="J1050">
            <v>0</v>
          </cell>
        </row>
        <row r="1051">
          <cell r="E1051">
            <v>10030032</v>
          </cell>
          <cell r="F1051" t="str">
            <v>0064</v>
          </cell>
          <cell r="G1051">
            <v>8</v>
          </cell>
          <cell r="H1051">
            <v>19</v>
          </cell>
          <cell r="I1051">
            <v>953.53748996860008</v>
          </cell>
          <cell r="J1051">
            <v>0</v>
          </cell>
        </row>
        <row r="1052">
          <cell r="E1052">
            <v>10030032</v>
          </cell>
          <cell r="F1052" t="str">
            <v>0068</v>
          </cell>
          <cell r="G1052">
            <v>9</v>
          </cell>
          <cell r="H1052">
            <v>19.600000000000005</v>
          </cell>
          <cell r="I1052">
            <v>897.15292420000003</v>
          </cell>
          <cell r="J1052">
            <v>0</v>
          </cell>
        </row>
        <row r="1053">
          <cell r="E1053">
            <v>10030032</v>
          </cell>
          <cell r="F1053" t="str">
            <v>0081</v>
          </cell>
          <cell r="G1053">
            <v>10</v>
          </cell>
          <cell r="H1053">
            <v>38.200000000000003</v>
          </cell>
          <cell r="I1053">
            <v>1379.7722901600002</v>
          </cell>
          <cell r="J1053">
            <v>0</v>
          </cell>
        </row>
        <row r="1054">
          <cell r="E1054">
            <v>10030032</v>
          </cell>
          <cell r="F1054" t="str">
            <v>0086</v>
          </cell>
          <cell r="G1054">
            <v>2</v>
          </cell>
          <cell r="H1054">
            <v>4.0999999999999996</v>
          </cell>
          <cell r="I1054">
            <v>187.83721274400003</v>
          </cell>
          <cell r="J1054">
            <v>0</v>
          </cell>
        </row>
        <row r="1055">
          <cell r="E1055">
            <v>10030032</v>
          </cell>
          <cell r="F1055" t="str">
            <v>0100</v>
          </cell>
          <cell r="G1055">
            <v>14</v>
          </cell>
          <cell r="H1055">
            <v>314.10000000000008</v>
          </cell>
          <cell r="I1055">
            <v>11775.718878264001</v>
          </cell>
          <cell r="J1055">
            <v>0</v>
          </cell>
        </row>
        <row r="1056">
          <cell r="E1056">
            <v>10030032</v>
          </cell>
          <cell r="F1056" t="str">
            <v>0106</v>
          </cell>
          <cell r="G1056">
            <v>3</v>
          </cell>
          <cell r="H1056">
            <v>4.5999999999999996</v>
          </cell>
          <cell r="I1056">
            <v>277.84063786859997</v>
          </cell>
          <cell r="J1056">
            <v>0</v>
          </cell>
        </row>
        <row r="1057">
          <cell r="E1057">
            <v>10030032</v>
          </cell>
          <cell r="F1057" t="str">
            <v>0109</v>
          </cell>
          <cell r="G1057">
            <v>5</v>
          </cell>
          <cell r="H1057">
            <v>17.5</v>
          </cell>
          <cell r="I1057">
            <v>1229.463384229</v>
          </cell>
          <cell r="J1057">
            <v>0</v>
          </cell>
        </row>
        <row r="1058">
          <cell r="E1058">
            <v>10030032</v>
          </cell>
          <cell r="F1058" t="str">
            <v>0111</v>
          </cell>
          <cell r="G1058">
            <v>3</v>
          </cell>
          <cell r="H1058">
            <v>11.5</v>
          </cell>
          <cell r="I1058">
            <v>415.93106412000003</v>
          </cell>
          <cell r="J1058">
            <v>0</v>
          </cell>
        </row>
        <row r="1059">
          <cell r="E1059">
            <v>10030032</v>
          </cell>
          <cell r="F1059" t="str">
            <v>0112</v>
          </cell>
          <cell r="G1059">
            <v>10</v>
          </cell>
          <cell r="H1059">
            <v>37.799999999999997</v>
          </cell>
          <cell r="I1059">
            <v>1356.0369728400003</v>
          </cell>
          <cell r="J1059">
            <v>0</v>
          </cell>
        </row>
        <row r="1060">
          <cell r="E1060">
            <v>10030034</v>
          </cell>
          <cell r="F1060" t="str">
            <v>0002</v>
          </cell>
          <cell r="G1060">
            <v>14</v>
          </cell>
          <cell r="H1060">
            <v>25.490000000000006</v>
          </cell>
          <cell r="I1060">
            <v>1063.6686221171401</v>
          </cell>
          <cell r="J1060">
            <v>165.2</v>
          </cell>
        </row>
        <row r="1061">
          <cell r="E1061">
            <v>10030034</v>
          </cell>
          <cell r="F1061" t="str">
            <v>0003</v>
          </cell>
          <cell r="G1061">
            <v>14</v>
          </cell>
          <cell r="H1061">
            <v>225.19</v>
          </cell>
          <cell r="I1061">
            <v>11729.395664282178</v>
          </cell>
          <cell r="J1061">
            <v>0</v>
          </cell>
        </row>
        <row r="1062">
          <cell r="E1062">
            <v>10030034</v>
          </cell>
          <cell r="F1062" t="str">
            <v>0007</v>
          </cell>
          <cell r="G1062">
            <v>12</v>
          </cell>
          <cell r="H1062">
            <v>13.28</v>
          </cell>
          <cell r="I1062">
            <v>456.87231853560002</v>
          </cell>
          <cell r="J1062">
            <v>0</v>
          </cell>
        </row>
        <row r="1063">
          <cell r="E1063">
            <v>10030034</v>
          </cell>
          <cell r="F1063" t="str">
            <v>0008</v>
          </cell>
          <cell r="G1063">
            <v>12</v>
          </cell>
          <cell r="H1063">
            <v>21.560000000000002</v>
          </cell>
          <cell r="I1063">
            <v>782.3841967062001</v>
          </cell>
          <cell r="J1063">
            <v>0</v>
          </cell>
        </row>
        <row r="1064">
          <cell r="E1064">
            <v>10030034</v>
          </cell>
          <cell r="F1064" t="str">
            <v>0010</v>
          </cell>
          <cell r="G1064">
            <v>11</v>
          </cell>
          <cell r="H1064">
            <v>16.899999999999999</v>
          </cell>
          <cell r="I1064">
            <v>850.52967758604007</v>
          </cell>
          <cell r="J1064">
            <v>0</v>
          </cell>
        </row>
        <row r="1065">
          <cell r="E1065">
            <v>10030034</v>
          </cell>
          <cell r="F1065" t="str">
            <v>0025</v>
          </cell>
          <cell r="G1065">
            <v>1</v>
          </cell>
          <cell r="H1065">
            <v>1.62</v>
          </cell>
          <cell r="I1065">
            <v>52.221312554400015</v>
          </cell>
          <cell r="J1065">
            <v>0</v>
          </cell>
        </row>
        <row r="1066">
          <cell r="E1066">
            <v>10030034</v>
          </cell>
          <cell r="F1066" t="str">
            <v>0026</v>
          </cell>
          <cell r="G1066">
            <v>7</v>
          </cell>
          <cell r="H1066">
            <v>13.559999999999999</v>
          </cell>
          <cell r="I1066">
            <v>561.63283030800005</v>
          </cell>
          <cell r="J1066">
            <v>0</v>
          </cell>
        </row>
        <row r="1067">
          <cell r="E1067">
            <v>10030034</v>
          </cell>
          <cell r="F1067" t="str">
            <v>0028</v>
          </cell>
          <cell r="G1067">
            <v>14</v>
          </cell>
          <cell r="H1067">
            <v>50.139999999999993</v>
          </cell>
          <cell r="I1067">
            <v>3053.1694643995997</v>
          </cell>
          <cell r="J1067">
            <v>0</v>
          </cell>
        </row>
        <row r="1068">
          <cell r="E1068">
            <v>10030034</v>
          </cell>
          <cell r="F1068" t="str">
            <v>0036</v>
          </cell>
          <cell r="G1068">
            <v>7</v>
          </cell>
          <cell r="H1068">
            <v>18.330000000000002</v>
          </cell>
          <cell r="I1068">
            <v>645.72732229500014</v>
          </cell>
          <cell r="J1068">
            <v>0</v>
          </cell>
        </row>
        <row r="1069">
          <cell r="E1069">
            <v>10030034</v>
          </cell>
          <cell r="F1069" t="str">
            <v>0040</v>
          </cell>
          <cell r="G1069">
            <v>7</v>
          </cell>
          <cell r="H1069">
            <v>26.36</v>
          </cell>
          <cell r="I1069">
            <v>1184.2758607822202</v>
          </cell>
          <cell r="J1069">
            <v>0</v>
          </cell>
        </row>
        <row r="1070">
          <cell r="E1070">
            <v>10030034</v>
          </cell>
          <cell r="F1070" t="str">
            <v>0043</v>
          </cell>
          <cell r="G1070">
            <v>12</v>
          </cell>
          <cell r="H1070">
            <v>20.34</v>
          </cell>
          <cell r="I1070">
            <v>685.6562801286002</v>
          </cell>
          <cell r="J1070">
            <v>0</v>
          </cell>
        </row>
        <row r="1071">
          <cell r="E1071">
            <v>10030034</v>
          </cell>
          <cell r="F1071" t="str">
            <v>0044</v>
          </cell>
          <cell r="G1071">
            <v>3</v>
          </cell>
          <cell r="H1071">
            <v>3.8499999999999996</v>
          </cell>
          <cell r="I1071">
            <v>188.417150714</v>
          </cell>
          <cell r="J1071">
            <v>0</v>
          </cell>
        </row>
        <row r="1072">
          <cell r="E1072">
            <v>10030034</v>
          </cell>
          <cell r="F1072" t="str">
            <v>0046</v>
          </cell>
          <cell r="G1072">
            <v>7</v>
          </cell>
          <cell r="H1072">
            <v>12.03</v>
          </cell>
          <cell r="I1072">
            <v>440.64274836780004</v>
          </cell>
          <cell r="J1072">
            <v>0</v>
          </cell>
        </row>
        <row r="1073">
          <cell r="E1073">
            <v>10030034</v>
          </cell>
          <cell r="F1073" t="str">
            <v>0053</v>
          </cell>
          <cell r="G1073">
            <v>7</v>
          </cell>
          <cell r="H1073">
            <v>15.57</v>
          </cell>
          <cell r="I1073">
            <v>697.12727534999999</v>
          </cell>
          <cell r="J1073">
            <v>0</v>
          </cell>
        </row>
        <row r="1074">
          <cell r="E1074">
            <v>10030034</v>
          </cell>
          <cell r="F1074" t="str">
            <v>0054</v>
          </cell>
          <cell r="G1074">
            <v>12</v>
          </cell>
          <cell r="H1074">
            <v>32.020000000000003</v>
          </cell>
          <cell r="I1074">
            <v>1162.1283060420001</v>
          </cell>
          <cell r="J1074">
            <v>0</v>
          </cell>
        </row>
        <row r="1075">
          <cell r="E1075">
            <v>10030034</v>
          </cell>
          <cell r="F1075" t="str">
            <v>0063</v>
          </cell>
          <cell r="G1075">
            <v>7</v>
          </cell>
          <cell r="H1075">
            <v>15.97</v>
          </cell>
          <cell r="I1075">
            <v>621.00480608099997</v>
          </cell>
          <cell r="J1075">
            <v>0</v>
          </cell>
        </row>
        <row r="1076">
          <cell r="E1076">
            <v>10030034</v>
          </cell>
          <cell r="F1076" t="str">
            <v>0066</v>
          </cell>
          <cell r="G1076">
            <v>9</v>
          </cell>
          <cell r="H1076">
            <v>16.18</v>
          </cell>
          <cell r="I1076">
            <v>766.33098728097013</v>
          </cell>
          <cell r="J1076">
            <v>0</v>
          </cell>
        </row>
        <row r="1077">
          <cell r="E1077">
            <v>10030034</v>
          </cell>
          <cell r="F1077" t="str">
            <v>0067</v>
          </cell>
          <cell r="G1077">
            <v>6</v>
          </cell>
          <cell r="H1077">
            <v>15.16</v>
          </cell>
          <cell r="I1077">
            <v>798.36206764158999</v>
          </cell>
          <cell r="J1077">
            <v>0</v>
          </cell>
        </row>
        <row r="1078">
          <cell r="E1078">
            <v>10030034</v>
          </cell>
          <cell r="F1078" t="str">
            <v>0068</v>
          </cell>
          <cell r="G1078">
            <v>14</v>
          </cell>
          <cell r="H1078">
            <v>29.790000000000003</v>
          </cell>
          <cell r="I1078">
            <v>1122.5620728839999</v>
          </cell>
          <cell r="J1078">
            <v>0</v>
          </cell>
        </row>
        <row r="1079">
          <cell r="E1079">
            <v>10030034</v>
          </cell>
          <cell r="F1079" t="str">
            <v>0069</v>
          </cell>
          <cell r="G1079">
            <v>2</v>
          </cell>
          <cell r="H1079">
            <v>1.7999999999999998</v>
          </cell>
          <cell r="I1079">
            <v>67.698181980000015</v>
          </cell>
          <cell r="J1079">
            <v>0</v>
          </cell>
        </row>
        <row r="1080">
          <cell r="E1080">
            <v>10030034</v>
          </cell>
          <cell r="F1080" t="str">
            <v>0073</v>
          </cell>
          <cell r="G1080">
            <v>5</v>
          </cell>
          <cell r="H1080">
            <v>8.09</v>
          </cell>
          <cell r="I1080">
            <v>310.11799698000004</v>
          </cell>
          <cell r="J1080">
            <v>0</v>
          </cell>
        </row>
        <row r="1081">
          <cell r="E1081">
            <v>10030034</v>
          </cell>
          <cell r="F1081" t="str">
            <v>0076</v>
          </cell>
          <cell r="G1081">
            <v>14</v>
          </cell>
          <cell r="H1081">
            <v>90.749999999999986</v>
          </cell>
          <cell r="I1081">
            <v>4099.8595174791499</v>
          </cell>
          <cell r="J1081">
            <v>0</v>
          </cell>
        </row>
        <row r="1082">
          <cell r="E1082">
            <v>10030034</v>
          </cell>
          <cell r="F1082" t="str">
            <v>0079</v>
          </cell>
          <cell r="G1082">
            <v>6</v>
          </cell>
          <cell r="H1082">
            <v>9.73</v>
          </cell>
          <cell r="I1082">
            <v>361.03590467999999</v>
          </cell>
          <cell r="J1082">
            <v>0</v>
          </cell>
        </row>
        <row r="1083">
          <cell r="E1083">
            <v>10030034</v>
          </cell>
          <cell r="F1083" t="str">
            <v>0080</v>
          </cell>
          <cell r="G1083">
            <v>5</v>
          </cell>
          <cell r="H1083">
            <v>10.83</v>
          </cell>
          <cell r="I1083">
            <v>340.87687963560006</v>
          </cell>
          <cell r="J1083">
            <v>0</v>
          </cell>
        </row>
        <row r="1084">
          <cell r="E1084">
            <v>10030034</v>
          </cell>
          <cell r="F1084" t="str">
            <v>0089</v>
          </cell>
          <cell r="G1084">
            <v>14</v>
          </cell>
          <cell r="H1084">
            <v>188.51000000000002</v>
          </cell>
          <cell r="I1084">
            <v>7030.8979591157986</v>
          </cell>
          <cell r="J1084">
            <v>0</v>
          </cell>
        </row>
        <row r="1085">
          <cell r="E1085">
            <v>10030034</v>
          </cell>
          <cell r="F1085" t="str">
            <v>0090</v>
          </cell>
          <cell r="G1085">
            <v>14</v>
          </cell>
          <cell r="H1085">
            <v>46.44</v>
          </cell>
          <cell r="I1085">
            <v>1906.1702704440004</v>
          </cell>
          <cell r="J1085">
            <v>0</v>
          </cell>
        </row>
        <row r="1086">
          <cell r="E1086">
            <v>10030034</v>
          </cell>
          <cell r="F1086" t="str">
            <v>0095</v>
          </cell>
          <cell r="G1086">
            <v>7</v>
          </cell>
          <cell r="H1086">
            <v>12.75</v>
          </cell>
          <cell r="I1086">
            <v>434.74676760900007</v>
          </cell>
          <cell r="J1086">
            <v>0</v>
          </cell>
        </row>
        <row r="1087">
          <cell r="E1087">
            <v>10030034</v>
          </cell>
          <cell r="F1087" t="str">
            <v>0096</v>
          </cell>
          <cell r="G1087">
            <v>14</v>
          </cell>
          <cell r="H1087">
            <v>19</v>
          </cell>
          <cell r="I1087">
            <v>601.26146182079992</v>
          </cell>
          <cell r="J1087">
            <v>0</v>
          </cell>
        </row>
        <row r="1088">
          <cell r="E1088">
            <v>10030034</v>
          </cell>
          <cell r="F1088" t="str">
            <v>0097</v>
          </cell>
          <cell r="G1088">
            <v>14</v>
          </cell>
          <cell r="H1088">
            <v>30.61</v>
          </cell>
          <cell r="I1088">
            <v>1171.6654431239999</v>
          </cell>
          <cell r="J1088">
            <v>0</v>
          </cell>
        </row>
        <row r="1089">
          <cell r="E1089">
            <v>10030034</v>
          </cell>
          <cell r="F1089" t="str">
            <v>0102</v>
          </cell>
          <cell r="G1089">
            <v>13</v>
          </cell>
          <cell r="H1089">
            <v>36.93</v>
          </cell>
          <cell r="I1089">
            <v>1244.8567913165998</v>
          </cell>
          <cell r="J1089">
            <v>0</v>
          </cell>
        </row>
        <row r="1090">
          <cell r="E1090">
            <v>10030034</v>
          </cell>
          <cell r="F1090" t="str">
            <v>0104</v>
          </cell>
          <cell r="G1090">
            <v>7</v>
          </cell>
          <cell r="H1090">
            <v>10.079999999999998</v>
          </cell>
          <cell r="I1090">
            <v>350.69195353500004</v>
          </cell>
          <cell r="J1090">
            <v>0</v>
          </cell>
        </row>
        <row r="1091">
          <cell r="E1091">
            <v>10030034</v>
          </cell>
          <cell r="F1091" t="str">
            <v>0105</v>
          </cell>
          <cell r="G1091">
            <v>11</v>
          </cell>
          <cell r="H1091">
            <v>12.840000000000002</v>
          </cell>
          <cell r="I1091">
            <v>420.20772072840003</v>
          </cell>
          <cell r="J1091">
            <v>0</v>
          </cell>
        </row>
        <row r="1092">
          <cell r="E1092">
            <v>10030034</v>
          </cell>
          <cell r="F1092" t="str">
            <v>0107</v>
          </cell>
          <cell r="G1092">
            <v>14</v>
          </cell>
          <cell r="H1092">
            <v>42.900000000000006</v>
          </cell>
          <cell r="I1092">
            <v>1727.8278138000001</v>
          </cell>
          <cell r="J1092">
            <v>0</v>
          </cell>
        </row>
        <row r="1093">
          <cell r="E1093">
            <v>10030034</v>
          </cell>
          <cell r="F1093" t="str">
            <v>0110</v>
          </cell>
          <cell r="G1093">
            <v>12</v>
          </cell>
          <cell r="H1093">
            <v>37.709999999999994</v>
          </cell>
          <cell r="I1093">
            <v>1235.2639344606005</v>
          </cell>
          <cell r="J1093">
            <v>0</v>
          </cell>
        </row>
        <row r="1094">
          <cell r="E1094">
            <v>10030035</v>
          </cell>
          <cell r="F1094" t="str">
            <v>0001</v>
          </cell>
          <cell r="G1094">
            <v>14</v>
          </cell>
          <cell r="H1094">
            <v>2.5199999999999996</v>
          </cell>
          <cell r="I1094">
            <v>104.62426013076001</v>
          </cell>
          <cell r="J1094">
            <v>0</v>
          </cell>
        </row>
        <row r="1095">
          <cell r="E1095">
            <v>10030035</v>
          </cell>
          <cell r="F1095" t="str">
            <v>0002</v>
          </cell>
          <cell r="G1095">
            <v>14</v>
          </cell>
          <cell r="H1095">
            <v>178.74999999999997</v>
          </cell>
          <cell r="I1095">
            <v>7500.5779082714998</v>
          </cell>
          <cell r="J1095">
            <v>413</v>
          </cell>
        </row>
        <row r="1096">
          <cell r="E1096">
            <v>10030035</v>
          </cell>
          <cell r="F1096" t="str">
            <v>0004</v>
          </cell>
          <cell r="G1096">
            <v>14</v>
          </cell>
          <cell r="H1096">
            <v>284.58999999999997</v>
          </cell>
          <cell r="I1096">
            <v>11945.691800900002</v>
          </cell>
          <cell r="J1096">
            <v>0</v>
          </cell>
        </row>
        <row r="1097">
          <cell r="E1097">
            <v>10030035</v>
          </cell>
          <cell r="F1097" t="str">
            <v>0013</v>
          </cell>
          <cell r="G1097">
            <v>7</v>
          </cell>
          <cell r="H1097">
            <v>20.679999999999996</v>
          </cell>
          <cell r="I1097">
            <v>742.43447308800012</v>
          </cell>
          <cell r="J1097">
            <v>0</v>
          </cell>
        </row>
        <row r="1098">
          <cell r="E1098">
            <v>10030035</v>
          </cell>
          <cell r="F1098" t="str">
            <v>0014</v>
          </cell>
          <cell r="G1098">
            <v>5</v>
          </cell>
          <cell r="H1098">
            <v>15.54</v>
          </cell>
          <cell r="I1098">
            <v>490.63539618720006</v>
          </cell>
          <cell r="J1098">
            <v>0</v>
          </cell>
        </row>
        <row r="1099">
          <cell r="E1099">
            <v>10030037</v>
          </cell>
          <cell r="F1099" t="str">
            <v>0001</v>
          </cell>
          <cell r="G1099">
            <v>11</v>
          </cell>
          <cell r="H1099">
            <v>19.229999999999997</v>
          </cell>
          <cell r="I1099">
            <v>753.7579578540001</v>
          </cell>
          <cell r="J1099">
            <v>0</v>
          </cell>
        </row>
        <row r="1100">
          <cell r="E1100">
            <v>10030037</v>
          </cell>
          <cell r="F1100" t="str">
            <v>0002</v>
          </cell>
          <cell r="G1100">
            <v>11</v>
          </cell>
          <cell r="H1100">
            <v>353.52</v>
          </cell>
          <cell r="I1100">
            <v>13496.682445131602</v>
          </cell>
          <cell r="J1100">
            <v>1345.2</v>
          </cell>
        </row>
        <row r="1101">
          <cell r="E1101">
            <v>10030037</v>
          </cell>
          <cell r="F1101" t="str">
            <v>0003</v>
          </cell>
          <cell r="G1101">
            <v>8</v>
          </cell>
          <cell r="H1101">
            <v>223.08999999999997</v>
          </cell>
          <cell r="I1101">
            <v>8614.4972902560003</v>
          </cell>
          <cell r="J1101">
            <v>0</v>
          </cell>
        </row>
        <row r="1102">
          <cell r="E1102">
            <v>10030037</v>
          </cell>
          <cell r="F1102" t="str">
            <v>0014</v>
          </cell>
          <cell r="G1102">
            <v>3</v>
          </cell>
          <cell r="H1102">
            <v>18.7</v>
          </cell>
          <cell r="I1102">
            <v>766.58169614400003</v>
          </cell>
          <cell r="J1102">
            <v>0</v>
          </cell>
        </row>
        <row r="1103">
          <cell r="E1103">
            <v>10030037</v>
          </cell>
          <cell r="F1103" t="str">
            <v>0021</v>
          </cell>
          <cell r="G1103">
            <v>11</v>
          </cell>
          <cell r="H1103">
            <v>261.14999999999998</v>
          </cell>
          <cell r="I1103">
            <v>10017.179929548005</v>
          </cell>
          <cell r="J1103">
            <v>0</v>
          </cell>
        </row>
        <row r="1104">
          <cell r="E1104">
            <v>10030037</v>
          </cell>
          <cell r="F1104" t="str">
            <v>0028</v>
          </cell>
          <cell r="G1104">
            <v>6</v>
          </cell>
          <cell r="H1104">
            <v>98.94</v>
          </cell>
          <cell r="I1104">
            <v>3377.2516719876003</v>
          </cell>
          <cell r="J1104">
            <v>0</v>
          </cell>
        </row>
        <row r="1105">
          <cell r="E1105">
            <v>10030037</v>
          </cell>
          <cell r="F1105" t="str">
            <v>0036</v>
          </cell>
          <cell r="G1105">
            <v>7</v>
          </cell>
          <cell r="H1105">
            <v>61.16</v>
          </cell>
          <cell r="I1105">
            <v>2009.2352169582002</v>
          </cell>
          <cell r="J1105">
            <v>0</v>
          </cell>
        </row>
        <row r="1106">
          <cell r="E1106">
            <v>10030037</v>
          </cell>
          <cell r="F1106" t="str">
            <v>0037</v>
          </cell>
          <cell r="G1106">
            <v>3</v>
          </cell>
          <cell r="H1106">
            <v>19.329999999999998</v>
          </cell>
          <cell r="I1106">
            <v>758.74305137400006</v>
          </cell>
          <cell r="J1106">
            <v>0</v>
          </cell>
        </row>
        <row r="1107">
          <cell r="E1107">
            <v>10030037</v>
          </cell>
          <cell r="F1107" t="str">
            <v>0038</v>
          </cell>
          <cell r="G1107">
            <v>5</v>
          </cell>
          <cell r="H1107">
            <v>20.360000000000003</v>
          </cell>
          <cell r="I1107">
            <v>781.76881486439993</v>
          </cell>
          <cell r="J1107">
            <v>0</v>
          </cell>
        </row>
        <row r="1108">
          <cell r="E1108">
            <v>10030037</v>
          </cell>
          <cell r="F1108" t="str">
            <v>0041</v>
          </cell>
          <cell r="G1108">
            <v>7</v>
          </cell>
          <cell r="H1108">
            <v>44.42</v>
          </cell>
          <cell r="I1108">
            <v>1424.3867138358003</v>
          </cell>
          <cell r="J1108">
            <v>0</v>
          </cell>
        </row>
        <row r="1109">
          <cell r="E1109">
            <v>10030037</v>
          </cell>
          <cell r="F1109" t="str">
            <v>0044</v>
          </cell>
          <cell r="G1109">
            <v>1</v>
          </cell>
          <cell r="H1109">
            <v>2.2999999999999998</v>
          </cell>
          <cell r="I1109">
            <v>87.803369676000003</v>
          </cell>
          <cell r="J1109">
            <v>0</v>
          </cell>
        </row>
        <row r="1110">
          <cell r="E1110">
            <v>10030037</v>
          </cell>
          <cell r="F1110" t="str">
            <v>0048</v>
          </cell>
          <cell r="G1110">
            <v>3</v>
          </cell>
          <cell r="H1110">
            <v>14.53</v>
          </cell>
          <cell r="I1110">
            <v>506.73923851320006</v>
          </cell>
          <cell r="J1110">
            <v>0</v>
          </cell>
        </row>
        <row r="1111">
          <cell r="E1111">
            <v>10030037</v>
          </cell>
          <cell r="F1111" t="str">
            <v>0053</v>
          </cell>
          <cell r="G1111">
            <v>6</v>
          </cell>
          <cell r="H1111">
            <v>58.88</v>
          </cell>
          <cell r="I1111">
            <v>1919.1001825512003</v>
          </cell>
          <cell r="J1111">
            <v>0</v>
          </cell>
        </row>
        <row r="1112">
          <cell r="E1112">
            <v>10030037</v>
          </cell>
          <cell r="F1112" t="str">
            <v>0060</v>
          </cell>
          <cell r="G1112">
            <v>1</v>
          </cell>
          <cell r="H1112">
            <v>60</v>
          </cell>
          <cell r="I1112">
            <v>2249.3449439999999</v>
          </cell>
          <cell r="J1112">
            <v>0</v>
          </cell>
        </row>
        <row r="1113">
          <cell r="E1113">
            <v>10030037</v>
          </cell>
          <cell r="F1113" t="str">
            <v>0067</v>
          </cell>
          <cell r="G1113">
            <v>6</v>
          </cell>
          <cell r="H1113">
            <v>21.41</v>
          </cell>
          <cell r="I1113">
            <v>775.13095538999994</v>
          </cell>
          <cell r="J1113">
            <v>0</v>
          </cell>
        </row>
        <row r="1114">
          <cell r="E1114">
            <v>10030037</v>
          </cell>
          <cell r="F1114" t="str">
            <v>0073</v>
          </cell>
          <cell r="G1114">
            <v>1</v>
          </cell>
          <cell r="H1114">
            <v>9.92</v>
          </cell>
          <cell r="I1114">
            <v>381.05764646400002</v>
          </cell>
          <cell r="J1114">
            <v>0</v>
          </cell>
        </row>
        <row r="1115">
          <cell r="E1115">
            <v>10030037</v>
          </cell>
          <cell r="F1115" t="str">
            <v>0074</v>
          </cell>
          <cell r="G1115">
            <v>6</v>
          </cell>
          <cell r="H1115">
            <v>37.82</v>
          </cell>
          <cell r="I1115">
            <v>1335.0715121898002</v>
          </cell>
          <cell r="J1115">
            <v>0</v>
          </cell>
        </row>
        <row r="1116">
          <cell r="E1116">
            <v>10030038</v>
          </cell>
          <cell r="F1116" t="str">
            <v>0003</v>
          </cell>
          <cell r="G1116">
            <v>14</v>
          </cell>
          <cell r="H1116">
            <v>57.41</v>
          </cell>
          <cell r="I1116">
            <v>3349.6480968847436</v>
          </cell>
          <cell r="J1116">
            <v>0</v>
          </cell>
        </row>
        <row r="1117">
          <cell r="E1117">
            <v>10030038</v>
          </cell>
          <cell r="F1117" t="str">
            <v>0006</v>
          </cell>
          <cell r="G1117">
            <v>14</v>
          </cell>
          <cell r="H1117">
            <v>17.77</v>
          </cell>
          <cell r="I1117">
            <v>1221.7672063023899</v>
          </cell>
          <cell r="J1117">
            <v>0</v>
          </cell>
        </row>
        <row r="1118">
          <cell r="E1118">
            <v>10030038</v>
          </cell>
          <cell r="F1118" t="str">
            <v>0011</v>
          </cell>
          <cell r="G1118">
            <v>6</v>
          </cell>
          <cell r="H1118">
            <v>7.08</v>
          </cell>
          <cell r="I1118">
            <v>255.58795124280002</v>
          </cell>
          <cell r="J1118">
            <v>0</v>
          </cell>
        </row>
        <row r="1119">
          <cell r="E1119">
            <v>10030038</v>
          </cell>
          <cell r="F1119" t="str">
            <v>0016</v>
          </cell>
          <cell r="G1119">
            <v>14</v>
          </cell>
          <cell r="H1119">
            <v>29.76</v>
          </cell>
          <cell r="I1119">
            <v>1297.448524548</v>
          </cell>
          <cell r="J1119">
            <v>0</v>
          </cell>
        </row>
        <row r="1120">
          <cell r="E1120">
            <v>10030038</v>
          </cell>
          <cell r="F1120" t="str">
            <v>0026</v>
          </cell>
          <cell r="G1120">
            <v>9</v>
          </cell>
          <cell r="H1120">
            <v>16</v>
          </cell>
          <cell r="I1120">
            <v>562.25207687220006</v>
          </cell>
          <cell r="J1120">
            <v>0</v>
          </cell>
        </row>
        <row r="1121">
          <cell r="E1121">
            <v>10030038</v>
          </cell>
          <cell r="F1121" t="str">
            <v>0053</v>
          </cell>
          <cell r="G1121">
            <v>10</v>
          </cell>
          <cell r="H1121">
            <v>30.52</v>
          </cell>
          <cell r="I1121">
            <v>2503.4372055459994</v>
          </cell>
          <cell r="J1121">
            <v>0</v>
          </cell>
        </row>
        <row r="1122">
          <cell r="E1122">
            <v>10030038</v>
          </cell>
          <cell r="F1122" t="str">
            <v>0080</v>
          </cell>
          <cell r="G1122">
            <v>13</v>
          </cell>
          <cell r="H1122">
            <v>41.35</v>
          </cell>
          <cell r="I1122">
            <v>1419.7592965248002</v>
          </cell>
          <cell r="J1122">
            <v>0</v>
          </cell>
        </row>
        <row r="1123">
          <cell r="E1123">
            <v>10030038</v>
          </cell>
          <cell r="F1123" t="str">
            <v>0084</v>
          </cell>
          <cell r="G1123">
            <v>7</v>
          </cell>
          <cell r="H1123">
            <v>7.7899999999999991</v>
          </cell>
          <cell r="I1123">
            <v>284.18338250279999</v>
          </cell>
          <cell r="J1123">
            <v>0</v>
          </cell>
        </row>
        <row r="1124">
          <cell r="E1124">
            <v>10030038</v>
          </cell>
          <cell r="F1124" t="str">
            <v>0093</v>
          </cell>
          <cell r="G1124">
            <v>4</v>
          </cell>
          <cell r="H1124">
            <v>14.229999999999999</v>
          </cell>
          <cell r="I1124">
            <v>448.49742585120003</v>
          </cell>
          <cell r="J1124">
            <v>0</v>
          </cell>
        </row>
        <row r="1125">
          <cell r="E1125">
            <v>10030049</v>
          </cell>
          <cell r="F1125" t="str">
            <v>0002</v>
          </cell>
          <cell r="G1125">
            <v>2</v>
          </cell>
          <cell r="H1125">
            <v>20</v>
          </cell>
          <cell r="I1125">
            <v>715.4619120000001</v>
          </cell>
          <cell r="J1125">
            <v>0</v>
          </cell>
        </row>
        <row r="1126">
          <cell r="E1126">
            <v>10030049</v>
          </cell>
          <cell r="F1126" t="str">
            <v>0003</v>
          </cell>
          <cell r="G1126">
            <v>12</v>
          </cell>
          <cell r="H1126">
            <v>321.10000000000002</v>
          </cell>
          <cell r="I1126">
            <v>11815.873506360002</v>
          </cell>
          <cell r="J1126">
            <v>0</v>
          </cell>
        </row>
        <row r="1127">
          <cell r="E1127">
            <v>10030049</v>
          </cell>
          <cell r="F1127" t="str">
            <v>0005</v>
          </cell>
          <cell r="G1127">
            <v>7</v>
          </cell>
          <cell r="H1127">
            <v>197</v>
          </cell>
          <cell r="I1127">
            <v>7208.3412324000019</v>
          </cell>
          <cell r="J1127">
            <v>0</v>
          </cell>
        </row>
        <row r="1128">
          <cell r="E1128">
            <v>10030050</v>
          </cell>
          <cell r="F1128" t="str">
            <v>0001</v>
          </cell>
          <cell r="G1128">
            <v>14</v>
          </cell>
          <cell r="H1128">
            <v>5.01</v>
          </cell>
          <cell r="I1128">
            <v>195.63517589488001</v>
          </cell>
          <cell r="J1128">
            <v>0</v>
          </cell>
        </row>
        <row r="1129">
          <cell r="E1129">
            <v>10030050</v>
          </cell>
          <cell r="F1129" t="str">
            <v>0002</v>
          </cell>
          <cell r="G1129">
            <v>14</v>
          </cell>
          <cell r="H1129">
            <v>181.13</v>
          </cell>
          <cell r="I1129">
            <v>7631.3751584852598</v>
          </cell>
          <cell r="J1129">
            <v>0</v>
          </cell>
        </row>
        <row r="1130">
          <cell r="E1130">
            <v>10030050</v>
          </cell>
          <cell r="F1130" t="str">
            <v>0003</v>
          </cell>
          <cell r="G1130">
            <v>14</v>
          </cell>
          <cell r="H1130">
            <v>68.09</v>
          </cell>
          <cell r="I1130">
            <v>2599.6269552519198</v>
          </cell>
          <cell r="J1130">
            <v>0</v>
          </cell>
        </row>
        <row r="1131">
          <cell r="E1131">
            <v>10030050</v>
          </cell>
          <cell r="F1131" t="str">
            <v>0004</v>
          </cell>
          <cell r="G1131">
            <v>14</v>
          </cell>
          <cell r="H1131">
            <v>122.6</v>
          </cell>
          <cell r="I1131">
            <v>4672.3636745478007</v>
          </cell>
          <cell r="J1131">
            <v>0</v>
          </cell>
        </row>
        <row r="1132">
          <cell r="E1132">
            <v>10030050</v>
          </cell>
          <cell r="F1132" t="str">
            <v>0005</v>
          </cell>
          <cell r="G1132">
            <v>14</v>
          </cell>
          <cell r="H1132">
            <v>227.70000000000005</v>
          </cell>
          <cell r="I1132">
            <v>8770.3146485879734</v>
          </cell>
          <cell r="J1132">
            <v>0</v>
          </cell>
        </row>
        <row r="1133">
          <cell r="E1133">
            <v>10030050</v>
          </cell>
          <cell r="F1133" t="str">
            <v>0026</v>
          </cell>
          <cell r="G1133">
            <v>14</v>
          </cell>
          <cell r="H1133">
            <v>204.14</v>
          </cell>
          <cell r="I1133">
            <v>7736.2062279480006</v>
          </cell>
          <cell r="J1133">
            <v>0</v>
          </cell>
        </row>
        <row r="1134">
          <cell r="E1134">
            <v>10030050</v>
          </cell>
          <cell r="F1134" t="str">
            <v>0032</v>
          </cell>
          <cell r="G1134">
            <v>6</v>
          </cell>
          <cell r="H1134">
            <v>11.71</v>
          </cell>
          <cell r="I1134">
            <v>409.40700950160004</v>
          </cell>
          <cell r="J1134">
            <v>0</v>
          </cell>
        </row>
        <row r="1135">
          <cell r="E1135">
            <v>10030050</v>
          </cell>
          <cell r="F1135" t="str">
            <v>0037</v>
          </cell>
          <cell r="G1135">
            <v>14</v>
          </cell>
          <cell r="H1135">
            <v>52.88</v>
          </cell>
          <cell r="I1135">
            <v>1980.0823039866004</v>
          </cell>
          <cell r="J1135">
            <v>0</v>
          </cell>
        </row>
        <row r="1136">
          <cell r="E1136">
            <v>10030050</v>
          </cell>
          <cell r="F1136" t="str">
            <v>0049</v>
          </cell>
          <cell r="G1136">
            <v>14</v>
          </cell>
          <cell r="H1136">
            <v>241.08999999999997</v>
          </cell>
          <cell r="I1136">
            <v>8991.1158608304013</v>
          </cell>
          <cell r="J1136">
            <v>0</v>
          </cell>
        </row>
        <row r="1137">
          <cell r="E1137">
            <v>10030050</v>
          </cell>
          <cell r="F1137" t="str">
            <v>0056</v>
          </cell>
          <cell r="G1137">
            <v>7</v>
          </cell>
          <cell r="H1137">
            <v>260.94</v>
          </cell>
          <cell r="I1137">
            <v>9243.2971764144004</v>
          </cell>
          <cell r="J1137">
            <v>0</v>
          </cell>
        </row>
        <row r="1138">
          <cell r="E1138">
            <v>10030051</v>
          </cell>
          <cell r="F1138" t="str">
            <v>0001</v>
          </cell>
          <cell r="G1138">
            <v>14</v>
          </cell>
          <cell r="H1138">
            <v>63.04999999999999</v>
          </cell>
          <cell r="I1138">
            <v>2296.9161425628004</v>
          </cell>
          <cell r="J1138">
            <v>0</v>
          </cell>
        </row>
        <row r="1139">
          <cell r="E1139">
            <v>10030051</v>
          </cell>
          <cell r="F1139" t="str">
            <v>0002</v>
          </cell>
          <cell r="G1139">
            <v>14</v>
          </cell>
          <cell r="H1139">
            <v>496.86</v>
          </cell>
          <cell r="I1139">
            <v>19024.482888774</v>
          </cell>
          <cell r="J1139">
            <v>653.72</v>
          </cell>
        </row>
        <row r="1140">
          <cell r="E1140">
            <v>10030051</v>
          </cell>
          <cell r="F1140" t="str">
            <v>0003</v>
          </cell>
          <cell r="G1140">
            <v>14</v>
          </cell>
          <cell r="H1140">
            <v>464.36</v>
          </cell>
          <cell r="I1140">
            <v>18273.360637206137</v>
          </cell>
          <cell r="J1140">
            <v>0</v>
          </cell>
        </row>
        <row r="1141">
          <cell r="E1141">
            <v>10030051</v>
          </cell>
          <cell r="F1141" t="str">
            <v>0004</v>
          </cell>
          <cell r="G1141">
            <v>14</v>
          </cell>
          <cell r="H1141">
            <v>428.77000000000004</v>
          </cell>
          <cell r="I1141">
            <v>16452.615213381603</v>
          </cell>
          <cell r="J1141">
            <v>0</v>
          </cell>
        </row>
        <row r="1142">
          <cell r="E1142">
            <v>10030051</v>
          </cell>
          <cell r="F1142" t="str">
            <v>0005</v>
          </cell>
          <cell r="G1142">
            <v>14</v>
          </cell>
          <cell r="H1142">
            <v>123.8</v>
          </cell>
          <cell r="I1142">
            <v>4964.5152044512206</v>
          </cell>
          <cell r="J1142">
            <v>0</v>
          </cell>
        </row>
        <row r="1143">
          <cell r="E1143">
            <v>10030051</v>
          </cell>
          <cell r="F1143" t="str">
            <v>0030</v>
          </cell>
          <cell r="G1143">
            <v>14</v>
          </cell>
          <cell r="H1143">
            <v>429.76</v>
          </cell>
          <cell r="I1143">
            <v>15915.558833044201</v>
          </cell>
          <cell r="J1143">
            <v>0</v>
          </cell>
        </row>
        <row r="1144">
          <cell r="E1144">
            <v>10030051</v>
          </cell>
          <cell r="F1144" t="str">
            <v>0032</v>
          </cell>
          <cell r="G1144">
            <v>12</v>
          </cell>
          <cell r="H1144">
            <v>343.90000000000003</v>
          </cell>
          <cell r="I1144">
            <v>12854.315325337202</v>
          </cell>
          <cell r="J1144">
            <v>0</v>
          </cell>
        </row>
        <row r="1145">
          <cell r="E1145">
            <v>10030053</v>
          </cell>
          <cell r="F1145" t="str">
            <v>0001</v>
          </cell>
          <cell r="G1145">
            <v>8</v>
          </cell>
          <cell r="H1145">
            <v>3.5500000000000003</v>
          </cell>
          <cell r="I1145">
            <v>147.91658310000003</v>
          </cell>
          <cell r="J1145">
            <v>0</v>
          </cell>
        </row>
        <row r="1146">
          <cell r="E1146">
            <v>10030053</v>
          </cell>
          <cell r="F1146" t="str">
            <v>0002</v>
          </cell>
          <cell r="G1146">
            <v>14</v>
          </cell>
          <cell r="H1146">
            <v>204.79999999999998</v>
          </cell>
          <cell r="I1146">
            <v>8584.1971728900007</v>
          </cell>
          <cell r="J1146">
            <v>6820.4</v>
          </cell>
        </row>
        <row r="1147">
          <cell r="E1147">
            <v>10030053</v>
          </cell>
          <cell r="F1147" t="str">
            <v>0004</v>
          </cell>
          <cell r="G1147">
            <v>1</v>
          </cell>
          <cell r="H1147">
            <v>1.75</v>
          </cell>
          <cell r="I1147">
            <v>71.842963499999996</v>
          </cell>
          <cell r="J1147">
            <v>0</v>
          </cell>
        </row>
        <row r="1148">
          <cell r="E1148">
            <v>10030053</v>
          </cell>
          <cell r="F1148" t="str">
            <v>0006</v>
          </cell>
          <cell r="G1148">
            <v>10</v>
          </cell>
          <cell r="H1148">
            <v>89.600000000000009</v>
          </cell>
          <cell r="I1148">
            <v>3496.9232686959999</v>
          </cell>
          <cell r="J1148">
            <v>0</v>
          </cell>
        </row>
        <row r="1149">
          <cell r="E1149">
            <v>10030053</v>
          </cell>
          <cell r="F1149" t="str">
            <v>0008</v>
          </cell>
          <cell r="G1149">
            <v>9</v>
          </cell>
          <cell r="H1149">
            <v>46.199999999999996</v>
          </cell>
          <cell r="I1149">
            <v>1985.6885736600007</v>
          </cell>
          <cell r="J1149">
            <v>0</v>
          </cell>
        </row>
        <row r="1150">
          <cell r="E1150">
            <v>10030053</v>
          </cell>
          <cell r="F1150" t="str">
            <v>0015</v>
          </cell>
          <cell r="G1150">
            <v>10</v>
          </cell>
          <cell r="H1150">
            <v>30.65</v>
          </cell>
          <cell r="I1150">
            <v>1308.3722407800003</v>
          </cell>
          <cell r="J1150">
            <v>0</v>
          </cell>
        </row>
        <row r="1151">
          <cell r="E1151">
            <v>10030053</v>
          </cell>
          <cell r="F1151" t="str">
            <v>0031</v>
          </cell>
          <cell r="G1151">
            <v>5</v>
          </cell>
          <cell r="H1151">
            <v>29.700000000000003</v>
          </cell>
          <cell r="I1151">
            <v>1082.3786440830002</v>
          </cell>
          <cell r="J1151">
            <v>0</v>
          </cell>
        </row>
        <row r="1152">
          <cell r="E1152">
            <v>10030053</v>
          </cell>
          <cell r="F1152" t="str">
            <v>0050</v>
          </cell>
          <cell r="G1152">
            <v>6</v>
          </cell>
          <cell r="H1152">
            <v>14.350000000000001</v>
          </cell>
          <cell r="I1152">
            <v>834.59297565600014</v>
          </cell>
          <cell r="J1152">
            <v>0</v>
          </cell>
        </row>
        <row r="1153">
          <cell r="E1153">
            <v>10030055</v>
          </cell>
          <cell r="F1153" t="str">
            <v>0001</v>
          </cell>
          <cell r="G1153">
            <v>14</v>
          </cell>
          <cell r="H1153">
            <v>3.5399999999999991</v>
          </cell>
          <cell r="I1153">
            <v>149.82525835199999</v>
          </cell>
          <cell r="J1153">
            <v>0</v>
          </cell>
        </row>
        <row r="1154">
          <cell r="E1154">
            <v>10030055</v>
          </cell>
          <cell r="F1154" t="str">
            <v>0002</v>
          </cell>
          <cell r="G1154">
            <v>5</v>
          </cell>
          <cell r="H1154">
            <v>17.23</v>
          </cell>
          <cell r="I1154">
            <v>714.43598490000011</v>
          </cell>
          <cell r="J1154">
            <v>0</v>
          </cell>
        </row>
        <row r="1155">
          <cell r="E1155">
            <v>10030055</v>
          </cell>
          <cell r="F1155" t="str">
            <v>0003</v>
          </cell>
          <cell r="G1155">
            <v>11</v>
          </cell>
          <cell r="H1155">
            <v>55.04</v>
          </cell>
          <cell r="I1155">
            <v>2380.4758296000005</v>
          </cell>
          <cell r="J1155">
            <v>0</v>
          </cell>
        </row>
        <row r="1156">
          <cell r="E1156">
            <v>10030055</v>
          </cell>
          <cell r="F1156" t="str">
            <v>0014</v>
          </cell>
          <cell r="G1156">
            <v>14</v>
          </cell>
          <cell r="H1156">
            <v>165.06</v>
          </cell>
          <cell r="I1156">
            <v>7396.98189639256</v>
          </cell>
          <cell r="J1156">
            <v>0</v>
          </cell>
        </row>
        <row r="1157">
          <cell r="E1157">
            <v>10030055</v>
          </cell>
          <cell r="F1157" t="str">
            <v>0140</v>
          </cell>
          <cell r="G1157">
            <v>14</v>
          </cell>
          <cell r="H1157">
            <v>136.16999999999999</v>
          </cell>
          <cell r="I1157">
            <v>5802.3466914600012</v>
          </cell>
          <cell r="J1157">
            <v>0</v>
          </cell>
        </row>
        <row r="1158">
          <cell r="E1158">
            <v>10030056</v>
          </cell>
          <cell r="F1158" t="str">
            <v>0002</v>
          </cell>
          <cell r="G1158">
            <v>12</v>
          </cell>
          <cell r="H1158">
            <v>380</v>
          </cell>
          <cell r="I1158">
            <v>24596.885694830005</v>
          </cell>
          <cell r="J1158">
            <v>0</v>
          </cell>
        </row>
        <row r="1159">
          <cell r="E1159">
            <v>10030056</v>
          </cell>
          <cell r="F1159" t="str">
            <v>0003</v>
          </cell>
          <cell r="G1159">
            <v>7</v>
          </cell>
          <cell r="H1159">
            <v>280</v>
          </cell>
          <cell r="I1159">
            <v>16894.226001440002</v>
          </cell>
          <cell r="J1159">
            <v>0</v>
          </cell>
        </row>
        <row r="1160">
          <cell r="E1160">
            <v>10030059</v>
          </cell>
          <cell r="F1160" t="str">
            <v>0001</v>
          </cell>
          <cell r="G1160">
            <v>1</v>
          </cell>
          <cell r="H1160">
            <v>1.32</v>
          </cell>
          <cell r="I1160">
            <v>53.005099118400011</v>
          </cell>
          <cell r="J1160">
            <v>0</v>
          </cell>
        </row>
        <row r="1161">
          <cell r="E1161">
            <v>10030059</v>
          </cell>
          <cell r="F1161" t="str">
            <v>0002</v>
          </cell>
          <cell r="G1161">
            <v>14</v>
          </cell>
          <cell r="H1161">
            <v>192.30999999999995</v>
          </cell>
          <cell r="I1161">
            <v>10608.52794460248</v>
          </cell>
          <cell r="J1161">
            <v>0</v>
          </cell>
        </row>
        <row r="1162">
          <cell r="E1162">
            <v>10030059</v>
          </cell>
          <cell r="F1162" t="str">
            <v>0003</v>
          </cell>
          <cell r="G1162">
            <v>14</v>
          </cell>
          <cell r="H1162">
            <v>294.08999999999997</v>
          </cell>
          <cell r="I1162">
            <v>11896.326503776001</v>
          </cell>
          <cell r="J1162">
            <v>0</v>
          </cell>
        </row>
        <row r="1163">
          <cell r="E1163">
            <v>10030059</v>
          </cell>
          <cell r="F1163" t="str">
            <v>0006</v>
          </cell>
          <cell r="G1163">
            <v>3</v>
          </cell>
          <cell r="H1163">
            <v>14.52</v>
          </cell>
          <cell r="I1163">
            <v>560.01560343300002</v>
          </cell>
          <cell r="J1163">
            <v>0</v>
          </cell>
        </row>
        <row r="1164">
          <cell r="E1164">
            <v>10030059</v>
          </cell>
          <cell r="F1164" t="str">
            <v>0008</v>
          </cell>
          <cell r="G1164">
            <v>6</v>
          </cell>
          <cell r="H1164">
            <v>10.8</v>
          </cell>
          <cell r="I1164">
            <v>431.36203520520007</v>
          </cell>
          <cell r="J1164">
            <v>0</v>
          </cell>
        </row>
        <row r="1165">
          <cell r="E1165">
            <v>10030059</v>
          </cell>
          <cell r="F1165" t="str">
            <v>0010</v>
          </cell>
          <cell r="G1165">
            <v>12</v>
          </cell>
          <cell r="H1165">
            <v>37.03</v>
          </cell>
          <cell r="I1165">
            <v>1533.2919121180003</v>
          </cell>
          <cell r="J1165">
            <v>0</v>
          </cell>
        </row>
        <row r="1166">
          <cell r="E1166">
            <v>10030059</v>
          </cell>
          <cell r="F1166" t="str">
            <v>0016</v>
          </cell>
          <cell r="G1166">
            <v>7</v>
          </cell>
          <cell r="H1166">
            <v>12.809999999999999</v>
          </cell>
          <cell r="I1166">
            <v>675.78967284231351</v>
          </cell>
          <cell r="J1166">
            <v>0</v>
          </cell>
        </row>
        <row r="1167">
          <cell r="E1167">
            <v>10030059</v>
          </cell>
          <cell r="F1167" t="str">
            <v>0020</v>
          </cell>
          <cell r="G1167">
            <v>10</v>
          </cell>
          <cell r="H1167">
            <v>19.729999999999997</v>
          </cell>
          <cell r="I1167">
            <v>994.90874942091</v>
          </cell>
          <cell r="J1167">
            <v>0</v>
          </cell>
        </row>
        <row r="1168">
          <cell r="E1168">
            <v>10030059</v>
          </cell>
          <cell r="F1168" t="str">
            <v>0022</v>
          </cell>
          <cell r="G1168">
            <v>13</v>
          </cell>
          <cell r="H1168">
            <v>13.120000000000001</v>
          </cell>
          <cell r="I1168">
            <v>513.03704800399998</v>
          </cell>
          <cell r="J1168">
            <v>0</v>
          </cell>
        </row>
        <row r="1169">
          <cell r="E1169">
            <v>10030059</v>
          </cell>
          <cell r="F1169" t="str">
            <v>0031</v>
          </cell>
          <cell r="G1169">
            <v>13</v>
          </cell>
          <cell r="H1169">
            <v>37.53</v>
          </cell>
          <cell r="I1169">
            <v>1598.0340110332197</v>
          </cell>
          <cell r="J1169">
            <v>0</v>
          </cell>
        </row>
        <row r="1170">
          <cell r="E1170">
            <v>10030059</v>
          </cell>
          <cell r="F1170" t="str">
            <v>0037</v>
          </cell>
          <cell r="G1170">
            <v>13</v>
          </cell>
          <cell r="H1170">
            <v>77.210000000000008</v>
          </cell>
          <cell r="I1170">
            <v>3006.8964489894006</v>
          </cell>
          <cell r="J1170">
            <v>0</v>
          </cell>
        </row>
        <row r="1171">
          <cell r="E1171">
            <v>10030060</v>
          </cell>
          <cell r="F1171" t="str">
            <v>0001</v>
          </cell>
          <cell r="G1171">
            <v>14</v>
          </cell>
          <cell r="H1171">
            <v>7</v>
          </cell>
          <cell r="I1171">
            <v>293.90585400000003</v>
          </cell>
          <cell r="J1171">
            <v>0</v>
          </cell>
        </row>
        <row r="1172">
          <cell r="E1172">
            <v>10030060</v>
          </cell>
          <cell r="F1172" t="str">
            <v>0002</v>
          </cell>
          <cell r="G1172">
            <v>14</v>
          </cell>
          <cell r="H1172">
            <v>765.6</v>
          </cell>
          <cell r="I1172">
            <v>32146.000603200002</v>
          </cell>
          <cell r="J1172">
            <v>0</v>
          </cell>
        </row>
        <row r="1173">
          <cell r="E1173">
            <v>10030061</v>
          </cell>
          <cell r="F1173" t="str">
            <v>0001</v>
          </cell>
          <cell r="G1173">
            <v>11</v>
          </cell>
          <cell r="H1173">
            <v>11.84</v>
          </cell>
          <cell r="I1173">
            <v>443.80935357660007</v>
          </cell>
          <cell r="J1173">
            <v>0</v>
          </cell>
        </row>
        <row r="1174">
          <cell r="E1174">
            <v>10030061</v>
          </cell>
          <cell r="F1174" t="str">
            <v>0002</v>
          </cell>
          <cell r="G1174">
            <v>14</v>
          </cell>
          <cell r="H1174">
            <v>153.90000000000003</v>
          </cell>
          <cell r="I1174">
            <v>5879.2386583458001</v>
          </cell>
          <cell r="J1174">
            <v>0</v>
          </cell>
        </row>
        <row r="1175">
          <cell r="E1175">
            <v>10030061</v>
          </cell>
          <cell r="F1175" t="str">
            <v>0003</v>
          </cell>
          <cell r="G1175">
            <v>14</v>
          </cell>
          <cell r="H1175">
            <v>160.51</v>
          </cell>
          <cell r="I1175">
            <v>6055.0242407028018</v>
          </cell>
          <cell r="J1175">
            <v>0</v>
          </cell>
        </row>
        <row r="1176">
          <cell r="E1176">
            <v>10030061</v>
          </cell>
          <cell r="F1176" t="str">
            <v>0004</v>
          </cell>
          <cell r="G1176">
            <v>13</v>
          </cell>
          <cell r="H1176">
            <v>32.35</v>
          </cell>
          <cell r="I1176">
            <v>1239.268958136</v>
          </cell>
          <cell r="J1176">
            <v>0</v>
          </cell>
        </row>
        <row r="1177">
          <cell r="E1177">
            <v>10030061</v>
          </cell>
          <cell r="F1177" t="str">
            <v>0006</v>
          </cell>
          <cell r="G1177">
            <v>14</v>
          </cell>
          <cell r="H1177">
            <v>144.37999999999997</v>
          </cell>
          <cell r="I1177">
            <v>5353.6034047122002</v>
          </cell>
          <cell r="J1177">
            <v>0</v>
          </cell>
        </row>
        <row r="1178">
          <cell r="E1178">
            <v>10030061</v>
          </cell>
          <cell r="F1178" t="str">
            <v>0009</v>
          </cell>
          <cell r="G1178">
            <v>13</v>
          </cell>
          <cell r="H1178">
            <v>63.010000000000005</v>
          </cell>
          <cell r="I1178">
            <v>2042.9284311612</v>
          </cell>
          <cell r="J1178">
            <v>0</v>
          </cell>
        </row>
        <row r="1179">
          <cell r="E1179">
            <v>10030061</v>
          </cell>
          <cell r="F1179" t="str">
            <v>0012</v>
          </cell>
          <cell r="G1179">
            <v>7</v>
          </cell>
          <cell r="H1179">
            <v>30.36</v>
          </cell>
          <cell r="I1179">
            <v>958.17876368940028</v>
          </cell>
          <cell r="J1179">
            <v>0</v>
          </cell>
        </row>
        <row r="1180">
          <cell r="E1180">
            <v>10030061</v>
          </cell>
          <cell r="F1180" t="str">
            <v>0022</v>
          </cell>
          <cell r="G1180">
            <v>11</v>
          </cell>
          <cell r="H1180">
            <v>12.150000000000002</v>
          </cell>
          <cell r="I1180">
            <v>428.93209580760004</v>
          </cell>
          <cell r="J1180">
            <v>0</v>
          </cell>
        </row>
        <row r="1181">
          <cell r="E1181">
            <v>10030061</v>
          </cell>
          <cell r="F1181" t="str">
            <v>0036</v>
          </cell>
          <cell r="G1181">
            <v>13</v>
          </cell>
          <cell r="H1181">
            <v>42.089999999999996</v>
          </cell>
          <cell r="I1181">
            <v>1481.2756881120001</v>
          </cell>
          <cell r="J1181">
            <v>0</v>
          </cell>
        </row>
        <row r="1182">
          <cell r="E1182">
            <v>10030063</v>
          </cell>
          <cell r="F1182" t="str">
            <v>0001</v>
          </cell>
          <cell r="G1182">
            <v>13</v>
          </cell>
          <cell r="H1182">
            <v>4.0399999999999991</v>
          </cell>
          <cell r="I1182">
            <v>151.14700814400001</v>
          </cell>
          <cell r="J1182">
            <v>0</v>
          </cell>
        </row>
        <row r="1183">
          <cell r="E1183">
            <v>10030063</v>
          </cell>
          <cell r="F1183" t="str">
            <v>0002</v>
          </cell>
          <cell r="G1183">
            <v>14</v>
          </cell>
          <cell r="H1183">
            <v>492.44000000000005</v>
          </cell>
          <cell r="I1183">
            <v>18163.58324197392</v>
          </cell>
          <cell r="J1183">
            <v>413</v>
          </cell>
        </row>
        <row r="1184">
          <cell r="E1184">
            <v>10030063</v>
          </cell>
          <cell r="F1184" t="str">
            <v>0004</v>
          </cell>
          <cell r="G1184">
            <v>13</v>
          </cell>
          <cell r="H1184">
            <v>55.08</v>
          </cell>
          <cell r="I1184">
            <v>2183.0027975316002</v>
          </cell>
          <cell r="J1184">
            <v>0</v>
          </cell>
        </row>
        <row r="1185">
          <cell r="E1185">
            <v>10030063</v>
          </cell>
          <cell r="F1185" t="str">
            <v>0005</v>
          </cell>
          <cell r="G1185">
            <v>11</v>
          </cell>
          <cell r="H1185">
            <v>173.74</v>
          </cell>
          <cell r="I1185">
            <v>7872.4272173055369</v>
          </cell>
          <cell r="J1185">
            <v>0</v>
          </cell>
        </row>
        <row r="1186">
          <cell r="E1186">
            <v>10030063</v>
          </cell>
          <cell r="F1186" t="str">
            <v>0007</v>
          </cell>
          <cell r="G1186">
            <v>13</v>
          </cell>
          <cell r="H1186">
            <v>171.22</v>
          </cell>
          <cell r="I1186">
            <v>6365.6131112639996</v>
          </cell>
          <cell r="J1186">
            <v>0</v>
          </cell>
        </row>
        <row r="1187">
          <cell r="E1187">
            <v>10030063</v>
          </cell>
          <cell r="F1187" t="str">
            <v>0014</v>
          </cell>
          <cell r="G1187">
            <v>14</v>
          </cell>
          <cell r="H1187">
            <v>93.539999999999992</v>
          </cell>
          <cell r="I1187">
            <v>3366.9359348328003</v>
          </cell>
          <cell r="J1187">
            <v>0</v>
          </cell>
        </row>
        <row r="1188">
          <cell r="E1188">
            <v>10030063</v>
          </cell>
          <cell r="F1188" t="str">
            <v>0027</v>
          </cell>
          <cell r="G1188">
            <v>7</v>
          </cell>
          <cell r="H1188">
            <v>25.96</v>
          </cell>
          <cell r="I1188">
            <v>1012.4901974880001</v>
          </cell>
          <cell r="J1188">
            <v>0</v>
          </cell>
        </row>
        <row r="1189">
          <cell r="E1189">
            <v>10030064</v>
          </cell>
          <cell r="F1189" t="str">
            <v>0002</v>
          </cell>
          <cell r="G1189">
            <v>14</v>
          </cell>
          <cell r="H1189">
            <v>604.55000000000007</v>
          </cell>
          <cell r="I1189">
            <v>27194.720844164905</v>
          </cell>
          <cell r="J1189">
            <v>6171.4</v>
          </cell>
        </row>
        <row r="1190">
          <cell r="E1190">
            <v>10030064</v>
          </cell>
          <cell r="F1190" t="str">
            <v>0003</v>
          </cell>
          <cell r="G1190">
            <v>10</v>
          </cell>
          <cell r="H1190">
            <v>406.44000000000005</v>
          </cell>
          <cell r="I1190">
            <v>17875.930413534599</v>
          </cell>
          <cell r="J1190">
            <v>0</v>
          </cell>
        </row>
        <row r="1191">
          <cell r="E1191">
            <v>10030064</v>
          </cell>
          <cell r="F1191" t="str">
            <v>0006</v>
          </cell>
          <cell r="G1191">
            <v>5</v>
          </cell>
          <cell r="H1191">
            <v>63.79</v>
          </cell>
          <cell r="I1191">
            <v>2978.5459981398203</v>
          </cell>
          <cell r="J1191">
            <v>0</v>
          </cell>
        </row>
        <row r="1192">
          <cell r="E1192">
            <v>10030065</v>
          </cell>
          <cell r="F1192" t="str">
            <v>0001</v>
          </cell>
          <cell r="G1192">
            <v>14</v>
          </cell>
          <cell r="H1192">
            <v>3.5799999999999992</v>
          </cell>
          <cell r="I1192">
            <v>124.37809738200001</v>
          </cell>
          <cell r="J1192">
            <v>0</v>
          </cell>
        </row>
        <row r="1193">
          <cell r="E1193">
            <v>10030065</v>
          </cell>
          <cell r="F1193" t="str">
            <v>0002</v>
          </cell>
          <cell r="G1193">
            <v>14</v>
          </cell>
          <cell r="H1193">
            <v>113</v>
          </cell>
          <cell r="I1193">
            <v>3853.8981568098006</v>
          </cell>
          <cell r="J1193">
            <v>413</v>
          </cell>
        </row>
        <row r="1194">
          <cell r="E1194">
            <v>10030065</v>
          </cell>
          <cell r="F1194" t="str">
            <v>0003</v>
          </cell>
          <cell r="G1194">
            <v>14</v>
          </cell>
          <cell r="H1194">
            <v>92.549999999999969</v>
          </cell>
          <cell r="I1194">
            <v>3076.0781692608007</v>
          </cell>
          <cell r="J1194">
            <v>0</v>
          </cell>
        </row>
        <row r="1195">
          <cell r="E1195">
            <v>10030065</v>
          </cell>
          <cell r="F1195" t="str">
            <v>0004</v>
          </cell>
          <cell r="G1195">
            <v>14</v>
          </cell>
          <cell r="H1195">
            <v>100.64999999999999</v>
          </cell>
          <cell r="I1195">
            <v>3367.5941036034005</v>
          </cell>
          <cell r="J1195">
            <v>0</v>
          </cell>
        </row>
        <row r="1196">
          <cell r="E1196">
            <v>10030066</v>
          </cell>
          <cell r="F1196" t="str">
            <v>0001</v>
          </cell>
          <cell r="G1196">
            <v>10</v>
          </cell>
          <cell r="H1196">
            <v>20.18</v>
          </cell>
          <cell r="I1196">
            <v>829.76158667160007</v>
          </cell>
          <cell r="J1196">
            <v>0</v>
          </cell>
        </row>
        <row r="1197">
          <cell r="E1197">
            <v>10030066</v>
          </cell>
          <cell r="F1197" t="str">
            <v>0002</v>
          </cell>
          <cell r="G1197">
            <v>13</v>
          </cell>
          <cell r="H1197">
            <v>200.46999999999997</v>
          </cell>
          <cell r="I1197">
            <v>8772.4237659330374</v>
          </cell>
          <cell r="J1197">
            <v>590</v>
          </cell>
        </row>
        <row r="1198">
          <cell r="E1198">
            <v>10030066</v>
          </cell>
          <cell r="F1198" t="str">
            <v>0003</v>
          </cell>
          <cell r="G1198">
            <v>14</v>
          </cell>
          <cell r="H1198">
            <v>132.03</v>
          </cell>
          <cell r="I1198">
            <v>6277.0220711914299</v>
          </cell>
          <cell r="J1198">
            <v>0</v>
          </cell>
        </row>
        <row r="1199">
          <cell r="E1199">
            <v>10030066</v>
          </cell>
          <cell r="F1199" t="str">
            <v>0004</v>
          </cell>
          <cell r="G1199">
            <v>14</v>
          </cell>
          <cell r="H1199">
            <v>131.1</v>
          </cell>
          <cell r="I1199">
            <v>5916.757044716951</v>
          </cell>
          <cell r="J1199">
            <v>0</v>
          </cell>
        </row>
        <row r="1200">
          <cell r="E1200">
            <v>10030066</v>
          </cell>
          <cell r="F1200" t="str">
            <v>0009</v>
          </cell>
          <cell r="G1200">
            <v>13</v>
          </cell>
          <cell r="H1200">
            <v>23.139999999999997</v>
          </cell>
          <cell r="I1200">
            <v>916.55729308440004</v>
          </cell>
          <cell r="J1200">
            <v>0</v>
          </cell>
        </row>
        <row r="1201">
          <cell r="E1201">
            <v>10030066</v>
          </cell>
          <cell r="F1201" t="str">
            <v>0010</v>
          </cell>
          <cell r="G1201">
            <v>1</v>
          </cell>
          <cell r="H1201">
            <v>23.299999999999997</v>
          </cell>
          <cell r="I1201">
            <v>1176.2397471299398</v>
          </cell>
          <cell r="J1201">
            <v>0</v>
          </cell>
        </row>
        <row r="1202">
          <cell r="E1202">
            <v>10030066</v>
          </cell>
          <cell r="F1202" t="str">
            <v>0011</v>
          </cell>
          <cell r="G1202">
            <v>14</v>
          </cell>
          <cell r="H1202">
            <v>129.65</v>
          </cell>
          <cell r="I1202">
            <v>5583.3272106152044</v>
          </cell>
          <cell r="J1202">
            <v>0</v>
          </cell>
        </row>
        <row r="1203">
          <cell r="E1203">
            <v>10030066</v>
          </cell>
          <cell r="F1203" t="str">
            <v>0014</v>
          </cell>
          <cell r="G1203">
            <v>5</v>
          </cell>
          <cell r="H1203">
            <v>9.4499999999999993</v>
          </cell>
          <cell r="I1203">
            <v>383.27113004400002</v>
          </cell>
          <cell r="J1203">
            <v>0</v>
          </cell>
        </row>
        <row r="1204">
          <cell r="E1204">
            <v>10030066</v>
          </cell>
          <cell r="F1204" t="str">
            <v>0015</v>
          </cell>
          <cell r="G1204">
            <v>14</v>
          </cell>
          <cell r="H1204">
            <v>121.69</v>
          </cell>
          <cell r="I1204">
            <v>5250.3120703070608</v>
          </cell>
          <cell r="J1204">
            <v>0</v>
          </cell>
        </row>
        <row r="1205">
          <cell r="E1205">
            <v>10030066</v>
          </cell>
          <cell r="F1205" t="str">
            <v>0016</v>
          </cell>
          <cell r="G1205">
            <v>14</v>
          </cell>
          <cell r="H1205">
            <v>128.4</v>
          </cell>
          <cell r="I1205">
            <v>5421.7941881198403</v>
          </cell>
          <cell r="J1205">
            <v>0</v>
          </cell>
        </row>
        <row r="1206">
          <cell r="E1206">
            <v>10030066</v>
          </cell>
          <cell r="F1206" t="str">
            <v>0023</v>
          </cell>
          <cell r="G1206">
            <v>10</v>
          </cell>
          <cell r="H1206">
            <v>97.509999999999991</v>
          </cell>
          <cell r="I1206">
            <v>3949.8200038876503</v>
          </cell>
          <cell r="J1206">
            <v>0</v>
          </cell>
        </row>
        <row r="1207">
          <cell r="E1207">
            <v>10030066</v>
          </cell>
          <cell r="F1207" t="str">
            <v>0024</v>
          </cell>
          <cell r="G1207">
            <v>11</v>
          </cell>
          <cell r="H1207">
            <v>103.57999999999998</v>
          </cell>
          <cell r="I1207">
            <v>4222.7552517900003</v>
          </cell>
          <cell r="J1207">
            <v>0</v>
          </cell>
        </row>
        <row r="1208">
          <cell r="E1208">
            <v>10030066</v>
          </cell>
          <cell r="F1208" t="str">
            <v>0025</v>
          </cell>
          <cell r="G1208">
            <v>8</v>
          </cell>
          <cell r="H1208">
            <v>73.179999999999993</v>
          </cell>
          <cell r="I1208">
            <v>2988.1701746919002</v>
          </cell>
          <cell r="J1208">
            <v>0</v>
          </cell>
        </row>
        <row r="1209">
          <cell r="E1209">
            <v>10030066</v>
          </cell>
          <cell r="F1209" t="str">
            <v>0026</v>
          </cell>
          <cell r="G1209">
            <v>8</v>
          </cell>
          <cell r="H1209">
            <v>73.55</v>
          </cell>
          <cell r="I1209">
            <v>3005.2183672580909</v>
          </cell>
          <cell r="J1209">
            <v>0</v>
          </cell>
        </row>
        <row r="1210">
          <cell r="E1210">
            <v>10030066</v>
          </cell>
          <cell r="F1210" t="str">
            <v>0027</v>
          </cell>
          <cell r="G1210">
            <v>4</v>
          </cell>
          <cell r="H1210">
            <v>37.830000000000005</v>
          </cell>
          <cell r="I1210">
            <v>1624.5835678004491</v>
          </cell>
          <cell r="J1210">
            <v>0</v>
          </cell>
        </row>
        <row r="1211">
          <cell r="E1211">
            <v>10030066</v>
          </cell>
          <cell r="F1211" t="str">
            <v>0028</v>
          </cell>
          <cell r="G1211">
            <v>8</v>
          </cell>
          <cell r="H1211">
            <v>61.44</v>
          </cell>
          <cell r="I1211">
            <v>2498.9585757604877</v>
          </cell>
          <cell r="J1211">
            <v>0</v>
          </cell>
        </row>
        <row r="1212">
          <cell r="E1212">
            <v>10030066</v>
          </cell>
          <cell r="F1212" t="str">
            <v>0029</v>
          </cell>
          <cell r="G1212">
            <v>4</v>
          </cell>
          <cell r="H1212">
            <v>31.689999999999998</v>
          </cell>
          <cell r="I1212">
            <v>1329.1493032614881</v>
          </cell>
          <cell r="J1212">
            <v>0</v>
          </cell>
        </row>
        <row r="1213">
          <cell r="E1213">
            <v>10030066</v>
          </cell>
          <cell r="F1213" t="str">
            <v>0031</v>
          </cell>
          <cell r="G1213">
            <v>3</v>
          </cell>
          <cell r="H1213">
            <v>24.16</v>
          </cell>
          <cell r="I1213">
            <v>1031.5606827837441</v>
          </cell>
          <cell r="J1213">
            <v>0</v>
          </cell>
        </row>
        <row r="1214">
          <cell r="E1214">
            <v>10030066</v>
          </cell>
          <cell r="F1214" t="str">
            <v>0032</v>
          </cell>
          <cell r="G1214">
            <v>3</v>
          </cell>
          <cell r="H1214">
            <v>25.39</v>
          </cell>
          <cell r="I1214">
            <v>1064.2441701780901</v>
          </cell>
          <cell r="J1214">
            <v>0</v>
          </cell>
        </row>
        <row r="1215">
          <cell r="E1215">
            <v>10030066</v>
          </cell>
          <cell r="F1215" t="str">
            <v>0033</v>
          </cell>
          <cell r="G1215">
            <v>2</v>
          </cell>
          <cell r="H1215">
            <v>12.96</v>
          </cell>
          <cell r="I1215">
            <v>552.23860032000005</v>
          </cell>
          <cell r="J1215">
            <v>0</v>
          </cell>
        </row>
        <row r="1216">
          <cell r="E1216">
            <v>10030066</v>
          </cell>
          <cell r="F1216" t="str">
            <v>0035</v>
          </cell>
          <cell r="G1216">
            <v>1</v>
          </cell>
          <cell r="H1216">
            <v>8.3699999999999992</v>
          </cell>
          <cell r="I1216">
            <v>332.78582824071748</v>
          </cell>
          <cell r="J1216">
            <v>0</v>
          </cell>
        </row>
        <row r="1217">
          <cell r="E1217">
            <v>10030068</v>
          </cell>
          <cell r="F1217" t="str">
            <v>0001</v>
          </cell>
          <cell r="G1217">
            <v>13</v>
          </cell>
          <cell r="H1217">
            <v>24.29</v>
          </cell>
          <cell r="I1217">
            <v>940.75123420080001</v>
          </cell>
          <cell r="J1217">
            <v>0</v>
          </cell>
        </row>
        <row r="1218">
          <cell r="E1218">
            <v>10030068</v>
          </cell>
          <cell r="F1218" t="str">
            <v>0002</v>
          </cell>
          <cell r="G1218">
            <v>11</v>
          </cell>
          <cell r="H1218">
            <v>372.75</v>
          </cell>
          <cell r="I1218">
            <v>15272.536595976</v>
          </cell>
          <cell r="J1218">
            <v>0</v>
          </cell>
        </row>
        <row r="1219">
          <cell r="E1219">
            <v>10030068</v>
          </cell>
          <cell r="F1219" t="str">
            <v>0003</v>
          </cell>
          <cell r="G1219">
            <v>12</v>
          </cell>
          <cell r="H1219">
            <v>439.26</v>
          </cell>
          <cell r="I1219">
            <v>18016.892967348002</v>
          </cell>
          <cell r="J1219">
            <v>0</v>
          </cell>
        </row>
        <row r="1220">
          <cell r="E1220">
            <v>10030068</v>
          </cell>
          <cell r="F1220" t="str">
            <v>0013</v>
          </cell>
          <cell r="G1220">
            <v>2</v>
          </cell>
          <cell r="H1220">
            <v>40.1</v>
          </cell>
          <cell r="I1220">
            <v>1651.6812589200001</v>
          </cell>
          <cell r="J1220">
            <v>0</v>
          </cell>
        </row>
        <row r="1221">
          <cell r="E1221">
            <v>10030070</v>
          </cell>
          <cell r="F1221" t="str">
            <v>0001</v>
          </cell>
          <cell r="G1221">
            <v>14</v>
          </cell>
          <cell r="H1221">
            <v>14</v>
          </cell>
          <cell r="I1221">
            <v>554.15170799999999</v>
          </cell>
          <cell r="J1221">
            <v>0</v>
          </cell>
        </row>
        <row r="1222">
          <cell r="E1222">
            <v>10030070</v>
          </cell>
          <cell r="F1222" t="str">
            <v>0002</v>
          </cell>
          <cell r="G1222">
            <v>11</v>
          </cell>
          <cell r="H1222">
            <v>214</v>
          </cell>
          <cell r="I1222">
            <v>8423.4241080000011</v>
          </cell>
          <cell r="J1222">
            <v>214.76</v>
          </cell>
        </row>
        <row r="1223">
          <cell r="E1223">
            <v>10030070</v>
          </cell>
          <cell r="F1223" t="str">
            <v>0003</v>
          </cell>
          <cell r="G1223">
            <v>14</v>
          </cell>
          <cell r="H1223">
            <v>276</v>
          </cell>
          <cell r="I1223">
            <v>11122.629407999999</v>
          </cell>
          <cell r="J1223">
            <v>0</v>
          </cell>
        </row>
        <row r="1224">
          <cell r="E1224">
            <v>10030070</v>
          </cell>
          <cell r="F1224" t="str">
            <v>0005</v>
          </cell>
          <cell r="G1224">
            <v>7</v>
          </cell>
          <cell r="H1224">
            <v>119</v>
          </cell>
          <cell r="I1224">
            <v>4787.55277983</v>
          </cell>
          <cell r="J1224">
            <v>0</v>
          </cell>
        </row>
        <row r="1225">
          <cell r="E1225">
            <v>10030070</v>
          </cell>
          <cell r="F1225" t="str">
            <v>0007</v>
          </cell>
          <cell r="G1225">
            <v>11</v>
          </cell>
          <cell r="H1225">
            <v>168</v>
          </cell>
          <cell r="I1225">
            <v>8760.2783596099998</v>
          </cell>
          <cell r="J1225">
            <v>0</v>
          </cell>
        </row>
        <row r="1226">
          <cell r="E1226">
            <v>10030070</v>
          </cell>
          <cell r="F1226" t="str">
            <v>0008</v>
          </cell>
          <cell r="G1226">
            <v>9</v>
          </cell>
          <cell r="H1226">
            <v>122</v>
          </cell>
          <cell r="I1226">
            <v>6404.3937566000004</v>
          </cell>
          <cell r="J1226">
            <v>0</v>
          </cell>
        </row>
        <row r="1227">
          <cell r="E1227">
            <v>10030070</v>
          </cell>
          <cell r="F1227" t="str">
            <v>0010</v>
          </cell>
          <cell r="G1227">
            <v>2</v>
          </cell>
          <cell r="H1227">
            <v>8</v>
          </cell>
          <cell r="I1227">
            <v>315.75297599999999</v>
          </cell>
          <cell r="J1227">
            <v>0</v>
          </cell>
        </row>
        <row r="1228">
          <cell r="E1228">
            <v>10030071</v>
          </cell>
          <cell r="F1228" t="str">
            <v>0002</v>
          </cell>
          <cell r="G1228">
            <v>7</v>
          </cell>
          <cell r="H1228">
            <v>74.06</v>
          </cell>
          <cell r="I1228">
            <v>3354.8608428428402</v>
          </cell>
          <cell r="J1228">
            <v>2456</v>
          </cell>
        </row>
        <row r="1229">
          <cell r="E1229">
            <v>10030071</v>
          </cell>
          <cell r="F1229" t="str">
            <v>0007</v>
          </cell>
          <cell r="G1229">
            <v>12</v>
          </cell>
          <cell r="H1229">
            <v>15.079999999999997</v>
          </cell>
          <cell r="I1229">
            <v>545.77454115867999</v>
          </cell>
          <cell r="J1229">
            <v>0</v>
          </cell>
        </row>
        <row r="1230">
          <cell r="E1230">
            <v>10030072</v>
          </cell>
          <cell r="F1230" t="str">
            <v>0001</v>
          </cell>
          <cell r="G1230">
            <v>14</v>
          </cell>
          <cell r="H1230">
            <v>11.07</v>
          </cell>
          <cell r="I1230">
            <v>445.30775784000002</v>
          </cell>
          <cell r="J1230">
            <v>0</v>
          </cell>
        </row>
        <row r="1231">
          <cell r="E1231">
            <v>10030072</v>
          </cell>
          <cell r="F1231" t="str">
            <v>0002</v>
          </cell>
          <cell r="G1231">
            <v>7</v>
          </cell>
          <cell r="H1231">
            <v>41.72</v>
          </cell>
          <cell r="I1231">
            <v>2120.18417286671</v>
          </cell>
          <cell r="J1231">
            <v>0</v>
          </cell>
        </row>
        <row r="1232">
          <cell r="E1232">
            <v>10030072</v>
          </cell>
          <cell r="F1232" t="str">
            <v>0003</v>
          </cell>
          <cell r="G1232">
            <v>7</v>
          </cell>
          <cell r="H1232">
            <v>27.91</v>
          </cell>
          <cell r="I1232">
            <v>1142.6338317240002</v>
          </cell>
          <cell r="J1232">
            <v>0</v>
          </cell>
        </row>
        <row r="1233">
          <cell r="E1233">
            <v>10030072</v>
          </cell>
          <cell r="F1233" t="str">
            <v>0004</v>
          </cell>
          <cell r="G1233">
            <v>6</v>
          </cell>
          <cell r="H1233">
            <v>19.849999999999998</v>
          </cell>
          <cell r="I1233">
            <v>806.954203044</v>
          </cell>
          <cell r="J1233">
            <v>0</v>
          </cell>
        </row>
        <row r="1234">
          <cell r="E1234">
            <v>10030072</v>
          </cell>
          <cell r="F1234" t="str">
            <v>0006</v>
          </cell>
          <cell r="G1234">
            <v>14</v>
          </cell>
          <cell r="H1234">
            <v>54.11</v>
          </cell>
          <cell r="I1234">
            <v>1880.11948014</v>
          </cell>
          <cell r="J1234">
            <v>0</v>
          </cell>
        </row>
        <row r="1235">
          <cell r="E1235">
            <v>10030072</v>
          </cell>
          <cell r="F1235" t="str">
            <v>0007</v>
          </cell>
          <cell r="G1235">
            <v>6</v>
          </cell>
          <cell r="H1235">
            <v>10.77</v>
          </cell>
          <cell r="I1235">
            <v>361.18777430340003</v>
          </cell>
          <cell r="J1235">
            <v>0</v>
          </cell>
        </row>
        <row r="1236">
          <cell r="E1236">
            <v>10030072</v>
          </cell>
          <cell r="F1236" t="str">
            <v>0009</v>
          </cell>
          <cell r="G1236">
            <v>7</v>
          </cell>
          <cell r="H1236">
            <v>13.530000000000001</v>
          </cell>
          <cell r="I1236">
            <v>620.23487644800014</v>
          </cell>
          <cell r="J1236">
            <v>0</v>
          </cell>
        </row>
        <row r="1237">
          <cell r="E1237">
            <v>10030072</v>
          </cell>
          <cell r="F1237" t="str">
            <v>0012</v>
          </cell>
          <cell r="G1237">
            <v>13</v>
          </cell>
          <cell r="H1237">
            <v>60.690000000000012</v>
          </cell>
          <cell r="I1237">
            <v>2650.1823724620003</v>
          </cell>
          <cell r="J1237">
            <v>0</v>
          </cell>
        </row>
        <row r="1238">
          <cell r="E1238">
            <v>10030072</v>
          </cell>
          <cell r="F1238" t="str">
            <v>0013</v>
          </cell>
          <cell r="G1238">
            <v>7</v>
          </cell>
          <cell r="H1238">
            <v>38.880000000000003</v>
          </cell>
          <cell r="I1238">
            <v>1613.6030409840002</v>
          </cell>
          <cell r="J1238">
            <v>0</v>
          </cell>
        </row>
        <row r="1239">
          <cell r="E1239">
            <v>10030072</v>
          </cell>
          <cell r="F1239" t="str">
            <v>0017</v>
          </cell>
          <cell r="G1239">
            <v>2</v>
          </cell>
          <cell r="H1239">
            <v>4.3599999999999994</v>
          </cell>
          <cell r="I1239">
            <v>168.309964944</v>
          </cell>
          <cell r="J1239">
            <v>0</v>
          </cell>
        </row>
        <row r="1240">
          <cell r="E1240">
            <v>10030072</v>
          </cell>
          <cell r="F1240" t="str">
            <v>0018</v>
          </cell>
          <cell r="G1240">
            <v>10</v>
          </cell>
          <cell r="H1240">
            <v>36.19</v>
          </cell>
          <cell r="I1240">
            <v>1744.9720438536601</v>
          </cell>
          <cell r="J1240">
            <v>0</v>
          </cell>
        </row>
        <row r="1241">
          <cell r="E1241">
            <v>10030072</v>
          </cell>
          <cell r="F1241" t="str">
            <v>0019</v>
          </cell>
          <cell r="G1241">
            <v>6</v>
          </cell>
          <cell r="H1241">
            <v>55.5</v>
          </cell>
          <cell r="I1241">
            <v>2152.5781000679999</v>
          </cell>
          <cell r="J1241">
            <v>0</v>
          </cell>
        </row>
        <row r="1242">
          <cell r="E1242">
            <v>10030072</v>
          </cell>
          <cell r="F1242" t="str">
            <v>0020</v>
          </cell>
          <cell r="G1242">
            <v>12</v>
          </cell>
          <cell r="H1242">
            <v>55.92</v>
          </cell>
          <cell r="I1242">
            <v>2615.63210503149</v>
          </cell>
          <cell r="J1242">
            <v>0</v>
          </cell>
        </row>
        <row r="1243">
          <cell r="E1243">
            <v>10030072</v>
          </cell>
          <cell r="F1243" t="str">
            <v>0021</v>
          </cell>
          <cell r="G1243">
            <v>7</v>
          </cell>
          <cell r="H1243">
            <v>17.66</v>
          </cell>
          <cell r="I1243">
            <v>691.97350305599991</v>
          </cell>
          <cell r="J1243">
            <v>0</v>
          </cell>
        </row>
        <row r="1244">
          <cell r="E1244">
            <v>10030072</v>
          </cell>
          <cell r="F1244" t="str">
            <v>0022</v>
          </cell>
          <cell r="G1244">
            <v>11</v>
          </cell>
          <cell r="H1244">
            <v>22.849999999999998</v>
          </cell>
          <cell r="I1244">
            <v>862.06755891960017</v>
          </cell>
          <cell r="J1244">
            <v>0</v>
          </cell>
        </row>
        <row r="1245">
          <cell r="E1245">
            <v>10030072</v>
          </cell>
          <cell r="F1245" t="str">
            <v>0023</v>
          </cell>
          <cell r="G1245">
            <v>12</v>
          </cell>
          <cell r="H1245">
            <v>25.85</v>
          </cell>
          <cell r="I1245">
            <v>1055.4148495440004</v>
          </cell>
          <cell r="J1245">
            <v>0</v>
          </cell>
        </row>
        <row r="1246">
          <cell r="E1246">
            <v>10030072</v>
          </cell>
          <cell r="F1246" t="str">
            <v>0024</v>
          </cell>
          <cell r="G1246">
            <v>4</v>
          </cell>
          <cell r="H1246">
            <v>4.12</v>
          </cell>
          <cell r="I1246">
            <v>167.29867756800002</v>
          </cell>
          <cell r="J1246">
            <v>0</v>
          </cell>
        </row>
        <row r="1247">
          <cell r="E1247">
            <v>10030072</v>
          </cell>
          <cell r="F1247" t="str">
            <v>0025</v>
          </cell>
          <cell r="G1247">
            <v>14</v>
          </cell>
          <cell r="H1247">
            <v>78.06</v>
          </cell>
          <cell r="I1247">
            <v>2804.6913949692002</v>
          </cell>
          <cell r="J1247">
            <v>0</v>
          </cell>
        </row>
        <row r="1248">
          <cell r="E1248">
            <v>10030072</v>
          </cell>
          <cell r="F1248" t="str">
            <v>0026</v>
          </cell>
          <cell r="G1248">
            <v>2</v>
          </cell>
          <cell r="H1248">
            <v>4.34</v>
          </cell>
          <cell r="I1248">
            <v>166.15049220000003</v>
          </cell>
          <cell r="J1248">
            <v>0</v>
          </cell>
        </row>
        <row r="1249">
          <cell r="E1249">
            <v>10030072</v>
          </cell>
          <cell r="F1249" t="str">
            <v>0027</v>
          </cell>
          <cell r="G1249">
            <v>14</v>
          </cell>
          <cell r="H1249">
            <v>59.97</v>
          </cell>
          <cell r="I1249">
            <v>2138.9947670520005</v>
          </cell>
          <cell r="J1249">
            <v>0</v>
          </cell>
        </row>
        <row r="1250">
          <cell r="E1250">
            <v>10030072</v>
          </cell>
          <cell r="F1250" t="str">
            <v>0028</v>
          </cell>
          <cell r="G1250">
            <v>14</v>
          </cell>
          <cell r="H1250">
            <v>73.28</v>
          </cell>
          <cell r="I1250">
            <v>2920.7282628000007</v>
          </cell>
          <cell r="J1250">
            <v>0</v>
          </cell>
        </row>
        <row r="1251">
          <cell r="E1251">
            <v>10030072</v>
          </cell>
          <cell r="F1251" t="str">
            <v>0030</v>
          </cell>
          <cell r="G1251">
            <v>11</v>
          </cell>
          <cell r="H1251">
            <v>48.660000000000004</v>
          </cell>
          <cell r="I1251">
            <v>2268.3137678170801</v>
          </cell>
          <cell r="J1251">
            <v>0</v>
          </cell>
        </row>
        <row r="1252">
          <cell r="E1252">
            <v>10030072</v>
          </cell>
          <cell r="F1252" t="str">
            <v>0031</v>
          </cell>
          <cell r="G1252">
            <v>7</v>
          </cell>
          <cell r="H1252">
            <v>14.56</v>
          </cell>
          <cell r="I1252">
            <v>590.77290016800009</v>
          </cell>
          <cell r="J1252">
            <v>0</v>
          </cell>
        </row>
        <row r="1253">
          <cell r="E1253">
            <v>10030072</v>
          </cell>
          <cell r="F1253" t="str">
            <v>0032</v>
          </cell>
          <cell r="G1253">
            <v>7</v>
          </cell>
          <cell r="H1253">
            <v>19.29</v>
          </cell>
          <cell r="I1253">
            <v>694.95001725600014</v>
          </cell>
          <cell r="J1253">
            <v>0</v>
          </cell>
        </row>
        <row r="1254">
          <cell r="E1254">
            <v>10030072</v>
          </cell>
          <cell r="F1254" t="str">
            <v>0033</v>
          </cell>
          <cell r="G1254">
            <v>7</v>
          </cell>
          <cell r="H1254">
            <v>14.23</v>
          </cell>
          <cell r="I1254">
            <v>510.02896123080006</v>
          </cell>
          <cell r="J1254">
            <v>0</v>
          </cell>
        </row>
        <row r="1255">
          <cell r="E1255">
            <v>10030072</v>
          </cell>
          <cell r="F1255" t="str">
            <v>0034</v>
          </cell>
          <cell r="G1255">
            <v>6</v>
          </cell>
          <cell r="H1255">
            <v>41.779999999999994</v>
          </cell>
          <cell r="I1255">
            <v>1497.3174140760004</v>
          </cell>
          <cell r="J1255">
            <v>0</v>
          </cell>
        </row>
        <row r="1256">
          <cell r="E1256">
            <v>10030072</v>
          </cell>
          <cell r="F1256" t="str">
            <v>0035</v>
          </cell>
          <cell r="G1256">
            <v>6</v>
          </cell>
          <cell r="H1256">
            <v>12.74</v>
          </cell>
          <cell r="I1256">
            <v>503.00142948000013</v>
          </cell>
          <cell r="J1256">
            <v>0</v>
          </cell>
        </row>
        <row r="1257">
          <cell r="E1257">
            <v>10030074</v>
          </cell>
          <cell r="F1257" t="str">
            <v>0002</v>
          </cell>
          <cell r="G1257">
            <v>14</v>
          </cell>
          <cell r="H1257">
            <v>133.72</v>
          </cell>
          <cell r="I1257">
            <v>5249.352145752001</v>
          </cell>
          <cell r="J1257">
            <v>0</v>
          </cell>
        </row>
        <row r="1258">
          <cell r="E1258">
            <v>10030074</v>
          </cell>
          <cell r="F1258" t="str">
            <v>0004</v>
          </cell>
          <cell r="G1258">
            <v>14</v>
          </cell>
          <cell r="H1258">
            <v>788.77</v>
          </cell>
          <cell r="I1258">
            <v>31132.466661780003</v>
          </cell>
          <cell r="J1258">
            <v>0</v>
          </cell>
        </row>
        <row r="1259">
          <cell r="E1259">
            <v>10030074</v>
          </cell>
          <cell r="F1259" t="str">
            <v>0005</v>
          </cell>
          <cell r="G1259">
            <v>14</v>
          </cell>
          <cell r="H1259">
            <v>374.81</v>
          </cell>
          <cell r="I1259">
            <v>15032.639734200002</v>
          </cell>
          <cell r="J1259">
            <v>0</v>
          </cell>
        </row>
        <row r="1260">
          <cell r="E1260">
            <v>10030075</v>
          </cell>
          <cell r="F1260" t="str">
            <v>0002</v>
          </cell>
          <cell r="G1260">
            <v>14</v>
          </cell>
          <cell r="H1260">
            <v>230.55999999999997</v>
          </cell>
          <cell r="I1260">
            <v>9552.4339398591601</v>
          </cell>
          <cell r="J1260">
            <v>0</v>
          </cell>
        </row>
        <row r="1261">
          <cell r="E1261">
            <v>10030075</v>
          </cell>
          <cell r="F1261" t="str">
            <v>0003</v>
          </cell>
          <cell r="G1261">
            <v>4</v>
          </cell>
          <cell r="H1261">
            <v>6.67</v>
          </cell>
          <cell r="I1261">
            <v>359.81113506266797</v>
          </cell>
          <cell r="J1261">
            <v>0</v>
          </cell>
        </row>
        <row r="1262">
          <cell r="E1262">
            <v>10030078</v>
          </cell>
          <cell r="F1262" t="str">
            <v>0002</v>
          </cell>
          <cell r="G1262">
            <v>7</v>
          </cell>
          <cell r="H1262">
            <v>69.389999999999986</v>
          </cell>
          <cell r="I1262">
            <v>2861.2516829669607</v>
          </cell>
          <cell r="J1262">
            <v>0</v>
          </cell>
        </row>
        <row r="1263">
          <cell r="E1263">
            <v>10030078</v>
          </cell>
          <cell r="F1263" t="str">
            <v>0006</v>
          </cell>
          <cell r="G1263">
            <v>12</v>
          </cell>
          <cell r="H1263">
            <v>246.60000000000002</v>
          </cell>
          <cell r="I1263">
            <v>10658.765049741061</v>
          </cell>
          <cell r="J1263">
            <v>0</v>
          </cell>
        </row>
        <row r="1264">
          <cell r="E1264">
            <v>10030078</v>
          </cell>
          <cell r="F1264" t="str">
            <v>0009</v>
          </cell>
          <cell r="G1264">
            <v>14</v>
          </cell>
          <cell r="H1264">
            <v>64.220000000000013</v>
          </cell>
          <cell r="I1264">
            <v>2507.1996151287008</v>
          </cell>
          <cell r="J1264">
            <v>0</v>
          </cell>
        </row>
        <row r="1265">
          <cell r="E1265">
            <v>10030080</v>
          </cell>
          <cell r="F1265" t="str">
            <v>0002</v>
          </cell>
          <cell r="G1265">
            <v>12</v>
          </cell>
          <cell r="H1265">
            <v>197.15</v>
          </cell>
          <cell r="I1265">
            <v>7992.0987721164001</v>
          </cell>
          <cell r="J1265">
            <v>0</v>
          </cell>
        </row>
        <row r="1266">
          <cell r="E1266">
            <v>10030080</v>
          </cell>
          <cell r="F1266" t="str">
            <v>0003</v>
          </cell>
          <cell r="G1266">
            <v>13</v>
          </cell>
          <cell r="H1266">
            <v>114.77000000000001</v>
          </cell>
          <cell r="I1266">
            <v>4367.0456173080001</v>
          </cell>
          <cell r="J1266">
            <v>0</v>
          </cell>
        </row>
        <row r="1267">
          <cell r="E1267">
            <v>10030080</v>
          </cell>
          <cell r="F1267" t="str">
            <v>0004</v>
          </cell>
          <cell r="G1267">
            <v>13</v>
          </cell>
          <cell r="H1267">
            <v>64.27</v>
          </cell>
          <cell r="I1267">
            <v>2911.8746165163207</v>
          </cell>
          <cell r="J1267">
            <v>0</v>
          </cell>
        </row>
        <row r="1268">
          <cell r="E1268">
            <v>10030080</v>
          </cell>
          <cell r="F1268" t="str">
            <v>0008</v>
          </cell>
          <cell r="G1268">
            <v>13</v>
          </cell>
          <cell r="H1268">
            <v>26.22</v>
          </cell>
          <cell r="I1268">
            <v>814.90052575799984</v>
          </cell>
          <cell r="J1268">
            <v>0</v>
          </cell>
        </row>
        <row r="1269">
          <cell r="E1269">
            <v>10030080</v>
          </cell>
          <cell r="F1269" t="str">
            <v>0009</v>
          </cell>
          <cell r="G1269">
            <v>6</v>
          </cell>
          <cell r="H1269">
            <v>16.350000000000001</v>
          </cell>
          <cell r="I1269">
            <v>521.08140989520007</v>
          </cell>
          <cell r="J1269">
            <v>0</v>
          </cell>
        </row>
        <row r="1270">
          <cell r="E1270">
            <v>10030080</v>
          </cell>
          <cell r="F1270" t="str">
            <v>0010</v>
          </cell>
          <cell r="G1270">
            <v>11</v>
          </cell>
          <cell r="H1270">
            <v>25.22</v>
          </cell>
          <cell r="I1270">
            <v>955.53405684000018</v>
          </cell>
          <cell r="J1270">
            <v>0</v>
          </cell>
        </row>
        <row r="1271">
          <cell r="E1271">
            <v>10030080</v>
          </cell>
          <cell r="F1271" t="str">
            <v>0011</v>
          </cell>
          <cell r="G1271">
            <v>6</v>
          </cell>
          <cell r="H1271">
            <v>16.420000000000002</v>
          </cell>
          <cell r="I1271">
            <v>1068.8187512304901</v>
          </cell>
          <cell r="J1271">
            <v>0</v>
          </cell>
        </row>
        <row r="1272">
          <cell r="E1272">
            <v>10030080</v>
          </cell>
          <cell r="F1272" t="str">
            <v>0012</v>
          </cell>
          <cell r="G1272">
            <v>4</v>
          </cell>
          <cell r="H1272">
            <v>9.7900000000000009</v>
          </cell>
          <cell r="I1272">
            <v>307.50326925120009</v>
          </cell>
          <cell r="J1272">
            <v>0</v>
          </cell>
        </row>
        <row r="1273">
          <cell r="E1273">
            <v>10030080</v>
          </cell>
          <cell r="F1273" t="str">
            <v>0013</v>
          </cell>
          <cell r="G1273">
            <v>14</v>
          </cell>
          <cell r="H1273">
            <v>40.999999999999993</v>
          </cell>
          <cell r="I1273">
            <v>1523.7633079548</v>
          </cell>
          <cell r="J1273">
            <v>0</v>
          </cell>
        </row>
        <row r="1274">
          <cell r="E1274">
            <v>10030080</v>
          </cell>
          <cell r="F1274" t="str">
            <v>0014</v>
          </cell>
          <cell r="G1274">
            <v>8</v>
          </cell>
          <cell r="H1274">
            <v>16.87</v>
          </cell>
          <cell r="I1274">
            <v>601.63664814000003</v>
          </cell>
          <cell r="J1274">
            <v>0</v>
          </cell>
        </row>
        <row r="1275">
          <cell r="E1275">
            <v>10030080</v>
          </cell>
          <cell r="F1275" t="str">
            <v>0015</v>
          </cell>
          <cell r="G1275">
            <v>12</v>
          </cell>
          <cell r="H1275">
            <v>25.67</v>
          </cell>
          <cell r="I1275">
            <v>981.33000174000006</v>
          </cell>
          <cell r="J1275">
            <v>0</v>
          </cell>
        </row>
        <row r="1276">
          <cell r="E1276">
            <v>10030080</v>
          </cell>
          <cell r="F1276" t="str">
            <v>0017</v>
          </cell>
          <cell r="G1276">
            <v>14</v>
          </cell>
          <cell r="H1276">
            <v>62.949999999999989</v>
          </cell>
          <cell r="I1276">
            <v>2237.8659427476</v>
          </cell>
          <cell r="J1276">
            <v>0</v>
          </cell>
        </row>
        <row r="1277">
          <cell r="E1277">
            <v>10030080</v>
          </cell>
          <cell r="F1277" t="str">
            <v>0018</v>
          </cell>
          <cell r="G1277">
            <v>7</v>
          </cell>
          <cell r="H1277">
            <v>15.929999999999998</v>
          </cell>
          <cell r="I1277">
            <v>735.54091480148008</v>
          </cell>
          <cell r="J1277">
            <v>0</v>
          </cell>
        </row>
        <row r="1278">
          <cell r="E1278">
            <v>10030080</v>
          </cell>
          <cell r="F1278" t="str">
            <v>0019</v>
          </cell>
          <cell r="G1278">
            <v>14</v>
          </cell>
          <cell r="H1278">
            <v>75.260000000000005</v>
          </cell>
          <cell r="I1278">
            <v>2891.8163617200003</v>
          </cell>
          <cell r="J1278">
            <v>0</v>
          </cell>
        </row>
        <row r="1279">
          <cell r="E1279">
            <v>10030080</v>
          </cell>
          <cell r="F1279" t="str">
            <v>0026</v>
          </cell>
          <cell r="G1279">
            <v>6</v>
          </cell>
          <cell r="H1279">
            <v>12.88</v>
          </cell>
          <cell r="I1279">
            <v>453.18581118360004</v>
          </cell>
          <cell r="J1279">
            <v>0</v>
          </cell>
        </row>
        <row r="1280">
          <cell r="E1280">
            <v>10030080</v>
          </cell>
          <cell r="F1280" t="str">
            <v>0028</v>
          </cell>
          <cell r="G1280">
            <v>13</v>
          </cell>
          <cell r="H1280">
            <v>13.340000000000002</v>
          </cell>
          <cell r="I1280">
            <v>561.55445906304601</v>
          </cell>
          <cell r="J1280">
            <v>0</v>
          </cell>
        </row>
        <row r="1281">
          <cell r="E1281">
            <v>10030080</v>
          </cell>
          <cell r="F1281" t="str">
            <v>0031</v>
          </cell>
          <cell r="G1281">
            <v>13</v>
          </cell>
          <cell r="H1281">
            <v>30.640000000000004</v>
          </cell>
          <cell r="I1281">
            <v>961.65338025240021</v>
          </cell>
          <cell r="J1281">
            <v>0</v>
          </cell>
        </row>
        <row r="1282">
          <cell r="E1282">
            <v>10030080</v>
          </cell>
          <cell r="F1282" t="str">
            <v>0035</v>
          </cell>
          <cell r="G1282">
            <v>8</v>
          </cell>
          <cell r="H1282">
            <v>11.819999999999999</v>
          </cell>
          <cell r="I1282">
            <v>484.02014047200009</v>
          </cell>
          <cell r="J1282">
            <v>0</v>
          </cell>
        </row>
        <row r="1283">
          <cell r="E1283">
            <v>10030082</v>
          </cell>
          <cell r="F1283" t="str">
            <v>0002</v>
          </cell>
          <cell r="G1283">
            <v>14</v>
          </cell>
          <cell r="H1283">
            <v>2176.9</v>
          </cell>
          <cell r="I1283">
            <v>81377.486051399988</v>
          </cell>
          <cell r="J1283">
            <v>0</v>
          </cell>
        </row>
        <row r="1284">
          <cell r="E1284">
            <v>10060011</v>
          </cell>
          <cell r="F1284" t="str">
            <v>0001</v>
          </cell>
          <cell r="G1284">
            <v>14</v>
          </cell>
          <cell r="H1284">
            <v>10.84</v>
          </cell>
          <cell r="I1284">
            <v>493.20362625775402</v>
          </cell>
          <cell r="J1284">
            <v>0</v>
          </cell>
        </row>
        <row r="1285">
          <cell r="E1285">
            <v>10060011</v>
          </cell>
          <cell r="F1285" t="str">
            <v>0002</v>
          </cell>
          <cell r="G1285">
            <v>3</v>
          </cell>
          <cell r="H1285">
            <v>18.62</v>
          </cell>
          <cell r="I1285">
            <v>922.27883813640005</v>
          </cell>
          <cell r="J1285">
            <v>0</v>
          </cell>
        </row>
        <row r="1286">
          <cell r="E1286">
            <v>10060011</v>
          </cell>
          <cell r="F1286" t="str">
            <v>0006</v>
          </cell>
          <cell r="G1286">
            <v>12</v>
          </cell>
          <cell r="H1286">
            <v>6.7400000000000011</v>
          </cell>
          <cell r="I1286">
            <v>560.3987392654999</v>
          </cell>
          <cell r="J1286">
            <v>0</v>
          </cell>
        </row>
        <row r="1287">
          <cell r="E1287">
            <v>10060011</v>
          </cell>
          <cell r="F1287" t="str">
            <v>0008</v>
          </cell>
          <cell r="G1287">
            <v>7</v>
          </cell>
          <cell r="H1287">
            <v>28.76</v>
          </cell>
          <cell r="I1287">
            <v>1012.009535064</v>
          </cell>
          <cell r="J1287">
            <v>0</v>
          </cell>
        </row>
        <row r="1288">
          <cell r="E1288">
            <v>10060011</v>
          </cell>
          <cell r="F1288" t="str">
            <v>0009</v>
          </cell>
          <cell r="G1288">
            <v>1</v>
          </cell>
          <cell r="H1288">
            <v>1.86</v>
          </cell>
          <cell r="I1288">
            <v>84.461040576000016</v>
          </cell>
          <cell r="J1288">
            <v>0</v>
          </cell>
        </row>
        <row r="1289">
          <cell r="E1289">
            <v>10060011</v>
          </cell>
          <cell r="F1289" t="str">
            <v>0012</v>
          </cell>
          <cell r="G1289">
            <v>14</v>
          </cell>
          <cell r="H1289">
            <v>52.11</v>
          </cell>
          <cell r="I1289">
            <v>2669.3104206014905</v>
          </cell>
          <cell r="J1289">
            <v>0</v>
          </cell>
        </row>
        <row r="1290">
          <cell r="E1290">
            <v>10060011</v>
          </cell>
          <cell r="F1290" t="str">
            <v>0020</v>
          </cell>
          <cell r="G1290">
            <v>14</v>
          </cell>
          <cell r="H1290">
            <v>83.609999999999985</v>
          </cell>
          <cell r="I1290">
            <v>3844.9440031438508</v>
          </cell>
          <cell r="J1290">
            <v>0</v>
          </cell>
        </row>
        <row r="1291">
          <cell r="E1291">
            <v>10060011</v>
          </cell>
          <cell r="F1291" t="str">
            <v>0023</v>
          </cell>
          <cell r="G1291">
            <v>7</v>
          </cell>
          <cell r="H1291">
            <v>16.7</v>
          </cell>
          <cell r="I1291">
            <v>1007.11462950318</v>
          </cell>
          <cell r="J1291">
            <v>0</v>
          </cell>
        </row>
        <row r="1292">
          <cell r="E1292">
            <v>10060011</v>
          </cell>
          <cell r="F1292" t="str">
            <v>0027</v>
          </cell>
          <cell r="G1292">
            <v>4</v>
          </cell>
          <cell r="H1292">
            <v>5.8</v>
          </cell>
          <cell r="I1292">
            <v>327.53784980570003</v>
          </cell>
          <cell r="J1292">
            <v>0</v>
          </cell>
        </row>
        <row r="1293">
          <cell r="E1293">
            <v>10060011</v>
          </cell>
          <cell r="F1293" t="str">
            <v>0032</v>
          </cell>
          <cell r="G1293">
            <v>14</v>
          </cell>
          <cell r="H1293">
            <v>57.19</v>
          </cell>
          <cell r="I1293">
            <v>2945.3361390204004</v>
          </cell>
          <cell r="J1293">
            <v>0</v>
          </cell>
        </row>
        <row r="1294">
          <cell r="E1294">
            <v>10060011</v>
          </cell>
          <cell r="F1294" t="str">
            <v>0038</v>
          </cell>
          <cell r="G1294">
            <v>7</v>
          </cell>
          <cell r="H1294">
            <v>18.07</v>
          </cell>
          <cell r="I1294">
            <v>1023.9414785996901</v>
          </cell>
          <cell r="J1294">
            <v>0</v>
          </cell>
        </row>
        <row r="1295">
          <cell r="E1295">
            <v>10060011</v>
          </cell>
          <cell r="F1295" t="str">
            <v>0049</v>
          </cell>
          <cell r="G1295">
            <v>3</v>
          </cell>
          <cell r="H1295">
            <v>8.7200000000000006</v>
          </cell>
          <cell r="I1295">
            <v>294.82705244520002</v>
          </cell>
          <cell r="J1295">
            <v>0</v>
          </cell>
        </row>
        <row r="1296">
          <cell r="E1296">
            <v>10060011</v>
          </cell>
          <cell r="F1296" t="str">
            <v>0050</v>
          </cell>
          <cell r="G1296">
            <v>7</v>
          </cell>
          <cell r="H1296">
            <v>11.490000000000002</v>
          </cell>
          <cell r="I1296">
            <v>606.40305656988005</v>
          </cell>
          <cell r="J1296">
            <v>0</v>
          </cell>
        </row>
        <row r="1297">
          <cell r="E1297">
            <v>10060011</v>
          </cell>
          <cell r="F1297" t="str">
            <v>0054</v>
          </cell>
          <cell r="G1297">
            <v>4</v>
          </cell>
          <cell r="H1297">
            <v>32.85</v>
          </cell>
          <cell r="I1297">
            <v>2488.2593261039988</v>
          </cell>
          <cell r="J1297">
            <v>0</v>
          </cell>
        </row>
        <row r="1298">
          <cell r="E1298">
            <v>10060011</v>
          </cell>
          <cell r="F1298" t="str">
            <v>0062</v>
          </cell>
          <cell r="G1298">
            <v>14</v>
          </cell>
          <cell r="H1298">
            <v>23.15</v>
          </cell>
          <cell r="I1298">
            <v>1252.5575813213884</v>
          </cell>
          <cell r="J1298">
            <v>0</v>
          </cell>
        </row>
        <row r="1299">
          <cell r="E1299">
            <v>10060011</v>
          </cell>
          <cell r="F1299" t="str">
            <v>0063</v>
          </cell>
          <cell r="G1299">
            <v>11</v>
          </cell>
          <cell r="H1299">
            <v>23.340000000000003</v>
          </cell>
          <cell r="I1299">
            <v>827.61214591440023</v>
          </cell>
          <cell r="J1299">
            <v>0</v>
          </cell>
        </row>
        <row r="1300">
          <cell r="E1300">
            <v>10060011</v>
          </cell>
          <cell r="F1300" t="str">
            <v>0067</v>
          </cell>
          <cell r="G1300">
            <v>3</v>
          </cell>
          <cell r="H1300">
            <v>3.43</v>
          </cell>
          <cell r="I1300">
            <v>161.72637517320001</v>
          </cell>
          <cell r="J1300">
            <v>0</v>
          </cell>
        </row>
        <row r="1301">
          <cell r="E1301">
            <v>10060011</v>
          </cell>
          <cell r="F1301" t="str">
            <v>0079</v>
          </cell>
          <cell r="G1301">
            <v>14</v>
          </cell>
          <cell r="H1301">
            <v>23.279999999999998</v>
          </cell>
          <cell r="I1301">
            <v>1008.6801046874832</v>
          </cell>
          <cell r="J1301">
            <v>0</v>
          </cell>
        </row>
        <row r="1302">
          <cell r="E1302">
            <v>10060011</v>
          </cell>
          <cell r="F1302" t="str">
            <v>0081</v>
          </cell>
          <cell r="G1302">
            <v>7</v>
          </cell>
          <cell r="H1302">
            <v>19.560000000000002</v>
          </cell>
          <cell r="I1302">
            <v>698.64314850000005</v>
          </cell>
          <cell r="J1302">
            <v>0</v>
          </cell>
        </row>
        <row r="1303">
          <cell r="E1303">
            <v>10060011</v>
          </cell>
          <cell r="F1303" t="str">
            <v>0084</v>
          </cell>
          <cell r="G1303">
            <v>6</v>
          </cell>
          <cell r="H1303">
            <v>12.209999999999999</v>
          </cell>
          <cell r="I1303">
            <v>430.47996591600008</v>
          </cell>
          <cell r="J1303">
            <v>0</v>
          </cell>
        </row>
        <row r="1304">
          <cell r="E1304">
            <v>10060011</v>
          </cell>
          <cell r="F1304" t="str">
            <v>0086</v>
          </cell>
          <cell r="G1304">
            <v>4</v>
          </cell>
          <cell r="H1304">
            <v>5.19</v>
          </cell>
          <cell r="I1304">
            <v>165.7577198772</v>
          </cell>
          <cell r="J1304">
            <v>0</v>
          </cell>
        </row>
        <row r="1305">
          <cell r="E1305">
            <v>10060011</v>
          </cell>
          <cell r="F1305" t="str">
            <v>0089</v>
          </cell>
          <cell r="G1305">
            <v>1</v>
          </cell>
          <cell r="H1305">
            <v>1.41</v>
          </cell>
          <cell r="I1305">
            <v>85.784462117549992</v>
          </cell>
          <cell r="J1305">
            <v>0</v>
          </cell>
        </row>
        <row r="1306">
          <cell r="E1306">
            <v>10060011</v>
          </cell>
          <cell r="F1306" t="str">
            <v>0094</v>
          </cell>
          <cell r="G1306">
            <v>7</v>
          </cell>
          <cell r="H1306">
            <v>10.709999999999999</v>
          </cell>
          <cell r="I1306">
            <v>540.17319587210011</v>
          </cell>
          <cell r="J1306">
            <v>0</v>
          </cell>
        </row>
        <row r="1307">
          <cell r="E1307">
            <v>10060011</v>
          </cell>
          <cell r="F1307" t="str">
            <v>0097</v>
          </cell>
          <cell r="G1307">
            <v>3</v>
          </cell>
          <cell r="H1307">
            <v>5.07</v>
          </cell>
          <cell r="I1307">
            <v>180.9847622682</v>
          </cell>
          <cell r="J1307">
            <v>0</v>
          </cell>
        </row>
        <row r="1308">
          <cell r="E1308">
            <v>10060011</v>
          </cell>
          <cell r="F1308" t="str">
            <v>0100</v>
          </cell>
          <cell r="G1308">
            <v>8</v>
          </cell>
          <cell r="H1308">
            <v>21.47</v>
          </cell>
          <cell r="I1308">
            <v>872.57576934000008</v>
          </cell>
          <cell r="J1308">
            <v>0</v>
          </cell>
        </row>
        <row r="1309">
          <cell r="E1309">
            <v>10060011</v>
          </cell>
          <cell r="F1309" t="str">
            <v>0103</v>
          </cell>
          <cell r="G1309">
            <v>12</v>
          </cell>
          <cell r="H1309">
            <v>91.829999999999984</v>
          </cell>
          <cell r="I1309">
            <v>3527.779727795401</v>
          </cell>
          <cell r="J1309">
            <v>0</v>
          </cell>
        </row>
        <row r="1310">
          <cell r="E1310">
            <v>10060011</v>
          </cell>
          <cell r="F1310" t="str">
            <v>0105</v>
          </cell>
          <cell r="G1310">
            <v>6</v>
          </cell>
          <cell r="H1310">
            <v>13.589999999999998</v>
          </cell>
          <cell r="I1310">
            <v>542.49564798000006</v>
          </cell>
          <cell r="J1310">
            <v>0</v>
          </cell>
        </row>
        <row r="1311">
          <cell r="E1311">
            <v>10060022</v>
          </cell>
          <cell r="F1311" t="str">
            <v>0001</v>
          </cell>
          <cell r="G1311">
            <v>14</v>
          </cell>
          <cell r="H1311">
            <v>15.299999999999997</v>
          </cell>
          <cell r="I1311">
            <v>595.04661128880014</v>
          </cell>
          <cell r="J1311">
            <v>0</v>
          </cell>
        </row>
        <row r="1312">
          <cell r="E1312">
            <v>10060022</v>
          </cell>
          <cell r="F1312" t="str">
            <v>0002</v>
          </cell>
          <cell r="G1312">
            <v>13</v>
          </cell>
          <cell r="H1312">
            <v>554.5</v>
          </cell>
          <cell r="I1312">
            <v>20436.2725446</v>
          </cell>
          <cell r="J1312">
            <v>0</v>
          </cell>
        </row>
        <row r="1313">
          <cell r="E1313">
            <v>10060022</v>
          </cell>
          <cell r="F1313" t="str">
            <v>0006</v>
          </cell>
          <cell r="G1313">
            <v>12</v>
          </cell>
          <cell r="H1313">
            <v>491.5</v>
          </cell>
          <cell r="I1313">
            <v>18160.867351440003</v>
          </cell>
          <cell r="J1313">
            <v>0</v>
          </cell>
        </row>
        <row r="1314">
          <cell r="E1314">
            <v>10060022</v>
          </cell>
          <cell r="F1314" t="str">
            <v>0018</v>
          </cell>
          <cell r="G1314">
            <v>13</v>
          </cell>
          <cell r="H1314">
            <v>668.40000000000009</v>
          </cell>
          <cell r="I1314">
            <v>24746.276538720002</v>
          </cell>
          <cell r="J1314">
            <v>0</v>
          </cell>
        </row>
        <row r="1315">
          <cell r="E1315">
            <v>10060022</v>
          </cell>
          <cell r="F1315" t="str">
            <v>0025</v>
          </cell>
          <cell r="G1315">
            <v>2</v>
          </cell>
          <cell r="H1315">
            <v>55.5</v>
          </cell>
          <cell r="I1315">
            <v>2463.0985276680003</v>
          </cell>
          <cell r="J1315">
            <v>0</v>
          </cell>
        </row>
        <row r="1316">
          <cell r="E1316">
            <v>10060022</v>
          </cell>
          <cell r="F1316" t="str">
            <v>0027</v>
          </cell>
          <cell r="G1316">
            <v>1</v>
          </cell>
          <cell r="H1316">
            <v>20.2</v>
          </cell>
          <cell r="I1316">
            <v>757.28026439999996</v>
          </cell>
          <cell r="J1316">
            <v>0</v>
          </cell>
        </row>
        <row r="1317">
          <cell r="E1317">
            <v>10060022</v>
          </cell>
          <cell r="F1317" t="str">
            <v>0029</v>
          </cell>
          <cell r="G1317">
            <v>1</v>
          </cell>
          <cell r="H1317">
            <v>20.3</v>
          </cell>
          <cell r="I1317">
            <v>736.91277660000014</v>
          </cell>
          <cell r="J1317">
            <v>0</v>
          </cell>
        </row>
        <row r="1318">
          <cell r="E1318">
            <v>10060022</v>
          </cell>
          <cell r="F1318" t="str">
            <v>0032</v>
          </cell>
          <cell r="G1318">
            <v>2</v>
          </cell>
          <cell r="H1318">
            <v>34.200000000000003</v>
          </cell>
          <cell r="I1318">
            <v>1281.1509928800001</v>
          </cell>
          <cell r="J1318">
            <v>0</v>
          </cell>
        </row>
        <row r="1319">
          <cell r="E1319">
            <v>10060022</v>
          </cell>
          <cell r="F1319" t="str">
            <v>0033</v>
          </cell>
          <cell r="G1319">
            <v>1</v>
          </cell>
          <cell r="H1319">
            <v>18.8</v>
          </cell>
          <cell r="I1319">
            <v>692.38724544000013</v>
          </cell>
          <cell r="J1319">
            <v>0</v>
          </cell>
        </row>
        <row r="1320">
          <cell r="E1320">
            <v>10060022</v>
          </cell>
          <cell r="F1320" t="str">
            <v>0040</v>
          </cell>
          <cell r="G1320">
            <v>1</v>
          </cell>
          <cell r="H1320">
            <v>20.5</v>
          </cell>
          <cell r="I1320">
            <v>760.40900100000022</v>
          </cell>
          <cell r="J1320">
            <v>0</v>
          </cell>
        </row>
        <row r="1321">
          <cell r="E1321">
            <v>10060022</v>
          </cell>
          <cell r="F1321" t="str">
            <v>0041</v>
          </cell>
          <cell r="G1321">
            <v>1</v>
          </cell>
          <cell r="H1321">
            <v>20.399999999999999</v>
          </cell>
          <cell r="I1321">
            <v>727.07861952000007</v>
          </cell>
          <cell r="J1321">
            <v>0</v>
          </cell>
        </row>
        <row r="1322">
          <cell r="E1322">
            <v>10060022</v>
          </cell>
          <cell r="F1322" t="str">
            <v>0042</v>
          </cell>
          <cell r="G1322">
            <v>1</v>
          </cell>
          <cell r="H1322">
            <v>19.8</v>
          </cell>
          <cell r="I1322">
            <v>687.39823152000008</v>
          </cell>
          <cell r="J1322">
            <v>0</v>
          </cell>
        </row>
        <row r="1323">
          <cell r="E1323">
            <v>10060022</v>
          </cell>
          <cell r="F1323" t="str">
            <v>0043</v>
          </cell>
          <cell r="G1323">
            <v>1</v>
          </cell>
          <cell r="H1323">
            <v>18.8</v>
          </cell>
          <cell r="I1323">
            <v>692.38724544000013</v>
          </cell>
          <cell r="J1323">
            <v>0</v>
          </cell>
        </row>
        <row r="1324">
          <cell r="E1324">
            <v>10060022</v>
          </cell>
          <cell r="F1324" t="str">
            <v>0050</v>
          </cell>
          <cell r="G1324">
            <v>12</v>
          </cell>
          <cell r="H1324">
            <v>332.20000000000005</v>
          </cell>
          <cell r="I1324">
            <v>12323.304991800005</v>
          </cell>
          <cell r="J1324">
            <v>0</v>
          </cell>
        </row>
        <row r="1325">
          <cell r="E1325">
            <v>10060026</v>
          </cell>
          <cell r="F1325" t="str">
            <v>0001</v>
          </cell>
          <cell r="G1325">
            <v>13</v>
          </cell>
          <cell r="H1325">
            <v>3.11</v>
          </cell>
          <cell r="I1325">
            <v>137.37294815739</v>
          </cell>
          <cell r="J1325">
            <v>0</v>
          </cell>
        </row>
        <row r="1326">
          <cell r="E1326">
            <v>10060026</v>
          </cell>
          <cell r="F1326" t="str">
            <v>0002</v>
          </cell>
          <cell r="G1326">
            <v>13</v>
          </cell>
          <cell r="H1326">
            <v>254.87</v>
          </cell>
          <cell r="I1326">
            <v>9501.5671384920006</v>
          </cell>
          <cell r="J1326">
            <v>1062</v>
          </cell>
        </row>
        <row r="1327">
          <cell r="E1327">
            <v>10060026</v>
          </cell>
          <cell r="F1327" t="str">
            <v>0017</v>
          </cell>
          <cell r="G1327">
            <v>14</v>
          </cell>
          <cell r="H1327">
            <v>203.97</v>
          </cell>
          <cell r="I1327">
            <v>9250.7053078959507</v>
          </cell>
          <cell r="J1327">
            <v>0</v>
          </cell>
        </row>
        <row r="1328">
          <cell r="E1328">
            <v>10060026</v>
          </cell>
          <cell r="F1328" t="str">
            <v>0028</v>
          </cell>
          <cell r="G1328">
            <v>14</v>
          </cell>
          <cell r="H1328">
            <v>194.26</v>
          </cell>
          <cell r="I1328">
            <v>10031.967726908963</v>
          </cell>
          <cell r="J1328">
            <v>0</v>
          </cell>
        </row>
        <row r="1329">
          <cell r="E1329">
            <v>10060026</v>
          </cell>
          <cell r="F1329" t="str">
            <v>0071</v>
          </cell>
          <cell r="G1329">
            <v>1</v>
          </cell>
          <cell r="H1329">
            <v>6.36</v>
          </cell>
          <cell r="I1329">
            <v>230.03519616000005</v>
          </cell>
          <cell r="J1329">
            <v>0</v>
          </cell>
        </row>
        <row r="1330">
          <cell r="E1330">
            <v>10060026</v>
          </cell>
          <cell r="F1330" t="str">
            <v>0072</v>
          </cell>
          <cell r="G1330">
            <v>1</v>
          </cell>
          <cell r="H1330">
            <v>9.2899999999999991</v>
          </cell>
          <cell r="I1330">
            <v>331.10553286800001</v>
          </cell>
          <cell r="J1330">
            <v>0</v>
          </cell>
        </row>
        <row r="1331">
          <cell r="E1331">
            <v>10060026</v>
          </cell>
          <cell r="F1331" t="str">
            <v>0073</v>
          </cell>
          <cell r="G1331">
            <v>2</v>
          </cell>
          <cell r="H1331">
            <v>8.76</v>
          </cell>
          <cell r="I1331">
            <v>361.63664697600007</v>
          </cell>
          <cell r="J1331">
            <v>0</v>
          </cell>
        </row>
        <row r="1332">
          <cell r="E1332">
            <v>10060026</v>
          </cell>
          <cell r="F1332" t="str">
            <v>0074</v>
          </cell>
          <cell r="G1332">
            <v>1</v>
          </cell>
          <cell r="H1332">
            <v>10.220000000000001</v>
          </cell>
          <cell r="I1332">
            <v>385.83623232000002</v>
          </cell>
          <cell r="J1332">
            <v>0</v>
          </cell>
        </row>
        <row r="1333">
          <cell r="E1333">
            <v>10060026</v>
          </cell>
          <cell r="F1333" t="str">
            <v>0080</v>
          </cell>
          <cell r="G1333">
            <v>4</v>
          </cell>
          <cell r="H1333">
            <v>25.05</v>
          </cell>
          <cell r="I1333">
            <v>1112.8558605120002</v>
          </cell>
          <cell r="J1333">
            <v>0</v>
          </cell>
        </row>
        <row r="1334">
          <cell r="E1334">
            <v>10060027</v>
          </cell>
          <cell r="F1334" t="str">
            <v>0001</v>
          </cell>
          <cell r="G1334">
            <v>13</v>
          </cell>
          <cell r="H1334">
            <v>29.879999999999995</v>
          </cell>
          <cell r="I1334">
            <v>1314.178027272</v>
          </cell>
          <cell r="J1334">
            <v>0</v>
          </cell>
        </row>
        <row r="1335">
          <cell r="E1335">
            <v>10060027</v>
          </cell>
          <cell r="F1335" t="str">
            <v>0002</v>
          </cell>
          <cell r="G1335">
            <v>9</v>
          </cell>
          <cell r="H1335">
            <v>237.5</v>
          </cell>
          <cell r="I1335">
            <v>8746.1422444170003</v>
          </cell>
          <cell r="J1335">
            <v>0</v>
          </cell>
        </row>
        <row r="1336">
          <cell r="E1336">
            <v>10060027</v>
          </cell>
          <cell r="F1336" t="str">
            <v>0004</v>
          </cell>
          <cell r="G1336">
            <v>2</v>
          </cell>
          <cell r="H1336">
            <v>3.58</v>
          </cell>
          <cell r="I1336">
            <v>173.63732293330801</v>
          </cell>
          <cell r="J1336">
            <v>0</v>
          </cell>
        </row>
        <row r="1337">
          <cell r="E1337">
            <v>10060027</v>
          </cell>
          <cell r="F1337" t="str">
            <v>0006</v>
          </cell>
          <cell r="G1337">
            <v>6</v>
          </cell>
          <cell r="H1337">
            <v>17.3</v>
          </cell>
          <cell r="I1337">
            <v>1009.4246217854001</v>
          </cell>
          <cell r="J1337">
            <v>0</v>
          </cell>
        </row>
        <row r="1338">
          <cell r="E1338">
            <v>10060027</v>
          </cell>
          <cell r="F1338" t="str">
            <v>0012</v>
          </cell>
          <cell r="G1338">
            <v>13</v>
          </cell>
          <cell r="H1338">
            <v>66.78</v>
          </cell>
          <cell r="I1338">
            <v>2408.5640911463997</v>
          </cell>
          <cell r="J1338">
            <v>0</v>
          </cell>
        </row>
        <row r="1339">
          <cell r="E1339">
            <v>10060027</v>
          </cell>
          <cell r="F1339" t="str">
            <v>0013</v>
          </cell>
          <cell r="G1339">
            <v>12</v>
          </cell>
          <cell r="H1339">
            <v>37.399999999999991</v>
          </cell>
          <cell r="I1339">
            <v>1997.0146932052201</v>
          </cell>
          <cell r="J1339">
            <v>0</v>
          </cell>
        </row>
        <row r="1340">
          <cell r="E1340">
            <v>10060027</v>
          </cell>
          <cell r="F1340" t="str">
            <v>0014</v>
          </cell>
          <cell r="G1340">
            <v>12</v>
          </cell>
          <cell r="H1340">
            <v>33.639999999999993</v>
          </cell>
          <cell r="I1340">
            <v>1633.4799125589441</v>
          </cell>
          <cell r="J1340">
            <v>0</v>
          </cell>
        </row>
        <row r="1341">
          <cell r="E1341">
            <v>10060027</v>
          </cell>
          <cell r="F1341" t="str">
            <v>0015</v>
          </cell>
          <cell r="G1341">
            <v>4</v>
          </cell>
          <cell r="H1341">
            <v>14.399999999999999</v>
          </cell>
          <cell r="I1341">
            <v>514.72358387999998</v>
          </cell>
          <cell r="J1341">
            <v>0</v>
          </cell>
        </row>
        <row r="1342">
          <cell r="E1342">
            <v>10060027</v>
          </cell>
          <cell r="F1342" t="str">
            <v>0034</v>
          </cell>
          <cell r="G1342">
            <v>6</v>
          </cell>
          <cell r="H1342">
            <v>15.299999999999999</v>
          </cell>
          <cell r="I1342">
            <v>708.54585502314012</v>
          </cell>
          <cell r="J1342">
            <v>0</v>
          </cell>
        </row>
        <row r="1343">
          <cell r="E1343">
            <v>10060027</v>
          </cell>
          <cell r="F1343" t="str">
            <v>0037</v>
          </cell>
          <cell r="G1343">
            <v>13</v>
          </cell>
          <cell r="H1343">
            <v>47.760000000000005</v>
          </cell>
          <cell r="I1343">
            <v>1895.0073832800003</v>
          </cell>
          <cell r="J1343">
            <v>0</v>
          </cell>
        </row>
        <row r="1344">
          <cell r="E1344">
            <v>10060027</v>
          </cell>
          <cell r="F1344" t="str">
            <v>0041</v>
          </cell>
          <cell r="G1344">
            <v>4</v>
          </cell>
          <cell r="H1344">
            <v>4.2200000000000006</v>
          </cell>
          <cell r="I1344">
            <v>168.41290672800002</v>
          </cell>
          <cell r="J1344">
            <v>0</v>
          </cell>
        </row>
        <row r="1345">
          <cell r="E1345">
            <v>10060027</v>
          </cell>
          <cell r="F1345" t="str">
            <v>0051</v>
          </cell>
          <cell r="G1345">
            <v>2</v>
          </cell>
          <cell r="H1345">
            <v>5.24</v>
          </cell>
          <cell r="I1345">
            <v>397.17388433593999</v>
          </cell>
          <cell r="J1345">
            <v>0</v>
          </cell>
        </row>
        <row r="1346">
          <cell r="E1346">
            <v>10060027</v>
          </cell>
          <cell r="F1346" t="str">
            <v>0054</v>
          </cell>
          <cell r="G1346">
            <v>7</v>
          </cell>
          <cell r="H1346">
            <v>12.26</v>
          </cell>
          <cell r="I1346">
            <v>684.16521365696008</v>
          </cell>
          <cell r="J1346">
            <v>0</v>
          </cell>
        </row>
        <row r="1347">
          <cell r="E1347">
            <v>10060027</v>
          </cell>
          <cell r="F1347" t="str">
            <v>0055</v>
          </cell>
          <cell r="G1347">
            <v>14</v>
          </cell>
          <cell r="H1347">
            <v>48.419999999999987</v>
          </cell>
          <cell r="I1347">
            <v>1914.1436072880006</v>
          </cell>
          <cell r="J1347">
            <v>0</v>
          </cell>
        </row>
        <row r="1348">
          <cell r="E1348">
            <v>10060027</v>
          </cell>
          <cell r="F1348" t="str">
            <v>0056</v>
          </cell>
          <cell r="G1348">
            <v>11</v>
          </cell>
          <cell r="H1348">
            <v>30.440000000000005</v>
          </cell>
          <cell r="I1348">
            <v>1114.8149692218001</v>
          </cell>
          <cell r="J1348">
            <v>0</v>
          </cell>
        </row>
        <row r="1349">
          <cell r="E1349">
            <v>10060027</v>
          </cell>
          <cell r="F1349" t="str">
            <v>0058</v>
          </cell>
          <cell r="G1349">
            <v>13</v>
          </cell>
          <cell r="H1349">
            <v>37.04</v>
          </cell>
          <cell r="I1349">
            <v>1389.8554804728001</v>
          </cell>
          <cell r="J1349">
            <v>0</v>
          </cell>
        </row>
        <row r="1350">
          <cell r="E1350">
            <v>10060027</v>
          </cell>
          <cell r="F1350" t="str">
            <v>0061</v>
          </cell>
          <cell r="G1350">
            <v>6</v>
          </cell>
          <cell r="H1350">
            <v>11.639999999999999</v>
          </cell>
          <cell r="I1350">
            <v>563.66638298773205</v>
          </cell>
          <cell r="J1350">
            <v>0</v>
          </cell>
        </row>
        <row r="1351">
          <cell r="E1351">
            <v>10060027</v>
          </cell>
          <cell r="F1351" t="str">
            <v>0064</v>
          </cell>
          <cell r="G1351">
            <v>7</v>
          </cell>
          <cell r="H1351">
            <v>15.72</v>
          </cell>
          <cell r="I1351">
            <v>769.77098585215811</v>
          </cell>
          <cell r="J1351">
            <v>0</v>
          </cell>
        </row>
        <row r="1352">
          <cell r="E1352">
            <v>10060027</v>
          </cell>
          <cell r="F1352" t="str">
            <v>0071</v>
          </cell>
          <cell r="G1352">
            <v>8</v>
          </cell>
          <cell r="H1352">
            <v>17.32</v>
          </cell>
          <cell r="I1352">
            <v>937.94100071807998</v>
          </cell>
          <cell r="J1352">
            <v>0</v>
          </cell>
        </row>
        <row r="1353">
          <cell r="E1353">
            <v>10060027</v>
          </cell>
          <cell r="F1353" t="str">
            <v>0076</v>
          </cell>
          <cell r="G1353">
            <v>7</v>
          </cell>
          <cell r="H1353">
            <v>18.5</v>
          </cell>
          <cell r="I1353">
            <v>789.81888981600014</v>
          </cell>
          <cell r="J1353">
            <v>0</v>
          </cell>
        </row>
        <row r="1354">
          <cell r="E1354">
            <v>10060027</v>
          </cell>
          <cell r="F1354" t="str">
            <v>0077</v>
          </cell>
          <cell r="G1354">
            <v>6</v>
          </cell>
          <cell r="H1354">
            <v>22.9</v>
          </cell>
          <cell r="I1354">
            <v>913.04567798400012</v>
          </cell>
          <cell r="J1354">
            <v>0</v>
          </cell>
        </row>
        <row r="1355">
          <cell r="E1355">
            <v>10060027</v>
          </cell>
          <cell r="F1355" t="str">
            <v>0079</v>
          </cell>
          <cell r="G1355">
            <v>5</v>
          </cell>
          <cell r="H1355">
            <v>9.5</v>
          </cell>
          <cell r="I1355">
            <v>366.69334996800001</v>
          </cell>
          <cell r="J1355">
            <v>0</v>
          </cell>
        </row>
        <row r="1356">
          <cell r="E1356">
            <v>10060027</v>
          </cell>
          <cell r="F1356" t="str">
            <v>0080</v>
          </cell>
          <cell r="G1356">
            <v>13</v>
          </cell>
          <cell r="H1356">
            <v>46.28</v>
          </cell>
          <cell r="I1356">
            <v>1872.7174461600002</v>
          </cell>
          <cell r="J1356">
            <v>0</v>
          </cell>
        </row>
        <row r="1357">
          <cell r="E1357">
            <v>10060027</v>
          </cell>
          <cell r="F1357" t="str">
            <v>0087</v>
          </cell>
          <cell r="G1357">
            <v>7</v>
          </cell>
          <cell r="H1357">
            <v>10.8</v>
          </cell>
          <cell r="I1357">
            <v>606.18296649358206</v>
          </cell>
          <cell r="J1357">
            <v>0</v>
          </cell>
        </row>
        <row r="1358">
          <cell r="E1358">
            <v>10060027</v>
          </cell>
          <cell r="F1358" t="str">
            <v>0089</v>
          </cell>
          <cell r="G1358">
            <v>6</v>
          </cell>
          <cell r="H1358">
            <v>13.56</v>
          </cell>
          <cell r="I1358">
            <v>594.32940072000019</v>
          </cell>
          <cell r="J1358">
            <v>0</v>
          </cell>
        </row>
        <row r="1359">
          <cell r="E1359">
            <v>10060027</v>
          </cell>
          <cell r="F1359" t="str">
            <v>0092</v>
          </cell>
          <cell r="G1359">
            <v>13</v>
          </cell>
          <cell r="H1359">
            <v>26.199999999999996</v>
          </cell>
          <cell r="I1359">
            <v>1404.2271948095204</v>
          </cell>
          <cell r="J1359">
            <v>0</v>
          </cell>
        </row>
        <row r="1360">
          <cell r="E1360">
            <v>10060027</v>
          </cell>
          <cell r="F1360" t="str">
            <v>0093</v>
          </cell>
          <cell r="G1360">
            <v>7</v>
          </cell>
          <cell r="H1360">
            <v>16.979999999999997</v>
          </cell>
          <cell r="I1360">
            <v>954.65334407113994</v>
          </cell>
          <cell r="J1360">
            <v>0</v>
          </cell>
        </row>
        <row r="1361">
          <cell r="E1361">
            <v>10060027</v>
          </cell>
          <cell r="F1361" t="str">
            <v>0096</v>
          </cell>
          <cell r="G1361">
            <v>13</v>
          </cell>
          <cell r="H1361">
            <v>54.04</v>
          </cell>
          <cell r="I1361">
            <v>1934.9606350800002</v>
          </cell>
          <cell r="J1361">
            <v>0</v>
          </cell>
        </row>
        <row r="1362">
          <cell r="E1362">
            <v>10060027</v>
          </cell>
          <cell r="F1362" t="str">
            <v>0102</v>
          </cell>
          <cell r="G1362">
            <v>4</v>
          </cell>
          <cell r="H1362">
            <v>7.6199999999999992</v>
          </cell>
          <cell r="I1362">
            <v>449.10343919670004</v>
          </cell>
          <cell r="J1362">
            <v>0</v>
          </cell>
        </row>
        <row r="1363">
          <cell r="E1363">
            <v>10060027</v>
          </cell>
          <cell r="F1363" t="str">
            <v>0106</v>
          </cell>
          <cell r="G1363">
            <v>7</v>
          </cell>
          <cell r="H1363">
            <v>10.58</v>
          </cell>
          <cell r="I1363">
            <v>591.63390490196207</v>
          </cell>
          <cell r="J1363">
            <v>0</v>
          </cell>
        </row>
        <row r="1364">
          <cell r="E1364">
            <v>10060027</v>
          </cell>
          <cell r="F1364" t="str">
            <v>0108</v>
          </cell>
          <cell r="G1364">
            <v>14</v>
          </cell>
          <cell r="H1364">
            <v>28.159999999999997</v>
          </cell>
          <cell r="I1364">
            <v>1774.58051643768</v>
          </cell>
          <cell r="J1364">
            <v>0</v>
          </cell>
        </row>
        <row r="1365">
          <cell r="E1365">
            <v>10060027</v>
          </cell>
          <cell r="F1365" t="str">
            <v>0109</v>
          </cell>
          <cell r="G1365">
            <v>11</v>
          </cell>
          <cell r="H1365">
            <v>16.88</v>
          </cell>
          <cell r="I1365">
            <v>756.09274767257216</v>
          </cell>
          <cell r="J1365">
            <v>0</v>
          </cell>
        </row>
        <row r="1366">
          <cell r="E1366">
            <v>10060027</v>
          </cell>
          <cell r="F1366" t="str">
            <v>0110</v>
          </cell>
          <cell r="G1366">
            <v>12</v>
          </cell>
          <cell r="H1366">
            <v>25</v>
          </cell>
          <cell r="I1366">
            <v>1330.9496644315197</v>
          </cell>
          <cell r="J1366">
            <v>0</v>
          </cell>
        </row>
        <row r="1367">
          <cell r="E1367">
            <v>10060027</v>
          </cell>
          <cell r="F1367" t="str">
            <v>0123</v>
          </cell>
          <cell r="G1367">
            <v>6</v>
          </cell>
          <cell r="H1367">
            <v>12.719999999999999</v>
          </cell>
          <cell r="I1367">
            <v>814.79425890540006</v>
          </cell>
          <cell r="J1367">
            <v>0</v>
          </cell>
        </row>
        <row r="1368">
          <cell r="E1368">
            <v>10060027</v>
          </cell>
          <cell r="F1368" t="str">
            <v>0129</v>
          </cell>
          <cell r="G1368">
            <v>7</v>
          </cell>
          <cell r="H1368">
            <v>13.139999999999999</v>
          </cell>
          <cell r="I1368">
            <v>549.70759799999996</v>
          </cell>
          <cell r="J1368">
            <v>0</v>
          </cell>
        </row>
        <row r="1369">
          <cell r="E1369">
            <v>10060027</v>
          </cell>
          <cell r="F1369" t="str">
            <v>0138</v>
          </cell>
          <cell r="G1369">
            <v>5</v>
          </cell>
          <cell r="H1369">
            <v>2.82</v>
          </cell>
          <cell r="I1369">
            <v>128.200828004588</v>
          </cell>
          <cell r="J1369">
            <v>0</v>
          </cell>
        </row>
        <row r="1370">
          <cell r="E1370">
            <v>10060027</v>
          </cell>
          <cell r="F1370" t="str">
            <v>0143</v>
          </cell>
          <cell r="G1370">
            <v>14</v>
          </cell>
          <cell r="H1370">
            <v>43.66</v>
          </cell>
          <cell r="I1370">
            <v>2329.4395253149601</v>
          </cell>
          <cell r="J1370">
            <v>0</v>
          </cell>
        </row>
        <row r="1371">
          <cell r="E1371">
            <v>10060027</v>
          </cell>
          <cell r="F1371" t="str">
            <v>0147</v>
          </cell>
          <cell r="G1371">
            <v>7</v>
          </cell>
          <cell r="H1371">
            <v>18.32</v>
          </cell>
          <cell r="I1371">
            <v>1065.500833654628</v>
          </cell>
          <cell r="J1371">
            <v>0</v>
          </cell>
        </row>
        <row r="1372">
          <cell r="E1372">
            <v>10060027</v>
          </cell>
          <cell r="F1372" t="str">
            <v>0149</v>
          </cell>
          <cell r="G1372">
            <v>6</v>
          </cell>
          <cell r="H1372">
            <v>8.5399999999999991</v>
          </cell>
          <cell r="I1372">
            <v>587.88792164580013</v>
          </cell>
          <cell r="J1372">
            <v>0</v>
          </cell>
        </row>
        <row r="1373">
          <cell r="E1373">
            <v>10060027</v>
          </cell>
          <cell r="F1373" t="str">
            <v>0150</v>
          </cell>
          <cell r="G1373">
            <v>14</v>
          </cell>
          <cell r="H1373">
            <v>53.14</v>
          </cell>
          <cell r="I1373">
            <v>2238.217340832</v>
          </cell>
          <cell r="J1373">
            <v>0</v>
          </cell>
        </row>
        <row r="1374">
          <cell r="E1374">
            <v>10060027</v>
          </cell>
          <cell r="F1374" t="str">
            <v>0161</v>
          </cell>
          <cell r="G1374">
            <v>6</v>
          </cell>
          <cell r="H1374">
            <v>11.599999999999998</v>
          </cell>
          <cell r="I1374">
            <v>587.3985502114399</v>
          </cell>
          <cell r="J1374">
            <v>0</v>
          </cell>
        </row>
        <row r="1375">
          <cell r="E1375">
            <v>10060027</v>
          </cell>
          <cell r="F1375" t="str">
            <v>0162</v>
          </cell>
          <cell r="G1375">
            <v>4</v>
          </cell>
          <cell r="H1375">
            <v>4.38</v>
          </cell>
          <cell r="I1375">
            <v>265.69213250220002</v>
          </cell>
          <cell r="J1375">
            <v>0</v>
          </cell>
        </row>
        <row r="1376">
          <cell r="E1376">
            <v>10060027</v>
          </cell>
          <cell r="F1376" t="str">
            <v>0163</v>
          </cell>
          <cell r="G1376">
            <v>6</v>
          </cell>
          <cell r="H1376">
            <v>11.059999999999999</v>
          </cell>
          <cell r="I1376">
            <v>450.82510512114095</v>
          </cell>
          <cell r="J1376">
            <v>0</v>
          </cell>
        </row>
        <row r="1377">
          <cell r="E1377">
            <v>10060027</v>
          </cell>
          <cell r="F1377" t="str">
            <v>0164</v>
          </cell>
          <cell r="G1377">
            <v>7</v>
          </cell>
          <cell r="H1377">
            <v>22.2</v>
          </cell>
          <cell r="I1377">
            <v>837.70442173440006</v>
          </cell>
          <cell r="J1377">
            <v>0</v>
          </cell>
        </row>
        <row r="1378">
          <cell r="E1378">
            <v>10060027</v>
          </cell>
          <cell r="F1378" t="str">
            <v>0166</v>
          </cell>
          <cell r="G1378">
            <v>4</v>
          </cell>
          <cell r="H1378">
            <v>9.379999999999999</v>
          </cell>
          <cell r="I1378">
            <v>366.62982760800003</v>
          </cell>
          <cell r="J1378">
            <v>0</v>
          </cell>
        </row>
        <row r="1379">
          <cell r="E1379">
            <v>10060027</v>
          </cell>
          <cell r="F1379" t="str">
            <v>0170</v>
          </cell>
          <cell r="G1379">
            <v>6</v>
          </cell>
          <cell r="H1379">
            <v>16.62</v>
          </cell>
          <cell r="I1379">
            <v>882.85615631376004</v>
          </cell>
          <cell r="J1379">
            <v>0</v>
          </cell>
        </row>
        <row r="1380">
          <cell r="E1380">
            <v>10060027</v>
          </cell>
          <cell r="F1380" t="str">
            <v>0174</v>
          </cell>
          <cell r="G1380">
            <v>7</v>
          </cell>
          <cell r="H1380">
            <v>12.08</v>
          </cell>
          <cell r="I1380">
            <v>429.8398489440001</v>
          </cell>
          <cell r="J1380">
            <v>0</v>
          </cell>
        </row>
        <row r="1381">
          <cell r="E1381">
            <v>10060027</v>
          </cell>
          <cell r="F1381" t="str">
            <v>0190</v>
          </cell>
          <cell r="G1381">
            <v>6</v>
          </cell>
          <cell r="H1381">
            <v>10.620000000000001</v>
          </cell>
          <cell r="I1381">
            <v>475.481465797765</v>
          </cell>
          <cell r="J1381">
            <v>0</v>
          </cell>
        </row>
        <row r="1382">
          <cell r="E1382">
            <v>10060027</v>
          </cell>
          <cell r="F1382" t="str">
            <v>0191</v>
          </cell>
          <cell r="G1382">
            <v>13</v>
          </cell>
          <cell r="H1382">
            <v>44.999999999999993</v>
          </cell>
          <cell r="I1382">
            <v>1788.9114569040003</v>
          </cell>
          <cell r="J1382">
            <v>0</v>
          </cell>
        </row>
        <row r="1383">
          <cell r="E1383">
            <v>10060027</v>
          </cell>
          <cell r="F1383" t="str">
            <v>0195</v>
          </cell>
          <cell r="G1383">
            <v>7</v>
          </cell>
          <cell r="H1383">
            <v>25.1</v>
          </cell>
          <cell r="I1383">
            <v>944.01993391200017</v>
          </cell>
          <cell r="J1383">
            <v>0</v>
          </cell>
        </row>
        <row r="1384">
          <cell r="E1384">
            <v>10060027</v>
          </cell>
          <cell r="F1384" t="str">
            <v>0206</v>
          </cell>
          <cell r="G1384">
            <v>13</v>
          </cell>
          <cell r="H1384">
            <v>35.54</v>
          </cell>
          <cell r="I1384">
            <v>1362.7722057840001</v>
          </cell>
          <cell r="J1384">
            <v>0</v>
          </cell>
        </row>
        <row r="1385">
          <cell r="E1385">
            <v>10060027</v>
          </cell>
          <cell r="F1385" t="str">
            <v>0207</v>
          </cell>
          <cell r="G1385">
            <v>12</v>
          </cell>
          <cell r="H1385">
            <v>26.8</v>
          </cell>
          <cell r="I1385">
            <v>1671.7796728140802</v>
          </cell>
          <cell r="J1385">
            <v>0</v>
          </cell>
        </row>
        <row r="1386">
          <cell r="E1386">
            <v>10060027</v>
          </cell>
          <cell r="F1386" t="str">
            <v>0208</v>
          </cell>
          <cell r="G1386">
            <v>5</v>
          </cell>
          <cell r="H1386">
            <v>15.64</v>
          </cell>
          <cell r="I1386">
            <v>575.22848882400012</v>
          </cell>
          <cell r="J1386">
            <v>0</v>
          </cell>
        </row>
        <row r="1387">
          <cell r="E1387">
            <v>10060027</v>
          </cell>
          <cell r="F1387" t="str">
            <v>0211</v>
          </cell>
          <cell r="G1387">
            <v>6</v>
          </cell>
          <cell r="H1387">
            <v>13.540000000000001</v>
          </cell>
          <cell r="I1387">
            <v>607.97301681600004</v>
          </cell>
          <cell r="J1387">
            <v>0</v>
          </cell>
        </row>
        <row r="1388">
          <cell r="E1388">
            <v>10060027</v>
          </cell>
          <cell r="F1388" t="str">
            <v>0220</v>
          </cell>
          <cell r="G1388">
            <v>3</v>
          </cell>
          <cell r="H1388">
            <v>7.46</v>
          </cell>
          <cell r="I1388">
            <v>415.49424861599999</v>
          </cell>
          <cell r="J1388">
            <v>0</v>
          </cell>
        </row>
        <row r="1389">
          <cell r="E1389">
            <v>10060027</v>
          </cell>
          <cell r="F1389" t="str">
            <v>0221</v>
          </cell>
          <cell r="G1389">
            <v>4</v>
          </cell>
          <cell r="H1389">
            <v>23.14</v>
          </cell>
          <cell r="I1389">
            <v>840.42200484000011</v>
          </cell>
          <cell r="J1389">
            <v>0</v>
          </cell>
        </row>
        <row r="1390">
          <cell r="E1390">
            <v>10060027</v>
          </cell>
          <cell r="F1390" t="str">
            <v>0222</v>
          </cell>
          <cell r="G1390">
            <v>10</v>
          </cell>
          <cell r="H1390">
            <v>26.840000000000003</v>
          </cell>
          <cell r="I1390">
            <v>1011.6879692040002</v>
          </cell>
          <cell r="J1390">
            <v>0</v>
          </cell>
        </row>
        <row r="1391">
          <cell r="E1391">
            <v>10060027</v>
          </cell>
          <cell r="F1391" t="str">
            <v>0226</v>
          </cell>
          <cell r="G1391">
            <v>6</v>
          </cell>
          <cell r="H1391">
            <v>8.56</v>
          </cell>
          <cell r="I1391">
            <v>580.62336940343198</v>
          </cell>
          <cell r="J1391">
            <v>0</v>
          </cell>
        </row>
        <row r="1392">
          <cell r="E1392">
            <v>10060027</v>
          </cell>
          <cell r="F1392" t="str">
            <v>0227</v>
          </cell>
          <cell r="G1392">
            <v>6</v>
          </cell>
          <cell r="H1392">
            <v>14.4</v>
          </cell>
          <cell r="I1392">
            <v>532.74162744</v>
          </cell>
          <cell r="J1392">
            <v>0</v>
          </cell>
        </row>
        <row r="1393">
          <cell r="E1393">
            <v>10060027</v>
          </cell>
          <cell r="F1393" t="str">
            <v>0229</v>
          </cell>
          <cell r="G1393">
            <v>8</v>
          </cell>
          <cell r="H1393">
            <v>17</v>
          </cell>
          <cell r="I1393">
            <v>908.84785940450001</v>
          </cell>
          <cell r="J1393">
            <v>0</v>
          </cell>
        </row>
        <row r="1394">
          <cell r="E1394">
            <v>10060027</v>
          </cell>
          <cell r="F1394" t="str">
            <v>0235</v>
          </cell>
          <cell r="G1394">
            <v>6</v>
          </cell>
          <cell r="H1394">
            <v>13.999999999999998</v>
          </cell>
          <cell r="I1394">
            <v>564.39226800000006</v>
          </cell>
          <cell r="J1394">
            <v>0</v>
          </cell>
        </row>
        <row r="1395">
          <cell r="E1395">
            <v>10060027</v>
          </cell>
          <cell r="F1395" t="str">
            <v>0237</v>
          </cell>
          <cell r="G1395">
            <v>7</v>
          </cell>
          <cell r="H1395">
            <v>10.91</v>
          </cell>
          <cell r="I1395">
            <v>574.02664206506017</v>
          </cell>
          <cell r="J1395">
            <v>0</v>
          </cell>
        </row>
        <row r="1396">
          <cell r="E1396">
            <v>10060027</v>
          </cell>
          <cell r="F1396" t="str">
            <v>0241</v>
          </cell>
          <cell r="G1396">
            <v>7</v>
          </cell>
          <cell r="H1396">
            <v>20</v>
          </cell>
          <cell r="I1396">
            <v>736.50804400800007</v>
          </cell>
          <cell r="J1396">
            <v>0</v>
          </cell>
        </row>
        <row r="1397">
          <cell r="E1397">
            <v>10060027</v>
          </cell>
          <cell r="F1397" t="str">
            <v>0243</v>
          </cell>
          <cell r="G1397">
            <v>7</v>
          </cell>
          <cell r="H1397">
            <v>16.5</v>
          </cell>
          <cell r="I1397">
            <v>824.35848532255</v>
          </cell>
          <cell r="J1397">
            <v>0</v>
          </cell>
        </row>
        <row r="1398">
          <cell r="E1398">
            <v>10060027</v>
          </cell>
          <cell r="F1398" t="str">
            <v>0246</v>
          </cell>
          <cell r="G1398">
            <v>5</v>
          </cell>
          <cell r="H1398">
            <v>6.5</v>
          </cell>
          <cell r="I1398">
            <v>332.97524947590006</v>
          </cell>
          <cell r="J1398">
            <v>0</v>
          </cell>
        </row>
        <row r="1399">
          <cell r="E1399">
            <v>10060027</v>
          </cell>
          <cell r="F1399" t="str">
            <v>0247</v>
          </cell>
          <cell r="G1399">
            <v>8</v>
          </cell>
          <cell r="H1399">
            <v>15.059999999999999</v>
          </cell>
          <cell r="I1399">
            <v>882.11177823665992</v>
          </cell>
          <cell r="J1399">
            <v>0</v>
          </cell>
        </row>
        <row r="1400">
          <cell r="E1400">
            <v>10060027</v>
          </cell>
          <cell r="F1400" t="str">
            <v>0249</v>
          </cell>
          <cell r="G1400">
            <v>5</v>
          </cell>
          <cell r="H1400">
            <v>11.68</v>
          </cell>
          <cell r="I1400">
            <v>605.22255487287998</v>
          </cell>
          <cell r="J1400">
            <v>0</v>
          </cell>
        </row>
        <row r="1401">
          <cell r="E1401">
            <v>10060027</v>
          </cell>
          <cell r="F1401" t="str">
            <v>0256</v>
          </cell>
          <cell r="G1401">
            <v>7</v>
          </cell>
          <cell r="H1401">
            <v>13.2</v>
          </cell>
          <cell r="I1401">
            <v>654.39190382437414</v>
          </cell>
          <cell r="J1401">
            <v>0</v>
          </cell>
        </row>
        <row r="1402">
          <cell r="E1402">
            <v>10060027</v>
          </cell>
          <cell r="F1402" t="str">
            <v>0261</v>
          </cell>
          <cell r="G1402">
            <v>6</v>
          </cell>
          <cell r="H1402">
            <v>22.699999999999996</v>
          </cell>
          <cell r="I1402">
            <v>872.53176067200002</v>
          </cell>
          <cell r="J1402">
            <v>0</v>
          </cell>
        </row>
        <row r="1403">
          <cell r="E1403">
            <v>10060027</v>
          </cell>
          <cell r="F1403" t="str">
            <v>0262</v>
          </cell>
          <cell r="G1403">
            <v>8</v>
          </cell>
          <cell r="H1403">
            <v>10.139999999999999</v>
          </cell>
          <cell r="I1403">
            <v>458.62277801560003</v>
          </cell>
          <cell r="J1403">
            <v>0</v>
          </cell>
        </row>
        <row r="1404">
          <cell r="E1404">
            <v>10060027</v>
          </cell>
          <cell r="F1404" t="str">
            <v>0271</v>
          </cell>
          <cell r="G1404">
            <v>13</v>
          </cell>
          <cell r="H1404">
            <v>43.019999999999996</v>
          </cell>
          <cell r="I1404">
            <v>1798.4768780879999</v>
          </cell>
          <cell r="J1404">
            <v>0</v>
          </cell>
        </row>
        <row r="1405">
          <cell r="E1405">
            <v>10060027</v>
          </cell>
          <cell r="F1405" t="str">
            <v>0274</v>
          </cell>
          <cell r="G1405">
            <v>6</v>
          </cell>
          <cell r="H1405">
            <v>18.7</v>
          </cell>
          <cell r="I1405">
            <v>890.96346697676017</v>
          </cell>
          <cell r="J1405">
            <v>0</v>
          </cell>
        </row>
        <row r="1406">
          <cell r="E1406">
            <v>10060027</v>
          </cell>
          <cell r="F1406" t="str">
            <v>0279</v>
          </cell>
          <cell r="G1406">
            <v>5</v>
          </cell>
          <cell r="H1406">
            <v>8.2799999999999994</v>
          </cell>
          <cell r="I1406">
            <v>310.567584888</v>
          </cell>
          <cell r="J1406">
            <v>0</v>
          </cell>
        </row>
        <row r="1407">
          <cell r="E1407">
            <v>10060027</v>
          </cell>
          <cell r="F1407" t="str">
            <v>0282</v>
          </cell>
          <cell r="G1407">
            <v>7</v>
          </cell>
          <cell r="H1407">
            <v>16.12</v>
          </cell>
          <cell r="I1407">
            <v>643.17682598399995</v>
          </cell>
          <cell r="J1407">
            <v>0</v>
          </cell>
        </row>
        <row r="1408">
          <cell r="E1408">
            <v>10060027</v>
          </cell>
          <cell r="F1408" t="str">
            <v>0285</v>
          </cell>
          <cell r="G1408">
            <v>13</v>
          </cell>
          <cell r="H1408">
            <v>17.48</v>
          </cell>
          <cell r="I1408">
            <v>943.53060381886007</v>
          </cell>
          <cell r="J1408">
            <v>0</v>
          </cell>
        </row>
        <row r="1409">
          <cell r="E1409">
            <v>10060027</v>
          </cell>
          <cell r="F1409" t="str">
            <v>0288</v>
          </cell>
          <cell r="G1409">
            <v>11</v>
          </cell>
          <cell r="H1409">
            <v>20.160000000000004</v>
          </cell>
          <cell r="I1409">
            <v>1283.0058424593001</v>
          </cell>
          <cell r="J1409">
            <v>0</v>
          </cell>
        </row>
        <row r="1410">
          <cell r="E1410">
            <v>10060027</v>
          </cell>
          <cell r="F1410" t="str">
            <v>0297</v>
          </cell>
          <cell r="G1410">
            <v>2</v>
          </cell>
          <cell r="H1410">
            <v>3.26</v>
          </cell>
          <cell r="I1410">
            <v>234.77894163106004</v>
          </cell>
          <cell r="J1410">
            <v>0</v>
          </cell>
        </row>
        <row r="1411">
          <cell r="E1411">
            <v>10060027</v>
          </cell>
          <cell r="F1411" t="str">
            <v>0299</v>
          </cell>
          <cell r="G1411">
            <v>7</v>
          </cell>
          <cell r="H1411">
            <v>16.18</v>
          </cell>
          <cell r="I1411">
            <v>718.30685678400005</v>
          </cell>
          <cell r="J1411">
            <v>0</v>
          </cell>
        </row>
        <row r="1412">
          <cell r="E1412">
            <v>10060027</v>
          </cell>
          <cell r="F1412" t="str">
            <v>0301</v>
          </cell>
          <cell r="G1412">
            <v>6</v>
          </cell>
          <cell r="H1412">
            <v>17.46</v>
          </cell>
          <cell r="I1412">
            <v>636.80331607200014</v>
          </cell>
          <cell r="J1412">
            <v>0</v>
          </cell>
        </row>
        <row r="1413">
          <cell r="E1413">
            <v>10060027</v>
          </cell>
          <cell r="F1413" t="str">
            <v>0302</v>
          </cell>
          <cell r="G1413">
            <v>4</v>
          </cell>
          <cell r="H1413">
            <v>7.0200000000000005</v>
          </cell>
          <cell r="I1413">
            <v>245.14467991200002</v>
          </cell>
          <cell r="J1413">
            <v>0</v>
          </cell>
        </row>
        <row r="1414">
          <cell r="E1414">
            <v>10060027</v>
          </cell>
          <cell r="F1414" t="str">
            <v>0303</v>
          </cell>
          <cell r="G1414">
            <v>7</v>
          </cell>
          <cell r="H1414">
            <v>11.180000000000001</v>
          </cell>
          <cell r="I1414">
            <v>716.1939440827</v>
          </cell>
          <cell r="J1414">
            <v>0</v>
          </cell>
        </row>
        <row r="1415">
          <cell r="E1415">
            <v>10060027</v>
          </cell>
          <cell r="F1415" t="str">
            <v>0306</v>
          </cell>
          <cell r="G1415">
            <v>7</v>
          </cell>
          <cell r="H1415">
            <v>17.04</v>
          </cell>
          <cell r="I1415">
            <v>649.05462230400008</v>
          </cell>
          <cell r="J1415">
            <v>0</v>
          </cell>
        </row>
        <row r="1416">
          <cell r="E1416">
            <v>10060029</v>
          </cell>
          <cell r="F1416" t="str">
            <v>0001</v>
          </cell>
          <cell r="G1416">
            <v>14</v>
          </cell>
          <cell r="H1416">
            <v>19.130000000000003</v>
          </cell>
          <cell r="I1416">
            <v>979.9716585061401</v>
          </cell>
          <cell r="J1416">
            <v>0</v>
          </cell>
        </row>
        <row r="1417">
          <cell r="E1417">
            <v>10060029</v>
          </cell>
          <cell r="F1417" t="str">
            <v>0002</v>
          </cell>
          <cell r="G1417">
            <v>14</v>
          </cell>
          <cell r="H1417">
            <v>174.29000000000002</v>
          </cell>
          <cell r="I1417">
            <v>6731.2240620183411</v>
          </cell>
          <cell r="J1417">
            <v>1062</v>
          </cell>
        </row>
        <row r="1418">
          <cell r="E1418">
            <v>10060029</v>
          </cell>
          <cell r="F1418" t="str">
            <v>0003</v>
          </cell>
          <cell r="G1418">
            <v>13</v>
          </cell>
          <cell r="H1418">
            <v>179.19</v>
          </cell>
          <cell r="I1418">
            <v>7049.9203604674822</v>
          </cell>
          <cell r="J1418">
            <v>0</v>
          </cell>
        </row>
        <row r="1419">
          <cell r="E1419">
            <v>10060029</v>
          </cell>
          <cell r="F1419" t="str">
            <v>0004</v>
          </cell>
          <cell r="G1419">
            <v>14</v>
          </cell>
          <cell r="H1419">
            <v>198.10000000000002</v>
          </cell>
          <cell r="I1419">
            <v>10061.739218983941</v>
          </cell>
          <cell r="J1419">
            <v>0</v>
          </cell>
        </row>
        <row r="1420">
          <cell r="E1420">
            <v>10060029</v>
          </cell>
          <cell r="F1420" t="str">
            <v>0005</v>
          </cell>
          <cell r="G1420">
            <v>13</v>
          </cell>
          <cell r="H1420">
            <v>87.63000000000001</v>
          </cell>
          <cell r="I1420">
            <v>3969.1376176974504</v>
          </cell>
          <cell r="J1420">
            <v>0</v>
          </cell>
        </row>
        <row r="1421">
          <cell r="E1421">
            <v>10060029</v>
          </cell>
          <cell r="F1421" t="str">
            <v>0007</v>
          </cell>
          <cell r="G1421">
            <v>5</v>
          </cell>
          <cell r="H1421">
            <v>13.61</v>
          </cell>
          <cell r="I1421">
            <v>515.67298635600002</v>
          </cell>
          <cell r="J1421">
            <v>0</v>
          </cell>
        </row>
        <row r="1422">
          <cell r="E1422">
            <v>10060029</v>
          </cell>
          <cell r="F1422" t="str">
            <v>0009</v>
          </cell>
          <cell r="G1422">
            <v>13</v>
          </cell>
          <cell r="H1422">
            <v>20.610000000000003</v>
          </cell>
          <cell r="I1422">
            <v>755.55748738799991</v>
          </cell>
          <cell r="J1422">
            <v>0</v>
          </cell>
        </row>
        <row r="1423">
          <cell r="E1423">
            <v>10060029</v>
          </cell>
          <cell r="F1423" t="str">
            <v>0011</v>
          </cell>
          <cell r="G1423">
            <v>13</v>
          </cell>
          <cell r="H1423">
            <v>35.489999999999995</v>
          </cell>
          <cell r="I1423">
            <v>1616.3425723896903</v>
          </cell>
          <cell r="J1423">
            <v>0</v>
          </cell>
        </row>
        <row r="1424">
          <cell r="E1424">
            <v>10060029</v>
          </cell>
          <cell r="F1424" t="str">
            <v>0012</v>
          </cell>
          <cell r="G1424">
            <v>2</v>
          </cell>
          <cell r="H1424">
            <v>8.09</v>
          </cell>
          <cell r="I1424">
            <v>250.67277554220001</v>
          </cell>
          <cell r="J1424">
            <v>0</v>
          </cell>
        </row>
        <row r="1425">
          <cell r="E1425">
            <v>10060029</v>
          </cell>
          <cell r="F1425" t="str">
            <v>0015</v>
          </cell>
          <cell r="G1425">
            <v>14</v>
          </cell>
          <cell r="H1425">
            <v>74.319999999999993</v>
          </cell>
          <cell r="I1425">
            <v>3523.03603249557</v>
          </cell>
          <cell r="J1425">
            <v>0</v>
          </cell>
        </row>
        <row r="1426">
          <cell r="E1426">
            <v>10060029</v>
          </cell>
          <cell r="F1426" t="str">
            <v>0016</v>
          </cell>
          <cell r="G1426">
            <v>13</v>
          </cell>
          <cell r="H1426">
            <v>32.929999999999993</v>
          </cell>
          <cell r="I1426">
            <v>1083.3053457996002</v>
          </cell>
          <cell r="J1426">
            <v>0</v>
          </cell>
        </row>
        <row r="1427">
          <cell r="E1427">
            <v>10060029</v>
          </cell>
          <cell r="F1427" t="str">
            <v>0018</v>
          </cell>
          <cell r="G1427">
            <v>14</v>
          </cell>
          <cell r="H1427">
            <v>48.17</v>
          </cell>
          <cell r="I1427">
            <v>1921.1825318399999</v>
          </cell>
          <cell r="J1427">
            <v>0</v>
          </cell>
        </row>
        <row r="1428">
          <cell r="E1428">
            <v>10060029</v>
          </cell>
          <cell r="F1428" t="str">
            <v>0027</v>
          </cell>
          <cell r="G1428">
            <v>7</v>
          </cell>
          <cell r="H1428">
            <v>15.659999999999998</v>
          </cell>
          <cell r="I1428">
            <v>1057.5442915094</v>
          </cell>
          <cell r="J1428">
            <v>0</v>
          </cell>
        </row>
        <row r="1429">
          <cell r="E1429">
            <v>10060029</v>
          </cell>
          <cell r="F1429" t="str">
            <v>0035</v>
          </cell>
          <cell r="G1429">
            <v>5</v>
          </cell>
          <cell r="H1429">
            <v>12.86</v>
          </cell>
          <cell r="I1429">
            <v>471.30170353200003</v>
          </cell>
          <cell r="J1429">
            <v>0</v>
          </cell>
        </row>
        <row r="1430">
          <cell r="E1430">
            <v>10060029</v>
          </cell>
          <cell r="F1430" t="str">
            <v>0037</v>
          </cell>
          <cell r="G1430">
            <v>14</v>
          </cell>
          <cell r="H1430">
            <v>87.639999999999986</v>
          </cell>
          <cell r="I1430">
            <v>4339.02967203151</v>
          </cell>
          <cell r="J1430">
            <v>0</v>
          </cell>
        </row>
        <row r="1431">
          <cell r="E1431">
            <v>10060029</v>
          </cell>
          <cell r="F1431" t="str">
            <v>0038</v>
          </cell>
          <cell r="G1431">
            <v>13</v>
          </cell>
          <cell r="H1431">
            <v>30.59</v>
          </cell>
          <cell r="I1431">
            <v>1488.4781715727802</v>
          </cell>
          <cell r="J1431">
            <v>0</v>
          </cell>
        </row>
        <row r="1432">
          <cell r="E1432">
            <v>10060029</v>
          </cell>
          <cell r="F1432" t="str">
            <v>0039</v>
          </cell>
          <cell r="G1432">
            <v>6</v>
          </cell>
          <cell r="H1432">
            <v>15.86</v>
          </cell>
          <cell r="I1432">
            <v>637.70583492000003</v>
          </cell>
          <cell r="J1432">
            <v>0</v>
          </cell>
        </row>
        <row r="1433">
          <cell r="E1433">
            <v>10060029</v>
          </cell>
          <cell r="F1433" t="str">
            <v>0041</v>
          </cell>
          <cell r="G1433">
            <v>13</v>
          </cell>
          <cell r="H1433">
            <v>25.889999999999997</v>
          </cell>
          <cell r="I1433">
            <v>1004.1424885799998</v>
          </cell>
          <cell r="J1433">
            <v>0</v>
          </cell>
        </row>
        <row r="1434">
          <cell r="E1434">
            <v>10060029</v>
          </cell>
          <cell r="F1434" t="str">
            <v>0043</v>
          </cell>
          <cell r="G1434">
            <v>12</v>
          </cell>
          <cell r="H1434">
            <v>47.74</v>
          </cell>
          <cell r="I1434">
            <v>1638.2273673546001</v>
          </cell>
          <cell r="J1434">
            <v>0</v>
          </cell>
        </row>
        <row r="1435">
          <cell r="E1435">
            <v>10060029</v>
          </cell>
          <cell r="F1435" t="str">
            <v>0046</v>
          </cell>
          <cell r="G1435">
            <v>7</v>
          </cell>
          <cell r="H1435">
            <v>16.05</v>
          </cell>
          <cell r="I1435">
            <v>773.7424006309401</v>
          </cell>
          <cell r="J1435">
            <v>0</v>
          </cell>
        </row>
        <row r="1436">
          <cell r="E1436">
            <v>10060029</v>
          </cell>
          <cell r="F1436" t="str">
            <v>0047</v>
          </cell>
          <cell r="G1436">
            <v>6</v>
          </cell>
          <cell r="H1436">
            <v>12.03</v>
          </cell>
          <cell r="I1436">
            <v>386.23984920179998</v>
          </cell>
          <cell r="J1436">
            <v>0</v>
          </cell>
        </row>
        <row r="1437">
          <cell r="E1437">
            <v>10060029</v>
          </cell>
          <cell r="F1437" t="str">
            <v>0049</v>
          </cell>
          <cell r="G1437">
            <v>6</v>
          </cell>
          <cell r="H1437">
            <v>15.42</v>
          </cell>
          <cell r="I1437">
            <v>683.86719416400001</v>
          </cell>
          <cell r="J1437">
            <v>0</v>
          </cell>
        </row>
        <row r="1438">
          <cell r="E1438">
            <v>10060029</v>
          </cell>
          <cell r="F1438" t="str">
            <v>0051</v>
          </cell>
          <cell r="G1438">
            <v>9</v>
          </cell>
          <cell r="H1438">
            <v>20.9</v>
          </cell>
          <cell r="I1438">
            <v>968.18392624544003</v>
          </cell>
          <cell r="J1438">
            <v>0</v>
          </cell>
        </row>
        <row r="1439">
          <cell r="E1439">
            <v>10060029</v>
          </cell>
          <cell r="F1439" t="str">
            <v>0053</v>
          </cell>
          <cell r="G1439">
            <v>7</v>
          </cell>
          <cell r="H1439">
            <v>17.439999999999998</v>
          </cell>
          <cell r="I1439">
            <v>583.20901322639997</v>
          </cell>
          <cell r="J1439">
            <v>0</v>
          </cell>
        </row>
        <row r="1440">
          <cell r="E1440">
            <v>10060029</v>
          </cell>
          <cell r="F1440" t="str">
            <v>0061</v>
          </cell>
          <cell r="G1440">
            <v>7</v>
          </cell>
          <cell r="H1440">
            <v>14.049999999999999</v>
          </cell>
          <cell r="I1440">
            <v>536.30536410000002</v>
          </cell>
          <cell r="J1440">
            <v>0</v>
          </cell>
        </row>
        <row r="1441">
          <cell r="E1441">
            <v>10060029</v>
          </cell>
          <cell r="F1441" t="str">
            <v>0066</v>
          </cell>
          <cell r="G1441">
            <v>14</v>
          </cell>
          <cell r="H1441">
            <v>94.489999999999981</v>
          </cell>
          <cell r="I1441">
            <v>4036.6580227056002</v>
          </cell>
          <cell r="J1441">
            <v>0</v>
          </cell>
        </row>
        <row r="1442">
          <cell r="E1442">
            <v>10060029</v>
          </cell>
          <cell r="F1442" t="str">
            <v>0067</v>
          </cell>
          <cell r="G1442">
            <v>14</v>
          </cell>
          <cell r="H1442">
            <v>33.35</v>
          </cell>
          <cell r="I1442">
            <v>1272.9803351760002</v>
          </cell>
          <cell r="J1442">
            <v>0</v>
          </cell>
        </row>
        <row r="1443">
          <cell r="E1443">
            <v>10060029</v>
          </cell>
          <cell r="F1443" t="str">
            <v>0068</v>
          </cell>
          <cell r="G1443">
            <v>14</v>
          </cell>
          <cell r="H1443">
            <v>127.84000000000002</v>
          </cell>
          <cell r="I1443">
            <v>6226.0366646412704</v>
          </cell>
          <cell r="J1443">
            <v>0</v>
          </cell>
        </row>
        <row r="1444">
          <cell r="E1444">
            <v>10060029</v>
          </cell>
          <cell r="F1444" t="str">
            <v>0074</v>
          </cell>
          <cell r="G1444">
            <v>14</v>
          </cell>
          <cell r="H1444">
            <v>27.05</v>
          </cell>
          <cell r="I1444">
            <v>1418.28061336361</v>
          </cell>
          <cell r="J1444">
            <v>0</v>
          </cell>
        </row>
        <row r="1445">
          <cell r="E1445">
            <v>10060029</v>
          </cell>
          <cell r="F1445" t="str">
            <v>0076</v>
          </cell>
          <cell r="G1445">
            <v>14</v>
          </cell>
          <cell r="H1445">
            <v>53.820000000000007</v>
          </cell>
          <cell r="I1445">
            <v>1886.9652865799999</v>
          </cell>
          <cell r="J1445">
            <v>0</v>
          </cell>
        </row>
        <row r="1446">
          <cell r="E1446">
            <v>10060029</v>
          </cell>
          <cell r="F1446" t="str">
            <v>0077</v>
          </cell>
          <cell r="G1446">
            <v>8</v>
          </cell>
          <cell r="H1446">
            <v>15.36</v>
          </cell>
          <cell r="I1446">
            <v>774.86608206184007</v>
          </cell>
          <cell r="J1446">
            <v>0</v>
          </cell>
        </row>
        <row r="1447">
          <cell r="E1447">
            <v>10060029</v>
          </cell>
          <cell r="F1447" t="str">
            <v>0089</v>
          </cell>
          <cell r="G1447">
            <v>12</v>
          </cell>
          <cell r="H1447">
            <v>23.340000000000003</v>
          </cell>
          <cell r="I1447">
            <v>1423.2504402349798</v>
          </cell>
          <cell r="J1447">
            <v>0</v>
          </cell>
        </row>
        <row r="1448">
          <cell r="E1448">
            <v>10060029</v>
          </cell>
          <cell r="F1448" t="str">
            <v>0090</v>
          </cell>
          <cell r="G1448">
            <v>1</v>
          </cell>
          <cell r="H1448">
            <v>3</v>
          </cell>
          <cell r="I1448">
            <v>167.83653438000002</v>
          </cell>
          <cell r="J1448">
            <v>0</v>
          </cell>
        </row>
        <row r="1449">
          <cell r="E1449">
            <v>10060029</v>
          </cell>
          <cell r="F1449" t="str">
            <v>0091</v>
          </cell>
          <cell r="G1449">
            <v>1</v>
          </cell>
          <cell r="H1449">
            <v>8</v>
          </cell>
          <cell r="I1449">
            <v>466.21396007999999</v>
          </cell>
          <cell r="J1449">
            <v>0</v>
          </cell>
        </row>
        <row r="1450">
          <cell r="E1450">
            <v>10060031</v>
          </cell>
          <cell r="F1450" t="str">
            <v>0002</v>
          </cell>
          <cell r="G1450">
            <v>1</v>
          </cell>
          <cell r="H1450">
            <v>2.34</v>
          </cell>
          <cell r="I1450">
            <v>97.91758548</v>
          </cell>
          <cell r="J1450">
            <v>0</v>
          </cell>
        </row>
        <row r="1451">
          <cell r="E1451">
            <v>10060031</v>
          </cell>
          <cell r="F1451" t="str">
            <v>0089</v>
          </cell>
          <cell r="G1451">
            <v>5</v>
          </cell>
          <cell r="H1451">
            <v>11.24</v>
          </cell>
          <cell r="I1451">
            <v>504.00736610400008</v>
          </cell>
          <cell r="J1451">
            <v>0</v>
          </cell>
        </row>
        <row r="1452">
          <cell r="E1452">
            <v>10060031</v>
          </cell>
          <cell r="F1452" t="str">
            <v>0090</v>
          </cell>
          <cell r="G1452">
            <v>7</v>
          </cell>
          <cell r="H1452">
            <v>17.309999999999999</v>
          </cell>
          <cell r="I1452">
            <v>696.18352042800007</v>
          </cell>
          <cell r="J1452">
            <v>0</v>
          </cell>
        </row>
        <row r="1453">
          <cell r="E1453">
            <v>10060031</v>
          </cell>
          <cell r="F1453" t="str">
            <v>0091</v>
          </cell>
          <cell r="G1453">
            <v>6</v>
          </cell>
          <cell r="H1453">
            <v>11.48</v>
          </cell>
          <cell r="I1453">
            <v>482.28401548800002</v>
          </cell>
          <cell r="J1453">
            <v>0</v>
          </cell>
        </row>
        <row r="1454">
          <cell r="E1454">
            <v>10060031</v>
          </cell>
          <cell r="F1454" t="str">
            <v>0095</v>
          </cell>
          <cell r="G1454">
            <v>13</v>
          </cell>
          <cell r="H1454">
            <v>64.489999999999995</v>
          </cell>
          <cell r="I1454">
            <v>2914.91168767311</v>
          </cell>
          <cell r="J1454">
            <v>0</v>
          </cell>
        </row>
        <row r="1455">
          <cell r="E1455">
            <v>10060031</v>
          </cell>
          <cell r="F1455" t="str">
            <v>0097</v>
          </cell>
          <cell r="G1455">
            <v>14</v>
          </cell>
          <cell r="H1455">
            <v>59.68</v>
          </cell>
          <cell r="I1455">
            <v>2577.2766719040005</v>
          </cell>
          <cell r="J1455">
            <v>0</v>
          </cell>
        </row>
        <row r="1456">
          <cell r="E1456">
            <v>10060031</v>
          </cell>
          <cell r="F1456" t="str">
            <v>0098</v>
          </cell>
          <cell r="G1456">
            <v>6</v>
          </cell>
          <cell r="H1456">
            <v>21.3</v>
          </cell>
          <cell r="I1456">
            <v>844.14141900000016</v>
          </cell>
          <cell r="J1456">
            <v>0</v>
          </cell>
        </row>
        <row r="1457">
          <cell r="E1457">
            <v>10060031</v>
          </cell>
          <cell r="F1457" t="str">
            <v>0100</v>
          </cell>
          <cell r="G1457">
            <v>9</v>
          </cell>
          <cell r="H1457">
            <v>33.520000000000003</v>
          </cell>
          <cell r="I1457">
            <v>2217.93787032</v>
          </cell>
          <cell r="J1457">
            <v>0</v>
          </cell>
        </row>
        <row r="1458">
          <cell r="E1458">
            <v>10060031</v>
          </cell>
          <cell r="F1458" t="str">
            <v>0101</v>
          </cell>
          <cell r="G1458">
            <v>14</v>
          </cell>
          <cell r="H1458">
            <v>78.72999999999999</v>
          </cell>
          <cell r="I1458">
            <v>3097.7828658018002</v>
          </cell>
          <cell r="J1458">
            <v>0</v>
          </cell>
        </row>
        <row r="1459">
          <cell r="E1459">
            <v>10060031</v>
          </cell>
          <cell r="F1459" t="str">
            <v>0102</v>
          </cell>
          <cell r="G1459">
            <v>12</v>
          </cell>
          <cell r="H1459">
            <v>15.16</v>
          </cell>
          <cell r="I1459">
            <v>657.96316700399996</v>
          </cell>
          <cell r="J1459">
            <v>0</v>
          </cell>
        </row>
        <row r="1460">
          <cell r="E1460">
            <v>10060031</v>
          </cell>
          <cell r="F1460" t="str">
            <v>0105</v>
          </cell>
          <cell r="G1460">
            <v>12</v>
          </cell>
          <cell r="H1460">
            <v>144.27000000000004</v>
          </cell>
          <cell r="I1460">
            <v>6009.7775918400012</v>
          </cell>
          <cell r="J1460">
            <v>0</v>
          </cell>
        </row>
        <row r="1461">
          <cell r="E1461">
            <v>10060031</v>
          </cell>
          <cell r="F1461" t="str">
            <v>0108</v>
          </cell>
          <cell r="G1461">
            <v>14</v>
          </cell>
          <cell r="H1461">
            <v>27.660000000000004</v>
          </cell>
          <cell r="I1461">
            <v>1731.9020092492899</v>
          </cell>
          <cell r="J1461">
            <v>0</v>
          </cell>
        </row>
        <row r="1462">
          <cell r="E1462">
            <v>10060031</v>
          </cell>
          <cell r="F1462" t="str">
            <v>0110</v>
          </cell>
          <cell r="G1462">
            <v>6</v>
          </cell>
          <cell r="H1462">
            <v>7.45</v>
          </cell>
          <cell r="I1462">
            <v>321.83244482400005</v>
          </cell>
          <cell r="J1462">
            <v>0</v>
          </cell>
        </row>
        <row r="1463">
          <cell r="E1463">
            <v>10060031</v>
          </cell>
          <cell r="F1463" t="str">
            <v>0112</v>
          </cell>
          <cell r="G1463">
            <v>9</v>
          </cell>
          <cell r="H1463">
            <v>19.330000000000002</v>
          </cell>
          <cell r="I1463">
            <v>763.62320825999996</v>
          </cell>
          <cell r="J1463">
            <v>0</v>
          </cell>
        </row>
        <row r="1464">
          <cell r="E1464">
            <v>10060031</v>
          </cell>
          <cell r="F1464" t="str">
            <v>0113</v>
          </cell>
          <cell r="G1464">
            <v>14</v>
          </cell>
          <cell r="H1464">
            <v>22.56</v>
          </cell>
          <cell r="I1464">
            <v>927.17219232000025</v>
          </cell>
          <cell r="J1464">
            <v>0</v>
          </cell>
        </row>
        <row r="1465">
          <cell r="E1465">
            <v>10060032</v>
          </cell>
          <cell r="F1465" t="str">
            <v>0001</v>
          </cell>
          <cell r="G1465">
            <v>10</v>
          </cell>
          <cell r="H1465">
            <v>21.439999999999998</v>
          </cell>
          <cell r="I1465">
            <v>1326.4873833470999</v>
          </cell>
          <cell r="J1465">
            <v>0</v>
          </cell>
        </row>
        <row r="1466">
          <cell r="E1466">
            <v>10060032</v>
          </cell>
          <cell r="F1466" t="str">
            <v>0002</v>
          </cell>
          <cell r="G1466">
            <v>14</v>
          </cell>
          <cell r="H1466">
            <v>266.61</v>
          </cell>
          <cell r="I1466">
            <v>12777.49007018854</v>
          </cell>
          <cell r="J1466">
            <v>248</v>
          </cell>
        </row>
        <row r="1467">
          <cell r="E1467">
            <v>10060032</v>
          </cell>
          <cell r="F1467" t="str">
            <v>0003</v>
          </cell>
          <cell r="G1467">
            <v>9</v>
          </cell>
          <cell r="H1467">
            <v>19.47</v>
          </cell>
          <cell r="I1467">
            <v>969.88476280938005</v>
          </cell>
          <cell r="J1467">
            <v>0</v>
          </cell>
        </row>
        <row r="1468">
          <cell r="E1468">
            <v>10060032</v>
          </cell>
          <cell r="F1468" t="str">
            <v>0004</v>
          </cell>
          <cell r="G1468">
            <v>1</v>
          </cell>
          <cell r="H1468">
            <v>0.95</v>
          </cell>
          <cell r="I1468">
            <v>46.734480203600008</v>
          </cell>
          <cell r="J1468">
            <v>0</v>
          </cell>
        </row>
        <row r="1469">
          <cell r="E1469">
            <v>10060032</v>
          </cell>
          <cell r="F1469" t="str">
            <v>0006</v>
          </cell>
          <cell r="G1469">
            <v>7</v>
          </cell>
          <cell r="H1469">
            <v>31.400000000000002</v>
          </cell>
          <cell r="I1469">
            <v>1211.4375276960002</v>
          </cell>
          <cell r="J1469">
            <v>0</v>
          </cell>
        </row>
        <row r="1470">
          <cell r="E1470">
            <v>10060032</v>
          </cell>
          <cell r="F1470" t="str">
            <v>0007</v>
          </cell>
          <cell r="G1470">
            <v>10</v>
          </cell>
          <cell r="H1470">
            <v>52.989999999999995</v>
          </cell>
          <cell r="I1470">
            <v>2605.3752774030604</v>
          </cell>
          <cell r="J1470">
            <v>0</v>
          </cell>
        </row>
        <row r="1471">
          <cell r="E1471">
            <v>10060032</v>
          </cell>
          <cell r="F1471" t="str">
            <v>0008</v>
          </cell>
          <cell r="G1471">
            <v>5</v>
          </cell>
          <cell r="H1471">
            <v>7.7200000000000006</v>
          </cell>
          <cell r="I1471">
            <v>385.73961639864001</v>
          </cell>
          <cell r="J1471">
            <v>0</v>
          </cell>
        </row>
        <row r="1472">
          <cell r="E1472">
            <v>10060032</v>
          </cell>
          <cell r="F1472" t="str">
            <v>0010</v>
          </cell>
          <cell r="G1472">
            <v>14</v>
          </cell>
          <cell r="H1472">
            <v>47.959999999999994</v>
          </cell>
          <cell r="I1472">
            <v>3135.1824149051095</v>
          </cell>
          <cell r="J1472">
            <v>0</v>
          </cell>
        </row>
        <row r="1473">
          <cell r="E1473">
            <v>10060032</v>
          </cell>
          <cell r="F1473" t="str">
            <v>0012</v>
          </cell>
          <cell r="G1473">
            <v>1</v>
          </cell>
          <cell r="H1473">
            <v>4.33</v>
          </cell>
          <cell r="I1473">
            <v>164.61390963600005</v>
          </cell>
          <cell r="J1473">
            <v>0</v>
          </cell>
        </row>
        <row r="1474">
          <cell r="E1474">
            <v>10060032</v>
          </cell>
          <cell r="F1474" t="str">
            <v>0015</v>
          </cell>
          <cell r="G1474">
            <v>4</v>
          </cell>
          <cell r="H1474">
            <v>5.7</v>
          </cell>
          <cell r="I1474">
            <v>213.59377141740003</v>
          </cell>
          <cell r="J1474">
            <v>0</v>
          </cell>
        </row>
        <row r="1475">
          <cell r="E1475">
            <v>10060032</v>
          </cell>
          <cell r="F1475" t="str">
            <v>0017</v>
          </cell>
          <cell r="G1475">
            <v>3</v>
          </cell>
          <cell r="H1475">
            <v>3.67</v>
          </cell>
          <cell r="I1475">
            <v>144.12421108800004</v>
          </cell>
          <cell r="J1475">
            <v>0</v>
          </cell>
        </row>
        <row r="1476">
          <cell r="E1476">
            <v>10060032</v>
          </cell>
          <cell r="F1476" t="str">
            <v>0018</v>
          </cell>
          <cell r="G1476">
            <v>7</v>
          </cell>
          <cell r="H1476">
            <v>11.92</v>
          </cell>
          <cell r="I1476">
            <v>597.51466558719596</v>
          </cell>
          <cell r="J1476">
            <v>0</v>
          </cell>
        </row>
        <row r="1477">
          <cell r="E1477">
            <v>10060032</v>
          </cell>
          <cell r="F1477" t="str">
            <v>0019</v>
          </cell>
          <cell r="G1477">
            <v>2</v>
          </cell>
          <cell r="H1477">
            <v>22.78</v>
          </cell>
          <cell r="I1477">
            <v>1225.15075592276</v>
          </cell>
          <cell r="J1477">
            <v>0</v>
          </cell>
        </row>
        <row r="1478">
          <cell r="E1478">
            <v>10060032</v>
          </cell>
          <cell r="F1478" t="str">
            <v>0020</v>
          </cell>
          <cell r="G1478">
            <v>13</v>
          </cell>
          <cell r="H1478">
            <v>98.050000000000011</v>
          </cell>
          <cell r="I1478">
            <v>3747.9578004000009</v>
          </cell>
          <cell r="J1478">
            <v>0</v>
          </cell>
        </row>
        <row r="1479">
          <cell r="E1479">
            <v>10060032</v>
          </cell>
          <cell r="F1479" t="str">
            <v>0022</v>
          </cell>
          <cell r="G1479">
            <v>4</v>
          </cell>
          <cell r="H1479">
            <v>7.74</v>
          </cell>
          <cell r="I1479">
            <v>324.01637524080002</v>
          </cell>
          <cell r="J1479">
            <v>0</v>
          </cell>
        </row>
        <row r="1480">
          <cell r="E1480">
            <v>10060032</v>
          </cell>
          <cell r="F1480" t="str">
            <v>0024</v>
          </cell>
          <cell r="G1480">
            <v>5</v>
          </cell>
          <cell r="H1480">
            <v>14.510000000000002</v>
          </cell>
          <cell r="I1480">
            <v>587.32361146800008</v>
          </cell>
          <cell r="J1480">
            <v>0</v>
          </cell>
        </row>
        <row r="1481">
          <cell r="E1481">
            <v>10060032</v>
          </cell>
          <cell r="F1481" t="str">
            <v>0028</v>
          </cell>
          <cell r="G1481">
            <v>9</v>
          </cell>
          <cell r="H1481">
            <v>21.55</v>
          </cell>
          <cell r="I1481">
            <v>823.29782634000014</v>
          </cell>
          <cell r="J1481">
            <v>0</v>
          </cell>
        </row>
        <row r="1482">
          <cell r="E1482">
            <v>10060032</v>
          </cell>
          <cell r="F1482" t="str">
            <v>0029</v>
          </cell>
          <cell r="G1482">
            <v>6</v>
          </cell>
          <cell r="H1482">
            <v>9.27</v>
          </cell>
          <cell r="I1482">
            <v>469.14232368192012</v>
          </cell>
          <cell r="J1482">
            <v>0</v>
          </cell>
        </row>
        <row r="1483">
          <cell r="E1483">
            <v>10060032</v>
          </cell>
          <cell r="F1483" t="str">
            <v>0031</v>
          </cell>
          <cell r="G1483">
            <v>14</v>
          </cell>
          <cell r="H1483">
            <v>132.79999999999998</v>
          </cell>
          <cell r="I1483">
            <v>5002.9436231280006</v>
          </cell>
          <cell r="J1483">
            <v>0</v>
          </cell>
        </row>
        <row r="1484">
          <cell r="E1484">
            <v>10060032</v>
          </cell>
          <cell r="F1484" t="str">
            <v>0034</v>
          </cell>
          <cell r="G1484">
            <v>5</v>
          </cell>
          <cell r="H1484">
            <v>9.83</v>
          </cell>
          <cell r="I1484">
            <v>566.07130881102</v>
          </cell>
          <cell r="J1484">
            <v>0</v>
          </cell>
        </row>
        <row r="1485">
          <cell r="E1485">
            <v>10060032</v>
          </cell>
          <cell r="F1485" t="str">
            <v>0035</v>
          </cell>
          <cell r="G1485">
            <v>10</v>
          </cell>
          <cell r="H1485">
            <v>13.36</v>
          </cell>
          <cell r="I1485">
            <v>609.90267927508</v>
          </cell>
          <cell r="J1485">
            <v>0</v>
          </cell>
        </row>
        <row r="1486">
          <cell r="E1486">
            <v>10060032</v>
          </cell>
          <cell r="F1486" t="str">
            <v>0037</v>
          </cell>
          <cell r="G1486">
            <v>14</v>
          </cell>
          <cell r="H1486">
            <v>100.69000000000001</v>
          </cell>
          <cell r="I1486">
            <v>4330.6831167113005</v>
          </cell>
          <cell r="J1486">
            <v>0</v>
          </cell>
        </row>
        <row r="1487">
          <cell r="E1487">
            <v>10060032</v>
          </cell>
          <cell r="F1487" t="str">
            <v>0039</v>
          </cell>
          <cell r="G1487">
            <v>14</v>
          </cell>
          <cell r="H1487">
            <v>73.890000000000015</v>
          </cell>
          <cell r="I1487">
            <v>2797.5339738720004</v>
          </cell>
          <cell r="J1487">
            <v>0</v>
          </cell>
        </row>
        <row r="1488">
          <cell r="E1488">
            <v>10060032</v>
          </cell>
          <cell r="F1488" t="str">
            <v>0040</v>
          </cell>
          <cell r="G1488">
            <v>13</v>
          </cell>
          <cell r="H1488">
            <v>25.18</v>
          </cell>
          <cell r="I1488">
            <v>1080.6875181828002</v>
          </cell>
          <cell r="J1488">
            <v>0</v>
          </cell>
        </row>
        <row r="1489">
          <cell r="E1489">
            <v>10060032</v>
          </cell>
          <cell r="F1489" t="str">
            <v>0044</v>
          </cell>
          <cell r="G1489">
            <v>14</v>
          </cell>
          <cell r="H1489">
            <v>303.83999999999997</v>
          </cell>
          <cell r="I1489">
            <v>20413.285055200715</v>
          </cell>
          <cell r="J1489">
            <v>0</v>
          </cell>
        </row>
        <row r="1490">
          <cell r="E1490">
            <v>10060032</v>
          </cell>
          <cell r="F1490" t="str">
            <v>0046</v>
          </cell>
          <cell r="G1490">
            <v>14</v>
          </cell>
          <cell r="H1490">
            <v>65.73</v>
          </cell>
          <cell r="I1490">
            <v>5015.6583451987299</v>
          </cell>
          <cell r="J1490">
            <v>0</v>
          </cell>
        </row>
        <row r="1491">
          <cell r="E1491">
            <v>10060032</v>
          </cell>
          <cell r="F1491" t="str">
            <v>0049</v>
          </cell>
          <cell r="G1491">
            <v>14</v>
          </cell>
          <cell r="H1491">
            <v>89.410000000000011</v>
          </cell>
          <cell r="I1491">
            <v>4396.5327162469803</v>
          </cell>
          <cell r="J1491">
            <v>0</v>
          </cell>
        </row>
        <row r="1492">
          <cell r="E1492">
            <v>10060032</v>
          </cell>
          <cell r="F1492" t="str">
            <v>0050</v>
          </cell>
          <cell r="G1492">
            <v>8</v>
          </cell>
          <cell r="H1492">
            <v>28.04</v>
          </cell>
          <cell r="I1492">
            <v>1809.20928160016</v>
          </cell>
          <cell r="J1492">
            <v>0</v>
          </cell>
        </row>
        <row r="1493">
          <cell r="E1493">
            <v>10060032</v>
          </cell>
          <cell r="F1493" t="str">
            <v>0052</v>
          </cell>
          <cell r="G1493">
            <v>13</v>
          </cell>
          <cell r="H1493">
            <v>37.039999999999992</v>
          </cell>
          <cell r="I1493">
            <v>2282.3224667281997</v>
          </cell>
          <cell r="J1493">
            <v>0</v>
          </cell>
        </row>
        <row r="1494">
          <cell r="E1494">
            <v>10060032</v>
          </cell>
          <cell r="F1494" t="str">
            <v>0054</v>
          </cell>
          <cell r="G1494">
            <v>7</v>
          </cell>
          <cell r="H1494">
            <v>30.480000000000004</v>
          </cell>
          <cell r="I1494">
            <v>1156.33811898</v>
          </cell>
          <cell r="J1494">
            <v>0</v>
          </cell>
        </row>
        <row r="1495">
          <cell r="E1495">
            <v>10060032</v>
          </cell>
          <cell r="F1495" t="str">
            <v>0058</v>
          </cell>
          <cell r="G1495">
            <v>6</v>
          </cell>
          <cell r="H1495">
            <v>9.66</v>
          </cell>
          <cell r="I1495">
            <v>468.26808894279998</v>
          </cell>
          <cell r="J1495">
            <v>0</v>
          </cell>
        </row>
        <row r="1496">
          <cell r="E1496">
            <v>10060032</v>
          </cell>
          <cell r="F1496" t="str">
            <v>0060</v>
          </cell>
          <cell r="G1496">
            <v>7</v>
          </cell>
          <cell r="H1496">
            <v>18.489999999999998</v>
          </cell>
          <cell r="I1496">
            <v>1044.73161822116</v>
          </cell>
          <cell r="J1496">
            <v>0</v>
          </cell>
        </row>
        <row r="1497">
          <cell r="E1497">
            <v>10060032</v>
          </cell>
          <cell r="F1497" t="str">
            <v>0061</v>
          </cell>
          <cell r="G1497">
            <v>7</v>
          </cell>
          <cell r="H1497">
            <v>21.990000000000002</v>
          </cell>
          <cell r="I1497">
            <v>831.32382920400016</v>
          </cell>
          <cell r="J1497">
            <v>0</v>
          </cell>
        </row>
        <row r="1498">
          <cell r="E1498">
            <v>10060032</v>
          </cell>
          <cell r="F1498" t="str">
            <v>0062</v>
          </cell>
          <cell r="G1498">
            <v>8</v>
          </cell>
          <cell r="H1498">
            <v>16.38</v>
          </cell>
          <cell r="I1498">
            <v>866.81347844352013</v>
          </cell>
          <cell r="J1498">
            <v>0</v>
          </cell>
        </row>
        <row r="1499">
          <cell r="E1499">
            <v>10060032</v>
          </cell>
          <cell r="F1499" t="str">
            <v>0073</v>
          </cell>
          <cell r="G1499">
            <v>14</v>
          </cell>
          <cell r="H1499">
            <v>111.14</v>
          </cell>
          <cell r="I1499">
            <v>4245.4281331439997</v>
          </cell>
          <cell r="J1499">
            <v>0</v>
          </cell>
        </row>
        <row r="1500">
          <cell r="E1500">
            <v>10060032</v>
          </cell>
          <cell r="F1500" t="str">
            <v>0079</v>
          </cell>
          <cell r="G1500">
            <v>13</v>
          </cell>
          <cell r="H1500">
            <v>34.01</v>
          </cell>
          <cell r="I1500">
            <v>1644.0950266300802</v>
          </cell>
          <cell r="J1500">
            <v>0</v>
          </cell>
        </row>
        <row r="1501">
          <cell r="E1501">
            <v>10060032</v>
          </cell>
          <cell r="F1501" t="str">
            <v>0086</v>
          </cell>
          <cell r="G1501">
            <v>14</v>
          </cell>
          <cell r="H1501">
            <v>422.51999999999992</v>
          </cell>
          <cell r="I1501">
            <v>20985.711327630917</v>
          </cell>
          <cell r="J1501">
            <v>0</v>
          </cell>
        </row>
        <row r="1502">
          <cell r="E1502">
            <v>10060032</v>
          </cell>
          <cell r="F1502" t="str">
            <v>0087</v>
          </cell>
          <cell r="G1502">
            <v>13</v>
          </cell>
          <cell r="H1502">
            <v>26.23</v>
          </cell>
          <cell r="I1502">
            <v>1004.7595338000001</v>
          </cell>
          <cell r="J1502">
            <v>0</v>
          </cell>
        </row>
        <row r="1503">
          <cell r="E1503">
            <v>10060032</v>
          </cell>
          <cell r="F1503" t="str">
            <v>0089</v>
          </cell>
          <cell r="G1503">
            <v>7</v>
          </cell>
          <cell r="H1503">
            <v>14.109999999999998</v>
          </cell>
          <cell r="I1503">
            <v>753.66328486371003</v>
          </cell>
          <cell r="J1503">
            <v>0</v>
          </cell>
        </row>
        <row r="1504">
          <cell r="E1504">
            <v>10060032</v>
          </cell>
          <cell r="F1504" t="str">
            <v>0093</v>
          </cell>
          <cell r="G1504">
            <v>6</v>
          </cell>
          <cell r="H1504">
            <v>14.809999999999999</v>
          </cell>
          <cell r="I1504">
            <v>565.07361688800006</v>
          </cell>
          <cell r="J1504">
            <v>0</v>
          </cell>
        </row>
        <row r="1505">
          <cell r="E1505">
            <v>10060032</v>
          </cell>
          <cell r="F1505" t="str">
            <v>0103</v>
          </cell>
          <cell r="G1505">
            <v>6</v>
          </cell>
          <cell r="H1505">
            <v>12.87</v>
          </cell>
          <cell r="I1505">
            <v>502.81068966480012</v>
          </cell>
          <cell r="J1505">
            <v>0</v>
          </cell>
        </row>
        <row r="1506">
          <cell r="E1506">
            <v>10060032</v>
          </cell>
          <cell r="F1506" t="str">
            <v>0108</v>
          </cell>
          <cell r="G1506">
            <v>6</v>
          </cell>
          <cell r="H1506">
            <v>9.2199999999999989</v>
          </cell>
          <cell r="I1506">
            <v>414.1740452107</v>
          </cell>
          <cell r="J1506">
            <v>0</v>
          </cell>
        </row>
        <row r="1507">
          <cell r="E1507">
            <v>10060032</v>
          </cell>
          <cell r="F1507" t="str">
            <v>0112</v>
          </cell>
          <cell r="G1507">
            <v>7</v>
          </cell>
          <cell r="H1507">
            <v>30.459999999999997</v>
          </cell>
          <cell r="I1507">
            <v>1160.3628459720003</v>
          </cell>
          <cell r="J1507">
            <v>0</v>
          </cell>
        </row>
        <row r="1508">
          <cell r="E1508">
            <v>10060032</v>
          </cell>
          <cell r="F1508" t="str">
            <v>0131</v>
          </cell>
          <cell r="G1508">
            <v>7</v>
          </cell>
          <cell r="H1508">
            <v>22.8</v>
          </cell>
          <cell r="I1508">
            <v>873.76163925600008</v>
          </cell>
          <cell r="J1508">
            <v>0</v>
          </cell>
        </row>
        <row r="1509">
          <cell r="E1509">
            <v>10060032</v>
          </cell>
          <cell r="F1509" t="str">
            <v>0132</v>
          </cell>
          <cell r="G1509">
            <v>7</v>
          </cell>
          <cell r="H1509">
            <v>12.98</v>
          </cell>
          <cell r="I1509">
            <v>633.72577560183004</v>
          </cell>
          <cell r="J1509">
            <v>0</v>
          </cell>
        </row>
        <row r="1510">
          <cell r="E1510">
            <v>10060032</v>
          </cell>
          <cell r="F1510" t="str">
            <v>0133</v>
          </cell>
          <cell r="G1510">
            <v>14</v>
          </cell>
          <cell r="H1510">
            <v>35.6</v>
          </cell>
          <cell r="I1510">
            <v>1395.5400712440003</v>
          </cell>
          <cell r="J1510">
            <v>0</v>
          </cell>
        </row>
        <row r="1511">
          <cell r="E1511">
            <v>10060032</v>
          </cell>
          <cell r="F1511" t="str">
            <v>0139</v>
          </cell>
          <cell r="G1511">
            <v>7</v>
          </cell>
          <cell r="H1511">
            <v>20.540000000000003</v>
          </cell>
          <cell r="I1511">
            <v>779.45301482399998</v>
          </cell>
          <cell r="J1511">
            <v>0</v>
          </cell>
        </row>
        <row r="1512">
          <cell r="E1512">
            <v>10060032</v>
          </cell>
          <cell r="F1512" t="str">
            <v>0142</v>
          </cell>
          <cell r="G1512">
            <v>14</v>
          </cell>
          <cell r="H1512">
            <v>146.68</v>
          </cell>
          <cell r="I1512">
            <v>11180.763144439989</v>
          </cell>
          <cell r="J1512">
            <v>0</v>
          </cell>
        </row>
        <row r="1513">
          <cell r="E1513">
            <v>10060032</v>
          </cell>
          <cell r="F1513" t="str">
            <v>0146</v>
          </cell>
          <cell r="G1513">
            <v>14</v>
          </cell>
          <cell r="H1513">
            <v>99.860000000000014</v>
          </cell>
          <cell r="I1513">
            <v>3816.6815661480005</v>
          </cell>
          <cell r="J1513">
            <v>0</v>
          </cell>
        </row>
        <row r="1514">
          <cell r="E1514">
            <v>10060032</v>
          </cell>
          <cell r="F1514" t="str">
            <v>0148</v>
          </cell>
          <cell r="G1514">
            <v>7</v>
          </cell>
          <cell r="H1514">
            <v>23.61</v>
          </cell>
          <cell r="I1514">
            <v>1193.6662560152702</v>
          </cell>
          <cell r="J1514">
            <v>0</v>
          </cell>
        </row>
        <row r="1515">
          <cell r="E1515">
            <v>10060032</v>
          </cell>
          <cell r="F1515" t="str">
            <v>0149</v>
          </cell>
          <cell r="G1515">
            <v>6</v>
          </cell>
          <cell r="H1515">
            <v>18.059999999999999</v>
          </cell>
          <cell r="I1515">
            <v>876.63095044270017</v>
          </cell>
          <cell r="J1515">
            <v>0</v>
          </cell>
        </row>
        <row r="1516">
          <cell r="E1516">
            <v>10060032</v>
          </cell>
          <cell r="F1516" t="str">
            <v>0150</v>
          </cell>
          <cell r="G1516">
            <v>14</v>
          </cell>
          <cell r="H1516">
            <v>131.11000000000001</v>
          </cell>
          <cell r="I1516">
            <v>5225.0047842960003</v>
          </cell>
          <cell r="J1516">
            <v>0</v>
          </cell>
        </row>
        <row r="1517">
          <cell r="E1517">
            <v>10060032</v>
          </cell>
          <cell r="F1517" t="str">
            <v>0153</v>
          </cell>
          <cell r="G1517">
            <v>10</v>
          </cell>
          <cell r="H1517">
            <v>63.63</v>
          </cell>
          <cell r="I1517">
            <v>2461.6247344920007</v>
          </cell>
          <cell r="J1517">
            <v>0</v>
          </cell>
        </row>
        <row r="1518">
          <cell r="E1518">
            <v>10060033</v>
          </cell>
          <cell r="F1518" t="str">
            <v>0001</v>
          </cell>
          <cell r="G1518">
            <v>4</v>
          </cell>
          <cell r="H1518">
            <v>1.73</v>
          </cell>
          <cell r="I1518">
            <v>68.515221060000016</v>
          </cell>
          <cell r="J1518">
            <v>0</v>
          </cell>
        </row>
        <row r="1519">
          <cell r="E1519">
            <v>10060033</v>
          </cell>
          <cell r="F1519" t="str">
            <v>0002</v>
          </cell>
          <cell r="G1519">
            <v>1</v>
          </cell>
          <cell r="H1519">
            <v>15</v>
          </cell>
          <cell r="I1519">
            <v>572.23584000000005</v>
          </cell>
          <cell r="J1519">
            <v>413</v>
          </cell>
        </row>
        <row r="1520">
          <cell r="E1520">
            <v>10060033</v>
          </cell>
          <cell r="F1520" t="str">
            <v>0028</v>
          </cell>
          <cell r="G1520">
            <v>5</v>
          </cell>
          <cell r="H1520">
            <v>7.25</v>
          </cell>
          <cell r="I1520">
            <v>295.15221450000001</v>
          </cell>
          <cell r="J1520">
            <v>0</v>
          </cell>
        </row>
        <row r="1521">
          <cell r="E1521">
            <v>10060033</v>
          </cell>
          <cell r="F1521" t="str">
            <v>0035</v>
          </cell>
          <cell r="G1521">
            <v>7</v>
          </cell>
          <cell r="H1521">
            <v>13.58</v>
          </cell>
          <cell r="I1521">
            <v>533.40060985200012</v>
          </cell>
          <cell r="J1521">
            <v>0</v>
          </cell>
        </row>
        <row r="1522">
          <cell r="E1522">
            <v>10060033</v>
          </cell>
          <cell r="F1522" t="str">
            <v>0047</v>
          </cell>
          <cell r="G1522">
            <v>13</v>
          </cell>
          <cell r="H1522">
            <v>33.4</v>
          </cell>
          <cell r="I1522">
            <v>1280.2829909760003</v>
          </cell>
          <cell r="J1522">
            <v>0</v>
          </cell>
        </row>
        <row r="1523">
          <cell r="E1523">
            <v>10060033</v>
          </cell>
          <cell r="F1523" t="str">
            <v>0084</v>
          </cell>
          <cell r="G1523">
            <v>6</v>
          </cell>
          <cell r="H1523">
            <v>13.040000000000001</v>
          </cell>
          <cell r="I1523">
            <v>619.52481448280014</v>
          </cell>
          <cell r="J1523">
            <v>0</v>
          </cell>
        </row>
        <row r="1524">
          <cell r="E1524">
            <v>10060033</v>
          </cell>
          <cell r="F1524" t="str">
            <v>0097</v>
          </cell>
          <cell r="G1524">
            <v>6</v>
          </cell>
          <cell r="H1524">
            <v>12.6</v>
          </cell>
          <cell r="I1524">
            <v>500.69934446399998</v>
          </cell>
          <cell r="J1524">
            <v>0</v>
          </cell>
        </row>
        <row r="1525">
          <cell r="E1525">
            <v>10060033</v>
          </cell>
          <cell r="F1525" t="str">
            <v>0100</v>
          </cell>
          <cell r="G1525">
            <v>13</v>
          </cell>
          <cell r="H1525">
            <v>34.17</v>
          </cell>
          <cell r="I1525">
            <v>1334.3351095800001</v>
          </cell>
          <cell r="J1525">
            <v>0</v>
          </cell>
        </row>
        <row r="1526">
          <cell r="E1526">
            <v>10060033</v>
          </cell>
          <cell r="F1526" t="str">
            <v>0115</v>
          </cell>
          <cell r="G1526">
            <v>13</v>
          </cell>
          <cell r="H1526">
            <v>40.5</v>
          </cell>
          <cell r="I1526">
            <v>1750.2414596184001</v>
          </cell>
          <cell r="J1526">
            <v>0</v>
          </cell>
        </row>
        <row r="1527">
          <cell r="E1527">
            <v>10060033</v>
          </cell>
          <cell r="F1527" t="str">
            <v>0116</v>
          </cell>
          <cell r="G1527">
            <v>4</v>
          </cell>
          <cell r="H1527">
            <v>10.830000000000002</v>
          </cell>
          <cell r="I1527">
            <v>413.26983126000005</v>
          </cell>
          <cell r="J1527">
            <v>0</v>
          </cell>
        </row>
        <row r="1528">
          <cell r="E1528">
            <v>10060033</v>
          </cell>
          <cell r="F1528" t="str">
            <v>0117</v>
          </cell>
          <cell r="G1528">
            <v>8</v>
          </cell>
          <cell r="H1528">
            <v>23.700000000000003</v>
          </cell>
          <cell r="I1528">
            <v>928.34959140000001</v>
          </cell>
          <cell r="J1528">
            <v>0</v>
          </cell>
        </row>
        <row r="1529">
          <cell r="E1529">
            <v>10060033</v>
          </cell>
          <cell r="F1529" t="str">
            <v>0127</v>
          </cell>
          <cell r="G1529">
            <v>12</v>
          </cell>
          <cell r="H1529">
            <v>37.120000000000005</v>
          </cell>
          <cell r="I1529">
            <v>1479.1843376640002</v>
          </cell>
          <cell r="J1529">
            <v>0</v>
          </cell>
        </row>
        <row r="1530">
          <cell r="E1530">
            <v>10060033</v>
          </cell>
          <cell r="F1530" t="str">
            <v>0137</v>
          </cell>
          <cell r="G1530">
            <v>6</v>
          </cell>
          <cell r="H1530">
            <v>42.599999999999994</v>
          </cell>
          <cell r="I1530">
            <v>1570.0689741379499</v>
          </cell>
          <cell r="J1530">
            <v>0</v>
          </cell>
        </row>
        <row r="1531">
          <cell r="E1531">
            <v>10060049</v>
          </cell>
          <cell r="F1531" t="str">
            <v>0002</v>
          </cell>
          <cell r="G1531">
            <v>14</v>
          </cell>
          <cell r="H1531">
            <v>389.30000000000007</v>
          </cell>
          <cell r="I1531">
            <v>18263.499942605558</v>
          </cell>
          <cell r="J1531">
            <v>165.2</v>
          </cell>
        </row>
        <row r="1532">
          <cell r="E1532">
            <v>10060049</v>
          </cell>
          <cell r="F1532" t="str">
            <v>0005</v>
          </cell>
          <cell r="G1532">
            <v>9</v>
          </cell>
          <cell r="H1532">
            <v>63.82</v>
          </cell>
          <cell r="I1532">
            <v>3609.6908240982998</v>
          </cell>
          <cell r="J1532">
            <v>0</v>
          </cell>
        </row>
        <row r="1533">
          <cell r="E1533">
            <v>10060049</v>
          </cell>
          <cell r="F1533" t="str">
            <v>0010</v>
          </cell>
          <cell r="G1533">
            <v>14</v>
          </cell>
          <cell r="H1533">
            <v>89.76</v>
          </cell>
          <cell r="I1533">
            <v>3325.0020348600005</v>
          </cell>
          <cell r="J1533">
            <v>0</v>
          </cell>
        </row>
        <row r="1534">
          <cell r="E1534">
            <v>10060049</v>
          </cell>
          <cell r="F1534" t="str">
            <v>0023</v>
          </cell>
          <cell r="G1534">
            <v>6</v>
          </cell>
          <cell r="H1534">
            <v>15.73</v>
          </cell>
          <cell r="I1534">
            <v>994.46155207469997</v>
          </cell>
          <cell r="J1534">
            <v>0</v>
          </cell>
        </row>
        <row r="1535">
          <cell r="E1535">
            <v>10060049</v>
          </cell>
          <cell r="F1535" t="str">
            <v>0035</v>
          </cell>
          <cell r="G1535">
            <v>7</v>
          </cell>
          <cell r="H1535">
            <v>7.9599999999999991</v>
          </cell>
          <cell r="I1535">
            <v>296.76587173199999</v>
          </cell>
          <cell r="J1535">
            <v>0</v>
          </cell>
        </row>
        <row r="1536">
          <cell r="E1536">
            <v>10060049</v>
          </cell>
          <cell r="F1536" t="str">
            <v>0048</v>
          </cell>
          <cell r="G1536">
            <v>14</v>
          </cell>
          <cell r="H1536">
            <v>48.36</v>
          </cell>
          <cell r="I1536">
            <v>2955.5277470287001</v>
          </cell>
          <cell r="J1536">
            <v>0</v>
          </cell>
        </row>
        <row r="1537">
          <cell r="E1537">
            <v>10060049</v>
          </cell>
          <cell r="F1537" t="str">
            <v>0053</v>
          </cell>
          <cell r="G1537">
            <v>7</v>
          </cell>
          <cell r="H1537">
            <v>10.830000000000002</v>
          </cell>
          <cell r="I1537">
            <v>437.26587260400004</v>
          </cell>
          <cell r="J1537">
            <v>0</v>
          </cell>
        </row>
        <row r="1538">
          <cell r="E1538">
            <v>10060049</v>
          </cell>
          <cell r="F1538" t="str">
            <v>0064</v>
          </cell>
          <cell r="G1538">
            <v>2</v>
          </cell>
          <cell r="H1538">
            <v>2.23</v>
          </cell>
          <cell r="I1538">
            <v>95.021382060000008</v>
          </cell>
          <cell r="J1538">
            <v>0</v>
          </cell>
        </row>
        <row r="1539">
          <cell r="E1539">
            <v>10060049</v>
          </cell>
          <cell r="F1539" t="str">
            <v>0067</v>
          </cell>
          <cell r="G1539">
            <v>7</v>
          </cell>
          <cell r="H1539">
            <v>16.599999999999998</v>
          </cell>
          <cell r="I1539">
            <v>558.99076978800008</v>
          </cell>
          <cell r="J1539">
            <v>0</v>
          </cell>
        </row>
        <row r="1540">
          <cell r="E1540">
            <v>10060049</v>
          </cell>
          <cell r="F1540" t="str">
            <v>0078</v>
          </cell>
          <cell r="G1540">
            <v>7</v>
          </cell>
          <cell r="H1540">
            <v>13.190000000000001</v>
          </cell>
          <cell r="I1540">
            <v>494.0168155560001</v>
          </cell>
          <cell r="J1540">
            <v>0</v>
          </cell>
        </row>
        <row r="1541">
          <cell r="E1541">
            <v>10060049</v>
          </cell>
          <cell r="F1541" t="str">
            <v>0104</v>
          </cell>
          <cell r="G1541">
            <v>6</v>
          </cell>
          <cell r="H1541">
            <v>11.270000000000001</v>
          </cell>
          <cell r="I1541">
            <v>442.58665306680007</v>
          </cell>
          <cell r="J1541">
            <v>0</v>
          </cell>
        </row>
        <row r="1542">
          <cell r="E1542">
            <v>10060049</v>
          </cell>
          <cell r="F1542" t="str">
            <v>0105</v>
          </cell>
          <cell r="G1542">
            <v>4</v>
          </cell>
          <cell r="H1542">
            <v>8.1300000000000008</v>
          </cell>
          <cell r="I1542">
            <v>344.19252186000006</v>
          </cell>
          <cell r="J1542">
            <v>0</v>
          </cell>
        </row>
        <row r="1543">
          <cell r="E1543">
            <v>10060050</v>
          </cell>
          <cell r="F1543" t="str">
            <v>0001</v>
          </cell>
          <cell r="G1543">
            <v>14</v>
          </cell>
          <cell r="H1543">
            <v>8.1700000000000017</v>
          </cell>
          <cell r="I1543">
            <v>361.61507027051994</v>
          </cell>
          <cell r="J1543">
            <v>0</v>
          </cell>
        </row>
        <row r="1544">
          <cell r="E1544">
            <v>10060050</v>
          </cell>
          <cell r="F1544" t="str">
            <v>0007</v>
          </cell>
          <cell r="G1544">
            <v>14</v>
          </cell>
          <cell r="H1544">
            <v>272.51000000000005</v>
          </cell>
          <cell r="I1544">
            <v>12058.293457095453</v>
          </cell>
          <cell r="J1544">
            <v>0</v>
          </cell>
        </row>
        <row r="1545">
          <cell r="E1545">
            <v>10060050</v>
          </cell>
          <cell r="F1545" t="str">
            <v>0011</v>
          </cell>
          <cell r="G1545">
            <v>13</v>
          </cell>
          <cell r="H1545">
            <v>44.67</v>
          </cell>
          <cell r="I1545">
            <v>2513.4119311597801</v>
          </cell>
          <cell r="J1545">
            <v>0</v>
          </cell>
        </row>
        <row r="1546">
          <cell r="E1546">
            <v>10060050</v>
          </cell>
          <cell r="F1546" t="str">
            <v>0014</v>
          </cell>
          <cell r="G1546">
            <v>7</v>
          </cell>
          <cell r="H1546">
            <v>19.049999999999997</v>
          </cell>
          <cell r="I1546">
            <v>805.7256672960001</v>
          </cell>
          <cell r="J1546">
            <v>0</v>
          </cell>
        </row>
        <row r="1547">
          <cell r="E1547">
            <v>10060050</v>
          </cell>
          <cell r="F1547" t="str">
            <v>0019</v>
          </cell>
          <cell r="G1547">
            <v>7</v>
          </cell>
          <cell r="H1547">
            <v>9.1300000000000008</v>
          </cell>
          <cell r="I1547">
            <v>471.85551422961203</v>
          </cell>
          <cell r="J1547">
            <v>0</v>
          </cell>
        </row>
        <row r="1548">
          <cell r="E1548">
            <v>10060050</v>
          </cell>
          <cell r="F1548" t="str">
            <v>0023</v>
          </cell>
          <cell r="G1548">
            <v>9</v>
          </cell>
          <cell r="H1548">
            <v>15.730000000000002</v>
          </cell>
          <cell r="I1548">
            <v>638.67969930599997</v>
          </cell>
          <cell r="J1548">
            <v>0</v>
          </cell>
        </row>
        <row r="1549">
          <cell r="E1549">
            <v>10060050</v>
          </cell>
          <cell r="F1549" t="str">
            <v>0024</v>
          </cell>
          <cell r="G1549">
            <v>12</v>
          </cell>
          <cell r="H1549">
            <v>35.559999999999995</v>
          </cell>
          <cell r="I1549">
            <v>1236.1908061602001</v>
          </cell>
          <cell r="J1549">
            <v>0</v>
          </cell>
        </row>
        <row r="1550">
          <cell r="E1550">
            <v>10060050</v>
          </cell>
          <cell r="F1550" t="str">
            <v>0026</v>
          </cell>
          <cell r="G1550">
            <v>7</v>
          </cell>
          <cell r="H1550">
            <v>13.19</v>
          </cell>
          <cell r="I1550">
            <v>617.47041578308006</v>
          </cell>
          <cell r="J1550">
            <v>0</v>
          </cell>
        </row>
        <row r="1551">
          <cell r="E1551">
            <v>10060050</v>
          </cell>
          <cell r="F1551" t="str">
            <v>0028</v>
          </cell>
          <cell r="G1551">
            <v>8</v>
          </cell>
          <cell r="H1551">
            <v>15.370000000000001</v>
          </cell>
          <cell r="I1551">
            <v>612.60119830799999</v>
          </cell>
          <cell r="J1551">
            <v>0</v>
          </cell>
        </row>
        <row r="1552">
          <cell r="E1552">
            <v>10060050</v>
          </cell>
          <cell r="F1552" t="str">
            <v>0031</v>
          </cell>
          <cell r="G1552">
            <v>5</v>
          </cell>
          <cell r="H1552">
            <v>7.49</v>
          </cell>
          <cell r="I1552">
            <v>515.06024176252004</v>
          </cell>
          <cell r="J1552">
            <v>0</v>
          </cell>
        </row>
        <row r="1553">
          <cell r="E1553">
            <v>10060050</v>
          </cell>
          <cell r="F1553" t="str">
            <v>0038</v>
          </cell>
          <cell r="G1553">
            <v>14</v>
          </cell>
          <cell r="H1553">
            <v>52.92</v>
          </cell>
          <cell r="I1553">
            <v>1837.91870064</v>
          </cell>
          <cell r="J1553">
            <v>0</v>
          </cell>
        </row>
        <row r="1554">
          <cell r="E1554">
            <v>10060050</v>
          </cell>
          <cell r="F1554" t="str">
            <v>0040</v>
          </cell>
          <cell r="G1554">
            <v>7</v>
          </cell>
          <cell r="H1554">
            <v>25.87</v>
          </cell>
          <cell r="I1554">
            <v>1513.3235472469603</v>
          </cell>
          <cell r="J1554">
            <v>0</v>
          </cell>
        </row>
        <row r="1555">
          <cell r="E1555">
            <v>10060050</v>
          </cell>
          <cell r="F1555" t="str">
            <v>0043</v>
          </cell>
          <cell r="G1555">
            <v>9</v>
          </cell>
          <cell r="H1555">
            <v>27.04</v>
          </cell>
          <cell r="I1555">
            <v>1044.7193568240002</v>
          </cell>
          <cell r="J1555">
            <v>0</v>
          </cell>
        </row>
        <row r="1556">
          <cell r="E1556">
            <v>10060050</v>
          </cell>
          <cell r="F1556" t="str">
            <v>0050</v>
          </cell>
          <cell r="G1556">
            <v>14</v>
          </cell>
          <cell r="H1556">
            <v>42.139999999999993</v>
          </cell>
          <cell r="I1556">
            <v>2699.9324751569302</v>
          </cell>
          <cell r="J1556">
            <v>0</v>
          </cell>
        </row>
        <row r="1557">
          <cell r="E1557">
            <v>10060058</v>
          </cell>
          <cell r="F1557" t="str">
            <v>0001</v>
          </cell>
          <cell r="G1557">
            <v>13</v>
          </cell>
          <cell r="H1557">
            <v>5.7099999999999991</v>
          </cell>
          <cell r="I1557">
            <v>199.64591945100003</v>
          </cell>
          <cell r="J1557">
            <v>0</v>
          </cell>
        </row>
        <row r="1558">
          <cell r="E1558">
            <v>10060058</v>
          </cell>
          <cell r="F1558" t="str">
            <v>0002</v>
          </cell>
          <cell r="G1558">
            <v>14</v>
          </cell>
          <cell r="H1558">
            <v>219.85000000000005</v>
          </cell>
          <cell r="I1558">
            <v>8598.0741300282025</v>
          </cell>
          <cell r="J1558">
            <v>413</v>
          </cell>
        </row>
        <row r="1559">
          <cell r="E1559">
            <v>10060058</v>
          </cell>
          <cell r="F1559" t="str">
            <v>0015</v>
          </cell>
          <cell r="G1559">
            <v>11</v>
          </cell>
          <cell r="H1559">
            <v>213.97</v>
          </cell>
          <cell r="I1559">
            <v>7959.3978432672002</v>
          </cell>
          <cell r="J1559">
            <v>0</v>
          </cell>
        </row>
        <row r="1560">
          <cell r="E1560">
            <v>10060058</v>
          </cell>
          <cell r="F1560" t="str">
            <v>0019</v>
          </cell>
          <cell r="G1560">
            <v>9</v>
          </cell>
          <cell r="H1560">
            <v>17.02</v>
          </cell>
          <cell r="I1560">
            <v>620.67990320820002</v>
          </cell>
          <cell r="J1560">
            <v>0</v>
          </cell>
        </row>
        <row r="1561">
          <cell r="E1561">
            <v>10060058</v>
          </cell>
          <cell r="F1561" t="str">
            <v>0051</v>
          </cell>
          <cell r="G1561">
            <v>11</v>
          </cell>
          <cell r="H1561">
            <v>206.25000000000003</v>
          </cell>
          <cell r="I1561">
            <v>7662.5601076728017</v>
          </cell>
          <cell r="J1561">
            <v>0</v>
          </cell>
        </row>
        <row r="1562">
          <cell r="E1562">
            <v>10060058</v>
          </cell>
          <cell r="F1562" t="str">
            <v>0052</v>
          </cell>
          <cell r="G1562">
            <v>10</v>
          </cell>
          <cell r="H1562">
            <v>62.449999999999996</v>
          </cell>
          <cell r="I1562">
            <v>2201.1830567298002</v>
          </cell>
          <cell r="J1562">
            <v>0</v>
          </cell>
        </row>
        <row r="1563">
          <cell r="E1563">
            <v>10060069</v>
          </cell>
          <cell r="F1563" t="str">
            <v>0001</v>
          </cell>
          <cell r="G1563">
            <v>14</v>
          </cell>
          <cell r="H1563">
            <v>4.6000000000000014</v>
          </cell>
          <cell r="I1563">
            <v>204.22195500000001</v>
          </cell>
          <cell r="J1563">
            <v>0</v>
          </cell>
        </row>
        <row r="1564">
          <cell r="E1564">
            <v>10060069</v>
          </cell>
          <cell r="F1564" t="str">
            <v>0009</v>
          </cell>
          <cell r="G1564">
            <v>14</v>
          </cell>
          <cell r="H1564">
            <v>201.7</v>
          </cell>
          <cell r="I1564">
            <v>8933.7302037096015</v>
          </cell>
          <cell r="J1564">
            <v>0</v>
          </cell>
        </row>
        <row r="1565">
          <cell r="E1565">
            <v>10060074</v>
          </cell>
          <cell r="F1565" t="str">
            <v>0001</v>
          </cell>
          <cell r="G1565">
            <v>14</v>
          </cell>
          <cell r="H1565">
            <v>6.4</v>
          </cell>
          <cell r="I1565">
            <v>255.96219022304993</v>
          </cell>
          <cell r="J1565">
            <v>0</v>
          </cell>
        </row>
        <row r="1566">
          <cell r="E1566">
            <v>10060074</v>
          </cell>
          <cell r="F1566" t="str">
            <v>0002</v>
          </cell>
          <cell r="G1566">
            <v>14</v>
          </cell>
          <cell r="H1566">
            <v>39.32</v>
          </cell>
          <cell r="I1566">
            <v>1931.8153403770023</v>
          </cell>
          <cell r="J1566">
            <v>1166</v>
          </cell>
        </row>
        <row r="1567">
          <cell r="E1567">
            <v>10060074</v>
          </cell>
          <cell r="F1567" t="str">
            <v>0004</v>
          </cell>
          <cell r="G1567">
            <v>6</v>
          </cell>
          <cell r="H1567">
            <v>28.2</v>
          </cell>
          <cell r="I1567">
            <v>1011.6434101950001</v>
          </cell>
          <cell r="J1567">
            <v>0</v>
          </cell>
        </row>
        <row r="1568">
          <cell r="E1568">
            <v>10060074</v>
          </cell>
          <cell r="F1568" t="str">
            <v>0008</v>
          </cell>
          <cell r="G1568">
            <v>7</v>
          </cell>
          <cell r="H1568">
            <v>24.220000000000002</v>
          </cell>
          <cell r="I1568">
            <v>1723.3616656968202</v>
          </cell>
          <cell r="J1568">
            <v>0</v>
          </cell>
        </row>
        <row r="1569">
          <cell r="E1569">
            <v>10060074</v>
          </cell>
          <cell r="F1569" t="str">
            <v>0009</v>
          </cell>
          <cell r="G1569">
            <v>11</v>
          </cell>
          <cell r="H1569">
            <v>15.24</v>
          </cell>
          <cell r="I1569">
            <v>693.81568289222207</v>
          </cell>
          <cell r="J1569">
            <v>0</v>
          </cell>
        </row>
        <row r="1570">
          <cell r="E1570">
            <v>10060074</v>
          </cell>
          <cell r="F1570" t="str">
            <v>0012</v>
          </cell>
          <cell r="G1570">
            <v>14</v>
          </cell>
          <cell r="H1570">
            <v>46.49</v>
          </cell>
          <cell r="I1570">
            <v>2380.1441278366192</v>
          </cell>
          <cell r="J1570">
            <v>0</v>
          </cell>
        </row>
        <row r="1571">
          <cell r="E1571">
            <v>10060074</v>
          </cell>
          <cell r="F1571" t="str">
            <v>0014</v>
          </cell>
          <cell r="G1571">
            <v>14</v>
          </cell>
          <cell r="H1571">
            <v>69.700000000000017</v>
          </cell>
          <cell r="I1571">
            <v>3212.7635427697883</v>
          </cell>
          <cell r="J1571">
            <v>0</v>
          </cell>
        </row>
        <row r="1572">
          <cell r="E1572">
            <v>10060074</v>
          </cell>
          <cell r="F1572" t="str">
            <v>0015</v>
          </cell>
          <cell r="G1572">
            <v>7</v>
          </cell>
          <cell r="H1572">
            <v>27.32</v>
          </cell>
          <cell r="I1572">
            <v>981.13393976399993</v>
          </cell>
          <cell r="J1572">
            <v>0</v>
          </cell>
        </row>
        <row r="1573">
          <cell r="E1573">
            <v>10060074</v>
          </cell>
          <cell r="F1573" t="str">
            <v>0016</v>
          </cell>
          <cell r="G1573">
            <v>6</v>
          </cell>
          <cell r="H1573">
            <v>27.32</v>
          </cell>
          <cell r="I1573">
            <v>1560.3157601308158</v>
          </cell>
          <cell r="J1573">
            <v>0</v>
          </cell>
        </row>
        <row r="1574">
          <cell r="E1574">
            <v>10060074</v>
          </cell>
          <cell r="F1574" t="str">
            <v>0017</v>
          </cell>
          <cell r="G1574">
            <v>4</v>
          </cell>
          <cell r="H1574">
            <v>8.49</v>
          </cell>
          <cell r="I1574">
            <v>528.74706792917004</v>
          </cell>
          <cell r="J1574">
            <v>0</v>
          </cell>
        </row>
        <row r="1575">
          <cell r="E1575">
            <v>10060074</v>
          </cell>
          <cell r="F1575" t="str">
            <v>0036</v>
          </cell>
          <cell r="G1575">
            <v>7</v>
          </cell>
          <cell r="H1575">
            <v>11.26</v>
          </cell>
          <cell r="I1575">
            <v>471.92375414854104</v>
          </cell>
          <cell r="J1575">
            <v>0</v>
          </cell>
        </row>
        <row r="1576">
          <cell r="E1576">
            <v>10060074</v>
          </cell>
          <cell r="F1576" t="str">
            <v>0037</v>
          </cell>
          <cell r="G1576">
            <v>2</v>
          </cell>
          <cell r="H1576">
            <v>7.63</v>
          </cell>
          <cell r="I1576">
            <v>285.22031982839997</v>
          </cell>
          <cell r="J1576">
            <v>0</v>
          </cell>
        </row>
        <row r="1577">
          <cell r="E1577">
            <v>10060074</v>
          </cell>
          <cell r="F1577" t="str">
            <v>0038</v>
          </cell>
          <cell r="G1577">
            <v>8</v>
          </cell>
          <cell r="H1577">
            <v>13.280000000000001</v>
          </cell>
          <cell r="I1577">
            <v>779.13326283256401</v>
          </cell>
          <cell r="J1577">
            <v>0</v>
          </cell>
        </row>
        <row r="1578">
          <cell r="E1578">
            <v>10060077</v>
          </cell>
          <cell r="F1578" t="str">
            <v>0001</v>
          </cell>
          <cell r="G1578">
            <v>14</v>
          </cell>
          <cell r="H1578">
            <v>19.46</v>
          </cell>
          <cell r="I1578">
            <v>684.1249295166001</v>
          </cell>
          <cell r="J1578">
            <v>0</v>
          </cell>
        </row>
        <row r="1579">
          <cell r="E1579">
            <v>10060077</v>
          </cell>
          <cell r="F1579" t="str">
            <v>0002</v>
          </cell>
          <cell r="G1579">
            <v>9</v>
          </cell>
          <cell r="H1579">
            <v>20.59</v>
          </cell>
          <cell r="I1579">
            <v>806.85857603315992</v>
          </cell>
          <cell r="J1579">
            <v>0</v>
          </cell>
        </row>
        <row r="1580">
          <cell r="E1580">
            <v>10060077</v>
          </cell>
          <cell r="F1580" t="str">
            <v>0003</v>
          </cell>
          <cell r="G1580">
            <v>14</v>
          </cell>
          <cell r="H1580">
            <v>213.77</v>
          </cell>
          <cell r="I1580">
            <v>8779.0632560928025</v>
          </cell>
          <cell r="J1580">
            <v>0</v>
          </cell>
        </row>
        <row r="1581">
          <cell r="E1581">
            <v>10060077</v>
          </cell>
          <cell r="F1581" t="str">
            <v>0015</v>
          </cell>
          <cell r="G1581">
            <v>14</v>
          </cell>
          <cell r="H1581">
            <v>77.73</v>
          </cell>
          <cell r="I1581">
            <v>2823.8055714198003</v>
          </cell>
          <cell r="J1581">
            <v>0</v>
          </cell>
        </row>
        <row r="1582">
          <cell r="E1582">
            <v>10060077</v>
          </cell>
          <cell r="F1582" t="str">
            <v>0017</v>
          </cell>
          <cell r="G1582">
            <v>14</v>
          </cell>
          <cell r="H1582">
            <v>52.430000000000007</v>
          </cell>
          <cell r="I1582">
            <v>1966.2962032295998</v>
          </cell>
          <cell r="J1582">
            <v>0</v>
          </cell>
        </row>
        <row r="1583">
          <cell r="E1583">
            <v>10060077</v>
          </cell>
          <cell r="F1583" t="str">
            <v>0019</v>
          </cell>
          <cell r="G1583">
            <v>14</v>
          </cell>
          <cell r="H1583">
            <v>74.17</v>
          </cell>
          <cell r="I1583">
            <v>2811.0733331669999</v>
          </cell>
          <cell r="J1583">
            <v>0</v>
          </cell>
        </row>
        <row r="1584">
          <cell r="E1584">
            <v>10060077</v>
          </cell>
          <cell r="F1584" t="str">
            <v>0020</v>
          </cell>
          <cell r="G1584">
            <v>14</v>
          </cell>
          <cell r="H1584">
            <v>46.19</v>
          </cell>
          <cell r="I1584">
            <v>1917.3740153115</v>
          </cell>
          <cell r="J1584">
            <v>0</v>
          </cell>
        </row>
        <row r="1585">
          <cell r="E1585">
            <v>10060077</v>
          </cell>
          <cell r="F1585" t="str">
            <v>0023</v>
          </cell>
          <cell r="G1585">
            <v>6</v>
          </cell>
          <cell r="H1585">
            <v>12.299999999999997</v>
          </cell>
          <cell r="I1585">
            <v>462.32493153660005</v>
          </cell>
          <cell r="J1585">
            <v>0</v>
          </cell>
        </row>
        <row r="1586">
          <cell r="E1586">
            <v>10060077</v>
          </cell>
          <cell r="F1586" t="str">
            <v>0030</v>
          </cell>
          <cell r="G1586">
            <v>13</v>
          </cell>
          <cell r="H1586">
            <v>89.51</v>
          </cell>
          <cell r="I1586">
            <v>3466.7846998374403</v>
          </cell>
          <cell r="J1586">
            <v>0</v>
          </cell>
        </row>
        <row r="1587">
          <cell r="E1587">
            <v>10060077</v>
          </cell>
          <cell r="F1587" t="str">
            <v>0031</v>
          </cell>
          <cell r="G1587">
            <v>14</v>
          </cell>
          <cell r="H1587">
            <v>52.26</v>
          </cell>
          <cell r="I1587">
            <v>2261.6183397394448</v>
          </cell>
          <cell r="J1587">
            <v>0</v>
          </cell>
        </row>
        <row r="1588">
          <cell r="E1588">
            <v>10060077</v>
          </cell>
          <cell r="F1588" t="str">
            <v>0032</v>
          </cell>
          <cell r="G1588">
            <v>12</v>
          </cell>
          <cell r="H1588">
            <v>41.01</v>
          </cell>
          <cell r="I1588">
            <v>2165.7458477506202</v>
          </cell>
          <cell r="J1588">
            <v>0</v>
          </cell>
        </row>
        <row r="1589">
          <cell r="E1589">
            <v>10060077</v>
          </cell>
          <cell r="F1589" t="str">
            <v>0036</v>
          </cell>
          <cell r="G1589">
            <v>12</v>
          </cell>
          <cell r="H1589">
            <v>61.17</v>
          </cell>
          <cell r="I1589">
            <v>2359.3125746916003</v>
          </cell>
          <cell r="J1589">
            <v>0</v>
          </cell>
        </row>
        <row r="1590">
          <cell r="E1590">
            <v>10060077</v>
          </cell>
          <cell r="F1590" t="str">
            <v>0038</v>
          </cell>
          <cell r="G1590">
            <v>14</v>
          </cell>
          <cell r="H1590">
            <v>26.599999999999998</v>
          </cell>
          <cell r="I1590">
            <v>1477.0165853749256</v>
          </cell>
          <cell r="J1590">
            <v>0</v>
          </cell>
        </row>
        <row r="1591">
          <cell r="E1591">
            <v>10060077</v>
          </cell>
          <cell r="F1591" t="str">
            <v>0040</v>
          </cell>
          <cell r="G1591">
            <v>7</v>
          </cell>
          <cell r="H1591">
            <v>21.9</v>
          </cell>
          <cell r="I1591">
            <v>1259.3250726042202</v>
          </cell>
          <cell r="J1591">
            <v>0</v>
          </cell>
        </row>
        <row r="1592">
          <cell r="E1592">
            <v>10060077</v>
          </cell>
          <cell r="F1592" t="str">
            <v>0042</v>
          </cell>
          <cell r="G1592">
            <v>9</v>
          </cell>
          <cell r="H1592">
            <v>17.490000000000002</v>
          </cell>
          <cell r="I1592">
            <v>689.08301000028007</v>
          </cell>
          <cell r="J1592">
            <v>0</v>
          </cell>
        </row>
        <row r="1593">
          <cell r="E1593">
            <v>10060077</v>
          </cell>
          <cell r="F1593" t="str">
            <v>0048</v>
          </cell>
          <cell r="G1593">
            <v>13</v>
          </cell>
          <cell r="H1593">
            <v>31.87</v>
          </cell>
          <cell r="I1593">
            <v>1144.6217247762002</v>
          </cell>
          <cell r="J1593">
            <v>0</v>
          </cell>
        </row>
        <row r="1594">
          <cell r="E1594">
            <v>10060077</v>
          </cell>
          <cell r="F1594" t="str">
            <v>0051</v>
          </cell>
          <cell r="G1594">
            <v>14</v>
          </cell>
          <cell r="H1594">
            <v>46.07</v>
          </cell>
          <cell r="I1594">
            <v>2557.1923996582859</v>
          </cell>
          <cell r="J1594">
            <v>0</v>
          </cell>
        </row>
        <row r="1595">
          <cell r="E1595">
            <v>10060077</v>
          </cell>
          <cell r="F1595" t="str">
            <v>0052</v>
          </cell>
          <cell r="G1595">
            <v>6</v>
          </cell>
          <cell r="H1595">
            <v>6.9500000000000011</v>
          </cell>
          <cell r="I1595">
            <v>316.158472098</v>
          </cell>
          <cell r="J1595">
            <v>0</v>
          </cell>
        </row>
        <row r="1596">
          <cell r="E1596">
            <v>10060077</v>
          </cell>
          <cell r="F1596" t="str">
            <v>0056</v>
          </cell>
          <cell r="G1596">
            <v>6</v>
          </cell>
          <cell r="H1596">
            <v>7.4</v>
          </cell>
          <cell r="I1596">
            <v>280.09405919880004</v>
          </cell>
          <cell r="J1596">
            <v>0</v>
          </cell>
        </row>
        <row r="1597">
          <cell r="E1597">
            <v>10060077</v>
          </cell>
          <cell r="F1597" t="str">
            <v>0057</v>
          </cell>
          <cell r="G1597">
            <v>14</v>
          </cell>
          <cell r="H1597">
            <v>24.93</v>
          </cell>
          <cell r="I1597">
            <v>956.83164425640007</v>
          </cell>
          <cell r="J1597">
            <v>0</v>
          </cell>
        </row>
        <row r="1598">
          <cell r="E1598">
            <v>10060077</v>
          </cell>
          <cell r="F1598" t="str">
            <v>0060</v>
          </cell>
          <cell r="G1598">
            <v>14</v>
          </cell>
          <cell r="H1598">
            <v>24.32</v>
          </cell>
          <cell r="I1598">
            <v>942.40459781995003</v>
          </cell>
          <cell r="J1598">
            <v>0</v>
          </cell>
        </row>
        <row r="1599">
          <cell r="E1599">
            <v>10060077</v>
          </cell>
          <cell r="F1599" t="str">
            <v>0064</v>
          </cell>
          <cell r="G1599">
            <v>14</v>
          </cell>
          <cell r="H1599">
            <v>78.170000000000016</v>
          </cell>
          <cell r="I1599">
            <v>2884.7473316244009</v>
          </cell>
          <cell r="J1599">
            <v>0</v>
          </cell>
        </row>
        <row r="1600">
          <cell r="E1600">
            <v>10060077</v>
          </cell>
          <cell r="F1600" t="str">
            <v>0066</v>
          </cell>
          <cell r="G1600">
            <v>12</v>
          </cell>
          <cell r="H1600">
            <v>36.129999999999995</v>
          </cell>
          <cell r="I1600">
            <v>1284.0094733994001</v>
          </cell>
          <cell r="J1600">
            <v>0</v>
          </cell>
        </row>
        <row r="1601">
          <cell r="E1601">
            <v>10060077</v>
          </cell>
          <cell r="F1601" t="str">
            <v>0068</v>
          </cell>
          <cell r="G1601">
            <v>14</v>
          </cell>
          <cell r="H1601">
            <v>132.91999999999999</v>
          </cell>
          <cell r="I1601">
            <v>4737.1151256264002</v>
          </cell>
          <cell r="J1601">
            <v>0</v>
          </cell>
        </row>
        <row r="1602">
          <cell r="E1602">
            <v>10060077</v>
          </cell>
          <cell r="F1602" t="str">
            <v>0069</v>
          </cell>
          <cell r="G1602">
            <v>10</v>
          </cell>
          <cell r="H1602">
            <v>17.47</v>
          </cell>
          <cell r="I1602">
            <v>633.07343454299996</v>
          </cell>
          <cell r="J1602">
            <v>0</v>
          </cell>
        </row>
        <row r="1603">
          <cell r="E1603">
            <v>10060077</v>
          </cell>
          <cell r="F1603" t="str">
            <v>0070</v>
          </cell>
          <cell r="G1603">
            <v>13</v>
          </cell>
          <cell r="H1603">
            <v>45.769999999999996</v>
          </cell>
          <cell r="I1603">
            <v>1847.0382147359999</v>
          </cell>
          <cell r="J1603">
            <v>0</v>
          </cell>
        </row>
        <row r="1604">
          <cell r="E1604">
            <v>10060077</v>
          </cell>
          <cell r="F1604" t="str">
            <v>0072</v>
          </cell>
          <cell r="G1604">
            <v>14</v>
          </cell>
          <cell r="H1604">
            <v>41.290000000000013</v>
          </cell>
          <cell r="I1604">
            <v>2577.1191944018233</v>
          </cell>
          <cell r="J1604">
            <v>0</v>
          </cell>
        </row>
        <row r="1605">
          <cell r="E1605">
            <v>10060077</v>
          </cell>
          <cell r="F1605" t="str">
            <v>0076</v>
          </cell>
          <cell r="G1605">
            <v>6</v>
          </cell>
          <cell r="H1605">
            <v>21.17</v>
          </cell>
          <cell r="I1605">
            <v>779.06484437760014</v>
          </cell>
          <cell r="J1605">
            <v>0</v>
          </cell>
        </row>
        <row r="1606">
          <cell r="E1606">
            <v>10060077</v>
          </cell>
          <cell r="F1606" t="str">
            <v>0077</v>
          </cell>
          <cell r="G1606">
            <v>1</v>
          </cell>
          <cell r="H1606">
            <v>2.11</v>
          </cell>
          <cell r="I1606">
            <v>69.994113373800005</v>
          </cell>
          <cell r="J1606">
            <v>0</v>
          </cell>
        </row>
        <row r="1607">
          <cell r="E1607">
            <v>10060077</v>
          </cell>
          <cell r="F1607" t="str">
            <v>0078</v>
          </cell>
          <cell r="G1607">
            <v>13</v>
          </cell>
          <cell r="H1607">
            <v>33.64</v>
          </cell>
          <cell r="I1607">
            <v>1350.9909043677781</v>
          </cell>
          <cell r="J1607">
            <v>0</v>
          </cell>
        </row>
        <row r="1608">
          <cell r="E1608">
            <v>10060077</v>
          </cell>
          <cell r="F1608" t="str">
            <v>0079</v>
          </cell>
          <cell r="G1608">
            <v>14</v>
          </cell>
          <cell r="H1608">
            <v>66.23</v>
          </cell>
          <cell r="I1608">
            <v>2418.4811083752002</v>
          </cell>
          <cell r="J1608">
            <v>0</v>
          </cell>
        </row>
        <row r="1609">
          <cell r="E1609">
            <v>10060077</v>
          </cell>
          <cell r="F1609" t="str">
            <v>0080</v>
          </cell>
          <cell r="G1609">
            <v>14</v>
          </cell>
          <cell r="H1609">
            <v>47.669999999999995</v>
          </cell>
          <cell r="I1609">
            <v>1842.5046631068001</v>
          </cell>
          <cell r="J1609">
            <v>0</v>
          </cell>
        </row>
        <row r="1610">
          <cell r="E1610">
            <v>10060077</v>
          </cell>
          <cell r="F1610" t="str">
            <v>0081</v>
          </cell>
          <cell r="G1610">
            <v>14</v>
          </cell>
          <cell r="H1610">
            <v>106.53</v>
          </cell>
          <cell r="I1610">
            <v>3953.1564915480003</v>
          </cell>
          <cell r="J1610">
            <v>0</v>
          </cell>
        </row>
        <row r="1611">
          <cell r="E1611">
            <v>10060090</v>
          </cell>
          <cell r="F1611" t="str">
            <v>0012</v>
          </cell>
          <cell r="G1611">
            <v>10</v>
          </cell>
          <cell r="H1611">
            <v>211.29999999999998</v>
          </cell>
          <cell r="I1611">
            <v>8902.6596864920011</v>
          </cell>
          <cell r="J1611">
            <v>0</v>
          </cell>
        </row>
        <row r="1612">
          <cell r="E1612">
            <v>10060090</v>
          </cell>
          <cell r="F1612" t="str">
            <v>0018</v>
          </cell>
          <cell r="G1612">
            <v>11</v>
          </cell>
          <cell r="H1612">
            <v>231.99999999999997</v>
          </cell>
          <cell r="I1612">
            <v>12035.180527067299</v>
          </cell>
          <cell r="J1612">
            <v>0</v>
          </cell>
        </row>
        <row r="1613">
          <cell r="E1613">
            <v>10060098</v>
          </cell>
          <cell r="F1613" t="str">
            <v>0001</v>
          </cell>
          <cell r="G1613">
            <v>14</v>
          </cell>
          <cell r="H1613">
            <v>10.120000000000001</v>
          </cell>
          <cell r="I1613">
            <v>393.42019463999998</v>
          </cell>
          <cell r="J1613">
            <v>0</v>
          </cell>
        </row>
        <row r="1614">
          <cell r="E1614">
            <v>10060098</v>
          </cell>
          <cell r="F1614" t="str">
            <v>0002</v>
          </cell>
          <cell r="G1614">
            <v>5</v>
          </cell>
          <cell r="H1614">
            <v>55.83</v>
          </cell>
          <cell r="I1614">
            <v>2140.5039263950002</v>
          </cell>
          <cell r="J1614">
            <v>0</v>
          </cell>
        </row>
        <row r="1615">
          <cell r="E1615">
            <v>10060098</v>
          </cell>
          <cell r="F1615" t="str">
            <v>0003</v>
          </cell>
          <cell r="G1615">
            <v>13</v>
          </cell>
          <cell r="H1615">
            <v>106.50999999999999</v>
          </cell>
          <cell r="I1615">
            <v>5038.0732295587004</v>
          </cell>
          <cell r="J1615">
            <v>0</v>
          </cell>
        </row>
        <row r="1616">
          <cell r="E1616">
            <v>10060098</v>
          </cell>
          <cell r="F1616" t="str">
            <v>0004</v>
          </cell>
          <cell r="G1616">
            <v>14</v>
          </cell>
          <cell r="H1616">
            <v>577</v>
          </cell>
          <cell r="I1616">
            <v>26357.440714457007</v>
          </cell>
          <cell r="J1616">
            <v>0</v>
          </cell>
        </row>
        <row r="1617">
          <cell r="E1617">
            <v>10060098</v>
          </cell>
          <cell r="F1617" t="str">
            <v>0005</v>
          </cell>
          <cell r="G1617">
            <v>13</v>
          </cell>
          <cell r="H1617">
            <v>51.099999999999994</v>
          </cell>
          <cell r="I1617">
            <v>1969.3232075592</v>
          </cell>
          <cell r="J1617">
            <v>0</v>
          </cell>
        </row>
        <row r="1618">
          <cell r="E1618">
            <v>10060098</v>
          </cell>
          <cell r="F1618" t="str">
            <v>0009</v>
          </cell>
          <cell r="G1618">
            <v>11</v>
          </cell>
          <cell r="H1618">
            <v>102.18</v>
          </cell>
          <cell r="I1618">
            <v>5074.928308347221</v>
          </cell>
          <cell r="J1618">
            <v>0</v>
          </cell>
        </row>
        <row r="1619">
          <cell r="E1619">
            <v>10060098</v>
          </cell>
          <cell r="F1619" t="str">
            <v>0012</v>
          </cell>
          <cell r="G1619">
            <v>7</v>
          </cell>
          <cell r="H1619">
            <v>19.009999999999998</v>
          </cell>
          <cell r="I1619">
            <v>601.77544974360001</v>
          </cell>
          <cell r="J1619">
            <v>0</v>
          </cell>
        </row>
        <row r="1620">
          <cell r="E1620">
            <v>10060098</v>
          </cell>
          <cell r="F1620" t="str">
            <v>0016</v>
          </cell>
          <cell r="G1620">
            <v>10</v>
          </cell>
          <cell r="H1620">
            <v>39.480000000000004</v>
          </cell>
          <cell r="I1620">
            <v>1826.1051885848201</v>
          </cell>
          <cell r="J1620">
            <v>0</v>
          </cell>
        </row>
        <row r="1621">
          <cell r="E1621">
            <v>10060098</v>
          </cell>
          <cell r="F1621" t="str">
            <v>0017</v>
          </cell>
          <cell r="G1621">
            <v>14</v>
          </cell>
          <cell r="H1621">
            <v>20.72</v>
          </cell>
          <cell r="I1621">
            <v>820.87582737599996</v>
          </cell>
          <cell r="J1621">
            <v>0</v>
          </cell>
        </row>
        <row r="1622">
          <cell r="E1622">
            <v>10060098</v>
          </cell>
          <cell r="F1622" t="str">
            <v>0019</v>
          </cell>
          <cell r="G1622">
            <v>13</v>
          </cell>
          <cell r="H1622">
            <v>32.61</v>
          </cell>
          <cell r="I1622">
            <v>1692.84407074462</v>
          </cell>
          <cell r="J1622">
            <v>0</v>
          </cell>
        </row>
        <row r="1623">
          <cell r="E1623">
            <v>10060098</v>
          </cell>
          <cell r="F1623" t="str">
            <v>0021</v>
          </cell>
          <cell r="G1623">
            <v>7</v>
          </cell>
          <cell r="H1623">
            <v>37.389999999999993</v>
          </cell>
          <cell r="I1623">
            <v>1494.69907158</v>
          </cell>
          <cell r="J1623">
            <v>0</v>
          </cell>
        </row>
        <row r="1624">
          <cell r="E1624">
            <v>10060098</v>
          </cell>
          <cell r="F1624" t="str">
            <v>0022</v>
          </cell>
          <cell r="G1624">
            <v>14</v>
          </cell>
          <cell r="H1624">
            <v>30.529999999999998</v>
          </cell>
          <cell r="I1624">
            <v>1129.7812268160001</v>
          </cell>
          <cell r="J1624">
            <v>0</v>
          </cell>
        </row>
        <row r="1625">
          <cell r="E1625">
            <v>10060098</v>
          </cell>
          <cell r="F1625" t="str">
            <v>0023</v>
          </cell>
          <cell r="G1625">
            <v>12</v>
          </cell>
          <cell r="H1625">
            <v>20.350000000000001</v>
          </cell>
          <cell r="I1625">
            <v>937.04148499500002</v>
          </cell>
          <cell r="J1625">
            <v>0</v>
          </cell>
        </row>
        <row r="1626">
          <cell r="E1626">
            <v>10060098</v>
          </cell>
          <cell r="F1626" t="str">
            <v>0024</v>
          </cell>
          <cell r="G1626">
            <v>7</v>
          </cell>
          <cell r="H1626">
            <v>18.510000000000002</v>
          </cell>
          <cell r="I1626">
            <v>787.72035190090014</v>
          </cell>
          <cell r="J1626">
            <v>0</v>
          </cell>
        </row>
        <row r="1627">
          <cell r="E1627">
            <v>10060098</v>
          </cell>
          <cell r="F1627" t="str">
            <v>0030</v>
          </cell>
          <cell r="G1627">
            <v>14</v>
          </cell>
          <cell r="H1627">
            <v>194.7</v>
          </cell>
          <cell r="I1627">
            <v>7552.4534228880002</v>
          </cell>
          <cell r="J1627">
            <v>0</v>
          </cell>
        </row>
        <row r="1628">
          <cell r="E1628">
            <v>10060098</v>
          </cell>
          <cell r="F1628" t="str">
            <v>0031</v>
          </cell>
          <cell r="G1628">
            <v>13</v>
          </cell>
          <cell r="H1628">
            <v>223.76999999999998</v>
          </cell>
          <cell r="I1628">
            <v>8734.0073099400015</v>
          </cell>
          <cell r="J1628">
            <v>0</v>
          </cell>
        </row>
        <row r="1629">
          <cell r="E1629">
            <v>10060098</v>
          </cell>
          <cell r="F1629" t="str">
            <v>0032</v>
          </cell>
          <cell r="G1629">
            <v>14</v>
          </cell>
          <cell r="H1629">
            <v>227.89</v>
          </cell>
          <cell r="I1629">
            <v>8690.715456588001</v>
          </cell>
          <cell r="J1629">
            <v>0</v>
          </cell>
        </row>
        <row r="1630">
          <cell r="E1630">
            <v>10060106</v>
          </cell>
          <cell r="F1630" t="str">
            <v>0001</v>
          </cell>
          <cell r="G1630">
            <v>7</v>
          </cell>
          <cell r="H1630">
            <v>1.7999999999999998</v>
          </cell>
          <cell r="I1630">
            <v>72.828968652</v>
          </cell>
          <cell r="J1630">
            <v>0</v>
          </cell>
        </row>
        <row r="1631">
          <cell r="E1631">
            <v>10060106</v>
          </cell>
          <cell r="F1631" t="str">
            <v>0002</v>
          </cell>
          <cell r="G1631">
            <v>8</v>
          </cell>
          <cell r="H1631">
            <v>131.79999999999998</v>
          </cell>
          <cell r="I1631">
            <v>5437.8317149200002</v>
          </cell>
          <cell r="J1631">
            <v>0</v>
          </cell>
        </row>
        <row r="1632">
          <cell r="E1632">
            <v>10060109</v>
          </cell>
          <cell r="F1632" t="str">
            <v>0001</v>
          </cell>
          <cell r="G1632">
            <v>2</v>
          </cell>
          <cell r="H1632">
            <v>0.6</v>
          </cell>
          <cell r="I1632">
            <v>20.180687868</v>
          </cell>
          <cell r="J1632">
            <v>0</v>
          </cell>
        </row>
        <row r="1633">
          <cell r="E1633">
            <v>10060109</v>
          </cell>
          <cell r="F1633" t="str">
            <v>0002</v>
          </cell>
          <cell r="G1633">
            <v>9</v>
          </cell>
          <cell r="H1633">
            <v>48.699999999999996</v>
          </cell>
          <cell r="I1633">
            <v>1670.6689583385603</v>
          </cell>
          <cell r="J1633">
            <v>424.8</v>
          </cell>
        </row>
        <row r="1634">
          <cell r="E1634">
            <v>10060110</v>
          </cell>
          <cell r="F1634" t="str">
            <v>0001</v>
          </cell>
          <cell r="G1634">
            <v>14</v>
          </cell>
          <cell r="H1634">
            <v>1.8900000000000001</v>
          </cell>
          <cell r="I1634">
            <v>91.388641315212027</v>
          </cell>
          <cell r="J1634">
            <v>0</v>
          </cell>
        </row>
        <row r="1635">
          <cell r="E1635">
            <v>10060110</v>
          </cell>
          <cell r="F1635" t="str">
            <v>0002</v>
          </cell>
          <cell r="G1635">
            <v>2</v>
          </cell>
          <cell r="H1635">
            <v>5.62</v>
          </cell>
          <cell r="I1635">
            <v>158.56340955840002</v>
          </cell>
          <cell r="J1635">
            <v>0</v>
          </cell>
        </row>
        <row r="1636">
          <cell r="E1636">
            <v>10060110</v>
          </cell>
          <cell r="F1636" t="str">
            <v>0003</v>
          </cell>
          <cell r="G1636">
            <v>13</v>
          </cell>
          <cell r="H1636">
            <v>33.540000000000006</v>
          </cell>
          <cell r="I1636">
            <v>1879.4020172776604</v>
          </cell>
          <cell r="J1636">
            <v>0</v>
          </cell>
        </row>
        <row r="1637">
          <cell r="E1637">
            <v>10060110</v>
          </cell>
          <cell r="F1637" t="str">
            <v>0016</v>
          </cell>
          <cell r="G1637">
            <v>6</v>
          </cell>
          <cell r="H1637">
            <v>17.119999999999997</v>
          </cell>
          <cell r="I1637">
            <v>533.98006889040005</v>
          </cell>
          <cell r="J1637">
            <v>0</v>
          </cell>
        </row>
        <row r="1638">
          <cell r="E1638">
            <v>10060110</v>
          </cell>
          <cell r="F1638" t="str">
            <v>0034</v>
          </cell>
          <cell r="G1638">
            <v>13</v>
          </cell>
          <cell r="H1638">
            <v>31.94</v>
          </cell>
          <cell r="I1638">
            <v>1788.403106624507</v>
          </cell>
          <cell r="J1638">
            <v>0</v>
          </cell>
        </row>
        <row r="1639">
          <cell r="E1639">
            <v>10060111</v>
          </cell>
          <cell r="F1639" t="str">
            <v>0004</v>
          </cell>
          <cell r="G1639">
            <v>10</v>
          </cell>
          <cell r="H1639">
            <v>28.519999999999996</v>
          </cell>
          <cell r="I1639">
            <v>987.86301316560002</v>
          </cell>
          <cell r="J1639">
            <v>0</v>
          </cell>
        </row>
        <row r="1640">
          <cell r="E1640">
            <v>10060111</v>
          </cell>
          <cell r="F1640" t="str">
            <v>0008</v>
          </cell>
          <cell r="G1640">
            <v>13</v>
          </cell>
          <cell r="H1640">
            <v>111.00999999999999</v>
          </cell>
          <cell r="I1640">
            <v>4359.4110081720009</v>
          </cell>
          <cell r="J1640">
            <v>0</v>
          </cell>
        </row>
        <row r="1641">
          <cell r="E1641">
            <v>10060111</v>
          </cell>
          <cell r="F1641" t="str">
            <v>0013</v>
          </cell>
          <cell r="G1641">
            <v>14</v>
          </cell>
          <cell r="H1641">
            <v>875.06999999999994</v>
          </cell>
          <cell r="I1641">
            <v>37215.021177977309</v>
          </cell>
          <cell r="J1641">
            <v>0</v>
          </cell>
        </row>
        <row r="1642">
          <cell r="E1642">
            <v>10060111</v>
          </cell>
          <cell r="F1642" t="str">
            <v>0016</v>
          </cell>
          <cell r="G1642">
            <v>4</v>
          </cell>
          <cell r="H1642">
            <v>4.51</v>
          </cell>
          <cell r="I1642">
            <v>242.83096816020006</v>
          </cell>
          <cell r="J1642">
            <v>0</v>
          </cell>
        </row>
        <row r="1643">
          <cell r="E1643">
            <v>10060114</v>
          </cell>
          <cell r="F1643" t="str">
            <v>0002</v>
          </cell>
          <cell r="G1643">
            <v>14</v>
          </cell>
          <cell r="H1643">
            <v>486.1</v>
          </cell>
          <cell r="I1643">
            <v>19331.985911039999</v>
          </cell>
          <cell r="J1643">
            <v>413</v>
          </cell>
        </row>
        <row r="1644">
          <cell r="E1644">
            <v>10060115</v>
          </cell>
          <cell r="F1644" t="str">
            <v>0002</v>
          </cell>
          <cell r="G1644">
            <v>8</v>
          </cell>
          <cell r="H1644">
            <v>171.40999999999997</v>
          </cell>
          <cell r="I1644">
            <v>10481.5793435057</v>
          </cell>
          <cell r="J1644">
            <v>0</v>
          </cell>
        </row>
        <row r="1645">
          <cell r="E1645">
            <v>10060116</v>
          </cell>
          <cell r="F1645" t="str">
            <v>0001</v>
          </cell>
          <cell r="G1645">
            <v>13</v>
          </cell>
          <cell r="H1645">
            <v>3.4999999999999996</v>
          </cell>
          <cell r="I1645">
            <v>130.72069612799999</v>
          </cell>
          <cell r="J1645">
            <v>0</v>
          </cell>
        </row>
        <row r="1646">
          <cell r="E1646">
            <v>10060116</v>
          </cell>
          <cell r="F1646" t="str">
            <v>0002</v>
          </cell>
          <cell r="G1646">
            <v>14</v>
          </cell>
          <cell r="H1646">
            <v>186.29999999999998</v>
          </cell>
          <cell r="I1646">
            <v>6966.7243113600007</v>
          </cell>
          <cell r="J1646">
            <v>413</v>
          </cell>
        </row>
        <row r="1647">
          <cell r="E1647">
            <v>10060121</v>
          </cell>
          <cell r="F1647" t="str">
            <v>0002</v>
          </cell>
          <cell r="G1647">
            <v>7</v>
          </cell>
          <cell r="H1647">
            <v>172.5</v>
          </cell>
          <cell r="I1647">
            <v>9140.3951178320003</v>
          </cell>
          <cell r="J1647">
            <v>3304</v>
          </cell>
        </row>
        <row r="1648">
          <cell r="E1648">
            <v>10060124</v>
          </cell>
          <cell r="F1648" t="str">
            <v>0002</v>
          </cell>
          <cell r="G1648">
            <v>7</v>
          </cell>
          <cell r="H1648">
            <v>71.72</v>
          </cell>
          <cell r="I1648">
            <v>3019.8157652520003</v>
          </cell>
          <cell r="J1648">
            <v>0</v>
          </cell>
        </row>
        <row r="1649">
          <cell r="E1649">
            <v>10060126</v>
          </cell>
          <cell r="F1649" t="str">
            <v>0002</v>
          </cell>
          <cell r="G1649">
            <v>3</v>
          </cell>
          <cell r="H1649">
            <v>125.6</v>
          </cell>
          <cell r="I1649">
            <v>4223.3006835360002</v>
          </cell>
          <cell r="J1649">
            <v>0</v>
          </cell>
        </row>
        <row r="1650">
          <cell r="E1650">
            <v>10060129</v>
          </cell>
          <cell r="F1650" t="str">
            <v>0001</v>
          </cell>
          <cell r="G1650">
            <v>14</v>
          </cell>
          <cell r="H1650">
            <v>3.899999999999999</v>
          </cell>
          <cell r="I1650">
            <v>149.77538947800002</v>
          </cell>
          <cell r="J1650">
            <v>0</v>
          </cell>
        </row>
        <row r="1651">
          <cell r="E1651">
            <v>10060129</v>
          </cell>
          <cell r="F1651" t="str">
            <v>0002</v>
          </cell>
          <cell r="G1651">
            <v>14</v>
          </cell>
          <cell r="H1651">
            <v>331.29999999999995</v>
          </cell>
          <cell r="I1651">
            <v>12893.323417524001</v>
          </cell>
          <cell r="J1651">
            <v>0</v>
          </cell>
        </row>
        <row r="1652">
          <cell r="E1652">
            <v>10060129</v>
          </cell>
          <cell r="F1652" t="str">
            <v>0025</v>
          </cell>
          <cell r="G1652">
            <v>1</v>
          </cell>
          <cell r="H1652">
            <v>1.56</v>
          </cell>
          <cell r="I1652">
            <v>64.04280854400001</v>
          </cell>
          <cell r="J1652">
            <v>0</v>
          </cell>
        </row>
        <row r="1653">
          <cell r="E1653">
            <v>10060130</v>
          </cell>
          <cell r="F1653" t="str">
            <v>0002</v>
          </cell>
          <cell r="G1653">
            <v>14</v>
          </cell>
          <cell r="H1653">
            <v>138.10000000000002</v>
          </cell>
          <cell r="I1653">
            <v>5387.1816097440005</v>
          </cell>
          <cell r="J1653">
            <v>0</v>
          </cell>
        </row>
        <row r="1654">
          <cell r="E1654">
            <v>10060130</v>
          </cell>
          <cell r="F1654" t="str">
            <v>0008</v>
          </cell>
          <cell r="G1654">
            <v>12</v>
          </cell>
          <cell r="H1654">
            <v>46.300000000000004</v>
          </cell>
          <cell r="I1654">
            <v>1633.1142405600001</v>
          </cell>
          <cell r="J1654">
            <v>0</v>
          </cell>
        </row>
        <row r="1655">
          <cell r="E1655">
            <v>10070013</v>
          </cell>
          <cell r="F1655" t="str">
            <v>0001</v>
          </cell>
          <cell r="G1655">
            <v>13</v>
          </cell>
          <cell r="H1655">
            <v>4.9099999999999993</v>
          </cell>
          <cell r="I1655">
            <v>185.2081591932</v>
          </cell>
          <cell r="J1655">
            <v>0</v>
          </cell>
        </row>
        <row r="1656">
          <cell r="E1656">
            <v>10070013</v>
          </cell>
          <cell r="F1656" t="str">
            <v>0002</v>
          </cell>
          <cell r="G1656">
            <v>14</v>
          </cell>
          <cell r="H1656">
            <v>569.56000000000006</v>
          </cell>
          <cell r="I1656">
            <v>21395.656419597904</v>
          </cell>
          <cell r="J1656">
            <v>3251</v>
          </cell>
        </row>
        <row r="1657">
          <cell r="E1657">
            <v>10070013</v>
          </cell>
          <cell r="F1657" t="str">
            <v>0003</v>
          </cell>
          <cell r="G1657">
            <v>10</v>
          </cell>
          <cell r="H1657">
            <v>27.6</v>
          </cell>
          <cell r="I1657">
            <v>1108.1296240740003</v>
          </cell>
          <cell r="J1657">
            <v>0</v>
          </cell>
        </row>
        <row r="1658">
          <cell r="E1658">
            <v>10070013</v>
          </cell>
          <cell r="F1658" t="str">
            <v>0004</v>
          </cell>
          <cell r="G1658">
            <v>14</v>
          </cell>
          <cell r="H1658">
            <v>185.85000000000002</v>
          </cell>
          <cell r="I1658">
            <v>7344.2654708742011</v>
          </cell>
          <cell r="J1658">
            <v>0</v>
          </cell>
        </row>
        <row r="1659">
          <cell r="E1659">
            <v>10070013</v>
          </cell>
          <cell r="F1659" t="str">
            <v>0007</v>
          </cell>
          <cell r="G1659">
            <v>14</v>
          </cell>
          <cell r="H1659">
            <v>94.29</v>
          </cell>
          <cell r="I1659">
            <v>3572.6319410760002</v>
          </cell>
          <cell r="J1659">
            <v>0</v>
          </cell>
        </row>
        <row r="1660">
          <cell r="E1660">
            <v>10070013</v>
          </cell>
          <cell r="F1660" t="str">
            <v>0013</v>
          </cell>
          <cell r="G1660">
            <v>4</v>
          </cell>
          <cell r="H1660">
            <v>5.46</v>
          </cell>
          <cell r="I1660">
            <v>206.39325960000002</v>
          </cell>
          <cell r="J1660">
            <v>0</v>
          </cell>
        </row>
        <row r="1661">
          <cell r="E1661">
            <v>10070013</v>
          </cell>
          <cell r="F1661" t="str">
            <v>0014</v>
          </cell>
          <cell r="G1661">
            <v>4</v>
          </cell>
          <cell r="H1661">
            <v>6.1199999999999992</v>
          </cell>
          <cell r="I1661">
            <v>227.109993264</v>
          </cell>
          <cell r="J1661">
            <v>0</v>
          </cell>
        </row>
        <row r="1662">
          <cell r="E1662">
            <v>10070013</v>
          </cell>
          <cell r="F1662" t="str">
            <v>0015</v>
          </cell>
          <cell r="G1662">
            <v>3</v>
          </cell>
          <cell r="H1662">
            <v>3.4099999999999993</v>
          </cell>
          <cell r="I1662">
            <v>130.52269573199999</v>
          </cell>
          <cell r="J1662">
            <v>0</v>
          </cell>
        </row>
        <row r="1663">
          <cell r="E1663">
            <v>10070013</v>
          </cell>
          <cell r="F1663" t="str">
            <v>0016</v>
          </cell>
          <cell r="G1663">
            <v>2</v>
          </cell>
          <cell r="H1663">
            <v>2.2699999999999996</v>
          </cell>
          <cell r="I1663">
            <v>88.236581795999996</v>
          </cell>
          <cell r="J1663">
            <v>0</v>
          </cell>
        </row>
        <row r="1664">
          <cell r="E1664">
            <v>10070013</v>
          </cell>
          <cell r="F1664" t="str">
            <v>0017</v>
          </cell>
          <cell r="G1664">
            <v>3</v>
          </cell>
          <cell r="H1664">
            <v>8.7199999999999989</v>
          </cell>
          <cell r="I1664">
            <v>328.48606850400006</v>
          </cell>
          <cell r="J1664">
            <v>0</v>
          </cell>
        </row>
        <row r="1665">
          <cell r="E1665">
            <v>10070016</v>
          </cell>
          <cell r="F1665" t="str">
            <v>0001</v>
          </cell>
          <cell r="G1665">
            <v>14</v>
          </cell>
          <cell r="H1665">
            <v>7.2700000000000005</v>
          </cell>
          <cell r="I1665">
            <v>280.33214774400005</v>
          </cell>
          <cell r="J1665">
            <v>0</v>
          </cell>
        </row>
        <row r="1666">
          <cell r="E1666">
            <v>10070016</v>
          </cell>
          <cell r="F1666" t="str">
            <v>0003</v>
          </cell>
          <cell r="G1666">
            <v>13</v>
          </cell>
          <cell r="H1666">
            <v>79.950000000000017</v>
          </cell>
          <cell r="I1666">
            <v>3092.7193803</v>
          </cell>
          <cell r="J1666">
            <v>0</v>
          </cell>
        </row>
        <row r="1667">
          <cell r="E1667">
            <v>10070016</v>
          </cell>
          <cell r="F1667" t="str">
            <v>0005</v>
          </cell>
          <cell r="G1667">
            <v>14</v>
          </cell>
          <cell r="H1667">
            <v>126.65</v>
          </cell>
          <cell r="I1667">
            <v>4888.3617628560005</v>
          </cell>
          <cell r="J1667">
            <v>0</v>
          </cell>
        </row>
        <row r="1668">
          <cell r="E1668">
            <v>10070016</v>
          </cell>
          <cell r="F1668" t="str">
            <v>0007</v>
          </cell>
          <cell r="G1668">
            <v>10</v>
          </cell>
          <cell r="H1668">
            <v>78.399999999999991</v>
          </cell>
          <cell r="I1668">
            <v>3018.9906608400006</v>
          </cell>
          <cell r="J1668">
            <v>0</v>
          </cell>
        </row>
        <row r="1669">
          <cell r="E1669">
            <v>10070031</v>
          </cell>
          <cell r="F1669" t="str">
            <v>0002</v>
          </cell>
          <cell r="G1669">
            <v>12</v>
          </cell>
          <cell r="H1669">
            <v>1557.5000000000002</v>
          </cell>
          <cell r="I1669">
            <v>57751.303810265999</v>
          </cell>
          <cell r="J1669">
            <v>0</v>
          </cell>
        </row>
        <row r="1670">
          <cell r="E1670">
            <v>10070033</v>
          </cell>
          <cell r="F1670" t="str">
            <v>0002</v>
          </cell>
          <cell r="G1670">
            <v>14</v>
          </cell>
          <cell r="H1670">
            <v>210.5</v>
          </cell>
          <cell r="I1670">
            <v>8537.2943381080004</v>
          </cell>
          <cell r="J1670">
            <v>165.2</v>
          </cell>
        </row>
        <row r="1671">
          <cell r="E1671">
            <v>10070033</v>
          </cell>
          <cell r="F1671" t="str">
            <v>0003</v>
          </cell>
          <cell r="G1671">
            <v>14</v>
          </cell>
          <cell r="H1671">
            <v>446.5</v>
          </cell>
          <cell r="I1671">
            <v>23868.977660968005</v>
          </cell>
          <cell r="J1671">
            <v>0</v>
          </cell>
        </row>
        <row r="1672">
          <cell r="E1672">
            <v>10070042</v>
          </cell>
          <cell r="F1672" t="str">
            <v>0001</v>
          </cell>
          <cell r="G1672">
            <v>13</v>
          </cell>
          <cell r="H1672">
            <v>5.5</v>
          </cell>
          <cell r="I1672">
            <v>272.44329919546004</v>
          </cell>
          <cell r="J1672">
            <v>0</v>
          </cell>
        </row>
        <row r="1673">
          <cell r="E1673">
            <v>10070042</v>
          </cell>
          <cell r="F1673" t="str">
            <v>0002</v>
          </cell>
          <cell r="G1673">
            <v>13</v>
          </cell>
          <cell r="H1673">
            <v>45.61</v>
          </cell>
          <cell r="I1673">
            <v>1989.4406904118002</v>
          </cell>
          <cell r="J1673">
            <v>0</v>
          </cell>
        </row>
        <row r="1674">
          <cell r="E1674">
            <v>10070042</v>
          </cell>
          <cell r="F1674" t="str">
            <v>0003</v>
          </cell>
          <cell r="G1674">
            <v>13</v>
          </cell>
          <cell r="H1674">
            <v>11.549999999999999</v>
          </cell>
          <cell r="I1674">
            <v>551.05825442577009</v>
          </cell>
          <cell r="J1674">
            <v>0</v>
          </cell>
        </row>
        <row r="1675">
          <cell r="E1675">
            <v>10070042</v>
          </cell>
          <cell r="F1675" t="str">
            <v>0033</v>
          </cell>
          <cell r="G1675">
            <v>12</v>
          </cell>
          <cell r="H1675">
            <v>39.549999999999997</v>
          </cell>
          <cell r="I1675">
            <v>2024.2586696389699</v>
          </cell>
          <cell r="J1675">
            <v>0</v>
          </cell>
        </row>
        <row r="1676">
          <cell r="E1676">
            <v>10070045</v>
          </cell>
          <cell r="F1676" t="str">
            <v>0002</v>
          </cell>
          <cell r="G1676">
            <v>10</v>
          </cell>
          <cell r="H1676">
            <v>1000</v>
          </cell>
          <cell r="I1676">
            <v>38861.887680000007</v>
          </cell>
          <cell r="J1676">
            <v>0</v>
          </cell>
        </row>
        <row r="1677">
          <cell r="E1677">
            <v>10070045</v>
          </cell>
          <cell r="F1677" t="str">
            <v>0003</v>
          </cell>
          <cell r="G1677">
            <v>10</v>
          </cell>
          <cell r="H1677">
            <v>1000</v>
          </cell>
          <cell r="I1677">
            <v>39310.698240000005</v>
          </cell>
          <cell r="J1677">
            <v>0</v>
          </cell>
        </row>
        <row r="1678">
          <cell r="E1678">
            <v>10070046</v>
          </cell>
          <cell r="F1678" t="str">
            <v>0001</v>
          </cell>
          <cell r="G1678">
            <v>14</v>
          </cell>
          <cell r="H1678">
            <v>14</v>
          </cell>
          <cell r="I1678">
            <v>523.26287639999998</v>
          </cell>
          <cell r="J1678">
            <v>0</v>
          </cell>
        </row>
        <row r="1679">
          <cell r="E1679">
            <v>10070046</v>
          </cell>
          <cell r="F1679" t="str">
            <v>0002</v>
          </cell>
          <cell r="G1679">
            <v>14</v>
          </cell>
          <cell r="H1679">
            <v>966.7</v>
          </cell>
          <cell r="I1679">
            <v>37409.254114320007</v>
          </cell>
          <cell r="J1679">
            <v>0</v>
          </cell>
        </row>
        <row r="1680">
          <cell r="E1680">
            <v>10070046</v>
          </cell>
          <cell r="F1680" t="str">
            <v>0003</v>
          </cell>
          <cell r="G1680">
            <v>14</v>
          </cell>
          <cell r="H1680">
            <v>560</v>
          </cell>
          <cell r="I1680">
            <v>22123.827792000004</v>
          </cell>
          <cell r="J1680">
            <v>0</v>
          </cell>
        </row>
        <row r="1681">
          <cell r="E1681">
            <v>10070046</v>
          </cell>
          <cell r="F1681" t="str">
            <v>0004</v>
          </cell>
          <cell r="G1681">
            <v>14</v>
          </cell>
          <cell r="H1681">
            <v>560</v>
          </cell>
          <cell r="I1681">
            <v>21965.424623999999</v>
          </cell>
          <cell r="J1681">
            <v>0</v>
          </cell>
        </row>
        <row r="1682">
          <cell r="E1682">
            <v>10070046</v>
          </cell>
          <cell r="F1682" t="str">
            <v>0006</v>
          </cell>
          <cell r="G1682">
            <v>14</v>
          </cell>
          <cell r="H1682">
            <v>70.759999999999991</v>
          </cell>
          <cell r="I1682">
            <v>2578.7884874400006</v>
          </cell>
          <cell r="J1682">
            <v>0</v>
          </cell>
        </row>
        <row r="1683">
          <cell r="E1683">
            <v>10070046</v>
          </cell>
          <cell r="F1683" t="str">
            <v>0007</v>
          </cell>
          <cell r="G1683">
            <v>14</v>
          </cell>
          <cell r="H1683">
            <v>560</v>
          </cell>
          <cell r="I1683">
            <v>21997.106208000001</v>
          </cell>
          <cell r="J1683">
            <v>0</v>
          </cell>
        </row>
        <row r="1684">
          <cell r="E1684">
            <v>10070046</v>
          </cell>
          <cell r="F1684" t="str">
            <v>0012</v>
          </cell>
          <cell r="G1684">
            <v>14</v>
          </cell>
          <cell r="H1684">
            <v>560</v>
          </cell>
          <cell r="I1684">
            <v>22044.626208000001</v>
          </cell>
          <cell r="J1684">
            <v>0</v>
          </cell>
        </row>
        <row r="1685">
          <cell r="E1685">
            <v>10070048</v>
          </cell>
          <cell r="F1685" t="str">
            <v>0002</v>
          </cell>
          <cell r="G1685">
            <v>14</v>
          </cell>
          <cell r="H1685">
            <v>454.88</v>
          </cell>
          <cell r="I1685">
            <v>19542.506622606004</v>
          </cell>
          <cell r="J1685">
            <v>2183</v>
          </cell>
        </row>
        <row r="1686">
          <cell r="E1686">
            <v>10070048</v>
          </cell>
          <cell r="F1686" t="str">
            <v>0003</v>
          </cell>
          <cell r="G1686">
            <v>6</v>
          </cell>
          <cell r="H1686">
            <v>10.37</v>
          </cell>
          <cell r="I1686">
            <v>379.85866776</v>
          </cell>
          <cell r="J1686">
            <v>0</v>
          </cell>
        </row>
        <row r="1687">
          <cell r="E1687">
            <v>10070048</v>
          </cell>
          <cell r="F1687" t="str">
            <v>0005</v>
          </cell>
          <cell r="G1687">
            <v>13</v>
          </cell>
          <cell r="H1687">
            <v>76.97</v>
          </cell>
          <cell r="I1687">
            <v>2775.6103383360005</v>
          </cell>
          <cell r="J1687">
            <v>0</v>
          </cell>
        </row>
        <row r="1688">
          <cell r="E1688">
            <v>10070048</v>
          </cell>
          <cell r="F1688" t="str">
            <v>0007</v>
          </cell>
          <cell r="G1688">
            <v>14</v>
          </cell>
          <cell r="H1688">
            <v>1031.1099999999999</v>
          </cell>
          <cell r="I1688">
            <v>41887.4942880792</v>
          </cell>
          <cell r="J1688">
            <v>0</v>
          </cell>
        </row>
        <row r="1689">
          <cell r="E1689">
            <v>10070048</v>
          </cell>
          <cell r="F1689" t="str">
            <v>0015</v>
          </cell>
          <cell r="G1689">
            <v>9</v>
          </cell>
          <cell r="H1689">
            <v>55.120000000000005</v>
          </cell>
          <cell r="I1689">
            <v>1962.3394581120006</v>
          </cell>
          <cell r="J1689">
            <v>0</v>
          </cell>
        </row>
        <row r="1690">
          <cell r="E1690">
            <v>10070048</v>
          </cell>
          <cell r="F1690" t="str">
            <v>0019</v>
          </cell>
          <cell r="G1690">
            <v>10</v>
          </cell>
          <cell r="H1690">
            <v>17.02</v>
          </cell>
          <cell r="I1690">
            <v>710.53285644000005</v>
          </cell>
          <cell r="J1690">
            <v>0</v>
          </cell>
        </row>
        <row r="1691">
          <cell r="E1691">
            <v>10070048</v>
          </cell>
          <cell r="F1691" t="str">
            <v>0020</v>
          </cell>
          <cell r="G1691">
            <v>14</v>
          </cell>
          <cell r="H1691">
            <v>38.159999999999997</v>
          </cell>
          <cell r="I1691">
            <v>1471.0398042186</v>
          </cell>
          <cell r="J1691">
            <v>0</v>
          </cell>
        </row>
        <row r="1692">
          <cell r="E1692">
            <v>10070048</v>
          </cell>
          <cell r="F1692" t="str">
            <v>0021</v>
          </cell>
          <cell r="G1692">
            <v>13</v>
          </cell>
          <cell r="H1692">
            <v>33.85</v>
          </cell>
          <cell r="I1692">
            <v>1223.5852173600003</v>
          </cell>
          <cell r="J1692">
            <v>0</v>
          </cell>
        </row>
        <row r="1693">
          <cell r="E1693">
            <v>10070048</v>
          </cell>
          <cell r="F1693" t="str">
            <v>0022</v>
          </cell>
          <cell r="G1693">
            <v>6</v>
          </cell>
          <cell r="H1693">
            <v>9.9499999999999993</v>
          </cell>
          <cell r="I1693">
            <v>414.34115392137602</v>
          </cell>
          <cell r="J1693">
            <v>0</v>
          </cell>
        </row>
        <row r="1694">
          <cell r="E1694">
            <v>10070048</v>
          </cell>
          <cell r="F1694" t="str">
            <v>0026</v>
          </cell>
          <cell r="G1694">
            <v>13</v>
          </cell>
          <cell r="H1694">
            <v>87.170000000000016</v>
          </cell>
          <cell r="I1694">
            <v>3013.0570744560009</v>
          </cell>
          <cell r="J1694">
            <v>0</v>
          </cell>
        </row>
        <row r="1695">
          <cell r="E1695">
            <v>10070053</v>
          </cell>
          <cell r="F1695" t="str">
            <v>0002</v>
          </cell>
          <cell r="G1695">
            <v>9</v>
          </cell>
          <cell r="H1695">
            <v>385.15999999999997</v>
          </cell>
          <cell r="I1695">
            <v>20387.434833229399</v>
          </cell>
          <cell r="J1695">
            <v>0</v>
          </cell>
        </row>
        <row r="1696">
          <cell r="E1696">
            <v>10070053</v>
          </cell>
          <cell r="F1696" t="str">
            <v>0003</v>
          </cell>
          <cell r="G1696">
            <v>2</v>
          </cell>
          <cell r="H1696">
            <v>50.75</v>
          </cell>
          <cell r="I1696">
            <v>2127.5009415000004</v>
          </cell>
          <cell r="J1696">
            <v>0</v>
          </cell>
        </row>
        <row r="1697">
          <cell r="E1697">
            <v>10070063</v>
          </cell>
          <cell r="F1697" t="str">
            <v>0002</v>
          </cell>
          <cell r="G1697">
            <v>1</v>
          </cell>
          <cell r="H1697">
            <v>691.3</v>
          </cell>
          <cell r="I1697">
            <v>34914.944438555998</v>
          </cell>
          <cell r="J1697">
            <v>4808.5</v>
          </cell>
        </row>
        <row r="1698">
          <cell r="E1698">
            <v>10070064</v>
          </cell>
          <cell r="F1698" t="str">
            <v>0001</v>
          </cell>
          <cell r="G1698">
            <v>14</v>
          </cell>
          <cell r="H1698">
            <v>4.7199999999999989</v>
          </cell>
          <cell r="I1698">
            <v>185.133867732</v>
          </cell>
          <cell r="J1698">
            <v>0</v>
          </cell>
        </row>
        <row r="1699">
          <cell r="E1699">
            <v>10070064</v>
          </cell>
          <cell r="F1699" t="str">
            <v>0002</v>
          </cell>
          <cell r="G1699">
            <v>14</v>
          </cell>
          <cell r="H1699">
            <v>1334.2799999999997</v>
          </cell>
          <cell r="I1699">
            <v>51116.321554056005</v>
          </cell>
          <cell r="J1699">
            <v>0</v>
          </cell>
        </row>
        <row r="1700">
          <cell r="E1700">
            <v>10070077</v>
          </cell>
          <cell r="F1700" t="str">
            <v>0002</v>
          </cell>
          <cell r="G1700">
            <v>4</v>
          </cell>
          <cell r="H1700">
            <v>111.53999999999999</v>
          </cell>
          <cell r="I1700">
            <v>5520.4622399385999</v>
          </cell>
          <cell r="J1700">
            <v>0</v>
          </cell>
        </row>
        <row r="1701">
          <cell r="E1701">
            <v>10070077</v>
          </cell>
          <cell r="F1701" t="str">
            <v>0004</v>
          </cell>
          <cell r="G1701">
            <v>2</v>
          </cell>
          <cell r="H1701">
            <v>6.97</v>
          </cell>
          <cell r="I1701">
            <v>324.28547864116001</v>
          </cell>
          <cell r="J1701">
            <v>0</v>
          </cell>
        </row>
        <row r="1702">
          <cell r="E1702">
            <v>10070077</v>
          </cell>
          <cell r="F1702" t="str">
            <v>0005</v>
          </cell>
          <cell r="G1702">
            <v>1</v>
          </cell>
          <cell r="H1702">
            <v>4.1900000000000004</v>
          </cell>
          <cell r="I1702">
            <v>117.80935848000003</v>
          </cell>
          <cell r="J1702">
            <v>0</v>
          </cell>
        </row>
        <row r="1703">
          <cell r="E1703">
            <v>10070077</v>
          </cell>
          <cell r="F1703" t="str">
            <v>0006</v>
          </cell>
          <cell r="G1703">
            <v>1</v>
          </cell>
          <cell r="H1703">
            <v>14.86</v>
          </cell>
          <cell r="I1703">
            <v>652.85180258188802</v>
          </cell>
          <cell r="J1703">
            <v>0</v>
          </cell>
        </row>
        <row r="1704">
          <cell r="E1704">
            <v>10070077</v>
          </cell>
          <cell r="F1704" t="str">
            <v>0007</v>
          </cell>
          <cell r="G1704">
            <v>1</v>
          </cell>
          <cell r="H1704">
            <v>13.42</v>
          </cell>
          <cell r="I1704">
            <v>556.24668580800005</v>
          </cell>
          <cell r="J1704">
            <v>0</v>
          </cell>
        </row>
        <row r="1705">
          <cell r="E1705">
            <v>10070077</v>
          </cell>
          <cell r="F1705" t="str">
            <v>0008</v>
          </cell>
          <cell r="G1705">
            <v>1</v>
          </cell>
          <cell r="H1705">
            <v>5.55</v>
          </cell>
          <cell r="I1705">
            <v>293.24578478699999</v>
          </cell>
          <cell r="J1705">
            <v>0</v>
          </cell>
        </row>
        <row r="1706">
          <cell r="E1706">
            <v>10070077</v>
          </cell>
          <cell r="F1706" t="str">
            <v>0010</v>
          </cell>
          <cell r="G1706">
            <v>1</v>
          </cell>
          <cell r="H1706">
            <v>6.58</v>
          </cell>
          <cell r="I1706">
            <v>262.48452975359999</v>
          </cell>
          <cell r="J1706">
            <v>0</v>
          </cell>
        </row>
        <row r="1707">
          <cell r="E1707">
            <v>10070077</v>
          </cell>
          <cell r="F1707" t="str">
            <v>0011</v>
          </cell>
          <cell r="G1707">
            <v>6</v>
          </cell>
          <cell r="H1707">
            <v>22.69</v>
          </cell>
          <cell r="I1707">
            <v>902.20735123200029</v>
          </cell>
          <cell r="J1707">
            <v>0</v>
          </cell>
        </row>
        <row r="1708">
          <cell r="E1708">
            <v>10070078</v>
          </cell>
          <cell r="F1708" t="str">
            <v>0002</v>
          </cell>
          <cell r="G1708">
            <v>1</v>
          </cell>
          <cell r="H1708">
            <v>804.9</v>
          </cell>
          <cell r="I1708">
            <v>40652.450135387997</v>
          </cell>
          <cell r="J1708">
            <v>0</v>
          </cell>
        </row>
        <row r="1709">
          <cell r="E1709">
            <v>10080015</v>
          </cell>
          <cell r="F1709" t="str">
            <v>0001</v>
          </cell>
          <cell r="G1709">
            <v>14</v>
          </cell>
          <cell r="H1709">
            <v>4.7</v>
          </cell>
          <cell r="I1709">
            <v>162.17880881400004</v>
          </cell>
          <cell r="J1709">
            <v>0</v>
          </cell>
        </row>
        <row r="1710">
          <cell r="E1710">
            <v>10080015</v>
          </cell>
          <cell r="F1710" t="str">
            <v>0002</v>
          </cell>
          <cell r="G1710">
            <v>13</v>
          </cell>
          <cell r="H1710">
            <v>727.90000000000009</v>
          </cell>
          <cell r="I1710">
            <v>26171.7307038</v>
          </cell>
          <cell r="J1710">
            <v>1536.3600000000001</v>
          </cell>
        </row>
        <row r="1711">
          <cell r="E1711">
            <v>10080015</v>
          </cell>
          <cell r="F1711" t="str">
            <v>0004</v>
          </cell>
          <cell r="G1711">
            <v>11</v>
          </cell>
          <cell r="H1711">
            <v>565.5</v>
          </cell>
          <cell r="I1711">
            <v>21135.273204907906</v>
          </cell>
          <cell r="J1711">
            <v>0</v>
          </cell>
        </row>
        <row r="1712">
          <cell r="E1712">
            <v>10080015</v>
          </cell>
          <cell r="F1712" t="str">
            <v>0008</v>
          </cell>
          <cell r="G1712">
            <v>9</v>
          </cell>
          <cell r="H1712">
            <v>398.9</v>
          </cell>
          <cell r="I1712">
            <v>14784.007499645002</v>
          </cell>
          <cell r="J1712">
            <v>0</v>
          </cell>
        </row>
        <row r="1713">
          <cell r="E1713">
            <v>10080015</v>
          </cell>
          <cell r="F1713" t="str">
            <v>0009</v>
          </cell>
          <cell r="G1713">
            <v>12</v>
          </cell>
          <cell r="H1713">
            <v>550.09999999999991</v>
          </cell>
          <cell r="I1713">
            <v>19424.188584654603</v>
          </cell>
          <cell r="J1713">
            <v>0</v>
          </cell>
        </row>
        <row r="1714">
          <cell r="E1714">
            <v>10080015</v>
          </cell>
          <cell r="F1714" t="str">
            <v>0010</v>
          </cell>
          <cell r="G1714">
            <v>2</v>
          </cell>
          <cell r="H1714">
            <v>52.2</v>
          </cell>
          <cell r="I1714">
            <v>2037.0829327199999</v>
          </cell>
          <cell r="J1714">
            <v>0</v>
          </cell>
        </row>
        <row r="1715">
          <cell r="E1715">
            <v>10080015</v>
          </cell>
          <cell r="F1715" t="str">
            <v>0012</v>
          </cell>
          <cell r="G1715">
            <v>12</v>
          </cell>
          <cell r="H1715">
            <v>173.7</v>
          </cell>
          <cell r="I1715">
            <v>5865.0137415540012</v>
          </cell>
          <cell r="J1715">
            <v>0</v>
          </cell>
        </row>
        <row r="1716">
          <cell r="E1716">
            <v>10080015</v>
          </cell>
          <cell r="F1716" t="str">
            <v>0013</v>
          </cell>
          <cell r="G1716">
            <v>2</v>
          </cell>
          <cell r="H1716">
            <v>17.099999999999998</v>
          </cell>
          <cell r="I1716">
            <v>753.44892084000014</v>
          </cell>
          <cell r="J1716">
            <v>0</v>
          </cell>
        </row>
        <row r="1717">
          <cell r="E1717">
            <v>10080015</v>
          </cell>
          <cell r="F1717" t="str">
            <v>0020</v>
          </cell>
          <cell r="G1717">
            <v>9</v>
          </cell>
          <cell r="H1717">
            <v>64.8</v>
          </cell>
          <cell r="I1717">
            <v>2122.428814506</v>
          </cell>
          <cell r="J1717">
            <v>0</v>
          </cell>
        </row>
        <row r="1718">
          <cell r="E1718">
            <v>10080015</v>
          </cell>
          <cell r="F1718" t="str">
            <v>0025</v>
          </cell>
          <cell r="G1718">
            <v>5</v>
          </cell>
          <cell r="H1718">
            <v>63.499999999999993</v>
          </cell>
          <cell r="I1718">
            <v>3106.7070002917999</v>
          </cell>
          <cell r="J1718">
            <v>0</v>
          </cell>
        </row>
        <row r="1719">
          <cell r="E1719">
            <v>10080015</v>
          </cell>
          <cell r="F1719" t="str">
            <v>0026</v>
          </cell>
          <cell r="G1719">
            <v>1</v>
          </cell>
          <cell r="H1719">
            <v>27.5</v>
          </cell>
          <cell r="I1719">
            <v>976.49976600000014</v>
          </cell>
          <cell r="J1719">
            <v>0</v>
          </cell>
        </row>
        <row r="1720">
          <cell r="E1720">
            <v>10080016</v>
          </cell>
          <cell r="F1720" t="str">
            <v>0001</v>
          </cell>
          <cell r="G1720">
            <v>14</v>
          </cell>
          <cell r="H1720">
            <v>2.5000000000000004</v>
          </cell>
          <cell r="I1720">
            <v>90.831870360000025</v>
          </cell>
          <cell r="J1720">
            <v>0</v>
          </cell>
        </row>
        <row r="1721">
          <cell r="E1721">
            <v>10080016</v>
          </cell>
          <cell r="F1721" t="str">
            <v>0002</v>
          </cell>
          <cell r="G1721">
            <v>11</v>
          </cell>
          <cell r="H1721">
            <v>31.3</v>
          </cell>
          <cell r="I1721">
            <v>1182.6750236400001</v>
          </cell>
          <cell r="J1721">
            <v>0</v>
          </cell>
        </row>
        <row r="1722">
          <cell r="E1722">
            <v>10080016</v>
          </cell>
          <cell r="F1722" t="str">
            <v>0012</v>
          </cell>
          <cell r="G1722">
            <v>5</v>
          </cell>
          <cell r="H1722">
            <v>12.8</v>
          </cell>
          <cell r="I1722">
            <v>533.67697943999997</v>
          </cell>
          <cell r="J1722">
            <v>0</v>
          </cell>
        </row>
        <row r="1723">
          <cell r="E1723">
            <v>10080016</v>
          </cell>
          <cell r="F1723" t="str">
            <v>0015</v>
          </cell>
          <cell r="G1723">
            <v>7</v>
          </cell>
          <cell r="H1723">
            <v>22.2</v>
          </cell>
          <cell r="I1723">
            <v>905.82114348000016</v>
          </cell>
          <cell r="J1723">
            <v>0</v>
          </cell>
        </row>
        <row r="1724">
          <cell r="E1724">
            <v>10080016</v>
          </cell>
          <cell r="F1724" t="str">
            <v>0018</v>
          </cell>
          <cell r="G1724">
            <v>13</v>
          </cell>
          <cell r="H1724">
            <v>178.7</v>
          </cell>
          <cell r="I1724">
            <v>6889.8596896799991</v>
          </cell>
          <cell r="J1724">
            <v>0</v>
          </cell>
        </row>
        <row r="1725">
          <cell r="E1725">
            <v>10080016</v>
          </cell>
          <cell r="F1725" t="str">
            <v>0021</v>
          </cell>
          <cell r="G1725">
            <v>12</v>
          </cell>
          <cell r="H1725">
            <v>30.200000000000003</v>
          </cell>
          <cell r="I1725">
            <v>1023.1904271600001</v>
          </cell>
          <cell r="J1725">
            <v>0</v>
          </cell>
        </row>
        <row r="1726">
          <cell r="E1726">
            <v>10080022</v>
          </cell>
          <cell r="F1726" t="str">
            <v>0001</v>
          </cell>
          <cell r="G1726">
            <v>14</v>
          </cell>
          <cell r="H1726">
            <v>4.2299999999999995</v>
          </cell>
          <cell r="I1726">
            <v>162.43000202880003</v>
          </cell>
          <cell r="J1726">
            <v>0</v>
          </cell>
        </row>
        <row r="1727">
          <cell r="E1727">
            <v>10080022</v>
          </cell>
          <cell r="F1727" t="str">
            <v>0003</v>
          </cell>
          <cell r="G1727">
            <v>14</v>
          </cell>
          <cell r="H1727">
            <v>113.21999999999997</v>
          </cell>
          <cell r="I1727">
            <v>4468.4658071262002</v>
          </cell>
          <cell r="J1727">
            <v>0</v>
          </cell>
        </row>
        <row r="1728">
          <cell r="E1728">
            <v>10080022</v>
          </cell>
          <cell r="F1728" t="str">
            <v>0033</v>
          </cell>
          <cell r="G1728">
            <v>14</v>
          </cell>
          <cell r="H1728">
            <v>40.01</v>
          </cell>
          <cell r="I1728">
            <v>1728.4836996037502</v>
          </cell>
          <cell r="J1728">
            <v>0</v>
          </cell>
        </row>
        <row r="1729">
          <cell r="E1729">
            <v>10080022</v>
          </cell>
          <cell r="F1729" t="str">
            <v>0041</v>
          </cell>
          <cell r="G1729">
            <v>14</v>
          </cell>
          <cell r="H1729">
            <v>27.95</v>
          </cell>
          <cell r="I1729">
            <v>1067.9037230695681</v>
          </cell>
          <cell r="J1729">
            <v>0</v>
          </cell>
        </row>
        <row r="1730">
          <cell r="E1730">
            <v>10080022</v>
          </cell>
          <cell r="F1730" t="str">
            <v>0048</v>
          </cell>
          <cell r="G1730">
            <v>14</v>
          </cell>
          <cell r="H1730">
            <v>42.18</v>
          </cell>
          <cell r="I1730">
            <v>1683.7404326196001</v>
          </cell>
          <cell r="J1730">
            <v>0</v>
          </cell>
        </row>
        <row r="1731">
          <cell r="E1731">
            <v>10080022</v>
          </cell>
          <cell r="F1731" t="str">
            <v>0049</v>
          </cell>
          <cell r="G1731">
            <v>14</v>
          </cell>
          <cell r="H1731">
            <v>36.03</v>
          </cell>
          <cell r="I1731">
            <v>1796.7502165538301</v>
          </cell>
          <cell r="J1731">
            <v>0</v>
          </cell>
        </row>
        <row r="1732">
          <cell r="E1732">
            <v>10080025</v>
          </cell>
          <cell r="F1732" t="str">
            <v>0001</v>
          </cell>
          <cell r="G1732">
            <v>12</v>
          </cell>
          <cell r="H1732">
            <v>14.14</v>
          </cell>
          <cell r="I1732">
            <v>533.38267152720005</v>
          </cell>
          <cell r="J1732">
            <v>0</v>
          </cell>
        </row>
        <row r="1733">
          <cell r="E1733">
            <v>10080025</v>
          </cell>
          <cell r="F1733" t="str">
            <v>0003</v>
          </cell>
          <cell r="G1733">
            <v>14</v>
          </cell>
          <cell r="H1733">
            <v>79.759999999999991</v>
          </cell>
          <cell r="I1733">
            <v>2840.3795809026001</v>
          </cell>
          <cell r="J1733">
            <v>0</v>
          </cell>
        </row>
        <row r="1734">
          <cell r="E1734">
            <v>10080025</v>
          </cell>
          <cell r="F1734" t="str">
            <v>0004</v>
          </cell>
          <cell r="G1734">
            <v>13</v>
          </cell>
          <cell r="H1734">
            <v>60.279999999999987</v>
          </cell>
          <cell r="I1734">
            <v>2102.8821370128003</v>
          </cell>
          <cell r="J1734">
            <v>0</v>
          </cell>
        </row>
        <row r="1735">
          <cell r="E1735">
            <v>10080025</v>
          </cell>
          <cell r="F1735" t="str">
            <v>0005</v>
          </cell>
          <cell r="G1735">
            <v>9</v>
          </cell>
          <cell r="H1735">
            <v>44.64</v>
          </cell>
          <cell r="I1735">
            <v>1815.8721019560003</v>
          </cell>
          <cell r="J1735">
            <v>0</v>
          </cell>
        </row>
        <row r="1736">
          <cell r="E1736">
            <v>10080025</v>
          </cell>
          <cell r="F1736" t="str">
            <v>0006</v>
          </cell>
          <cell r="G1736">
            <v>13</v>
          </cell>
          <cell r="H1736">
            <v>36.870000000000005</v>
          </cell>
          <cell r="I1736">
            <v>1708.8557485353599</v>
          </cell>
          <cell r="J1736">
            <v>0</v>
          </cell>
        </row>
        <row r="1737">
          <cell r="E1737">
            <v>10080025</v>
          </cell>
          <cell r="F1737" t="str">
            <v>0007</v>
          </cell>
          <cell r="G1737">
            <v>14</v>
          </cell>
          <cell r="H1737">
            <v>38.630000000000003</v>
          </cell>
          <cell r="I1737">
            <v>1481.272182423</v>
          </cell>
          <cell r="J1737">
            <v>0</v>
          </cell>
        </row>
        <row r="1738">
          <cell r="E1738">
            <v>10080025</v>
          </cell>
          <cell r="F1738" t="str">
            <v>0008</v>
          </cell>
          <cell r="G1738">
            <v>14</v>
          </cell>
          <cell r="H1738">
            <v>60.819999999999993</v>
          </cell>
          <cell r="I1738">
            <v>2531.2700417400001</v>
          </cell>
          <cell r="J1738">
            <v>0</v>
          </cell>
        </row>
        <row r="1739">
          <cell r="E1739">
            <v>10080025</v>
          </cell>
          <cell r="F1739" t="str">
            <v>0010</v>
          </cell>
          <cell r="G1739">
            <v>6</v>
          </cell>
          <cell r="H1739">
            <v>11.569999999999999</v>
          </cell>
          <cell r="I1739">
            <v>473.4462659454</v>
          </cell>
          <cell r="J1739">
            <v>0</v>
          </cell>
        </row>
        <row r="1740">
          <cell r="E1740">
            <v>10080025</v>
          </cell>
          <cell r="F1740" t="str">
            <v>0012</v>
          </cell>
          <cell r="G1740">
            <v>6</v>
          </cell>
          <cell r="H1740">
            <v>16.57</v>
          </cell>
          <cell r="I1740">
            <v>639.63903603600011</v>
          </cell>
          <cell r="J1740">
            <v>0</v>
          </cell>
        </row>
        <row r="1741">
          <cell r="E1741">
            <v>10080025</v>
          </cell>
          <cell r="F1741" t="str">
            <v>0014</v>
          </cell>
          <cell r="G1741">
            <v>14</v>
          </cell>
          <cell r="H1741">
            <v>56.739999999999995</v>
          </cell>
          <cell r="I1741">
            <v>2075.5848602214</v>
          </cell>
          <cell r="J1741">
            <v>0</v>
          </cell>
        </row>
        <row r="1742">
          <cell r="E1742">
            <v>10080025</v>
          </cell>
          <cell r="F1742" t="str">
            <v>0015</v>
          </cell>
          <cell r="G1742">
            <v>13</v>
          </cell>
          <cell r="H1742">
            <v>61.53</v>
          </cell>
          <cell r="I1742">
            <v>2067.0688274345998</v>
          </cell>
          <cell r="J1742">
            <v>0</v>
          </cell>
        </row>
        <row r="1743">
          <cell r="E1743">
            <v>10080025</v>
          </cell>
          <cell r="F1743" t="str">
            <v>0016</v>
          </cell>
          <cell r="G1743">
            <v>2</v>
          </cell>
          <cell r="H1743">
            <v>13.190000000000001</v>
          </cell>
          <cell r="I1743">
            <v>552.60639918000004</v>
          </cell>
          <cell r="J1743">
            <v>0</v>
          </cell>
        </row>
        <row r="1744">
          <cell r="E1744">
            <v>10080025</v>
          </cell>
          <cell r="F1744" t="str">
            <v>0017</v>
          </cell>
          <cell r="G1744">
            <v>3</v>
          </cell>
          <cell r="H1744">
            <v>6.1099999999999994</v>
          </cell>
          <cell r="I1744">
            <v>255.67765542000001</v>
          </cell>
          <cell r="J1744">
            <v>0</v>
          </cell>
        </row>
        <row r="1745">
          <cell r="E1745">
            <v>10080025</v>
          </cell>
          <cell r="F1745" t="str">
            <v>0019</v>
          </cell>
          <cell r="G1745">
            <v>14</v>
          </cell>
          <cell r="H1745">
            <v>16.489999999999998</v>
          </cell>
          <cell r="I1745">
            <v>743.67614994660005</v>
          </cell>
          <cell r="J1745">
            <v>0</v>
          </cell>
        </row>
        <row r="1746">
          <cell r="E1746">
            <v>10080025</v>
          </cell>
          <cell r="F1746" t="str">
            <v>0022</v>
          </cell>
          <cell r="G1746">
            <v>6</v>
          </cell>
          <cell r="H1746">
            <v>7.86</v>
          </cell>
          <cell r="I1746">
            <v>310.69829577600001</v>
          </cell>
          <cell r="J1746">
            <v>0</v>
          </cell>
        </row>
        <row r="1747">
          <cell r="E1747">
            <v>10080025</v>
          </cell>
          <cell r="F1747" t="str">
            <v>0023</v>
          </cell>
          <cell r="G1747">
            <v>12</v>
          </cell>
          <cell r="H1747">
            <v>36.630000000000003</v>
          </cell>
          <cell r="I1747">
            <v>1341.7453269</v>
          </cell>
          <cell r="J1747">
            <v>0</v>
          </cell>
        </row>
        <row r="1748">
          <cell r="E1748">
            <v>10080025</v>
          </cell>
          <cell r="F1748" t="str">
            <v>0024</v>
          </cell>
          <cell r="G1748">
            <v>11</v>
          </cell>
          <cell r="H1748">
            <v>17.87</v>
          </cell>
          <cell r="I1748">
            <v>712.75397331600016</v>
          </cell>
          <cell r="J1748">
            <v>0</v>
          </cell>
        </row>
        <row r="1749">
          <cell r="E1749">
            <v>10080025</v>
          </cell>
          <cell r="F1749" t="str">
            <v>0026</v>
          </cell>
          <cell r="G1749">
            <v>14</v>
          </cell>
          <cell r="H1749">
            <v>28</v>
          </cell>
          <cell r="I1749">
            <v>1049.1860079360001</v>
          </cell>
          <cell r="J1749">
            <v>0</v>
          </cell>
        </row>
        <row r="1750">
          <cell r="E1750">
            <v>10080025</v>
          </cell>
          <cell r="F1750" t="str">
            <v>0033</v>
          </cell>
          <cell r="G1750">
            <v>14</v>
          </cell>
          <cell r="H1750">
            <v>48.599999999999994</v>
          </cell>
          <cell r="I1750">
            <v>1818.3594679668004</v>
          </cell>
          <cell r="J1750">
            <v>0</v>
          </cell>
        </row>
        <row r="1751">
          <cell r="E1751">
            <v>10080025</v>
          </cell>
          <cell r="F1751" t="str">
            <v>0035</v>
          </cell>
          <cell r="G1751">
            <v>13</v>
          </cell>
          <cell r="H1751">
            <v>53.649999999999991</v>
          </cell>
          <cell r="I1751">
            <v>2189.488323132</v>
          </cell>
          <cell r="J1751">
            <v>0</v>
          </cell>
        </row>
        <row r="1752">
          <cell r="E1752">
            <v>10080025</v>
          </cell>
          <cell r="F1752" t="str">
            <v>0036</v>
          </cell>
          <cell r="G1752">
            <v>11</v>
          </cell>
          <cell r="H1752">
            <v>19.229999999999997</v>
          </cell>
          <cell r="I1752">
            <v>750.39728306400013</v>
          </cell>
          <cell r="J1752">
            <v>0</v>
          </cell>
        </row>
        <row r="1753">
          <cell r="E1753">
            <v>10080025</v>
          </cell>
          <cell r="F1753" t="str">
            <v>0038</v>
          </cell>
          <cell r="G1753">
            <v>14</v>
          </cell>
          <cell r="H1753">
            <v>26.25</v>
          </cell>
          <cell r="I1753">
            <v>942.46849730880001</v>
          </cell>
          <cell r="J1753">
            <v>0</v>
          </cell>
        </row>
        <row r="1754">
          <cell r="E1754">
            <v>10080025</v>
          </cell>
          <cell r="F1754" t="str">
            <v>0041</v>
          </cell>
          <cell r="G1754">
            <v>6</v>
          </cell>
          <cell r="H1754">
            <v>9.33</v>
          </cell>
          <cell r="I1754">
            <v>345.73128123600003</v>
          </cell>
          <cell r="J1754">
            <v>0</v>
          </cell>
        </row>
        <row r="1755">
          <cell r="E1755">
            <v>10080025</v>
          </cell>
          <cell r="F1755" t="str">
            <v>0055</v>
          </cell>
          <cell r="G1755">
            <v>7</v>
          </cell>
          <cell r="H1755">
            <v>81.28</v>
          </cell>
          <cell r="I1755">
            <v>3068.6038297200002</v>
          </cell>
          <cell r="J1755">
            <v>0</v>
          </cell>
        </row>
        <row r="1756">
          <cell r="E1756">
            <v>10080025</v>
          </cell>
          <cell r="F1756" t="str">
            <v>0056</v>
          </cell>
          <cell r="G1756">
            <v>7</v>
          </cell>
          <cell r="H1756">
            <v>12.990000000000002</v>
          </cell>
          <cell r="I1756">
            <v>484.38503211700805</v>
          </cell>
          <cell r="J1756">
            <v>0</v>
          </cell>
        </row>
        <row r="1757">
          <cell r="E1757">
            <v>10080025</v>
          </cell>
          <cell r="F1757" t="str">
            <v>0061</v>
          </cell>
          <cell r="G1757">
            <v>14</v>
          </cell>
          <cell r="H1757">
            <v>44.15</v>
          </cell>
          <cell r="I1757">
            <v>1518.5259120636003</v>
          </cell>
          <cell r="J1757">
            <v>0</v>
          </cell>
        </row>
        <row r="1758">
          <cell r="E1758">
            <v>10080025</v>
          </cell>
          <cell r="F1758" t="str">
            <v>0062</v>
          </cell>
          <cell r="G1758">
            <v>7</v>
          </cell>
          <cell r="H1758">
            <v>31.589999999999996</v>
          </cell>
          <cell r="I1758">
            <v>1123.8909450912001</v>
          </cell>
          <cell r="J1758">
            <v>0</v>
          </cell>
        </row>
        <row r="1759">
          <cell r="E1759">
            <v>10080025</v>
          </cell>
          <cell r="F1759" t="str">
            <v>0063</v>
          </cell>
          <cell r="G1759">
            <v>3</v>
          </cell>
          <cell r="H1759">
            <v>8.09</v>
          </cell>
          <cell r="I1759">
            <v>301.52611680840005</v>
          </cell>
          <cell r="J1759">
            <v>0</v>
          </cell>
        </row>
        <row r="1760">
          <cell r="E1760">
            <v>10080032</v>
          </cell>
          <cell r="F1760" t="str">
            <v>0001</v>
          </cell>
          <cell r="G1760">
            <v>14</v>
          </cell>
          <cell r="H1760">
            <v>4.7699999999999996</v>
          </cell>
          <cell r="I1760">
            <v>191.88490424640005</v>
          </cell>
          <cell r="J1760">
            <v>0</v>
          </cell>
        </row>
        <row r="1761">
          <cell r="E1761">
            <v>10080032</v>
          </cell>
          <cell r="F1761" t="str">
            <v>0002</v>
          </cell>
          <cell r="G1761">
            <v>14</v>
          </cell>
          <cell r="H1761">
            <v>157.5</v>
          </cell>
          <cell r="I1761">
            <v>6363.5910103768811</v>
          </cell>
          <cell r="J1761">
            <v>413</v>
          </cell>
        </row>
        <row r="1762">
          <cell r="E1762">
            <v>10080032</v>
          </cell>
          <cell r="F1762" t="str">
            <v>0016</v>
          </cell>
          <cell r="G1762">
            <v>9</v>
          </cell>
          <cell r="H1762">
            <v>75.2</v>
          </cell>
          <cell r="I1762">
            <v>2985.3225091800005</v>
          </cell>
          <cell r="J1762">
            <v>0</v>
          </cell>
        </row>
        <row r="1763">
          <cell r="E1763">
            <v>10080032</v>
          </cell>
          <cell r="F1763" t="str">
            <v>0017</v>
          </cell>
          <cell r="G1763">
            <v>6</v>
          </cell>
          <cell r="H1763">
            <v>32.269999999999996</v>
          </cell>
          <cell r="I1763">
            <v>1282.4487470520003</v>
          </cell>
          <cell r="J1763">
            <v>0</v>
          </cell>
        </row>
        <row r="1764">
          <cell r="E1764">
            <v>10080032</v>
          </cell>
          <cell r="F1764" t="str">
            <v>0020</v>
          </cell>
          <cell r="G1764">
            <v>14</v>
          </cell>
          <cell r="H1764">
            <v>153.92000000000002</v>
          </cell>
          <cell r="I1764">
            <v>6227.0606250892806</v>
          </cell>
          <cell r="J1764">
            <v>0</v>
          </cell>
        </row>
        <row r="1765">
          <cell r="E1765">
            <v>10080032</v>
          </cell>
          <cell r="F1765" t="str">
            <v>0021</v>
          </cell>
          <cell r="G1765">
            <v>14</v>
          </cell>
          <cell r="H1765">
            <v>149.64999999999998</v>
          </cell>
          <cell r="I1765">
            <v>6057.0055827892811</v>
          </cell>
          <cell r="J1765">
            <v>0</v>
          </cell>
        </row>
        <row r="1766">
          <cell r="E1766">
            <v>10080032</v>
          </cell>
          <cell r="F1766" t="str">
            <v>0022</v>
          </cell>
          <cell r="G1766">
            <v>12</v>
          </cell>
          <cell r="H1766">
            <v>128.37</v>
          </cell>
          <cell r="I1766">
            <v>5130.2786075640006</v>
          </cell>
          <cell r="J1766">
            <v>0</v>
          </cell>
        </row>
        <row r="1767">
          <cell r="E1767">
            <v>10080032</v>
          </cell>
          <cell r="F1767" t="str">
            <v>0023</v>
          </cell>
          <cell r="G1767">
            <v>1</v>
          </cell>
          <cell r="H1767">
            <v>10.8</v>
          </cell>
          <cell r="I1767">
            <v>427.6919750400001</v>
          </cell>
          <cell r="J1767">
            <v>0</v>
          </cell>
        </row>
        <row r="1768">
          <cell r="E1768">
            <v>10080032</v>
          </cell>
          <cell r="F1768" t="str">
            <v>0024</v>
          </cell>
          <cell r="G1768">
            <v>13</v>
          </cell>
          <cell r="H1768">
            <v>132.16</v>
          </cell>
          <cell r="I1768">
            <v>5340.7170691012807</v>
          </cell>
          <cell r="J1768">
            <v>0</v>
          </cell>
        </row>
        <row r="1769">
          <cell r="E1769">
            <v>10080032</v>
          </cell>
          <cell r="F1769" t="str">
            <v>0027</v>
          </cell>
          <cell r="G1769">
            <v>12</v>
          </cell>
          <cell r="H1769">
            <v>111.11</v>
          </cell>
          <cell r="I1769">
            <v>4440.2783483520006</v>
          </cell>
          <cell r="J1769">
            <v>0</v>
          </cell>
        </row>
        <row r="1770">
          <cell r="E1770">
            <v>10080048</v>
          </cell>
          <cell r="F1770" t="str">
            <v>0001</v>
          </cell>
          <cell r="G1770">
            <v>14</v>
          </cell>
          <cell r="H1770">
            <v>1.6099999999999999</v>
          </cell>
          <cell r="I1770">
            <v>74.251796533600015</v>
          </cell>
          <cell r="J1770">
            <v>0</v>
          </cell>
        </row>
        <row r="1771">
          <cell r="E1771">
            <v>10080048</v>
          </cell>
          <cell r="F1771" t="str">
            <v>0002</v>
          </cell>
          <cell r="G1771">
            <v>7</v>
          </cell>
          <cell r="H1771">
            <v>325.67999999999995</v>
          </cell>
          <cell r="I1771">
            <v>14251.721665515601</v>
          </cell>
          <cell r="J1771">
            <v>1031</v>
          </cell>
        </row>
        <row r="1772">
          <cell r="E1772">
            <v>10080048</v>
          </cell>
          <cell r="F1772" t="str">
            <v>0005</v>
          </cell>
          <cell r="G1772">
            <v>4</v>
          </cell>
          <cell r="H1772">
            <v>33.71</v>
          </cell>
          <cell r="I1772">
            <v>1447.7115110640002</v>
          </cell>
          <cell r="J1772">
            <v>0</v>
          </cell>
        </row>
        <row r="1773">
          <cell r="E1773">
            <v>10080048</v>
          </cell>
          <cell r="F1773" t="str">
            <v>0016</v>
          </cell>
          <cell r="G1773">
            <v>7</v>
          </cell>
          <cell r="H1773">
            <v>48.61</v>
          </cell>
          <cell r="I1773">
            <v>1988.723944548</v>
          </cell>
          <cell r="J1773">
            <v>0</v>
          </cell>
        </row>
        <row r="1774">
          <cell r="E1774">
            <v>10080048</v>
          </cell>
          <cell r="F1774" t="str">
            <v>0017</v>
          </cell>
          <cell r="G1774">
            <v>14</v>
          </cell>
          <cell r="H1774">
            <v>195.26</v>
          </cell>
          <cell r="I1774">
            <v>10198.46661205662</v>
          </cell>
          <cell r="J1774">
            <v>0</v>
          </cell>
        </row>
        <row r="1775">
          <cell r="E1775">
            <v>10080052</v>
          </cell>
          <cell r="F1775" t="str">
            <v>0001</v>
          </cell>
          <cell r="G1775">
            <v>14</v>
          </cell>
          <cell r="H1775">
            <v>2.4899999999999998</v>
          </cell>
          <cell r="I1775">
            <v>100.10763378000001</v>
          </cell>
          <cell r="J1775">
            <v>0</v>
          </cell>
        </row>
        <row r="1776">
          <cell r="E1776">
            <v>10080052</v>
          </cell>
          <cell r="F1776" t="str">
            <v>0002</v>
          </cell>
          <cell r="G1776">
            <v>13</v>
          </cell>
          <cell r="H1776">
            <v>263.09999999999997</v>
          </cell>
          <cell r="I1776">
            <v>10531.8874782</v>
          </cell>
          <cell r="J1776">
            <v>0</v>
          </cell>
        </row>
        <row r="1777">
          <cell r="E1777">
            <v>10080052</v>
          </cell>
          <cell r="F1777" t="str">
            <v>0003</v>
          </cell>
          <cell r="G1777">
            <v>14</v>
          </cell>
          <cell r="H1777">
            <v>297.27</v>
          </cell>
          <cell r="I1777">
            <v>12040.81649694</v>
          </cell>
          <cell r="J1777">
            <v>0</v>
          </cell>
        </row>
        <row r="1778">
          <cell r="E1778">
            <v>10080052</v>
          </cell>
          <cell r="F1778" t="str">
            <v>0004</v>
          </cell>
          <cell r="G1778">
            <v>10</v>
          </cell>
          <cell r="H1778">
            <v>105.41</v>
          </cell>
          <cell r="I1778">
            <v>4239.9053294400001</v>
          </cell>
          <cell r="J1778">
            <v>0</v>
          </cell>
        </row>
        <row r="1779">
          <cell r="E1779">
            <v>10080052</v>
          </cell>
          <cell r="F1779" t="str">
            <v>0006</v>
          </cell>
          <cell r="G1779">
            <v>13</v>
          </cell>
          <cell r="H1779">
            <v>243.61</v>
          </cell>
          <cell r="I1779">
            <v>9910.7422504200003</v>
          </cell>
          <cell r="J1779">
            <v>0</v>
          </cell>
        </row>
        <row r="1780">
          <cell r="E1780">
            <v>10080052</v>
          </cell>
          <cell r="F1780" t="str">
            <v>0009</v>
          </cell>
          <cell r="G1780">
            <v>3</v>
          </cell>
          <cell r="H1780">
            <v>3.5999999999999996</v>
          </cell>
          <cell r="I1780">
            <v>133.91539920000002</v>
          </cell>
          <cell r="J1780">
            <v>0</v>
          </cell>
        </row>
        <row r="1781">
          <cell r="E1781">
            <v>10080053</v>
          </cell>
          <cell r="F1781" t="str">
            <v>0002</v>
          </cell>
          <cell r="G1781">
            <v>12</v>
          </cell>
          <cell r="H1781">
            <v>520.35</v>
          </cell>
          <cell r="I1781">
            <v>18051.315457032004</v>
          </cell>
          <cell r="J1781">
            <v>0</v>
          </cell>
        </row>
        <row r="1782">
          <cell r="E1782">
            <v>10080053</v>
          </cell>
          <cell r="F1782" t="str">
            <v>0003</v>
          </cell>
          <cell r="G1782">
            <v>1</v>
          </cell>
          <cell r="H1782">
            <v>39.369999999999997</v>
          </cell>
          <cell r="I1782">
            <v>1403.1904534560001</v>
          </cell>
          <cell r="J1782">
            <v>0</v>
          </cell>
        </row>
        <row r="1783">
          <cell r="E1783">
            <v>10080053</v>
          </cell>
          <cell r="F1783" t="str">
            <v>0005</v>
          </cell>
          <cell r="G1783">
            <v>1</v>
          </cell>
          <cell r="H1783">
            <v>30</v>
          </cell>
          <cell r="I1783">
            <v>1009.832076</v>
          </cell>
          <cell r="J1783">
            <v>0</v>
          </cell>
        </row>
        <row r="1784">
          <cell r="E1784">
            <v>10080053</v>
          </cell>
          <cell r="F1784" t="str">
            <v>0019</v>
          </cell>
          <cell r="G1784">
            <v>13</v>
          </cell>
          <cell r="H1784">
            <v>69.55</v>
          </cell>
          <cell r="I1784">
            <v>2626.3073544840008</v>
          </cell>
          <cell r="J1784">
            <v>0</v>
          </cell>
        </row>
        <row r="1785">
          <cell r="E1785">
            <v>10080053</v>
          </cell>
          <cell r="F1785" t="str">
            <v>0022</v>
          </cell>
          <cell r="G1785">
            <v>9</v>
          </cell>
          <cell r="H1785">
            <v>28.72</v>
          </cell>
          <cell r="I1785">
            <v>1120.990087404</v>
          </cell>
          <cell r="J1785">
            <v>0</v>
          </cell>
        </row>
        <row r="1786">
          <cell r="E1786">
            <v>10080053</v>
          </cell>
          <cell r="F1786" t="str">
            <v>0024</v>
          </cell>
          <cell r="G1786">
            <v>3</v>
          </cell>
          <cell r="H1786">
            <v>3.92</v>
          </cell>
          <cell r="I1786">
            <v>183.88079689040001</v>
          </cell>
          <cell r="J1786">
            <v>0</v>
          </cell>
        </row>
        <row r="1787">
          <cell r="E1787">
            <v>10080053</v>
          </cell>
          <cell r="F1787" t="str">
            <v>0048</v>
          </cell>
          <cell r="G1787">
            <v>1</v>
          </cell>
          <cell r="H1787">
            <v>1.08</v>
          </cell>
          <cell r="I1787">
            <v>43.196877504000007</v>
          </cell>
          <cell r="J1787">
            <v>0</v>
          </cell>
        </row>
        <row r="1788">
          <cell r="E1788">
            <v>10080055</v>
          </cell>
          <cell r="F1788" t="str">
            <v>0002</v>
          </cell>
          <cell r="G1788">
            <v>12</v>
          </cell>
          <cell r="H1788">
            <v>117.96999999999997</v>
          </cell>
          <cell r="I1788">
            <v>4507.3476874800017</v>
          </cell>
          <cell r="J1788">
            <v>202.96</v>
          </cell>
        </row>
        <row r="1789">
          <cell r="E1789">
            <v>10080055</v>
          </cell>
          <cell r="F1789" t="str">
            <v>0003</v>
          </cell>
          <cell r="G1789">
            <v>14</v>
          </cell>
          <cell r="H1789">
            <v>136.31</v>
          </cell>
          <cell r="I1789">
            <v>5221.6681853160007</v>
          </cell>
          <cell r="J1789">
            <v>0</v>
          </cell>
        </row>
        <row r="1790">
          <cell r="E1790">
            <v>10080055</v>
          </cell>
          <cell r="F1790" t="str">
            <v>0004</v>
          </cell>
          <cell r="G1790">
            <v>14</v>
          </cell>
          <cell r="H1790">
            <v>138.33000000000001</v>
          </cell>
          <cell r="I1790">
            <v>5294.9194982640001</v>
          </cell>
          <cell r="J1790">
            <v>0</v>
          </cell>
        </row>
        <row r="1791">
          <cell r="E1791">
            <v>10080055</v>
          </cell>
          <cell r="F1791" t="str">
            <v>0005</v>
          </cell>
          <cell r="G1791">
            <v>14</v>
          </cell>
          <cell r="H1791">
            <v>138.63000000000002</v>
          </cell>
          <cell r="I1791">
            <v>5310.0628210080004</v>
          </cell>
          <cell r="J1791">
            <v>0</v>
          </cell>
        </row>
        <row r="1792">
          <cell r="E1792">
            <v>10080055</v>
          </cell>
          <cell r="F1792" t="str">
            <v>0021</v>
          </cell>
          <cell r="G1792">
            <v>9</v>
          </cell>
          <cell r="H1792">
            <v>90.600000000000009</v>
          </cell>
          <cell r="I1792">
            <v>3441.9840372720014</v>
          </cell>
          <cell r="J1792">
            <v>0</v>
          </cell>
        </row>
        <row r="1793">
          <cell r="E1793">
            <v>10080055</v>
          </cell>
          <cell r="F1793" t="str">
            <v>0022</v>
          </cell>
          <cell r="G1793">
            <v>7</v>
          </cell>
          <cell r="H1793">
            <v>67.210000000000008</v>
          </cell>
          <cell r="I1793">
            <v>2540.4333613560002</v>
          </cell>
          <cell r="J1793">
            <v>0</v>
          </cell>
        </row>
        <row r="1794">
          <cell r="E1794">
            <v>10080055</v>
          </cell>
          <cell r="F1794" t="str">
            <v>0023</v>
          </cell>
          <cell r="G1794">
            <v>7</v>
          </cell>
          <cell r="H1794">
            <v>67.61</v>
          </cell>
          <cell r="I1794">
            <v>2560.354043544</v>
          </cell>
          <cell r="J1794">
            <v>0</v>
          </cell>
        </row>
        <row r="1795">
          <cell r="E1795">
            <v>10080055</v>
          </cell>
          <cell r="F1795" t="str">
            <v>0024</v>
          </cell>
          <cell r="G1795">
            <v>7</v>
          </cell>
          <cell r="H1795">
            <v>71.52000000000001</v>
          </cell>
          <cell r="I1795">
            <v>2707.8669319680007</v>
          </cell>
          <cell r="J1795">
            <v>0</v>
          </cell>
        </row>
        <row r="1796">
          <cell r="E1796">
            <v>10080061</v>
          </cell>
          <cell r="F1796" t="str">
            <v>0002</v>
          </cell>
          <cell r="G1796">
            <v>10</v>
          </cell>
          <cell r="H1796">
            <v>106.99999999999999</v>
          </cell>
          <cell r="I1796">
            <v>3677.8707123840004</v>
          </cell>
          <cell r="J1796">
            <v>0</v>
          </cell>
        </row>
        <row r="1797">
          <cell r="E1797">
            <v>10080062</v>
          </cell>
          <cell r="F1797" t="str">
            <v>0002</v>
          </cell>
          <cell r="G1797">
            <v>1</v>
          </cell>
          <cell r="H1797">
            <v>302</v>
          </cell>
          <cell r="I1797">
            <v>11560.8868848</v>
          </cell>
          <cell r="J1797">
            <v>0</v>
          </cell>
        </row>
        <row r="1798">
          <cell r="E1798">
            <v>10080067</v>
          </cell>
          <cell r="F1798" t="str">
            <v>0002</v>
          </cell>
          <cell r="G1798">
            <v>14</v>
          </cell>
          <cell r="H1798">
            <v>31.630000000000003</v>
          </cell>
          <cell r="I1798">
            <v>1220.8179393234</v>
          </cell>
          <cell r="J1798">
            <v>0</v>
          </cell>
        </row>
        <row r="1799">
          <cell r="E1799">
            <v>10080067</v>
          </cell>
          <cell r="F1799" t="str">
            <v>0005</v>
          </cell>
          <cell r="G1799">
            <v>14</v>
          </cell>
          <cell r="H1799">
            <v>58.860000000000007</v>
          </cell>
          <cell r="I1799">
            <v>1717.0503378732005</v>
          </cell>
          <cell r="J1799">
            <v>0</v>
          </cell>
        </row>
        <row r="1800">
          <cell r="E1800">
            <v>10080067</v>
          </cell>
          <cell r="F1800" t="str">
            <v>0027</v>
          </cell>
          <cell r="G1800">
            <v>1</v>
          </cell>
          <cell r="H1800">
            <v>25</v>
          </cell>
          <cell r="I1800">
            <v>894.32640000000015</v>
          </cell>
          <cell r="J1800">
            <v>0</v>
          </cell>
        </row>
        <row r="1801">
          <cell r="E1801">
            <v>10080067</v>
          </cell>
          <cell r="F1801" t="str">
            <v>0033</v>
          </cell>
          <cell r="G1801">
            <v>13</v>
          </cell>
          <cell r="H1801">
            <v>43.830000000000005</v>
          </cell>
          <cell r="I1801">
            <v>1314.0288932562</v>
          </cell>
          <cell r="J1801">
            <v>0</v>
          </cell>
        </row>
        <row r="1802">
          <cell r="E1802">
            <v>10080067</v>
          </cell>
          <cell r="F1802" t="str">
            <v>0040</v>
          </cell>
          <cell r="G1802">
            <v>14</v>
          </cell>
          <cell r="H1802">
            <v>54</v>
          </cell>
          <cell r="I1802">
            <v>1535.4513757638001</v>
          </cell>
          <cell r="J1802">
            <v>0</v>
          </cell>
        </row>
        <row r="1803">
          <cell r="E1803">
            <v>10080072</v>
          </cell>
          <cell r="F1803" t="str">
            <v>0001</v>
          </cell>
          <cell r="G1803">
            <v>14</v>
          </cell>
          <cell r="H1803">
            <v>7</v>
          </cell>
          <cell r="I1803">
            <v>213.19977096000002</v>
          </cell>
          <cell r="J1803">
            <v>0</v>
          </cell>
        </row>
        <row r="1804">
          <cell r="E1804">
            <v>10080072</v>
          </cell>
          <cell r="F1804" t="str">
            <v>0002</v>
          </cell>
          <cell r="G1804">
            <v>14</v>
          </cell>
          <cell r="H1804">
            <v>118.9</v>
          </cell>
          <cell r="I1804">
            <v>3618.5892033060009</v>
          </cell>
          <cell r="J1804">
            <v>0</v>
          </cell>
        </row>
        <row r="1805">
          <cell r="E1805">
            <v>10080077</v>
          </cell>
          <cell r="F1805" t="str">
            <v>0001</v>
          </cell>
          <cell r="G1805">
            <v>14</v>
          </cell>
          <cell r="H1805">
            <v>2.57</v>
          </cell>
          <cell r="I1805">
            <v>101.5605543942</v>
          </cell>
          <cell r="J1805">
            <v>0</v>
          </cell>
        </row>
        <row r="1806">
          <cell r="E1806">
            <v>10080077</v>
          </cell>
          <cell r="F1806" t="str">
            <v>0003</v>
          </cell>
          <cell r="G1806">
            <v>14</v>
          </cell>
          <cell r="H1806">
            <v>378.09000000000003</v>
          </cell>
          <cell r="I1806">
            <v>14949.013735778153</v>
          </cell>
          <cell r="J1806">
            <v>0</v>
          </cell>
        </row>
        <row r="1807">
          <cell r="E1807">
            <v>10080077</v>
          </cell>
          <cell r="F1807" t="str">
            <v>0006</v>
          </cell>
          <cell r="G1807">
            <v>11</v>
          </cell>
          <cell r="H1807">
            <v>315.11</v>
          </cell>
          <cell r="I1807">
            <v>11768.368479912002</v>
          </cell>
          <cell r="J1807">
            <v>0</v>
          </cell>
        </row>
        <row r="1808">
          <cell r="E1808">
            <v>10080077</v>
          </cell>
          <cell r="F1808" t="str">
            <v>0007</v>
          </cell>
          <cell r="G1808">
            <v>4</v>
          </cell>
          <cell r="H1808">
            <v>75.599999999999994</v>
          </cell>
          <cell r="I1808">
            <v>3021.0068229344001</v>
          </cell>
          <cell r="J1808">
            <v>0</v>
          </cell>
        </row>
        <row r="1809">
          <cell r="E1809">
            <v>10080077</v>
          </cell>
          <cell r="F1809" t="str">
            <v>0014</v>
          </cell>
          <cell r="G1809">
            <v>13</v>
          </cell>
          <cell r="H1809">
            <v>350.72</v>
          </cell>
          <cell r="I1809">
            <v>11777.983691225401</v>
          </cell>
          <cell r="J1809">
            <v>0</v>
          </cell>
        </row>
        <row r="1810">
          <cell r="E1810">
            <v>10080077</v>
          </cell>
          <cell r="F1810" t="str">
            <v>0015</v>
          </cell>
          <cell r="G1810">
            <v>2</v>
          </cell>
          <cell r="H1810">
            <v>29.29</v>
          </cell>
          <cell r="I1810">
            <v>1270.7058516471002</v>
          </cell>
          <cell r="J1810">
            <v>0</v>
          </cell>
        </row>
        <row r="1811">
          <cell r="E1811">
            <v>10080079</v>
          </cell>
          <cell r="F1811" t="str">
            <v>0002</v>
          </cell>
          <cell r="G1811">
            <v>1</v>
          </cell>
          <cell r="H1811">
            <v>142</v>
          </cell>
          <cell r="I1811">
            <v>5417.1715752</v>
          </cell>
          <cell r="J1811">
            <v>0</v>
          </cell>
        </row>
        <row r="1812">
          <cell r="E1812">
            <v>10080086</v>
          </cell>
          <cell r="F1812" t="str">
            <v>0001</v>
          </cell>
          <cell r="G1812">
            <v>14</v>
          </cell>
          <cell r="H1812">
            <v>7</v>
          </cell>
          <cell r="I1812">
            <v>238.71605274000004</v>
          </cell>
          <cell r="J1812">
            <v>0</v>
          </cell>
        </row>
        <row r="1813">
          <cell r="E1813">
            <v>10080086</v>
          </cell>
          <cell r="F1813" t="str">
            <v>0002</v>
          </cell>
          <cell r="G1813">
            <v>14</v>
          </cell>
          <cell r="H1813">
            <v>189.79999999999998</v>
          </cell>
          <cell r="I1813">
            <v>6479.4490532639993</v>
          </cell>
          <cell r="J1813">
            <v>0</v>
          </cell>
        </row>
        <row r="1814">
          <cell r="E1814">
            <v>10080087</v>
          </cell>
          <cell r="F1814" t="str">
            <v>0001</v>
          </cell>
          <cell r="G1814">
            <v>14</v>
          </cell>
          <cell r="H1814">
            <v>0.95000000000000029</v>
          </cell>
          <cell r="I1814">
            <v>38.498854680000001</v>
          </cell>
          <cell r="J1814">
            <v>0</v>
          </cell>
        </row>
        <row r="1815">
          <cell r="E1815">
            <v>10080087</v>
          </cell>
          <cell r="F1815" t="str">
            <v>0002</v>
          </cell>
          <cell r="G1815">
            <v>14</v>
          </cell>
          <cell r="H1815">
            <v>425.00000000000006</v>
          </cell>
          <cell r="I1815">
            <v>17166.172255452002</v>
          </cell>
          <cell r="J1815">
            <v>4139.4399999999996</v>
          </cell>
        </row>
        <row r="1816">
          <cell r="E1816">
            <v>10080087</v>
          </cell>
          <cell r="F1816" t="str">
            <v>0004</v>
          </cell>
          <cell r="G1816">
            <v>8</v>
          </cell>
          <cell r="H1816">
            <v>234.14000000000001</v>
          </cell>
          <cell r="I1816">
            <v>9517.9834419119998</v>
          </cell>
          <cell r="J1816">
            <v>0</v>
          </cell>
        </row>
        <row r="1817">
          <cell r="E1817">
            <v>10080088</v>
          </cell>
          <cell r="F1817" t="str">
            <v>0001</v>
          </cell>
          <cell r="G1817">
            <v>5</v>
          </cell>
          <cell r="H1817">
            <v>0.95</v>
          </cell>
          <cell r="I1817">
            <v>34.215419700000005</v>
          </cell>
          <cell r="J1817">
            <v>0</v>
          </cell>
        </row>
        <row r="1818">
          <cell r="E1818">
            <v>10080088</v>
          </cell>
          <cell r="F1818" t="str">
            <v>0004</v>
          </cell>
          <cell r="G1818">
            <v>2</v>
          </cell>
          <cell r="H1818">
            <v>77.300000000000011</v>
          </cell>
          <cell r="I1818">
            <v>2630.3415850800002</v>
          </cell>
          <cell r="J1818">
            <v>0</v>
          </cell>
        </row>
        <row r="1819">
          <cell r="E1819">
            <v>10080088</v>
          </cell>
          <cell r="F1819" t="str">
            <v>0005</v>
          </cell>
          <cell r="G1819">
            <v>1</v>
          </cell>
          <cell r="H1819">
            <v>40.51</v>
          </cell>
          <cell r="I1819">
            <v>1465.2084585600001</v>
          </cell>
          <cell r="J1819">
            <v>0</v>
          </cell>
        </row>
        <row r="1820">
          <cell r="E1820">
            <v>10080088</v>
          </cell>
          <cell r="F1820" t="str">
            <v>0007</v>
          </cell>
          <cell r="G1820">
            <v>4</v>
          </cell>
          <cell r="H1820">
            <v>61.42</v>
          </cell>
          <cell r="I1820">
            <v>2186.6036753286003</v>
          </cell>
          <cell r="J1820">
            <v>0</v>
          </cell>
        </row>
        <row r="1821">
          <cell r="E1821">
            <v>10080088</v>
          </cell>
          <cell r="F1821" t="str">
            <v>0011</v>
          </cell>
          <cell r="G1821">
            <v>4</v>
          </cell>
          <cell r="H1821">
            <v>96.75</v>
          </cell>
          <cell r="I1821">
            <v>3567.8789233560005</v>
          </cell>
          <cell r="J1821">
            <v>0</v>
          </cell>
        </row>
        <row r="1822">
          <cell r="E1822">
            <v>10080088</v>
          </cell>
          <cell r="F1822" t="str">
            <v>0012</v>
          </cell>
          <cell r="G1822">
            <v>3</v>
          </cell>
          <cell r="H1822">
            <v>897.07</v>
          </cell>
          <cell r="I1822">
            <v>31759.83578592</v>
          </cell>
          <cell r="J1822">
            <v>0</v>
          </cell>
        </row>
        <row r="1823">
          <cell r="E1823">
            <v>10080088</v>
          </cell>
          <cell r="F1823" t="str">
            <v>0013</v>
          </cell>
          <cell r="G1823">
            <v>2</v>
          </cell>
          <cell r="H1823">
            <v>49.43</v>
          </cell>
          <cell r="I1823">
            <v>1729.9808380800002</v>
          </cell>
          <cell r="J1823">
            <v>0</v>
          </cell>
        </row>
        <row r="1824">
          <cell r="E1824">
            <v>10080088</v>
          </cell>
          <cell r="F1824" t="str">
            <v>0014</v>
          </cell>
          <cell r="G1824">
            <v>3</v>
          </cell>
          <cell r="H1824">
            <v>79.87</v>
          </cell>
          <cell r="I1824">
            <v>2780.2191552300005</v>
          </cell>
          <cell r="J1824">
            <v>0</v>
          </cell>
        </row>
        <row r="1825">
          <cell r="E1825">
            <v>10080088</v>
          </cell>
          <cell r="F1825" t="str">
            <v>0015</v>
          </cell>
          <cell r="G1825">
            <v>1</v>
          </cell>
          <cell r="H1825">
            <v>13.88</v>
          </cell>
          <cell r="I1825">
            <v>483.70508049600005</v>
          </cell>
          <cell r="J1825">
            <v>0</v>
          </cell>
        </row>
        <row r="1826">
          <cell r="E1826">
            <v>10080093</v>
          </cell>
          <cell r="F1826" t="str">
            <v>0002</v>
          </cell>
          <cell r="G1826">
            <v>1</v>
          </cell>
          <cell r="H1826">
            <v>749</v>
          </cell>
          <cell r="I1826">
            <v>26299.698717600004</v>
          </cell>
          <cell r="J1826">
            <v>165.2</v>
          </cell>
        </row>
        <row r="1827">
          <cell r="E1827">
            <v>10080095</v>
          </cell>
          <cell r="F1827" t="str">
            <v>0003</v>
          </cell>
          <cell r="G1827">
            <v>11</v>
          </cell>
          <cell r="H1827">
            <v>230.90000000000003</v>
          </cell>
          <cell r="I1827">
            <v>7824.2352760440017</v>
          </cell>
          <cell r="J1827">
            <v>0</v>
          </cell>
        </row>
        <row r="1828">
          <cell r="E1828">
            <v>10080099</v>
          </cell>
          <cell r="F1828" t="str">
            <v>0002</v>
          </cell>
          <cell r="G1828">
            <v>10</v>
          </cell>
          <cell r="H1828">
            <v>2436.1999999999998</v>
          </cell>
          <cell r="I1828">
            <v>74780.525691036004</v>
          </cell>
          <cell r="J1828">
            <v>0</v>
          </cell>
        </row>
        <row r="1829">
          <cell r="E1829">
            <v>10080099</v>
          </cell>
          <cell r="F1829" t="str">
            <v>0011</v>
          </cell>
          <cell r="G1829">
            <v>2</v>
          </cell>
          <cell r="H1829">
            <v>663.59999999999991</v>
          </cell>
          <cell r="I1829">
            <v>22442.179161600005</v>
          </cell>
          <cell r="J1829">
            <v>0</v>
          </cell>
        </row>
        <row r="1830">
          <cell r="E1830">
            <v>10080100</v>
          </cell>
          <cell r="F1830" t="str">
            <v>0002</v>
          </cell>
          <cell r="G1830">
            <v>1</v>
          </cell>
          <cell r="H1830">
            <v>195</v>
          </cell>
          <cell r="I1830">
            <v>6391.4302881000003</v>
          </cell>
          <cell r="J1830">
            <v>4366</v>
          </cell>
        </row>
        <row r="1831">
          <cell r="E1831">
            <v>10080115</v>
          </cell>
          <cell r="F1831" t="str">
            <v>0002</v>
          </cell>
          <cell r="G1831">
            <v>1</v>
          </cell>
          <cell r="H1831">
            <v>1049</v>
          </cell>
          <cell r="I1831">
            <v>34908.822002339999</v>
          </cell>
          <cell r="J1831">
            <v>0</v>
          </cell>
        </row>
        <row r="1832">
          <cell r="E1832">
            <v>10080119</v>
          </cell>
          <cell r="F1832" t="str">
            <v>0002</v>
          </cell>
          <cell r="G1832">
            <v>14</v>
          </cell>
          <cell r="H1832">
            <v>548.95000000000005</v>
          </cell>
          <cell r="I1832">
            <v>21346.027441596001</v>
          </cell>
          <cell r="J1832">
            <v>0</v>
          </cell>
        </row>
        <row r="1833">
          <cell r="E1833">
            <v>10080119</v>
          </cell>
          <cell r="F1833" t="str">
            <v>0003</v>
          </cell>
          <cell r="G1833">
            <v>14</v>
          </cell>
          <cell r="H1833">
            <v>619.29999999999995</v>
          </cell>
          <cell r="I1833">
            <v>25039.526785416005</v>
          </cell>
          <cell r="J1833">
            <v>0</v>
          </cell>
        </row>
        <row r="1834">
          <cell r="E1834">
            <v>10080119</v>
          </cell>
          <cell r="F1834" t="str">
            <v>0004</v>
          </cell>
          <cell r="G1834">
            <v>2</v>
          </cell>
          <cell r="H1834">
            <v>22.46</v>
          </cell>
          <cell r="I1834">
            <v>887.13384012000029</v>
          </cell>
          <cell r="J1834">
            <v>0</v>
          </cell>
        </row>
        <row r="1835">
          <cell r="E1835">
            <v>10080120</v>
          </cell>
          <cell r="F1835" t="str">
            <v>0002</v>
          </cell>
          <cell r="G1835">
            <v>8</v>
          </cell>
          <cell r="H1835">
            <v>72.69</v>
          </cell>
          <cell r="I1835">
            <v>2589.0274622520005</v>
          </cell>
          <cell r="J1835">
            <v>0</v>
          </cell>
        </row>
        <row r="1836">
          <cell r="E1836">
            <v>10080120</v>
          </cell>
          <cell r="F1836" t="str">
            <v>0003</v>
          </cell>
          <cell r="G1836">
            <v>11</v>
          </cell>
          <cell r="H1836">
            <v>156.95000000000002</v>
          </cell>
          <cell r="I1836">
            <v>5732.0973127044008</v>
          </cell>
          <cell r="J1836">
            <v>0</v>
          </cell>
        </row>
        <row r="1837">
          <cell r="E1837">
            <v>10080120</v>
          </cell>
          <cell r="F1837" t="str">
            <v>0004</v>
          </cell>
          <cell r="G1837">
            <v>2</v>
          </cell>
          <cell r="H1837">
            <v>6.4499999999999993</v>
          </cell>
          <cell r="I1837">
            <v>277.33007847599998</v>
          </cell>
          <cell r="J1837">
            <v>0</v>
          </cell>
        </row>
        <row r="1838">
          <cell r="E1838">
            <v>10080120</v>
          </cell>
          <cell r="F1838" t="str">
            <v>0005</v>
          </cell>
          <cell r="G1838">
            <v>13</v>
          </cell>
          <cell r="H1838">
            <v>43.349999999999994</v>
          </cell>
          <cell r="I1838">
            <v>1627.4554579800006</v>
          </cell>
          <cell r="J1838">
            <v>0</v>
          </cell>
        </row>
        <row r="1839">
          <cell r="E1839">
            <v>10080120</v>
          </cell>
          <cell r="F1839" t="str">
            <v>0006</v>
          </cell>
          <cell r="G1839">
            <v>14</v>
          </cell>
          <cell r="H1839">
            <v>74.789999999999992</v>
          </cell>
          <cell r="I1839">
            <v>2804.5392780240004</v>
          </cell>
          <cell r="J1839">
            <v>0</v>
          </cell>
        </row>
        <row r="1840">
          <cell r="E1840">
            <v>10080120</v>
          </cell>
          <cell r="F1840" t="str">
            <v>0009</v>
          </cell>
          <cell r="G1840">
            <v>6</v>
          </cell>
          <cell r="H1840">
            <v>14</v>
          </cell>
          <cell r="I1840">
            <v>480.55570675200005</v>
          </cell>
          <cell r="J1840">
            <v>0</v>
          </cell>
        </row>
        <row r="1841">
          <cell r="E1841">
            <v>10080121</v>
          </cell>
          <cell r="F1841" t="str">
            <v>0002</v>
          </cell>
          <cell r="G1841">
            <v>1</v>
          </cell>
          <cell r="H1841">
            <v>808.2</v>
          </cell>
          <cell r="I1841">
            <v>31152.146263920011</v>
          </cell>
          <cell r="J1841">
            <v>0</v>
          </cell>
        </row>
        <row r="1842">
          <cell r="E1842">
            <v>10080121</v>
          </cell>
          <cell r="F1842" t="str">
            <v>0003</v>
          </cell>
          <cell r="G1842">
            <v>1</v>
          </cell>
          <cell r="H1842">
            <v>262</v>
          </cell>
          <cell r="I1842">
            <v>10098.815047200003</v>
          </cell>
          <cell r="J1842">
            <v>0</v>
          </cell>
        </row>
        <row r="1843">
          <cell r="E1843">
            <v>10080122</v>
          </cell>
          <cell r="F1843" t="str">
            <v>0002</v>
          </cell>
          <cell r="G1843">
            <v>1</v>
          </cell>
          <cell r="H1843">
            <v>331</v>
          </cell>
          <cell r="I1843">
            <v>12146.7342744</v>
          </cell>
          <cell r="J1843">
            <v>0</v>
          </cell>
        </row>
        <row r="1844">
          <cell r="E1844">
            <v>10080124</v>
          </cell>
          <cell r="F1844" t="str">
            <v>0003</v>
          </cell>
          <cell r="G1844">
            <v>1</v>
          </cell>
          <cell r="H1844">
            <v>344.6</v>
          </cell>
          <cell r="I1844">
            <v>13282.639943760005</v>
          </cell>
          <cell r="J1844">
            <v>0</v>
          </cell>
        </row>
        <row r="1845">
          <cell r="E1845">
            <v>10090002</v>
          </cell>
          <cell r="F1845" t="str">
            <v>0001</v>
          </cell>
          <cell r="G1845">
            <v>14</v>
          </cell>
          <cell r="H1845">
            <v>18.870000000000005</v>
          </cell>
          <cell r="I1845">
            <v>728.50842226800012</v>
          </cell>
          <cell r="J1845">
            <v>0</v>
          </cell>
        </row>
        <row r="1846">
          <cell r="E1846">
            <v>10090002</v>
          </cell>
          <cell r="F1846" t="str">
            <v>0002</v>
          </cell>
          <cell r="G1846">
            <v>14</v>
          </cell>
          <cell r="H1846">
            <v>225.89999999999998</v>
          </cell>
          <cell r="I1846">
            <v>10125.480396872252</v>
          </cell>
          <cell r="J1846">
            <v>1659.08</v>
          </cell>
        </row>
        <row r="1847">
          <cell r="E1847">
            <v>10090002</v>
          </cell>
          <cell r="F1847" t="str">
            <v>0003</v>
          </cell>
          <cell r="G1847">
            <v>14</v>
          </cell>
          <cell r="H1847">
            <v>211.76999999999998</v>
          </cell>
          <cell r="I1847">
            <v>9340.6225565220811</v>
          </cell>
          <cell r="J1847">
            <v>0</v>
          </cell>
        </row>
        <row r="1848">
          <cell r="E1848">
            <v>10090002</v>
          </cell>
          <cell r="F1848" t="str">
            <v>0005</v>
          </cell>
          <cell r="G1848">
            <v>14</v>
          </cell>
          <cell r="H1848">
            <v>216.63000000000002</v>
          </cell>
          <cell r="I1848">
            <v>9427.7373280225438</v>
          </cell>
          <cell r="J1848">
            <v>0</v>
          </cell>
        </row>
        <row r="1849">
          <cell r="E1849">
            <v>10090002</v>
          </cell>
          <cell r="F1849" t="str">
            <v>0006</v>
          </cell>
          <cell r="G1849">
            <v>14</v>
          </cell>
          <cell r="H1849">
            <v>218.03000000000003</v>
          </cell>
          <cell r="I1849">
            <v>9474.7013549993299</v>
          </cell>
          <cell r="J1849">
            <v>0</v>
          </cell>
        </row>
        <row r="1850">
          <cell r="E1850">
            <v>10090002</v>
          </cell>
          <cell r="F1850" t="str">
            <v>0012</v>
          </cell>
          <cell r="G1850">
            <v>7</v>
          </cell>
          <cell r="H1850">
            <v>13.89</v>
          </cell>
          <cell r="I1850">
            <v>609.59382092531996</v>
          </cell>
          <cell r="J1850">
            <v>0</v>
          </cell>
        </row>
        <row r="1851">
          <cell r="E1851">
            <v>10090002</v>
          </cell>
          <cell r="F1851" t="str">
            <v>0013</v>
          </cell>
          <cell r="G1851">
            <v>14</v>
          </cell>
          <cell r="H1851">
            <v>214.15000000000003</v>
          </cell>
          <cell r="I1851">
            <v>9318.2940974183693</v>
          </cell>
          <cell r="J1851">
            <v>0</v>
          </cell>
        </row>
        <row r="1852">
          <cell r="E1852">
            <v>10090002</v>
          </cell>
          <cell r="F1852" t="str">
            <v>0015</v>
          </cell>
          <cell r="G1852">
            <v>14</v>
          </cell>
          <cell r="H1852">
            <v>206.74000000000004</v>
          </cell>
          <cell r="I1852">
            <v>8842.6783807883821</v>
          </cell>
          <cell r="J1852">
            <v>0</v>
          </cell>
        </row>
        <row r="1853">
          <cell r="E1853">
            <v>10090002</v>
          </cell>
          <cell r="F1853" t="str">
            <v>0018</v>
          </cell>
          <cell r="G1853">
            <v>1</v>
          </cell>
          <cell r="H1853">
            <v>14.73</v>
          </cell>
          <cell r="I1853">
            <v>565.8245093160001</v>
          </cell>
          <cell r="J1853">
            <v>0</v>
          </cell>
        </row>
        <row r="1854">
          <cell r="E1854">
            <v>10090002</v>
          </cell>
          <cell r="F1854" t="str">
            <v>0023</v>
          </cell>
          <cell r="G1854">
            <v>14</v>
          </cell>
          <cell r="H1854">
            <v>192.38</v>
          </cell>
          <cell r="I1854">
            <v>8200.2413630371811</v>
          </cell>
          <cell r="J1854">
            <v>0</v>
          </cell>
        </row>
        <row r="1855">
          <cell r="E1855">
            <v>10090002</v>
          </cell>
          <cell r="F1855" t="str">
            <v>0025</v>
          </cell>
          <cell r="G1855">
            <v>14</v>
          </cell>
          <cell r="H1855">
            <v>181.04000000000002</v>
          </cell>
          <cell r="I1855">
            <v>7653.9152712881505</v>
          </cell>
          <cell r="J1855">
            <v>0</v>
          </cell>
        </row>
        <row r="1856">
          <cell r="E1856">
            <v>10090002</v>
          </cell>
          <cell r="F1856" t="str">
            <v>0026</v>
          </cell>
          <cell r="G1856">
            <v>14</v>
          </cell>
          <cell r="H1856">
            <v>184.66</v>
          </cell>
          <cell r="I1856">
            <v>7858.8605251056824</v>
          </cell>
          <cell r="J1856">
            <v>0</v>
          </cell>
        </row>
        <row r="1857">
          <cell r="E1857">
            <v>10090002</v>
          </cell>
          <cell r="F1857" t="str">
            <v>0028</v>
          </cell>
          <cell r="G1857">
            <v>14</v>
          </cell>
          <cell r="H1857">
            <v>214.85000000000002</v>
          </cell>
          <cell r="I1857">
            <v>9422.4667279391397</v>
          </cell>
          <cell r="J1857">
            <v>0</v>
          </cell>
        </row>
        <row r="1858">
          <cell r="E1858">
            <v>10090002</v>
          </cell>
          <cell r="F1858" t="str">
            <v>0029</v>
          </cell>
          <cell r="G1858">
            <v>12</v>
          </cell>
          <cell r="H1858">
            <v>39.410000000000011</v>
          </cell>
          <cell r="I1858">
            <v>1645.4181304440003</v>
          </cell>
          <cell r="J1858">
            <v>0</v>
          </cell>
        </row>
        <row r="1859">
          <cell r="E1859">
            <v>10090003</v>
          </cell>
          <cell r="F1859" t="str">
            <v>0001</v>
          </cell>
          <cell r="G1859">
            <v>6</v>
          </cell>
          <cell r="H1859">
            <v>0.6</v>
          </cell>
          <cell r="I1859">
            <v>19.308217302000003</v>
          </cell>
          <cell r="J1859">
            <v>0</v>
          </cell>
        </row>
        <row r="1860">
          <cell r="E1860">
            <v>10090003</v>
          </cell>
          <cell r="F1860" t="str">
            <v>0002</v>
          </cell>
          <cell r="G1860">
            <v>7</v>
          </cell>
          <cell r="H1860">
            <v>76.900000000000006</v>
          </cell>
          <cell r="I1860">
            <v>2563.4005986600005</v>
          </cell>
          <cell r="J1860">
            <v>0</v>
          </cell>
        </row>
        <row r="1861">
          <cell r="E1861">
            <v>10090003</v>
          </cell>
          <cell r="F1861" t="str">
            <v>0012</v>
          </cell>
          <cell r="G1861">
            <v>6</v>
          </cell>
          <cell r="H1861">
            <v>50.3</v>
          </cell>
          <cell r="I1861">
            <v>1616.6643714540003</v>
          </cell>
          <cell r="J1861">
            <v>0</v>
          </cell>
        </row>
        <row r="1862">
          <cell r="E1862">
            <v>10090006</v>
          </cell>
          <cell r="F1862" t="str">
            <v>0002</v>
          </cell>
          <cell r="G1862">
            <v>11</v>
          </cell>
          <cell r="H1862">
            <v>80.8</v>
          </cell>
          <cell r="I1862">
            <v>3338.423036313</v>
          </cell>
          <cell r="J1862">
            <v>1208</v>
          </cell>
        </row>
        <row r="1863">
          <cell r="E1863">
            <v>10090006</v>
          </cell>
          <cell r="F1863" t="str">
            <v>0003</v>
          </cell>
          <cell r="G1863">
            <v>14</v>
          </cell>
          <cell r="H1863">
            <v>335.29999999999995</v>
          </cell>
          <cell r="I1863">
            <v>11671.062407532001</v>
          </cell>
          <cell r="J1863">
            <v>0</v>
          </cell>
        </row>
        <row r="1864">
          <cell r="E1864">
            <v>10090006</v>
          </cell>
          <cell r="F1864" t="str">
            <v>0004</v>
          </cell>
          <cell r="G1864">
            <v>6</v>
          </cell>
          <cell r="H1864">
            <v>23.200000000000003</v>
          </cell>
          <cell r="I1864">
            <v>1203.6919406392801</v>
          </cell>
          <cell r="J1864">
            <v>0</v>
          </cell>
        </row>
        <row r="1865">
          <cell r="E1865">
            <v>10090006</v>
          </cell>
          <cell r="F1865" t="str">
            <v>0006</v>
          </cell>
          <cell r="G1865">
            <v>14</v>
          </cell>
          <cell r="H1865">
            <v>133.09999999999997</v>
          </cell>
          <cell r="I1865">
            <v>6552.9151952509992</v>
          </cell>
          <cell r="J1865">
            <v>0</v>
          </cell>
        </row>
        <row r="1866">
          <cell r="E1866">
            <v>10090006</v>
          </cell>
          <cell r="F1866" t="str">
            <v>0013</v>
          </cell>
          <cell r="G1866">
            <v>2</v>
          </cell>
          <cell r="H1866">
            <v>4.8</v>
          </cell>
          <cell r="I1866">
            <v>203.9057856</v>
          </cell>
          <cell r="J1866">
            <v>0</v>
          </cell>
        </row>
        <row r="1867">
          <cell r="E1867">
            <v>10090006</v>
          </cell>
          <cell r="F1867" t="str">
            <v>0014</v>
          </cell>
          <cell r="G1867">
            <v>13</v>
          </cell>
          <cell r="H1867">
            <v>308.09999999999997</v>
          </cell>
          <cell r="I1867">
            <v>12604.153783785399</v>
          </cell>
          <cell r="J1867">
            <v>0</v>
          </cell>
        </row>
        <row r="1868">
          <cell r="E1868">
            <v>10090006</v>
          </cell>
          <cell r="F1868" t="str">
            <v>0016</v>
          </cell>
          <cell r="G1868">
            <v>13</v>
          </cell>
          <cell r="H1868">
            <v>62</v>
          </cell>
          <cell r="I1868">
            <v>3041.3792094238397</v>
          </cell>
          <cell r="J1868">
            <v>0</v>
          </cell>
        </row>
        <row r="1869">
          <cell r="E1869">
            <v>10090006</v>
          </cell>
          <cell r="F1869" t="str">
            <v>0028</v>
          </cell>
          <cell r="G1869">
            <v>8</v>
          </cell>
          <cell r="H1869">
            <v>26.599999999999998</v>
          </cell>
          <cell r="I1869">
            <v>1148.0652143166001</v>
          </cell>
          <cell r="J1869">
            <v>0</v>
          </cell>
        </row>
        <row r="1870">
          <cell r="E1870">
            <v>10090006</v>
          </cell>
          <cell r="F1870" t="str">
            <v>0036</v>
          </cell>
          <cell r="G1870">
            <v>6</v>
          </cell>
          <cell r="H1870">
            <v>15.000000000000002</v>
          </cell>
          <cell r="I1870">
            <v>734.84385858200005</v>
          </cell>
          <cell r="J1870">
            <v>0</v>
          </cell>
        </row>
        <row r="1871">
          <cell r="E1871">
            <v>10090007</v>
          </cell>
          <cell r="F1871" t="str">
            <v>0002</v>
          </cell>
          <cell r="G1871">
            <v>14</v>
          </cell>
          <cell r="H1871">
            <v>758.6</v>
          </cell>
          <cell r="I1871">
            <v>26638.468890660002</v>
          </cell>
          <cell r="J1871">
            <v>424.8</v>
          </cell>
        </row>
        <row r="1872">
          <cell r="E1872">
            <v>10090008</v>
          </cell>
          <cell r="F1872" t="str">
            <v>0001</v>
          </cell>
          <cell r="G1872">
            <v>13</v>
          </cell>
          <cell r="H1872">
            <v>13.100000000000001</v>
          </cell>
          <cell r="I1872">
            <v>468.12340733400004</v>
          </cell>
          <cell r="J1872">
            <v>0</v>
          </cell>
        </row>
        <row r="1873">
          <cell r="E1873">
            <v>10090008</v>
          </cell>
          <cell r="F1873" t="str">
            <v>0002</v>
          </cell>
          <cell r="G1873">
            <v>6</v>
          </cell>
          <cell r="H1873">
            <v>16.899999999999999</v>
          </cell>
          <cell r="I1873">
            <v>625.62516489000006</v>
          </cell>
          <cell r="J1873">
            <v>0</v>
          </cell>
        </row>
        <row r="1874">
          <cell r="E1874">
            <v>10090008</v>
          </cell>
          <cell r="F1874" t="str">
            <v>0004</v>
          </cell>
          <cell r="G1874">
            <v>13</v>
          </cell>
          <cell r="H1874">
            <v>44.900000000000006</v>
          </cell>
          <cell r="I1874">
            <v>1780.2455973185401</v>
          </cell>
          <cell r="J1874">
            <v>0</v>
          </cell>
        </row>
        <row r="1875">
          <cell r="E1875">
            <v>10090008</v>
          </cell>
          <cell r="F1875" t="str">
            <v>0006</v>
          </cell>
          <cell r="G1875">
            <v>13</v>
          </cell>
          <cell r="H1875">
            <v>82.1</v>
          </cell>
          <cell r="I1875">
            <v>3237.52147092</v>
          </cell>
          <cell r="J1875">
            <v>0</v>
          </cell>
        </row>
        <row r="1876">
          <cell r="E1876">
            <v>10090008</v>
          </cell>
          <cell r="F1876" t="str">
            <v>0007</v>
          </cell>
          <cell r="G1876">
            <v>14</v>
          </cell>
          <cell r="H1876">
            <v>77.900000000000006</v>
          </cell>
          <cell r="I1876">
            <v>2764.5677009280002</v>
          </cell>
          <cell r="J1876">
            <v>0</v>
          </cell>
        </row>
        <row r="1877">
          <cell r="E1877">
            <v>10090008</v>
          </cell>
          <cell r="F1877" t="str">
            <v>0008</v>
          </cell>
          <cell r="G1877">
            <v>14</v>
          </cell>
          <cell r="H1877">
            <v>35.100000000000009</v>
          </cell>
          <cell r="I1877">
            <v>1410.8817492000003</v>
          </cell>
          <cell r="J1877">
            <v>0</v>
          </cell>
        </row>
        <row r="1878">
          <cell r="E1878">
            <v>10090008</v>
          </cell>
          <cell r="F1878" t="str">
            <v>0010</v>
          </cell>
          <cell r="G1878">
            <v>14</v>
          </cell>
          <cell r="H1878">
            <v>44.8</v>
          </cell>
          <cell r="I1878">
            <v>1945.3642904400001</v>
          </cell>
          <cell r="J1878">
            <v>0</v>
          </cell>
        </row>
        <row r="1879">
          <cell r="E1879">
            <v>10090008</v>
          </cell>
          <cell r="F1879" t="str">
            <v>0012</v>
          </cell>
          <cell r="G1879">
            <v>14</v>
          </cell>
          <cell r="H1879">
            <v>72.099999999999994</v>
          </cell>
          <cell r="I1879">
            <v>2479.8545778600001</v>
          </cell>
          <cell r="J1879">
            <v>0</v>
          </cell>
        </row>
        <row r="1880">
          <cell r="E1880">
            <v>10090008</v>
          </cell>
          <cell r="F1880" t="str">
            <v>0013</v>
          </cell>
          <cell r="G1880">
            <v>14</v>
          </cell>
          <cell r="H1880">
            <v>31.3</v>
          </cell>
          <cell r="I1880">
            <v>1513.33095990015</v>
          </cell>
          <cell r="J1880">
            <v>0</v>
          </cell>
        </row>
        <row r="1881">
          <cell r="E1881">
            <v>10090008</v>
          </cell>
          <cell r="F1881" t="str">
            <v>0014</v>
          </cell>
          <cell r="G1881">
            <v>7</v>
          </cell>
          <cell r="H1881">
            <v>24.999999999999996</v>
          </cell>
          <cell r="I1881">
            <v>890.88333919199999</v>
          </cell>
          <cell r="J1881">
            <v>0</v>
          </cell>
        </row>
        <row r="1882">
          <cell r="E1882">
            <v>10090008</v>
          </cell>
          <cell r="F1882" t="str">
            <v>0015</v>
          </cell>
          <cell r="G1882">
            <v>2</v>
          </cell>
          <cell r="H1882">
            <v>11.399999999999999</v>
          </cell>
          <cell r="I1882">
            <v>418.42593936000003</v>
          </cell>
          <cell r="J1882">
            <v>0</v>
          </cell>
        </row>
        <row r="1883">
          <cell r="E1883">
            <v>10090008</v>
          </cell>
          <cell r="F1883" t="str">
            <v>0028</v>
          </cell>
          <cell r="G1883">
            <v>13</v>
          </cell>
          <cell r="H1883">
            <v>60.6</v>
          </cell>
          <cell r="I1883">
            <v>2468.9990028715001</v>
          </cell>
          <cell r="J1883">
            <v>0</v>
          </cell>
        </row>
        <row r="1884">
          <cell r="E1884">
            <v>10090008</v>
          </cell>
          <cell r="F1884" t="str">
            <v>0034</v>
          </cell>
          <cell r="G1884">
            <v>1</v>
          </cell>
          <cell r="H1884">
            <v>3.3</v>
          </cell>
          <cell r="I1884">
            <v>122.84272836000002</v>
          </cell>
          <cell r="J1884">
            <v>0</v>
          </cell>
        </row>
        <row r="1885">
          <cell r="E1885">
            <v>10090008</v>
          </cell>
          <cell r="F1885" t="str">
            <v>0038</v>
          </cell>
          <cell r="G1885">
            <v>14</v>
          </cell>
          <cell r="H1885">
            <v>66</v>
          </cell>
          <cell r="I1885">
            <v>2427.3711530639998</v>
          </cell>
          <cell r="J1885">
            <v>0</v>
          </cell>
        </row>
        <row r="1886">
          <cell r="E1886">
            <v>10090008</v>
          </cell>
          <cell r="F1886" t="str">
            <v>0040</v>
          </cell>
          <cell r="G1886">
            <v>14</v>
          </cell>
          <cell r="H1886">
            <v>41.099999999999994</v>
          </cell>
          <cell r="I1886">
            <v>1406.46755007</v>
          </cell>
          <cell r="J1886">
            <v>0</v>
          </cell>
        </row>
        <row r="1887">
          <cell r="E1887">
            <v>10090008</v>
          </cell>
          <cell r="F1887" t="str">
            <v>0043</v>
          </cell>
          <cell r="G1887">
            <v>1</v>
          </cell>
          <cell r="H1887">
            <v>2.7</v>
          </cell>
          <cell r="I1887">
            <v>70.569338400000021</v>
          </cell>
          <cell r="J1887">
            <v>0</v>
          </cell>
        </row>
        <row r="1888">
          <cell r="E1888">
            <v>10090008</v>
          </cell>
          <cell r="F1888" t="str">
            <v>0044</v>
          </cell>
          <cell r="G1888">
            <v>2</v>
          </cell>
          <cell r="H1888">
            <v>5.7</v>
          </cell>
          <cell r="I1888">
            <v>194.82969290400001</v>
          </cell>
          <cell r="J1888">
            <v>0</v>
          </cell>
        </row>
        <row r="1889">
          <cell r="E1889">
            <v>10090008</v>
          </cell>
          <cell r="F1889" t="str">
            <v>0046</v>
          </cell>
          <cell r="G1889">
            <v>7</v>
          </cell>
          <cell r="H1889">
            <v>8.4</v>
          </cell>
          <cell r="I1889">
            <v>333.44051930310002</v>
          </cell>
          <cell r="J1889">
            <v>0</v>
          </cell>
        </row>
        <row r="1890">
          <cell r="E1890">
            <v>10090008</v>
          </cell>
          <cell r="F1890" t="str">
            <v>0047</v>
          </cell>
          <cell r="G1890">
            <v>7</v>
          </cell>
          <cell r="H1890">
            <v>15.2</v>
          </cell>
          <cell r="I1890">
            <v>493.83165961800006</v>
          </cell>
          <cell r="J1890">
            <v>0</v>
          </cell>
        </row>
        <row r="1891">
          <cell r="E1891">
            <v>10090008</v>
          </cell>
          <cell r="F1891" t="str">
            <v>0048</v>
          </cell>
          <cell r="G1891">
            <v>7</v>
          </cell>
          <cell r="H1891">
            <v>17.799999999999997</v>
          </cell>
          <cell r="I1891">
            <v>672.0226718040002</v>
          </cell>
          <cell r="J1891">
            <v>0</v>
          </cell>
        </row>
        <row r="1892">
          <cell r="E1892">
            <v>10090008</v>
          </cell>
          <cell r="F1892" t="str">
            <v>0057</v>
          </cell>
          <cell r="G1892">
            <v>7</v>
          </cell>
          <cell r="H1892">
            <v>15.9</v>
          </cell>
          <cell r="I1892">
            <v>525.54426130800005</v>
          </cell>
          <cell r="J1892">
            <v>0</v>
          </cell>
        </row>
        <row r="1893">
          <cell r="E1893">
            <v>10090008</v>
          </cell>
          <cell r="F1893" t="str">
            <v>0058</v>
          </cell>
          <cell r="G1893">
            <v>14</v>
          </cell>
          <cell r="H1893">
            <v>111.99999999999999</v>
          </cell>
          <cell r="I1893">
            <v>4346.1432501300005</v>
          </cell>
          <cell r="J1893">
            <v>0</v>
          </cell>
        </row>
        <row r="1894">
          <cell r="E1894">
            <v>10090008</v>
          </cell>
          <cell r="F1894" t="str">
            <v>0059</v>
          </cell>
          <cell r="G1894">
            <v>7</v>
          </cell>
          <cell r="H1894">
            <v>22.5</v>
          </cell>
          <cell r="I1894">
            <v>1782.1821625012999</v>
          </cell>
          <cell r="J1894">
            <v>0</v>
          </cell>
        </row>
        <row r="1895">
          <cell r="E1895">
            <v>10090008</v>
          </cell>
          <cell r="F1895" t="str">
            <v>0066</v>
          </cell>
          <cell r="G1895">
            <v>9</v>
          </cell>
          <cell r="H1895">
            <v>35.299999999999997</v>
          </cell>
          <cell r="I1895">
            <v>1229.3843611500001</v>
          </cell>
          <cell r="J1895">
            <v>0</v>
          </cell>
        </row>
        <row r="1896">
          <cell r="E1896">
            <v>10090008</v>
          </cell>
          <cell r="F1896" t="str">
            <v>0067</v>
          </cell>
          <cell r="G1896">
            <v>6</v>
          </cell>
          <cell r="H1896">
            <v>10.600000000000001</v>
          </cell>
          <cell r="I1896">
            <v>387.82673424000006</v>
          </cell>
          <cell r="J1896">
            <v>0</v>
          </cell>
        </row>
        <row r="1897">
          <cell r="E1897">
            <v>10090008</v>
          </cell>
          <cell r="F1897" t="str">
            <v>0070</v>
          </cell>
          <cell r="G1897">
            <v>13</v>
          </cell>
          <cell r="H1897">
            <v>110.6</v>
          </cell>
          <cell r="I1897">
            <v>4209.3920052359999</v>
          </cell>
          <cell r="J1897">
            <v>0</v>
          </cell>
        </row>
        <row r="1898">
          <cell r="E1898">
            <v>10090008</v>
          </cell>
          <cell r="F1898" t="str">
            <v>0071</v>
          </cell>
          <cell r="G1898">
            <v>10</v>
          </cell>
          <cell r="H1898">
            <v>31.1</v>
          </cell>
          <cell r="I1898">
            <v>1205.9381586900001</v>
          </cell>
          <cell r="J1898">
            <v>0</v>
          </cell>
        </row>
        <row r="1899">
          <cell r="E1899">
            <v>10090008</v>
          </cell>
          <cell r="F1899" t="str">
            <v>0072</v>
          </cell>
          <cell r="G1899">
            <v>1</v>
          </cell>
          <cell r="H1899">
            <v>1.6</v>
          </cell>
          <cell r="I1899">
            <v>52.80168960000001</v>
          </cell>
          <cell r="J1899">
            <v>0</v>
          </cell>
        </row>
        <row r="1900">
          <cell r="E1900">
            <v>10090008</v>
          </cell>
          <cell r="F1900" t="str">
            <v>0074</v>
          </cell>
          <cell r="G1900">
            <v>7</v>
          </cell>
          <cell r="H1900">
            <v>19.8</v>
          </cell>
          <cell r="I1900">
            <v>736.81977204000009</v>
          </cell>
          <cell r="J1900">
            <v>0</v>
          </cell>
        </row>
        <row r="1901">
          <cell r="E1901">
            <v>10090008</v>
          </cell>
          <cell r="F1901" t="str">
            <v>0075</v>
          </cell>
          <cell r="G1901">
            <v>9</v>
          </cell>
          <cell r="H1901">
            <v>37.599999999999994</v>
          </cell>
          <cell r="I1901">
            <v>1156.2348495060003</v>
          </cell>
          <cell r="J1901">
            <v>0</v>
          </cell>
        </row>
        <row r="1902">
          <cell r="E1902">
            <v>10090008</v>
          </cell>
          <cell r="F1902" t="str">
            <v>0076</v>
          </cell>
          <cell r="G1902">
            <v>6</v>
          </cell>
          <cell r="H1902">
            <v>25.200000000000003</v>
          </cell>
          <cell r="I1902">
            <v>763.56154769400007</v>
          </cell>
          <cell r="J1902">
            <v>0</v>
          </cell>
        </row>
        <row r="1903">
          <cell r="E1903">
            <v>10090008</v>
          </cell>
          <cell r="F1903" t="str">
            <v>0077</v>
          </cell>
          <cell r="G1903">
            <v>14</v>
          </cell>
          <cell r="H1903">
            <v>41.4</v>
          </cell>
          <cell r="I1903">
            <v>1500.8213545380002</v>
          </cell>
          <cell r="J1903">
            <v>0</v>
          </cell>
        </row>
        <row r="1904">
          <cell r="E1904">
            <v>10090008</v>
          </cell>
          <cell r="F1904" t="str">
            <v>0081</v>
          </cell>
          <cell r="G1904">
            <v>7</v>
          </cell>
          <cell r="H1904">
            <v>18.2</v>
          </cell>
          <cell r="I1904">
            <v>585.73731724200002</v>
          </cell>
          <cell r="J1904">
            <v>0</v>
          </cell>
        </row>
        <row r="1905">
          <cell r="E1905">
            <v>10090009</v>
          </cell>
          <cell r="F1905" t="str">
            <v>0001</v>
          </cell>
          <cell r="G1905">
            <v>5</v>
          </cell>
          <cell r="H1905">
            <v>2</v>
          </cell>
          <cell r="I1905">
            <v>93.826578800000007</v>
          </cell>
          <cell r="J1905">
            <v>0</v>
          </cell>
        </row>
        <row r="1906">
          <cell r="E1906">
            <v>10090009</v>
          </cell>
          <cell r="F1906" t="str">
            <v>0002</v>
          </cell>
          <cell r="G1906">
            <v>10</v>
          </cell>
          <cell r="H1906">
            <v>391.8</v>
          </cell>
          <cell r="I1906">
            <v>16224.100705102004</v>
          </cell>
          <cell r="J1906">
            <v>0</v>
          </cell>
        </row>
        <row r="1907">
          <cell r="E1907">
            <v>10090009</v>
          </cell>
          <cell r="F1907" t="str">
            <v>0007</v>
          </cell>
          <cell r="G1907">
            <v>4</v>
          </cell>
          <cell r="H1907">
            <v>16.7</v>
          </cell>
          <cell r="I1907">
            <v>774.66170514300006</v>
          </cell>
          <cell r="J1907">
            <v>0</v>
          </cell>
        </row>
        <row r="1908">
          <cell r="E1908">
            <v>10090009</v>
          </cell>
          <cell r="F1908" t="str">
            <v>0009</v>
          </cell>
          <cell r="G1908">
            <v>7</v>
          </cell>
          <cell r="H1908">
            <v>54.4</v>
          </cell>
          <cell r="I1908">
            <v>2067.7680475469997</v>
          </cell>
          <cell r="J1908">
            <v>0</v>
          </cell>
        </row>
        <row r="1909">
          <cell r="E1909">
            <v>10090009</v>
          </cell>
          <cell r="F1909" t="str">
            <v>0012</v>
          </cell>
          <cell r="G1909">
            <v>7</v>
          </cell>
          <cell r="H1909">
            <v>73.7</v>
          </cell>
          <cell r="I1909">
            <v>3279.9627605819996</v>
          </cell>
          <cell r="J1909">
            <v>0</v>
          </cell>
        </row>
        <row r="1910">
          <cell r="E1910">
            <v>10090009</v>
          </cell>
          <cell r="F1910" t="str">
            <v>0014</v>
          </cell>
          <cell r="G1910">
            <v>2</v>
          </cell>
          <cell r="H1910">
            <v>15</v>
          </cell>
          <cell r="I1910">
            <v>788.67439738999997</v>
          </cell>
          <cell r="J1910">
            <v>0</v>
          </cell>
        </row>
        <row r="1911">
          <cell r="E1911">
            <v>10090009</v>
          </cell>
          <cell r="F1911" t="str">
            <v>0016</v>
          </cell>
          <cell r="G1911">
            <v>3</v>
          </cell>
          <cell r="H1911">
            <v>3.5</v>
          </cell>
          <cell r="I1911">
            <v>137.97666333000001</v>
          </cell>
          <cell r="J1911">
            <v>0</v>
          </cell>
        </row>
        <row r="1912">
          <cell r="E1912">
            <v>10090009</v>
          </cell>
          <cell r="F1912" t="str">
            <v>0020</v>
          </cell>
          <cell r="G1912">
            <v>2</v>
          </cell>
          <cell r="H1912">
            <v>18</v>
          </cell>
          <cell r="I1912">
            <v>806.05606512000008</v>
          </cell>
          <cell r="J1912">
            <v>0</v>
          </cell>
        </row>
        <row r="1913">
          <cell r="E1913">
            <v>10090009</v>
          </cell>
          <cell r="F1913" t="str">
            <v>0022</v>
          </cell>
          <cell r="G1913">
            <v>5</v>
          </cell>
          <cell r="H1913">
            <v>34.200000000000003</v>
          </cell>
          <cell r="I1913">
            <v>1325.6456453270002</v>
          </cell>
          <cell r="J1913">
            <v>0</v>
          </cell>
        </row>
        <row r="1914">
          <cell r="E1914">
            <v>10090009</v>
          </cell>
          <cell r="F1914" t="str">
            <v>0036</v>
          </cell>
          <cell r="G1914">
            <v>7</v>
          </cell>
          <cell r="H1914">
            <v>43.3</v>
          </cell>
          <cell r="I1914">
            <v>2116.1643865160004</v>
          </cell>
          <cell r="J1914">
            <v>0</v>
          </cell>
        </row>
        <row r="1915">
          <cell r="E1915">
            <v>10090009</v>
          </cell>
          <cell r="F1915" t="str">
            <v>0054</v>
          </cell>
          <cell r="G1915">
            <v>4</v>
          </cell>
          <cell r="H1915">
            <v>26.4</v>
          </cell>
          <cell r="I1915">
            <v>1145.8542191040001</v>
          </cell>
          <cell r="J1915">
            <v>0</v>
          </cell>
        </row>
        <row r="1916">
          <cell r="E1916">
            <v>10090021</v>
          </cell>
          <cell r="F1916" t="str">
            <v>0001</v>
          </cell>
          <cell r="G1916">
            <v>11</v>
          </cell>
          <cell r="H1916">
            <v>3</v>
          </cell>
          <cell r="I1916">
            <v>120.77663402070002</v>
          </cell>
          <cell r="J1916">
            <v>0</v>
          </cell>
        </row>
        <row r="1917">
          <cell r="E1917">
            <v>10090021</v>
          </cell>
          <cell r="F1917" t="str">
            <v>0002</v>
          </cell>
          <cell r="G1917">
            <v>14</v>
          </cell>
          <cell r="H1917">
            <v>364.20000000000005</v>
          </cell>
          <cell r="I1917">
            <v>15548.8722909803</v>
          </cell>
          <cell r="J1917">
            <v>811.84</v>
          </cell>
        </row>
        <row r="1918">
          <cell r="E1918">
            <v>10090021</v>
          </cell>
          <cell r="F1918" t="str">
            <v>0005</v>
          </cell>
          <cell r="G1918">
            <v>14</v>
          </cell>
          <cell r="H1918">
            <v>224.10000000000002</v>
          </cell>
          <cell r="I1918">
            <v>9213.9050541926408</v>
          </cell>
          <cell r="J1918">
            <v>0</v>
          </cell>
        </row>
        <row r="1919">
          <cell r="E1919">
            <v>10090021</v>
          </cell>
          <cell r="F1919" t="str">
            <v>0040</v>
          </cell>
          <cell r="G1919">
            <v>14</v>
          </cell>
          <cell r="H1919">
            <v>322.09999999999997</v>
          </cell>
          <cell r="I1919">
            <v>12534.430762945161</v>
          </cell>
          <cell r="J1919">
            <v>0</v>
          </cell>
        </row>
        <row r="1920">
          <cell r="E1920">
            <v>10090029</v>
          </cell>
          <cell r="F1920" t="str">
            <v>0001</v>
          </cell>
          <cell r="G1920">
            <v>2</v>
          </cell>
          <cell r="H1920">
            <v>13.559999999999999</v>
          </cell>
          <cell r="I1920">
            <v>732.94525054985991</v>
          </cell>
          <cell r="J1920">
            <v>0</v>
          </cell>
        </row>
        <row r="1921">
          <cell r="E1921">
            <v>10090029</v>
          </cell>
          <cell r="F1921" t="str">
            <v>0002</v>
          </cell>
          <cell r="G1921">
            <v>4</v>
          </cell>
          <cell r="H1921">
            <v>121.74000000000001</v>
          </cell>
          <cell r="I1921">
            <v>6075.9471979857008</v>
          </cell>
          <cell r="J1921">
            <v>3304</v>
          </cell>
        </row>
        <row r="1922">
          <cell r="E1922">
            <v>10090029</v>
          </cell>
          <cell r="F1922" t="str">
            <v>0003</v>
          </cell>
          <cell r="G1922">
            <v>14</v>
          </cell>
          <cell r="H1922">
            <v>102.78</v>
          </cell>
          <cell r="I1922">
            <v>4442.6370344995803</v>
          </cell>
          <cell r="J1922">
            <v>0</v>
          </cell>
        </row>
        <row r="1923">
          <cell r="E1923">
            <v>10090029</v>
          </cell>
          <cell r="F1923" t="str">
            <v>0004</v>
          </cell>
          <cell r="G1923">
            <v>11</v>
          </cell>
          <cell r="H1923">
            <v>52.349999999999994</v>
          </cell>
          <cell r="I1923">
            <v>1873.4881505366402</v>
          </cell>
          <cell r="J1923">
            <v>0</v>
          </cell>
        </row>
        <row r="1924">
          <cell r="E1924">
            <v>10090029</v>
          </cell>
          <cell r="F1924" t="str">
            <v>0005</v>
          </cell>
          <cell r="G1924">
            <v>5</v>
          </cell>
          <cell r="H1924">
            <v>7.77</v>
          </cell>
          <cell r="I1924">
            <v>260.6502661884</v>
          </cell>
          <cell r="J1924">
            <v>0</v>
          </cell>
        </row>
        <row r="1925">
          <cell r="E1925">
            <v>10090029</v>
          </cell>
          <cell r="F1925" t="str">
            <v>0006</v>
          </cell>
          <cell r="G1925">
            <v>14</v>
          </cell>
          <cell r="H1925">
            <v>23.939999999999998</v>
          </cell>
          <cell r="I1925">
            <v>1003.1030413490001</v>
          </cell>
          <cell r="J1925">
            <v>0</v>
          </cell>
        </row>
        <row r="1926">
          <cell r="E1926">
            <v>10090029</v>
          </cell>
          <cell r="F1926" t="str">
            <v>0007</v>
          </cell>
          <cell r="G1926">
            <v>7</v>
          </cell>
          <cell r="H1926">
            <v>9.1199999999999992</v>
          </cell>
          <cell r="I1926">
            <v>299.67379954380004</v>
          </cell>
          <cell r="J1926">
            <v>0</v>
          </cell>
        </row>
        <row r="1927">
          <cell r="E1927">
            <v>10090029</v>
          </cell>
          <cell r="F1927" t="str">
            <v>0008</v>
          </cell>
          <cell r="G1927">
            <v>7</v>
          </cell>
          <cell r="H1927">
            <v>15.430000000000001</v>
          </cell>
          <cell r="I1927">
            <v>729.47221683566011</v>
          </cell>
          <cell r="J1927">
            <v>0</v>
          </cell>
        </row>
        <row r="1928">
          <cell r="E1928">
            <v>10090029</v>
          </cell>
          <cell r="F1928" t="str">
            <v>0011</v>
          </cell>
          <cell r="G1928">
            <v>11</v>
          </cell>
          <cell r="H1928">
            <v>46.250000000000007</v>
          </cell>
          <cell r="I1928">
            <v>1733.0276517037601</v>
          </cell>
          <cell r="J1928">
            <v>0</v>
          </cell>
        </row>
        <row r="1929">
          <cell r="E1929">
            <v>10090029</v>
          </cell>
          <cell r="F1929" t="str">
            <v>0014</v>
          </cell>
          <cell r="G1929">
            <v>7</v>
          </cell>
          <cell r="H1929">
            <v>26.639999999999997</v>
          </cell>
          <cell r="I1929">
            <v>1462.9128193376</v>
          </cell>
          <cell r="J1929">
            <v>0</v>
          </cell>
        </row>
        <row r="1930">
          <cell r="E1930">
            <v>10090029</v>
          </cell>
          <cell r="F1930" t="str">
            <v>0015</v>
          </cell>
          <cell r="G1930">
            <v>14</v>
          </cell>
          <cell r="H1930">
            <v>35.519999999999996</v>
          </cell>
          <cell r="I1930">
            <v>1428.5154842640004</v>
          </cell>
          <cell r="J1930">
            <v>0</v>
          </cell>
        </row>
        <row r="1931">
          <cell r="E1931">
            <v>10090029</v>
          </cell>
          <cell r="F1931" t="str">
            <v>0017</v>
          </cell>
          <cell r="G1931">
            <v>7</v>
          </cell>
          <cell r="H1931">
            <v>17.970000000000002</v>
          </cell>
          <cell r="I1931">
            <v>706.22247801600008</v>
          </cell>
          <cell r="J1931">
            <v>0</v>
          </cell>
        </row>
        <row r="1932">
          <cell r="E1932">
            <v>10090029</v>
          </cell>
          <cell r="F1932" t="str">
            <v>0022</v>
          </cell>
          <cell r="G1932">
            <v>8</v>
          </cell>
          <cell r="H1932">
            <v>38.160000000000004</v>
          </cell>
          <cell r="I1932">
            <v>1421.2537277400002</v>
          </cell>
          <cell r="J1932">
            <v>0</v>
          </cell>
        </row>
        <row r="1933">
          <cell r="E1933">
            <v>10090029</v>
          </cell>
          <cell r="F1933" t="str">
            <v>0027</v>
          </cell>
          <cell r="G1933">
            <v>7</v>
          </cell>
          <cell r="H1933">
            <v>76.069999999999993</v>
          </cell>
          <cell r="I1933">
            <v>2818.0771922160002</v>
          </cell>
          <cell r="J1933">
            <v>0</v>
          </cell>
        </row>
        <row r="1934">
          <cell r="E1934">
            <v>10090029</v>
          </cell>
          <cell r="F1934" t="str">
            <v>0028</v>
          </cell>
          <cell r="G1934">
            <v>11</v>
          </cell>
          <cell r="H1934">
            <v>33.409999999999997</v>
          </cell>
          <cell r="I1934">
            <v>1294.7110914648626</v>
          </cell>
          <cell r="J1934">
            <v>0</v>
          </cell>
        </row>
        <row r="1935">
          <cell r="E1935">
            <v>10090029</v>
          </cell>
          <cell r="F1935" t="str">
            <v>0031</v>
          </cell>
          <cell r="G1935">
            <v>7</v>
          </cell>
          <cell r="H1935">
            <v>17.649999999999999</v>
          </cell>
          <cell r="I1935">
            <v>989.4328899110601</v>
          </cell>
          <cell r="J1935">
            <v>0</v>
          </cell>
        </row>
        <row r="1936">
          <cell r="E1936">
            <v>10090029</v>
          </cell>
          <cell r="F1936" t="str">
            <v>0033</v>
          </cell>
          <cell r="G1936">
            <v>14</v>
          </cell>
          <cell r="H1936">
            <v>60.649999999999991</v>
          </cell>
          <cell r="I1936">
            <v>2030.6101474098004</v>
          </cell>
          <cell r="J1936">
            <v>0</v>
          </cell>
        </row>
        <row r="1937">
          <cell r="E1937">
            <v>10090029</v>
          </cell>
          <cell r="F1937" t="str">
            <v>0034</v>
          </cell>
          <cell r="G1937">
            <v>14</v>
          </cell>
          <cell r="H1937">
            <v>60.61</v>
          </cell>
          <cell r="I1937">
            <v>2863.3750262129333</v>
          </cell>
          <cell r="J1937">
            <v>0</v>
          </cell>
        </row>
        <row r="1938">
          <cell r="E1938">
            <v>10090029</v>
          </cell>
          <cell r="F1938" t="str">
            <v>0036</v>
          </cell>
          <cell r="G1938">
            <v>14</v>
          </cell>
          <cell r="H1938">
            <v>41.45000000000001</v>
          </cell>
          <cell r="I1938">
            <v>1392.7474541970003</v>
          </cell>
          <cell r="J1938">
            <v>0</v>
          </cell>
        </row>
        <row r="1939">
          <cell r="E1939">
            <v>10090029</v>
          </cell>
          <cell r="F1939" t="str">
            <v>0038</v>
          </cell>
          <cell r="G1939">
            <v>7</v>
          </cell>
          <cell r="H1939">
            <v>9.34</v>
          </cell>
          <cell r="I1939">
            <v>497.78685927008996</v>
          </cell>
          <cell r="J1939">
            <v>0</v>
          </cell>
        </row>
        <row r="1940">
          <cell r="E1940">
            <v>10090029</v>
          </cell>
          <cell r="F1940" t="str">
            <v>0039</v>
          </cell>
          <cell r="G1940">
            <v>1</v>
          </cell>
          <cell r="H1940">
            <v>0.8</v>
          </cell>
          <cell r="I1940">
            <v>25.028055360000003</v>
          </cell>
          <cell r="J1940">
            <v>0</v>
          </cell>
        </row>
        <row r="1941">
          <cell r="E1941">
            <v>10090033</v>
          </cell>
          <cell r="F1941" t="str">
            <v>0001</v>
          </cell>
          <cell r="G1941">
            <v>14</v>
          </cell>
          <cell r="H1941">
            <v>7.2600000000000007</v>
          </cell>
          <cell r="I1941">
            <v>379.27735106630001</v>
          </cell>
          <cell r="J1941">
            <v>0</v>
          </cell>
        </row>
        <row r="1942">
          <cell r="E1942">
            <v>10090033</v>
          </cell>
          <cell r="F1942" t="str">
            <v>0002</v>
          </cell>
          <cell r="G1942">
            <v>14</v>
          </cell>
          <cell r="H1942">
            <v>698.69</v>
          </cell>
          <cell r="I1942">
            <v>35817.976552075896</v>
          </cell>
          <cell r="J1942">
            <v>413</v>
          </cell>
        </row>
        <row r="1943">
          <cell r="E1943">
            <v>10090033</v>
          </cell>
          <cell r="F1943" t="str">
            <v>0006</v>
          </cell>
          <cell r="G1943">
            <v>13</v>
          </cell>
          <cell r="H1943">
            <v>45.010000000000005</v>
          </cell>
          <cell r="I1943">
            <v>2536.6037173618001</v>
          </cell>
          <cell r="J1943">
            <v>0</v>
          </cell>
        </row>
        <row r="1944">
          <cell r="E1944">
            <v>10090033</v>
          </cell>
          <cell r="F1944" t="str">
            <v>0010</v>
          </cell>
          <cell r="G1944">
            <v>7</v>
          </cell>
          <cell r="H1944">
            <v>8.0500000000000007</v>
          </cell>
          <cell r="I1944">
            <v>537.69287969060008</v>
          </cell>
          <cell r="J1944">
            <v>0</v>
          </cell>
        </row>
        <row r="1945">
          <cell r="E1945">
            <v>10090033</v>
          </cell>
          <cell r="F1945" t="str">
            <v>0011</v>
          </cell>
          <cell r="G1945">
            <v>2</v>
          </cell>
          <cell r="H1945">
            <v>6.95</v>
          </cell>
          <cell r="I1945">
            <v>376.65358441770002</v>
          </cell>
          <cell r="J1945">
            <v>0</v>
          </cell>
        </row>
        <row r="1946">
          <cell r="E1946">
            <v>10090033</v>
          </cell>
          <cell r="F1946" t="str">
            <v>0015</v>
          </cell>
          <cell r="G1946">
            <v>14</v>
          </cell>
          <cell r="H1946">
            <v>43.759999999999991</v>
          </cell>
          <cell r="I1946">
            <v>2414.0539551774004</v>
          </cell>
          <cell r="J1946">
            <v>0</v>
          </cell>
        </row>
        <row r="1947">
          <cell r="E1947">
            <v>10090033</v>
          </cell>
          <cell r="F1947" t="str">
            <v>0041</v>
          </cell>
          <cell r="G1947">
            <v>14</v>
          </cell>
          <cell r="H1947">
            <v>66.16</v>
          </cell>
          <cell r="I1947">
            <v>3962.7221505390003</v>
          </cell>
          <cell r="J1947">
            <v>0</v>
          </cell>
        </row>
        <row r="1948">
          <cell r="E1948">
            <v>10090033</v>
          </cell>
          <cell r="F1948" t="str">
            <v>0043</v>
          </cell>
          <cell r="G1948">
            <v>14</v>
          </cell>
          <cell r="H1948">
            <v>27.439999999999998</v>
          </cell>
          <cell r="I1948">
            <v>1502.4500434968002</v>
          </cell>
          <cell r="J1948">
            <v>0</v>
          </cell>
        </row>
        <row r="1949">
          <cell r="E1949">
            <v>10090033</v>
          </cell>
          <cell r="F1949" t="str">
            <v>0046</v>
          </cell>
          <cell r="G1949">
            <v>14</v>
          </cell>
          <cell r="H1949">
            <v>61.45</v>
          </cell>
          <cell r="I1949">
            <v>3201.5746097627007</v>
          </cell>
          <cell r="J1949">
            <v>0</v>
          </cell>
        </row>
        <row r="1950">
          <cell r="E1950">
            <v>10090033</v>
          </cell>
          <cell r="F1950" t="str">
            <v>0048</v>
          </cell>
          <cell r="G1950">
            <v>7</v>
          </cell>
          <cell r="H1950">
            <v>7.14</v>
          </cell>
          <cell r="I1950">
            <v>532.10969409610004</v>
          </cell>
          <cell r="J1950">
            <v>0</v>
          </cell>
        </row>
        <row r="1951">
          <cell r="E1951">
            <v>10090033</v>
          </cell>
          <cell r="F1951" t="str">
            <v>0062</v>
          </cell>
          <cell r="G1951">
            <v>14</v>
          </cell>
          <cell r="H1951">
            <v>67.72</v>
          </cell>
          <cell r="I1951">
            <v>4639.1365553348996</v>
          </cell>
          <cell r="J1951">
            <v>0</v>
          </cell>
        </row>
        <row r="1952">
          <cell r="E1952">
            <v>10090033</v>
          </cell>
          <cell r="F1952" t="str">
            <v>0064</v>
          </cell>
          <cell r="G1952">
            <v>8</v>
          </cell>
          <cell r="H1952">
            <v>117.95</v>
          </cell>
          <cell r="I1952">
            <v>5382.5110749576006</v>
          </cell>
          <cell r="J1952">
            <v>0</v>
          </cell>
        </row>
        <row r="1953">
          <cell r="E1953">
            <v>10090034</v>
          </cell>
          <cell r="F1953" t="str">
            <v>0001</v>
          </cell>
          <cell r="G1953">
            <v>12</v>
          </cell>
          <cell r="H1953">
            <v>3.06</v>
          </cell>
          <cell r="I1953">
            <v>138.67404232440001</v>
          </cell>
          <cell r="J1953">
            <v>0</v>
          </cell>
        </row>
        <row r="1954">
          <cell r="E1954">
            <v>10090034</v>
          </cell>
          <cell r="F1954" t="str">
            <v>0002</v>
          </cell>
          <cell r="G1954">
            <v>14</v>
          </cell>
          <cell r="H1954">
            <v>548.70999999999992</v>
          </cell>
          <cell r="I1954">
            <v>26500.532354303599</v>
          </cell>
          <cell r="J1954">
            <v>0</v>
          </cell>
        </row>
        <row r="1955">
          <cell r="E1955">
            <v>10090034</v>
          </cell>
          <cell r="F1955" t="str">
            <v>0032</v>
          </cell>
          <cell r="G1955">
            <v>14</v>
          </cell>
          <cell r="H1955">
            <v>453.7</v>
          </cell>
          <cell r="I1955">
            <v>17356.469445612005</v>
          </cell>
          <cell r="J1955">
            <v>0</v>
          </cell>
        </row>
        <row r="1956">
          <cell r="E1956">
            <v>10090034</v>
          </cell>
          <cell r="F1956" t="str">
            <v>0033</v>
          </cell>
          <cell r="G1956">
            <v>14</v>
          </cell>
          <cell r="H1956">
            <v>401.68999999999994</v>
          </cell>
          <cell r="I1956">
            <v>14361.803856180002</v>
          </cell>
          <cell r="J1956">
            <v>0</v>
          </cell>
        </row>
        <row r="1957">
          <cell r="E1957">
            <v>10090034</v>
          </cell>
          <cell r="F1957" t="str">
            <v>0041</v>
          </cell>
          <cell r="G1957">
            <v>7</v>
          </cell>
          <cell r="H1957">
            <v>13.959999999999999</v>
          </cell>
          <cell r="I1957">
            <v>909.84895472260007</v>
          </cell>
          <cell r="J1957">
            <v>0</v>
          </cell>
        </row>
        <row r="1958">
          <cell r="E1958">
            <v>10090036</v>
          </cell>
          <cell r="F1958" t="str">
            <v>0001</v>
          </cell>
          <cell r="G1958">
            <v>14</v>
          </cell>
          <cell r="H1958">
            <v>14.000000000000002</v>
          </cell>
          <cell r="I1958">
            <v>605.39805374399998</v>
          </cell>
          <cell r="J1958">
            <v>0</v>
          </cell>
        </row>
        <row r="1959">
          <cell r="E1959">
            <v>10090036</v>
          </cell>
          <cell r="F1959" t="str">
            <v>0003</v>
          </cell>
          <cell r="G1959">
            <v>9</v>
          </cell>
          <cell r="H1959">
            <v>12.72</v>
          </cell>
          <cell r="I1959">
            <v>435.29341204799999</v>
          </cell>
          <cell r="J1959">
            <v>0</v>
          </cell>
        </row>
        <row r="1960">
          <cell r="E1960">
            <v>10090036</v>
          </cell>
          <cell r="F1960" t="str">
            <v>0007</v>
          </cell>
          <cell r="G1960">
            <v>7</v>
          </cell>
          <cell r="H1960">
            <v>16.25</v>
          </cell>
          <cell r="I1960">
            <v>678.12599250000017</v>
          </cell>
          <cell r="J1960">
            <v>0</v>
          </cell>
        </row>
        <row r="1961">
          <cell r="E1961">
            <v>10090036</v>
          </cell>
          <cell r="F1961" t="str">
            <v>0010</v>
          </cell>
          <cell r="G1961">
            <v>5</v>
          </cell>
          <cell r="H1961">
            <v>10.64</v>
          </cell>
          <cell r="I1961">
            <v>356.30421963840001</v>
          </cell>
          <cell r="J1961">
            <v>0</v>
          </cell>
        </row>
        <row r="1962">
          <cell r="E1962">
            <v>10090036</v>
          </cell>
          <cell r="F1962" t="str">
            <v>0015</v>
          </cell>
          <cell r="G1962">
            <v>9</v>
          </cell>
          <cell r="H1962">
            <v>24.669999999999998</v>
          </cell>
          <cell r="I1962">
            <v>957.90675736799994</v>
          </cell>
          <cell r="J1962">
            <v>0</v>
          </cell>
        </row>
        <row r="1963">
          <cell r="E1963">
            <v>10090036</v>
          </cell>
          <cell r="F1963" t="str">
            <v>0023</v>
          </cell>
          <cell r="G1963">
            <v>14</v>
          </cell>
          <cell r="H1963">
            <v>140.88</v>
          </cell>
          <cell r="I1963">
            <v>5658.054894035261</v>
          </cell>
          <cell r="J1963">
            <v>0</v>
          </cell>
        </row>
        <row r="1964">
          <cell r="E1964">
            <v>10090036</v>
          </cell>
          <cell r="F1964" t="str">
            <v>0024</v>
          </cell>
          <cell r="G1964">
            <v>9</v>
          </cell>
          <cell r="H1964">
            <v>26.289999999999996</v>
          </cell>
          <cell r="I1964">
            <v>1055.781277452</v>
          </cell>
          <cell r="J1964">
            <v>0</v>
          </cell>
        </row>
        <row r="1965">
          <cell r="E1965">
            <v>10090036</v>
          </cell>
          <cell r="F1965" t="str">
            <v>0025</v>
          </cell>
          <cell r="G1965">
            <v>7</v>
          </cell>
          <cell r="H1965">
            <v>17.39</v>
          </cell>
          <cell r="I1965">
            <v>711.70905286800019</v>
          </cell>
          <cell r="J1965">
            <v>0</v>
          </cell>
        </row>
        <row r="1966">
          <cell r="E1966">
            <v>10090036</v>
          </cell>
          <cell r="F1966" t="str">
            <v>0026</v>
          </cell>
          <cell r="G1966">
            <v>9</v>
          </cell>
          <cell r="H1966">
            <v>36.36</v>
          </cell>
          <cell r="I1966">
            <v>1236.8292199164</v>
          </cell>
          <cell r="J1966">
            <v>0</v>
          </cell>
        </row>
        <row r="1967">
          <cell r="E1967">
            <v>10090036</v>
          </cell>
          <cell r="F1967" t="str">
            <v>0027</v>
          </cell>
          <cell r="G1967">
            <v>7</v>
          </cell>
          <cell r="H1967">
            <v>18.509999999999998</v>
          </cell>
          <cell r="I1967">
            <v>1135.4927282633</v>
          </cell>
          <cell r="J1967">
            <v>0</v>
          </cell>
        </row>
        <row r="1968">
          <cell r="E1968">
            <v>10090036</v>
          </cell>
          <cell r="F1968" t="str">
            <v>0032</v>
          </cell>
          <cell r="G1968">
            <v>7</v>
          </cell>
          <cell r="H1968">
            <v>12.46</v>
          </cell>
          <cell r="I1968">
            <v>681.49850114240007</v>
          </cell>
          <cell r="J1968">
            <v>0</v>
          </cell>
        </row>
        <row r="1969">
          <cell r="E1969">
            <v>10090036</v>
          </cell>
          <cell r="F1969" t="str">
            <v>0034</v>
          </cell>
          <cell r="G1969">
            <v>5</v>
          </cell>
          <cell r="H1969">
            <v>10.11</v>
          </cell>
          <cell r="I1969">
            <v>539.03408391860398</v>
          </cell>
          <cell r="J1969">
            <v>0</v>
          </cell>
        </row>
        <row r="1970">
          <cell r="E1970">
            <v>10090036</v>
          </cell>
          <cell r="F1970" t="str">
            <v>0037</v>
          </cell>
          <cell r="G1970">
            <v>12</v>
          </cell>
          <cell r="H1970">
            <v>29.710000000000004</v>
          </cell>
          <cell r="I1970">
            <v>1242.8941869036003</v>
          </cell>
          <cell r="J1970">
            <v>0</v>
          </cell>
        </row>
        <row r="1971">
          <cell r="E1971">
            <v>10090036</v>
          </cell>
          <cell r="F1971" t="str">
            <v>0047</v>
          </cell>
          <cell r="G1971">
            <v>14</v>
          </cell>
          <cell r="H1971">
            <v>292.88</v>
          </cell>
          <cell r="I1971">
            <v>10408.7832393996</v>
          </cell>
          <cell r="J1971">
            <v>0</v>
          </cell>
        </row>
        <row r="1972">
          <cell r="E1972">
            <v>10090036</v>
          </cell>
          <cell r="F1972" t="str">
            <v>0052</v>
          </cell>
          <cell r="G1972">
            <v>14</v>
          </cell>
          <cell r="H1972">
            <v>141.24</v>
          </cell>
          <cell r="I1972">
            <v>7848.6925044242007</v>
          </cell>
          <cell r="J1972">
            <v>0</v>
          </cell>
        </row>
        <row r="1973">
          <cell r="E1973">
            <v>10090036</v>
          </cell>
          <cell r="F1973" t="str">
            <v>0059</v>
          </cell>
          <cell r="G1973">
            <v>12</v>
          </cell>
          <cell r="H1973">
            <v>26.389999999999997</v>
          </cell>
          <cell r="I1973">
            <v>1519.06269560027</v>
          </cell>
          <cell r="J1973">
            <v>0</v>
          </cell>
        </row>
        <row r="1974">
          <cell r="E1974">
            <v>10090036</v>
          </cell>
          <cell r="F1974" t="str">
            <v>0065</v>
          </cell>
          <cell r="G1974">
            <v>7</v>
          </cell>
          <cell r="H1974">
            <v>16.64</v>
          </cell>
          <cell r="I1974">
            <v>719.48997806400007</v>
          </cell>
          <cell r="J1974">
            <v>0</v>
          </cell>
        </row>
        <row r="1975">
          <cell r="E1975">
            <v>10090036</v>
          </cell>
          <cell r="F1975" t="str">
            <v>0066</v>
          </cell>
          <cell r="G1975">
            <v>12</v>
          </cell>
          <cell r="H1975">
            <v>22.099999999999998</v>
          </cell>
          <cell r="I1975">
            <v>1186.8651280499203</v>
          </cell>
          <cell r="J1975">
            <v>0</v>
          </cell>
        </row>
        <row r="1976">
          <cell r="E1976">
            <v>10090036</v>
          </cell>
          <cell r="F1976" t="str">
            <v>0067</v>
          </cell>
          <cell r="G1976">
            <v>9</v>
          </cell>
          <cell r="H1976">
            <v>26.16</v>
          </cell>
          <cell r="I1976">
            <v>1407.7706576183903</v>
          </cell>
          <cell r="J1976">
            <v>0</v>
          </cell>
        </row>
        <row r="1977">
          <cell r="E1977">
            <v>10090036</v>
          </cell>
          <cell r="F1977" t="str">
            <v>0069</v>
          </cell>
          <cell r="G1977">
            <v>7</v>
          </cell>
          <cell r="H1977">
            <v>11.069999999999999</v>
          </cell>
          <cell r="I1977">
            <v>528.48305470219009</v>
          </cell>
          <cell r="J1977">
            <v>0</v>
          </cell>
        </row>
        <row r="1978">
          <cell r="E1978">
            <v>10090036</v>
          </cell>
          <cell r="F1978" t="str">
            <v>0073</v>
          </cell>
          <cell r="G1978">
            <v>6</v>
          </cell>
          <cell r="H1978">
            <v>15.100000000000001</v>
          </cell>
          <cell r="I1978">
            <v>543.76704320400006</v>
          </cell>
          <cell r="J1978">
            <v>0</v>
          </cell>
        </row>
        <row r="1979">
          <cell r="E1979">
            <v>10090036</v>
          </cell>
          <cell r="F1979" t="str">
            <v>0075</v>
          </cell>
          <cell r="G1979">
            <v>4</v>
          </cell>
          <cell r="H1979">
            <v>7.63</v>
          </cell>
          <cell r="I1979">
            <v>487.60277283979997</v>
          </cell>
          <cell r="J1979">
            <v>0</v>
          </cell>
        </row>
        <row r="1980">
          <cell r="E1980">
            <v>10090036</v>
          </cell>
          <cell r="F1980" t="str">
            <v>0076</v>
          </cell>
          <cell r="G1980">
            <v>5</v>
          </cell>
          <cell r="H1980">
            <v>15.09</v>
          </cell>
          <cell r="I1980">
            <v>573.46441970400008</v>
          </cell>
          <cell r="J1980">
            <v>0</v>
          </cell>
        </row>
        <row r="1981">
          <cell r="E1981">
            <v>10090036</v>
          </cell>
          <cell r="F1981" t="str">
            <v>0077</v>
          </cell>
          <cell r="G1981">
            <v>6</v>
          </cell>
          <cell r="H1981">
            <v>9.35</v>
          </cell>
          <cell r="I1981">
            <v>369.07050628800005</v>
          </cell>
          <cell r="J1981">
            <v>0</v>
          </cell>
        </row>
        <row r="1982">
          <cell r="E1982">
            <v>10090036</v>
          </cell>
          <cell r="F1982" t="str">
            <v>0083</v>
          </cell>
          <cell r="G1982">
            <v>14</v>
          </cell>
          <cell r="H1982">
            <v>42.26</v>
          </cell>
          <cell r="I1982">
            <v>1735.0414692336001</v>
          </cell>
          <cell r="J1982">
            <v>0</v>
          </cell>
        </row>
        <row r="1983">
          <cell r="E1983">
            <v>10090036</v>
          </cell>
          <cell r="F1983" t="str">
            <v>0085</v>
          </cell>
          <cell r="G1983">
            <v>7</v>
          </cell>
          <cell r="H1983">
            <v>22.19</v>
          </cell>
          <cell r="I1983">
            <v>861.06670531200018</v>
          </cell>
          <cell r="J1983">
            <v>0</v>
          </cell>
        </row>
        <row r="1984">
          <cell r="E1984">
            <v>10090036</v>
          </cell>
          <cell r="F1984" t="str">
            <v>0087</v>
          </cell>
          <cell r="G1984">
            <v>1</v>
          </cell>
          <cell r="H1984">
            <v>2.83</v>
          </cell>
          <cell r="I1984">
            <v>99.743657904000031</v>
          </cell>
          <cell r="J1984">
            <v>0</v>
          </cell>
        </row>
        <row r="1985">
          <cell r="E1985">
            <v>10090036</v>
          </cell>
          <cell r="F1985" t="str">
            <v>0091</v>
          </cell>
          <cell r="G1985">
            <v>7</v>
          </cell>
          <cell r="H1985">
            <v>14.989999999999998</v>
          </cell>
          <cell r="I1985">
            <v>776.0541785165999</v>
          </cell>
          <cell r="J1985">
            <v>0</v>
          </cell>
        </row>
        <row r="1986">
          <cell r="E1986">
            <v>10090036</v>
          </cell>
          <cell r="F1986" t="str">
            <v>0094</v>
          </cell>
          <cell r="G1986">
            <v>6</v>
          </cell>
          <cell r="H1986">
            <v>16.529999999999998</v>
          </cell>
          <cell r="I1986">
            <v>712.0425288240001</v>
          </cell>
          <cell r="J1986">
            <v>0</v>
          </cell>
        </row>
        <row r="1987">
          <cell r="E1987">
            <v>10090036</v>
          </cell>
          <cell r="F1987" t="str">
            <v>0097</v>
          </cell>
          <cell r="G1987">
            <v>11</v>
          </cell>
          <cell r="H1987">
            <v>23.41</v>
          </cell>
          <cell r="I1987">
            <v>847.43704968912004</v>
          </cell>
          <cell r="J1987">
            <v>0</v>
          </cell>
        </row>
        <row r="1988">
          <cell r="E1988">
            <v>10090036</v>
          </cell>
          <cell r="F1988" t="str">
            <v>0098</v>
          </cell>
          <cell r="G1988">
            <v>7</v>
          </cell>
          <cell r="H1988">
            <v>12.34</v>
          </cell>
          <cell r="I1988">
            <v>667.46326082980011</v>
          </cell>
          <cell r="J1988">
            <v>0</v>
          </cell>
        </row>
        <row r="1989">
          <cell r="E1989">
            <v>10090036</v>
          </cell>
          <cell r="F1989" t="str">
            <v>0101</v>
          </cell>
          <cell r="G1989">
            <v>7</v>
          </cell>
          <cell r="H1989">
            <v>20.779999999999998</v>
          </cell>
          <cell r="I1989">
            <v>768.91912970400017</v>
          </cell>
          <cell r="J1989">
            <v>0</v>
          </cell>
        </row>
        <row r="1990">
          <cell r="E1990">
            <v>10090037</v>
          </cell>
          <cell r="F1990" t="str">
            <v>0001</v>
          </cell>
          <cell r="G1990">
            <v>14</v>
          </cell>
          <cell r="H1990">
            <v>8.1300000000000008</v>
          </cell>
          <cell r="I1990">
            <v>323.02906105008003</v>
          </cell>
          <cell r="J1990">
            <v>0</v>
          </cell>
        </row>
        <row r="1991">
          <cell r="E1991">
            <v>10090037</v>
          </cell>
          <cell r="F1991" t="str">
            <v>0009</v>
          </cell>
          <cell r="G1991">
            <v>14</v>
          </cell>
          <cell r="H1991">
            <v>86.91</v>
          </cell>
          <cell r="I1991">
            <v>3754.8612013968</v>
          </cell>
          <cell r="J1991">
            <v>0</v>
          </cell>
        </row>
        <row r="1992">
          <cell r="E1992">
            <v>10090037</v>
          </cell>
          <cell r="F1992" t="str">
            <v>0010</v>
          </cell>
          <cell r="G1992">
            <v>14</v>
          </cell>
          <cell r="H1992">
            <v>97.839999999999989</v>
          </cell>
          <cell r="I1992">
            <v>5026.5483937994004</v>
          </cell>
          <cell r="J1992">
            <v>0</v>
          </cell>
        </row>
        <row r="1993">
          <cell r="E1993">
            <v>10090037</v>
          </cell>
          <cell r="F1993" t="str">
            <v>0011</v>
          </cell>
          <cell r="G1993">
            <v>14</v>
          </cell>
          <cell r="H1993">
            <v>127.28</v>
          </cell>
          <cell r="I1993">
            <v>6123.0062042624004</v>
          </cell>
          <cell r="J1993">
            <v>0</v>
          </cell>
        </row>
        <row r="1994">
          <cell r="E1994">
            <v>10090037</v>
          </cell>
          <cell r="F1994" t="str">
            <v>0012</v>
          </cell>
          <cell r="G1994">
            <v>14</v>
          </cell>
          <cell r="H1994">
            <v>103.11</v>
          </cell>
          <cell r="I1994">
            <v>4416.8947247064107</v>
          </cell>
          <cell r="J1994">
            <v>0</v>
          </cell>
        </row>
        <row r="1995">
          <cell r="E1995">
            <v>10090040</v>
          </cell>
          <cell r="F1995" t="str">
            <v>0002</v>
          </cell>
          <cell r="G1995">
            <v>14</v>
          </cell>
          <cell r="H1995">
            <v>312.8</v>
          </cell>
          <cell r="I1995">
            <v>10975.685521878</v>
          </cell>
          <cell r="J1995">
            <v>0</v>
          </cell>
        </row>
        <row r="1996">
          <cell r="E1996">
            <v>10090042</v>
          </cell>
          <cell r="F1996" t="str">
            <v>0001</v>
          </cell>
          <cell r="G1996">
            <v>7</v>
          </cell>
          <cell r="H1996">
            <v>2.04</v>
          </cell>
          <cell r="I1996">
            <v>78.84143683020001</v>
          </cell>
          <cell r="J1996">
            <v>0</v>
          </cell>
        </row>
        <row r="1997">
          <cell r="E1997">
            <v>10090042</v>
          </cell>
          <cell r="F1997" t="str">
            <v>0002</v>
          </cell>
          <cell r="G1997">
            <v>14</v>
          </cell>
          <cell r="H1997">
            <v>284.95</v>
          </cell>
          <cell r="I1997">
            <v>10795.2925454748</v>
          </cell>
          <cell r="J1997">
            <v>51.92</v>
          </cell>
        </row>
        <row r="1998">
          <cell r="E1998">
            <v>10090042</v>
          </cell>
          <cell r="F1998" t="str">
            <v>0005</v>
          </cell>
          <cell r="G1998">
            <v>1</v>
          </cell>
          <cell r="H1998">
            <v>15.07</v>
          </cell>
          <cell r="I1998">
            <v>578.88495284400005</v>
          </cell>
          <cell r="J1998">
            <v>0</v>
          </cell>
        </row>
        <row r="1999">
          <cell r="E1999">
            <v>10090042</v>
          </cell>
          <cell r="F1999" t="str">
            <v>0008</v>
          </cell>
          <cell r="G1999">
            <v>9</v>
          </cell>
          <cell r="H1999">
            <v>72.94</v>
          </cell>
          <cell r="I1999">
            <v>2577.4420762134</v>
          </cell>
          <cell r="J1999">
            <v>0</v>
          </cell>
        </row>
        <row r="2000">
          <cell r="E2000">
            <v>10090042</v>
          </cell>
          <cell r="F2000" t="str">
            <v>0015</v>
          </cell>
          <cell r="G2000">
            <v>13</v>
          </cell>
          <cell r="H2000">
            <v>184.13000000000002</v>
          </cell>
          <cell r="I2000">
            <v>6821.3895672289618</v>
          </cell>
          <cell r="J2000">
            <v>0</v>
          </cell>
        </row>
        <row r="2001">
          <cell r="E2001">
            <v>10090042</v>
          </cell>
          <cell r="F2001" t="str">
            <v>0016</v>
          </cell>
          <cell r="G2001">
            <v>10</v>
          </cell>
          <cell r="H2001">
            <v>123.71999999999997</v>
          </cell>
          <cell r="I2001">
            <v>4507.281473745601</v>
          </cell>
          <cell r="J2001">
            <v>0</v>
          </cell>
        </row>
        <row r="2002">
          <cell r="E2002">
            <v>10090043</v>
          </cell>
          <cell r="F2002" t="str">
            <v>0001</v>
          </cell>
          <cell r="G2002">
            <v>5</v>
          </cell>
          <cell r="H2002">
            <v>731</v>
          </cell>
          <cell r="I2002">
            <v>32448.805131600002</v>
          </cell>
          <cell r="J2002">
            <v>0</v>
          </cell>
        </row>
        <row r="2003">
          <cell r="E2003">
            <v>10090043</v>
          </cell>
          <cell r="F2003" t="str">
            <v>0002</v>
          </cell>
          <cell r="G2003">
            <v>1</v>
          </cell>
          <cell r="H2003">
            <v>4.0199999999999996</v>
          </cell>
          <cell r="I2003">
            <v>306.11482259639996</v>
          </cell>
          <cell r="J2003">
            <v>0</v>
          </cell>
        </row>
        <row r="2004">
          <cell r="E2004">
            <v>10090043</v>
          </cell>
          <cell r="F2004" t="str">
            <v>0003</v>
          </cell>
          <cell r="G2004">
            <v>8</v>
          </cell>
          <cell r="H2004">
            <v>141.13999999999999</v>
          </cell>
          <cell r="I2004">
            <v>6142.9768701840012</v>
          </cell>
          <cell r="J2004">
            <v>0</v>
          </cell>
        </row>
        <row r="2005">
          <cell r="E2005">
            <v>10090043</v>
          </cell>
          <cell r="F2005" t="str">
            <v>0006</v>
          </cell>
          <cell r="G2005">
            <v>1</v>
          </cell>
          <cell r="H2005">
            <v>2.2599999999999998</v>
          </cell>
          <cell r="I2005">
            <v>173.8483786962</v>
          </cell>
          <cell r="J2005">
            <v>0</v>
          </cell>
        </row>
        <row r="2006">
          <cell r="E2006">
            <v>10090043</v>
          </cell>
          <cell r="F2006" t="str">
            <v>0010</v>
          </cell>
          <cell r="G2006">
            <v>7</v>
          </cell>
          <cell r="H2006">
            <v>30.64</v>
          </cell>
          <cell r="I2006">
            <v>1156.5040338720003</v>
          </cell>
          <cell r="J2006">
            <v>0</v>
          </cell>
        </row>
        <row r="2007">
          <cell r="E2007">
            <v>10090045</v>
          </cell>
          <cell r="F2007" t="str">
            <v>0002</v>
          </cell>
          <cell r="G2007">
            <v>7</v>
          </cell>
          <cell r="H2007">
            <v>65</v>
          </cell>
          <cell r="I2007">
            <v>2871.4542986760002</v>
          </cell>
          <cell r="J2007">
            <v>0</v>
          </cell>
        </row>
        <row r="2008">
          <cell r="E2008">
            <v>10090046</v>
          </cell>
          <cell r="F2008" t="str">
            <v>0001</v>
          </cell>
          <cell r="G2008">
            <v>2</v>
          </cell>
          <cell r="H2008">
            <v>16.21</v>
          </cell>
          <cell r="I2008">
            <v>568.29754713600005</v>
          </cell>
          <cell r="J2008">
            <v>0</v>
          </cell>
        </row>
        <row r="2009">
          <cell r="E2009">
            <v>10090046</v>
          </cell>
          <cell r="F2009" t="str">
            <v>0002</v>
          </cell>
          <cell r="G2009">
            <v>14</v>
          </cell>
          <cell r="H2009">
            <v>238.76999999999998</v>
          </cell>
          <cell r="I2009">
            <v>10089.35536735698</v>
          </cell>
          <cell r="J2009">
            <v>165.2</v>
          </cell>
        </row>
        <row r="2010">
          <cell r="E2010">
            <v>10090046</v>
          </cell>
          <cell r="F2010" t="str">
            <v>0018</v>
          </cell>
          <cell r="G2010">
            <v>7</v>
          </cell>
          <cell r="H2010">
            <v>91.110000000000014</v>
          </cell>
          <cell r="I2010">
            <v>4546.0321543633609</v>
          </cell>
          <cell r="J2010">
            <v>0</v>
          </cell>
        </row>
        <row r="2011">
          <cell r="E2011">
            <v>10090046</v>
          </cell>
          <cell r="F2011" t="str">
            <v>0022</v>
          </cell>
          <cell r="G2011">
            <v>4</v>
          </cell>
          <cell r="H2011">
            <v>23.61</v>
          </cell>
          <cell r="I2011">
            <v>940.5975476640001</v>
          </cell>
          <cell r="J2011">
            <v>0</v>
          </cell>
        </row>
        <row r="2012">
          <cell r="E2012">
            <v>10090047</v>
          </cell>
          <cell r="F2012" t="str">
            <v>0001</v>
          </cell>
          <cell r="G2012">
            <v>4</v>
          </cell>
          <cell r="H2012">
            <v>1.42</v>
          </cell>
          <cell r="I2012">
            <v>55.282565590500006</v>
          </cell>
          <cell r="J2012">
            <v>0</v>
          </cell>
        </row>
        <row r="2013">
          <cell r="E2013">
            <v>10090047</v>
          </cell>
          <cell r="F2013" t="str">
            <v>0002</v>
          </cell>
          <cell r="G2013">
            <v>10</v>
          </cell>
          <cell r="H2013">
            <v>475.8</v>
          </cell>
          <cell r="I2013">
            <v>18999.535820760004</v>
          </cell>
          <cell r="J2013">
            <v>2454.4</v>
          </cell>
        </row>
        <row r="2014">
          <cell r="E2014">
            <v>10090047</v>
          </cell>
          <cell r="F2014" t="str">
            <v>0009</v>
          </cell>
          <cell r="G2014">
            <v>2</v>
          </cell>
          <cell r="H2014">
            <v>3.38</v>
          </cell>
          <cell r="I2014">
            <v>126.37264899600002</v>
          </cell>
          <cell r="J2014">
            <v>0</v>
          </cell>
        </row>
        <row r="2015">
          <cell r="E2015">
            <v>10090047</v>
          </cell>
          <cell r="F2015" t="str">
            <v>0012</v>
          </cell>
          <cell r="G2015">
            <v>2</v>
          </cell>
          <cell r="H2015">
            <v>4.93</v>
          </cell>
          <cell r="I2015">
            <v>296.86644362189998</v>
          </cell>
          <cell r="J2015">
            <v>0</v>
          </cell>
        </row>
        <row r="2016">
          <cell r="E2016">
            <v>10090047</v>
          </cell>
          <cell r="F2016" t="str">
            <v>0019</v>
          </cell>
          <cell r="G2016">
            <v>2</v>
          </cell>
          <cell r="H2016">
            <v>5.36</v>
          </cell>
          <cell r="I2016">
            <v>232.81177392000006</v>
          </cell>
          <cell r="J2016">
            <v>0</v>
          </cell>
        </row>
        <row r="2017">
          <cell r="E2017">
            <v>10090047</v>
          </cell>
          <cell r="F2017" t="str">
            <v>0027</v>
          </cell>
          <cell r="G2017">
            <v>1</v>
          </cell>
          <cell r="H2017">
            <v>0.84</v>
          </cell>
          <cell r="I2017">
            <v>53.520873898799998</v>
          </cell>
          <cell r="J2017">
            <v>0</v>
          </cell>
        </row>
        <row r="2018">
          <cell r="E2018">
            <v>10090047</v>
          </cell>
          <cell r="F2018" t="str">
            <v>0029</v>
          </cell>
          <cell r="G2018">
            <v>2</v>
          </cell>
          <cell r="H2018">
            <v>5.04</v>
          </cell>
          <cell r="I2018">
            <v>280.23647369299999</v>
          </cell>
          <cell r="J2018">
            <v>0</v>
          </cell>
        </row>
        <row r="2019">
          <cell r="E2019">
            <v>10090047</v>
          </cell>
          <cell r="F2019" t="str">
            <v>0035</v>
          </cell>
          <cell r="G2019">
            <v>2</v>
          </cell>
          <cell r="H2019">
            <v>7.35</v>
          </cell>
          <cell r="I2019">
            <v>385.44591736686004</v>
          </cell>
          <cell r="J2019">
            <v>0</v>
          </cell>
        </row>
        <row r="2020">
          <cell r="E2020">
            <v>10090047</v>
          </cell>
          <cell r="F2020" t="str">
            <v>0050</v>
          </cell>
          <cell r="G2020">
            <v>2</v>
          </cell>
          <cell r="H2020">
            <v>4.92</v>
          </cell>
          <cell r="I2020">
            <v>318.207107232</v>
          </cell>
          <cell r="J2020">
            <v>0</v>
          </cell>
        </row>
        <row r="2021">
          <cell r="E2021">
            <v>10090047</v>
          </cell>
          <cell r="F2021" t="str">
            <v>0064</v>
          </cell>
          <cell r="G2021">
            <v>1</v>
          </cell>
          <cell r="H2021">
            <v>3.49</v>
          </cell>
          <cell r="I2021">
            <v>216.94304868000003</v>
          </cell>
          <cell r="J2021">
            <v>0</v>
          </cell>
        </row>
        <row r="2022">
          <cell r="E2022">
            <v>10090047</v>
          </cell>
          <cell r="F2022" t="str">
            <v>0067</v>
          </cell>
          <cell r="G2022">
            <v>2</v>
          </cell>
          <cell r="H2022">
            <v>4.46</v>
          </cell>
          <cell r="I2022">
            <v>158.8449801708</v>
          </cell>
          <cell r="J2022">
            <v>0</v>
          </cell>
        </row>
        <row r="2023">
          <cell r="E2023">
            <v>10090047</v>
          </cell>
          <cell r="F2023" t="str">
            <v>0071</v>
          </cell>
          <cell r="G2023">
            <v>2</v>
          </cell>
          <cell r="H2023">
            <v>4.68</v>
          </cell>
          <cell r="I2023">
            <v>221.85530529099</v>
          </cell>
          <cell r="J2023">
            <v>0</v>
          </cell>
        </row>
        <row r="2024">
          <cell r="E2024">
            <v>10090047</v>
          </cell>
          <cell r="F2024" t="str">
            <v>0077</v>
          </cell>
          <cell r="G2024">
            <v>4</v>
          </cell>
          <cell r="H2024">
            <v>18.96</v>
          </cell>
          <cell r="I2024">
            <v>896.07332853060018</v>
          </cell>
          <cell r="J2024">
            <v>0</v>
          </cell>
        </row>
        <row r="2025">
          <cell r="E2025">
            <v>10090047</v>
          </cell>
          <cell r="F2025" t="str">
            <v>0080</v>
          </cell>
          <cell r="G2025">
            <v>4</v>
          </cell>
          <cell r="H2025">
            <v>27.700000000000003</v>
          </cell>
          <cell r="I2025">
            <v>981.13270939200004</v>
          </cell>
          <cell r="J2025">
            <v>0</v>
          </cell>
        </row>
        <row r="2026">
          <cell r="E2026">
            <v>10090047</v>
          </cell>
          <cell r="F2026" t="str">
            <v>0081</v>
          </cell>
          <cell r="G2026">
            <v>4</v>
          </cell>
          <cell r="H2026">
            <v>21.080000000000002</v>
          </cell>
          <cell r="I2026">
            <v>870.66304974000013</v>
          </cell>
          <cell r="J2026">
            <v>0</v>
          </cell>
        </row>
        <row r="2027">
          <cell r="E2027">
            <v>10090047</v>
          </cell>
          <cell r="F2027" t="str">
            <v>0086</v>
          </cell>
          <cell r="G2027">
            <v>2</v>
          </cell>
          <cell r="H2027">
            <v>7.2799999999999994</v>
          </cell>
          <cell r="I2027">
            <v>310.25568816000003</v>
          </cell>
          <cell r="J2027">
            <v>0</v>
          </cell>
        </row>
        <row r="2028">
          <cell r="E2028">
            <v>10090047</v>
          </cell>
          <cell r="F2028" t="str">
            <v>0087</v>
          </cell>
          <cell r="G2028">
            <v>4</v>
          </cell>
          <cell r="H2028">
            <v>11.789999999999997</v>
          </cell>
          <cell r="I2028">
            <v>518.50375370400002</v>
          </cell>
          <cell r="J2028">
            <v>0</v>
          </cell>
        </row>
        <row r="2029">
          <cell r="E2029">
            <v>10090047</v>
          </cell>
          <cell r="F2029" t="str">
            <v>0088</v>
          </cell>
          <cell r="G2029">
            <v>2</v>
          </cell>
          <cell r="H2029">
            <v>4.18</v>
          </cell>
          <cell r="I2029">
            <v>172.37820995999999</v>
          </cell>
          <cell r="J2029">
            <v>0</v>
          </cell>
        </row>
        <row r="2030">
          <cell r="E2030">
            <v>10090047</v>
          </cell>
          <cell r="F2030" t="str">
            <v>0089</v>
          </cell>
          <cell r="G2030">
            <v>2</v>
          </cell>
          <cell r="H2030">
            <v>3.0199999999999996</v>
          </cell>
          <cell r="I2030">
            <v>116.34950843999999</v>
          </cell>
          <cell r="J2030">
            <v>0</v>
          </cell>
        </row>
        <row r="2031">
          <cell r="E2031">
            <v>10090049</v>
          </cell>
          <cell r="F2031" t="str">
            <v>0001</v>
          </cell>
          <cell r="G2031">
            <v>14</v>
          </cell>
          <cell r="H2031">
            <v>6.18</v>
          </cell>
          <cell r="I2031">
            <v>337.15851048616008</v>
          </cell>
          <cell r="J2031">
            <v>0</v>
          </cell>
        </row>
        <row r="2032">
          <cell r="E2032">
            <v>10090049</v>
          </cell>
          <cell r="F2032" t="str">
            <v>0002</v>
          </cell>
          <cell r="G2032">
            <v>14</v>
          </cell>
          <cell r="H2032">
            <v>157.47</v>
          </cell>
          <cell r="I2032">
            <v>8072.7437706816218</v>
          </cell>
          <cell r="J2032">
            <v>0</v>
          </cell>
        </row>
        <row r="2033">
          <cell r="E2033">
            <v>10090049</v>
          </cell>
          <cell r="F2033" t="str">
            <v>0003</v>
          </cell>
          <cell r="G2033">
            <v>14</v>
          </cell>
          <cell r="H2033">
            <v>50.36</v>
          </cell>
          <cell r="I2033">
            <v>2723.0891647043604</v>
          </cell>
          <cell r="J2033">
            <v>0</v>
          </cell>
        </row>
        <row r="2034">
          <cell r="E2034">
            <v>10090049</v>
          </cell>
          <cell r="F2034" t="str">
            <v>0004</v>
          </cell>
          <cell r="G2034">
            <v>6</v>
          </cell>
          <cell r="H2034">
            <v>13.29</v>
          </cell>
          <cell r="I2034">
            <v>419.51884788000001</v>
          </cell>
          <cell r="J2034">
            <v>0</v>
          </cell>
        </row>
        <row r="2035">
          <cell r="E2035">
            <v>10090049</v>
          </cell>
          <cell r="F2035" t="str">
            <v>0015</v>
          </cell>
          <cell r="G2035">
            <v>14</v>
          </cell>
          <cell r="H2035">
            <v>166.19</v>
          </cell>
          <cell r="I2035">
            <v>8652.9425226940402</v>
          </cell>
          <cell r="J2035">
            <v>0</v>
          </cell>
        </row>
        <row r="2036">
          <cell r="E2036">
            <v>10090049</v>
          </cell>
          <cell r="F2036" t="str">
            <v>0016</v>
          </cell>
          <cell r="G2036">
            <v>14</v>
          </cell>
          <cell r="H2036">
            <v>184.57</v>
          </cell>
          <cell r="I2036">
            <v>9772.0613383402597</v>
          </cell>
          <cell r="J2036">
            <v>0</v>
          </cell>
        </row>
        <row r="2037">
          <cell r="E2037">
            <v>10090049</v>
          </cell>
          <cell r="F2037" t="str">
            <v>0020</v>
          </cell>
          <cell r="G2037">
            <v>11</v>
          </cell>
          <cell r="H2037">
            <v>23.63</v>
          </cell>
          <cell r="I2037">
            <v>1336.6080782312504</v>
          </cell>
          <cell r="J2037">
            <v>0</v>
          </cell>
        </row>
        <row r="2038">
          <cell r="E2038">
            <v>10090049</v>
          </cell>
          <cell r="F2038" t="str">
            <v>0021</v>
          </cell>
          <cell r="G2038">
            <v>7</v>
          </cell>
          <cell r="H2038">
            <v>21.17</v>
          </cell>
          <cell r="I2038">
            <v>1225.154083052</v>
          </cell>
          <cell r="J2038">
            <v>0</v>
          </cell>
        </row>
        <row r="2039">
          <cell r="E2039">
            <v>10090049</v>
          </cell>
          <cell r="F2039" t="str">
            <v>0023</v>
          </cell>
          <cell r="G2039">
            <v>8</v>
          </cell>
          <cell r="H2039">
            <v>12.96</v>
          </cell>
          <cell r="I2039">
            <v>523.00474539931201</v>
          </cell>
          <cell r="J2039">
            <v>0</v>
          </cell>
        </row>
        <row r="2040">
          <cell r="E2040">
            <v>10090049</v>
          </cell>
          <cell r="F2040" t="str">
            <v>0024</v>
          </cell>
          <cell r="G2040">
            <v>9</v>
          </cell>
          <cell r="H2040">
            <v>15.680000000000001</v>
          </cell>
          <cell r="I2040">
            <v>550.24868683620002</v>
          </cell>
          <cell r="J2040">
            <v>0</v>
          </cell>
        </row>
        <row r="2041">
          <cell r="E2041">
            <v>10090049</v>
          </cell>
          <cell r="F2041" t="str">
            <v>0025</v>
          </cell>
          <cell r="G2041">
            <v>14</v>
          </cell>
          <cell r="H2041">
            <v>180.15000000000003</v>
          </cell>
          <cell r="I2041">
            <v>9243.5164056051199</v>
          </cell>
          <cell r="J2041">
            <v>0</v>
          </cell>
        </row>
        <row r="2042">
          <cell r="E2042">
            <v>10090049</v>
          </cell>
          <cell r="F2042" t="str">
            <v>0030</v>
          </cell>
          <cell r="G2042">
            <v>14</v>
          </cell>
          <cell r="H2042">
            <v>138.63</v>
          </cell>
          <cell r="I2042">
            <v>6854.754214799781</v>
          </cell>
          <cell r="J2042">
            <v>0</v>
          </cell>
        </row>
        <row r="2043">
          <cell r="E2043">
            <v>10090052</v>
          </cell>
          <cell r="F2043" t="str">
            <v>0001</v>
          </cell>
          <cell r="G2043">
            <v>6</v>
          </cell>
          <cell r="H2043">
            <v>17.309999999999999</v>
          </cell>
          <cell r="I2043">
            <v>691.38453589920005</v>
          </cell>
          <cell r="J2043">
            <v>0</v>
          </cell>
        </row>
        <row r="2044">
          <cell r="E2044">
            <v>10090052</v>
          </cell>
          <cell r="F2044" t="str">
            <v>0002</v>
          </cell>
          <cell r="G2044">
            <v>13</v>
          </cell>
          <cell r="H2044">
            <v>263.18</v>
          </cell>
          <cell r="I2044">
            <v>11104.808748486012</v>
          </cell>
          <cell r="J2044">
            <v>0</v>
          </cell>
        </row>
        <row r="2045">
          <cell r="E2045">
            <v>10090052</v>
          </cell>
          <cell r="F2045" t="str">
            <v>0003</v>
          </cell>
          <cell r="G2045">
            <v>7</v>
          </cell>
          <cell r="H2045">
            <v>68.650000000000006</v>
          </cell>
          <cell r="I2045">
            <v>2820.6346648788003</v>
          </cell>
          <cell r="J2045">
            <v>0</v>
          </cell>
        </row>
        <row r="2046">
          <cell r="E2046">
            <v>10090052</v>
          </cell>
          <cell r="F2046" t="str">
            <v>0005</v>
          </cell>
          <cell r="G2046">
            <v>6</v>
          </cell>
          <cell r="H2046">
            <v>54.48</v>
          </cell>
          <cell r="I2046">
            <v>2221.3060589808001</v>
          </cell>
          <cell r="J2046">
            <v>0</v>
          </cell>
        </row>
        <row r="2047">
          <cell r="E2047">
            <v>10090052</v>
          </cell>
          <cell r="F2047" t="str">
            <v>0007</v>
          </cell>
          <cell r="G2047">
            <v>6</v>
          </cell>
          <cell r="H2047">
            <v>55.15</v>
          </cell>
          <cell r="I2047">
            <v>2245.5541469591999</v>
          </cell>
          <cell r="J2047">
            <v>0</v>
          </cell>
        </row>
        <row r="2048">
          <cell r="E2048">
            <v>10090056</v>
          </cell>
          <cell r="F2048" t="str">
            <v>0001</v>
          </cell>
          <cell r="G2048">
            <v>14</v>
          </cell>
          <cell r="H2048">
            <v>1.56</v>
          </cell>
          <cell r="I2048">
            <v>66.721599039500006</v>
          </cell>
          <cell r="J2048">
            <v>0</v>
          </cell>
        </row>
        <row r="2049">
          <cell r="E2049">
            <v>10090056</v>
          </cell>
          <cell r="F2049" t="str">
            <v>0002</v>
          </cell>
          <cell r="G2049">
            <v>13</v>
          </cell>
          <cell r="H2049">
            <v>411.9799999999999</v>
          </cell>
          <cell r="I2049">
            <v>16994.097172594342</v>
          </cell>
          <cell r="J2049">
            <v>0</v>
          </cell>
        </row>
        <row r="2050">
          <cell r="E2050">
            <v>10090056</v>
          </cell>
          <cell r="F2050" t="str">
            <v>0004</v>
          </cell>
          <cell r="G2050">
            <v>7</v>
          </cell>
          <cell r="H2050">
            <v>50.070000000000007</v>
          </cell>
          <cell r="I2050">
            <v>1901.9816148960001</v>
          </cell>
          <cell r="J2050">
            <v>0</v>
          </cell>
        </row>
        <row r="2051">
          <cell r="E2051">
            <v>10090056</v>
          </cell>
          <cell r="F2051" t="str">
            <v>0006</v>
          </cell>
          <cell r="G2051">
            <v>9</v>
          </cell>
          <cell r="H2051">
            <v>223.37</v>
          </cell>
          <cell r="I2051">
            <v>8401.0687980120019</v>
          </cell>
          <cell r="J2051">
            <v>0</v>
          </cell>
        </row>
        <row r="2052">
          <cell r="E2052">
            <v>10090058</v>
          </cell>
          <cell r="F2052" t="str">
            <v>0002</v>
          </cell>
          <cell r="G2052">
            <v>14</v>
          </cell>
          <cell r="H2052">
            <v>326.28000000000003</v>
          </cell>
          <cell r="I2052">
            <v>16063.713720016669</v>
          </cell>
          <cell r="J2052">
            <v>0</v>
          </cell>
        </row>
        <row r="2053">
          <cell r="E2053">
            <v>10090058</v>
          </cell>
          <cell r="F2053" t="str">
            <v>0003</v>
          </cell>
          <cell r="G2053">
            <v>14</v>
          </cell>
          <cell r="H2053">
            <v>467.68000000000006</v>
          </cell>
          <cell r="I2053">
            <v>18879.643320912</v>
          </cell>
          <cell r="J2053">
            <v>0</v>
          </cell>
        </row>
        <row r="2054">
          <cell r="E2054">
            <v>10090058</v>
          </cell>
          <cell r="F2054" t="str">
            <v>0004</v>
          </cell>
          <cell r="G2054">
            <v>6</v>
          </cell>
          <cell r="H2054">
            <v>72.45</v>
          </cell>
          <cell r="I2054">
            <v>2862.7427034360007</v>
          </cell>
          <cell r="J2054">
            <v>0</v>
          </cell>
        </row>
        <row r="2055">
          <cell r="E2055">
            <v>10090059</v>
          </cell>
          <cell r="F2055" t="str">
            <v>0002</v>
          </cell>
          <cell r="G2055">
            <v>14</v>
          </cell>
          <cell r="H2055">
            <v>997.11</v>
          </cell>
          <cell r="I2055">
            <v>54802.434665869652</v>
          </cell>
          <cell r="J2055">
            <v>1062</v>
          </cell>
        </row>
        <row r="2056">
          <cell r="E2056">
            <v>10090060</v>
          </cell>
          <cell r="F2056" t="str">
            <v>0002</v>
          </cell>
          <cell r="G2056">
            <v>14</v>
          </cell>
          <cell r="H2056">
            <v>356.70000000000005</v>
          </cell>
          <cell r="I2056">
            <v>14350.678543080003</v>
          </cell>
          <cell r="J2056">
            <v>0</v>
          </cell>
        </row>
        <row r="2057">
          <cell r="E2057">
            <v>10090061</v>
          </cell>
          <cell r="F2057" t="str">
            <v>0002</v>
          </cell>
          <cell r="G2057">
            <v>14</v>
          </cell>
          <cell r="H2057">
            <v>311.14000000000004</v>
          </cell>
          <cell r="I2057">
            <v>12656.4953743518</v>
          </cell>
          <cell r="J2057">
            <v>0</v>
          </cell>
        </row>
        <row r="2058">
          <cell r="E2058">
            <v>10090061</v>
          </cell>
          <cell r="F2058" t="str">
            <v>0011</v>
          </cell>
          <cell r="G2058">
            <v>1</v>
          </cell>
          <cell r="H2058">
            <v>7.17</v>
          </cell>
          <cell r="I2058">
            <v>407.52683287605004</v>
          </cell>
          <cell r="J2058">
            <v>0</v>
          </cell>
        </row>
        <row r="2059">
          <cell r="E2059">
            <v>10090061</v>
          </cell>
          <cell r="F2059" t="str">
            <v>0013</v>
          </cell>
          <cell r="G2059">
            <v>4</v>
          </cell>
          <cell r="H2059">
            <v>5.25</v>
          </cell>
          <cell r="I2059">
            <v>211.70078384400003</v>
          </cell>
          <cell r="J2059">
            <v>0</v>
          </cell>
        </row>
        <row r="2060">
          <cell r="E2060">
            <v>10090061</v>
          </cell>
          <cell r="F2060" t="str">
            <v>0016</v>
          </cell>
          <cell r="G2060">
            <v>5</v>
          </cell>
          <cell r="H2060">
            <v>7.1400000000000006</v>
          </cell>
          <cell r="I2060">
            <v>304.74718739312806</v>
          </cell>
          <cell r="J2060">
            <v>0</v>
          </cell>
        </row>
        <row r="2061">
          <cell r="E2061">
            <v>10090063</v>
          </cell>
          <cell r="F2061" t="str">
            <v>0002</v>
          </cell>
          <cell r="G2061">
            <v>7</v>
          </cell>
          <cell r="H2061">
            <v>171.7</v>
          </cell>
          <cell r="I2061">
            <v>7838.3307265560006</v>
          </cell>
          <cell r="J2061">
            <v>0</v>
          </cell>
        </row>
        <row r="2062">
          <cell r="E2062">
            <v>10090064</v>
          </cell>
          <cell r="F2062" t="str">
            <v>0002</v>
          </cell>
          <cell r="G2062">
            <v>13</v>
          </cell>
          <cell r="H2062">
            <v>474.61999999999989</v>
          </cell>
          <cell r="I2062">
            <v>18217.779005784603</v>
          </cell>
          <cell r="J2062">
            <v>2153.5</v>
          </cell>
        </row>
        <row r="2063">
          <cell r="E2063">
            <v>10090064</v>
          </cell>
          <cell r="F2063" t="str">
            <v>0005</v>
          </cell>
          <cell r="G2063">
            <v>1</v>
          </cell>
          <cell r="H2063">
            <v>11.33</v>
          </cell>
          <cell r="I2063">
            <v>457.65392270400008</v>
          </cell>
          <cell r="J2063">
            <v>0</v>
          </cell>
        </row>
        <row r="2064">
          <cell r="E2064">
            <v>10090065</v>
          </cell>
          <cell r="F2064" t="str">
            <v>0002</v>
          </cell>
          <cell r="G2064">
            <v>14</v>
          </cell>
          <cell r="H2064">
            <v>468.27</v>
          </cell>
          <cell r="I2064">
            <v>17201.661843136088</v>
          </cell>
          <cell r="J2064">
            <v>826</v>
          </cell>
        </row>
        <row r="2065">
          <cell r="E2065">
            <v>10090065</v>
          </cell>
          <cell r="F2065" t="str">
            <v>0004</v>
          </cell>
          <cell r="G2065">
            <v>7</v>
          </cell>
          <cell r="H2065">
            <v>39.809999999999995</v>
          </cell>
          <cell r="I2065">
            <v>2270.62228863776</v>
          </cell>
          <cell r="J2065">
            <v>0</v>
          </cell>
        </row>
        <row r="2066">
          <cell r="E2066">
            <v>10090065</v>
          </cell>
          <cell r="F2066" t="str">
            <v>0006</v>
          </cell>
          <cell r="G2066">
            <v>14</v>
          </cell>
          <cell r="H2066">
            <v>84.649999999999991</v>
          </cell>
          <cell r="I2066">
            <v>3750.9347695454944</v>
          </cell>
          <cell r="J2066">
            <v>0</v>
          </cell>
        </row>
        <row r="2067">
          <cell r="E2067">
            <v>10090066</v>
          </cell>
          <cell r="F2067" t="str">
            <v>0002</v>
          </cell>
          <cell r="G2067">
            <v>14</v>
          </cell>
          <cell r="H2067">
            <v>276.96000000000004</v>
          </cell>
          <cell r="I2067">
            <v>11621.976439106731</v>
          </cell>
          <cell r="J2067">
            <v>1062</v>
          </cell>
        </row>
        <row r="2068">
          <cell r="E2068">
            <v>10090066</v>
          </cell>
          <cell r="F2068" t="str">
            <v>0008</v>
          </cell>
          <cell r="G2068">
            <v>2</v>
          </cell>
          <cell r="H2068">
            <v>19.93</v>
          </cell>
          <cell r="I2068">
            <v>929.56551868012002</v>
          </cell>
          <cell r="J2068">
            <v>0</v>
          </cell>
        </row>
        <row r="2069">
          <cell r="E2069">
            <v>10090072</v>
          </cell>
          <cell r="F2069" t="str">
            <v>0002</v>
          </cell>
          <cell r="G2069">
            <v>14</v>
          </cell>
          <cell r="H2069">
            <v>362.46999999999997</v>
          </cell>
          <cell r="I2069">
            <v>12880.135612278002</v>
          </cell>
          <cell r="J2069">
            <v>0</v>
          </cell>
        </row>
        <row r="2070">
          <cell r="E2070">
            <v>10090074</v>
          </cell>
          <cell r="F2070" t="str">
            <v>0002</v>
          </cell>
          <cell r="G2070">
            <v>13</v>
          </cell>
          <cell r="H2070">
            <v>502.59999999999997</v>
          </cell>
          <cell r="I2070">
            <v>20443.983175440004</v>
          </cell>
          <cell r="J2070">
            <v>0</v>
          </cell>
        </row>
        <row r="2071">
          <cell r="E2071">
            <v>10090074</v>
          </cell>
          <cell r="F2071" t="str">
            <v>0005</v>
          </cell>
          <cell r="G2071">
            <v>1</v>
          </cell>
          <cell r="H2071">
            <v>4.7699999999999996</v>
          </cell>
          <cell r="I2071">
            <v>235.93162397553002</v>
          </cell>
          <cell r="J2071">
            <v>0</v>
          </cell>
        </row>
        <row r="2072">
          <cell r="E2072">
            <v>10090074</v>
          </cell>
          <cell r="F2072" t="str">
            <v>0006</v>
          </cell>
          <cell r="G2072">
            <v>1</v>
          </cell>
          <cell r="H2072">
            <v>6.91</v>
          </cell>
          <cell r="I2072">
            <v>260.87361695999999</v>
          </cell>
          <cell r="J2072">
            <v>0</v>
          </cell>
        </row>
        <row r="2073">
          <cell r="E2073">
            <v>10090075</v>
          </cell>
          <cell r="F2073" t="str">
            <v>0002</v>
          </cell>
          <cell r="G2073">
            <v>5</v>
          </cell>
          <cell r="H2073">
            <v>102.22999999999999</v>
          </cell>
          <cell r="I2073">
            <v>3989.9167909326002</v>
          </cell>
          <cell r="J2073">
            <v>0</v>
          </cell>
        </row>
        <row r="2074">
          <cell r="E2074">
            <v>10090075</v>
          </cell>
          <cell r="F2074" t="str">
            <v>0003</v>
          </cell>
          <cell r="G2074">
            <v>11</v>
          </cell>
          <cell r="H2074">
            <v>96.04</v>
          </cell>
          <cell r="I2074">
            <v>4245.9831502920006</v>
          </cell>
          <cell r="J2074">
            <v>0</v>
          </cell>
        </row>
        <row r="2075">
          <cell r="E2075">
            <v>10090075</v>
          </cell>
          <cell r="F2075" t="str">
            <v>0004</v>
          </cell>
          <cell r="G2075">
            <v>8</v>
          </cell>
          <cell r="H2075">
            <v>16.170000000000002</v>
          </cell>
          <cell r="I2075">
            <v>626.76305853480005</v>
          </cell>
          <cell r="J2075">
            <v>0</v>
          </cell>
        </row>
        <row r="2076">
          <cell r="E2076">
            <v>10090075</v>
          </cell>
          <cell r="F2076" t="str">
            <v>0006</v>
          </cell>
          <cell r="G2076">
            <v>12</v>
          </cell>
          <cell r="H2076">
            <v>394.81000000000006</v>
          </cell>
          <cell r="I2076">
            <v>15358.704658704002</v>
          </cell>
          <cell r="J2076">
            <v>0</v>
          </cell>
        </row>
        <row r="2077">
          <cell r="E2077">
            <v>10090075</v>
          </cell>
          <cell r="F2077" t="str">
            <v>0008</v>
          </cell>
          <cell r="G2077">
            <v>12</v>
          </cell>
          <cell r="H2077">
            <v>181.54999999999998</v>
          </cell>
          <cell r="I2077">
            <v>6925.8481352279996</v>
          </cell>
          <cell r="J2077">
            <v>0</v>
          </cell>
        </row>
        <row r="2078">
          <cell r="E2078">
            <v>10090078</v>
          </cell>
          <cell r="F2078" t="str">
            <v>0002</v>
          </cell>
          <cell r="G2078">
            <v>14</v>
          </cell>
          <cell r="H2078">
            <v>354</v>
          </cell>
          <cell r="I2078">
            <v>12988.916586162</v>
          </cell>
          <cell r="J2078">
            <v>0</v>
          </cell>
        </row>
        <row r="2079">
          <cell r="E2079">
            <v>10100001</v>
          </cell>
          <cell r="F2079" t="str">
            <v>0001</v>
          </cell>
          <cell r="G2079">
            <v>14</v>
          </cell>
          <cell r="H2079">
            <v>7.04</v>
          </cell>
          <cell r="I2079">
            <v>280.30979275200008</v>
          </cell>
          <cell r="J2079">
            <v>0</v>
          </cell>
        </row>
        <row r="2080">
          <cell r="E2080">
            <v>10100001</v>
          </cell>
          <cell r="F2080" t="str">
            <v>0002</v>
          </cell>
          <cell r="G2080">
            <v>14</v>
          </cell>
          <cell r="H2080">
            <v>28.54</v>
          </cell>
          <cell r="I2080">
            <v>1138.8613745520001</v>
          </cell>
          <cell r="J2080">
            <v>0</v>
          </cell>
        </row>
        <row r="2081">
          <cell r="E2081">
            <v>10100001</v>
          </cell>
          <cell r="F2081" t="str">
            <v>0013</v>
          </cell>
          <cell r="G2081">
            <v>14</v>
          </cell>
          <cell r="H2081">
            <v>104.5</v>
          </cell>
          <cell r="I2081">
            <v>3802.1461037999998</v>
          </cell>
          <cell r="J2081">
            <v>0</v>
          </cell>
        </row>
        <row r="2082">
          <cell r="E2082">
            <v>10100001</v>
          </cell>
          <cell r="F2082" t="str">
            <v>0024</v>
          </cell>
          <cell r="G2082">
            <v>12</v>
          </cell>
          <cell r="H2082">
            <v>24.300000000000004</v>
          </cell>
          <cell r="I2082">
            <v>902.85297696000009</v>
          </cell>
          <cell r="J2082">
            <v>0</v>
          </cell>
        </row>
        <row r="2083">
          <cell r="E2083">
            <v>10100001</v>
          </cell>
          <cell r="F2083" t="str">
            <v>0026</v>
          </cell>
          <cell r="G2083">
            <v>14</v>
          </cell>
          <cell r="H2083">
            <v>43.699999999999996</v>
          </cell>
          <cell r="I2083">
            <v>1646.82586728</v>
          </cell>
          <cell r="J2083">
            <v>0</v>
          </cell>
        </row>
        <row r="2084">
          <cell r="E2084">
            <v>10100001</v>
          </cell>
          <cell r="F2084" t="str">
            <v>0027</v>
          </cell>
          <cell r="G2084">
            <v>7</v>
          </cell>
          <cell r="H2084">
            <v>60</v>
          </cell>
          <cell r="I2084">
            <v>2423.3220396000002</v>
          </cell>
          <cell r="J2084">
            <v>0</v>
          </cell>
        </row>
        <row r="2085">
          <cell r="E2085">
            <v>10100001</v>
          </cell>
          <cell r="F2085" t="str">
            <v>0030</v>
          </cell>
          <cell r="G2085">
            <v>14</v>
          </cell>
          <cell r="H2085">
            <v>215.60000000000002</v>
          </cell>
          <cell r="I2085">
            <v>8715.0748291199998</v>
          </cell>
          <cell r="J2085">
            <v>0</v>
          </cell>
        </row>
        <row r="2086">
          <cell r="E2086">
            <v>10100001</v>
          </cell>
          <cell r="F2086" t="str">
            <v>0031</v>
          </cell>
          <cell r="G2086">
            <v>13</v>
          </cell>
          <cell r="H2086">
            <v>224.79999999999998</v>
          </cell>
          <cell r="I2086">
            <v>8948.0146971600007</v>
          </cell>
          <cell r="J2086">
            <v>0</v>
          </cell>
        </row>
        <row r="2087">
          <cell r="E2087">
            <v>10100001</v>
          </cell>
          <cell r="F2087" t="str">
            <v>0040</v>
          </cell>
          <cell r="G2087">
            <v>12</v>
          </cell>
          <cell r="H2087">
            <v>41.6</v>
          </cell>
          <cell r="I2087">
            <v>1590.1171664400003</v>
          </cell>
          <cell r="J2087">
            <v>0</v>
          </cell>
        </row>
        <row r="2088">
          <cell r="E2088">
            <v>10100001</v>
          </cell>
          <cell r="F2088" t="str">
            <v>0042</v>
          </cell>
          <cell r="G2088">
            <v>7</v>
          </cell>
          <cell r="H2088">
            <v>93.8</v>
          </cell>
          <cell r="I2088">
            <v>3868.0477070400007</v>
          </cell>
          <cell r="J2088">
            <v>0</v>
          </cell>
        </row>
        <row r="2089">
          <cell r="E2089">
            <v>10100001</v>
          </cell>
          <cell r="F2089" t="str">
            <v>0043</v>
          </cell>
          <cell r="G2089">
            <v>3</v>
          </cell>
          <cell r="H2089">
            <v>8.89</v>
          </cell>
          <cell r="I2089">
            <v>356.67905803200006</v>
          </cell>
          <cell r="J2089">
            <v>0</v>
          </cell>
        </row>
        <row r="2090">
          <cell r="E2090">
            <v>10100003</v>
          </cell>
          <cell r="F2090" t="str">
            <v>0001</v>
          </cell>
          <cell r="G2090">
            <v>14</v>
          </cell>
          <cell r="H2090">
            <v>6.7</v>
          </cell>
          <cell r="I2090">
            <v>306.44573652000003</v>
          </cell>
          <cell r="J2090">
            <v>0</v>
          </cell>
        </row>
        <row r="2091">
          <cell r="E2091">
            <v>10100003</v>
          </cell>
          <cell r="F2091" t="str">
            <v>0002</v>
          </cell>
          <cell r="G2091">
            <v>14</v>
          </cell>
          <cell r="H2091">
            <v>546</v>
          </cell>
          <cell r="I2091">
            <v>22353.230156400001</v>
          </cell>
          <cell r="J2091">
            <v>0</v>
          </cell>
        </row>
        <row r="2092">
          <cell r="E2092">
            <v>10100003</v>
          </cell>
          <cell r="F2092" t="str">
            <v>0003</v>
          </cell>
          <cell r="G2092">
            <v>13</v>
          </cell>
          <cell r="H2092">
            <v>580</v>
          </cell>
          <cell r="I2092">
            <v>24219.092304000002</v>
          </cell>
          <cell r="J2092">
            <v>0</v>
          </cell>
        </row>
        <row r="2093">
          <cell r="E2093">
            <v>10100003</v>
          </cell>
          <cell r="F2093" t="str">
            <v>0004</v>
          </cell>
          <cell r="G2093">
            <v>9</v>
          </cell>
          <cell r="H2093">
            <v>332</v>
          </cell>
          <cell r="I2093">
            <v>14185.227592800002</v>
          </cell>
          <cell r="J2093">
            <v>0</v>
          </cell>
        </row>
        <row r="2094">
          <cell r="E2094">
            <v>10100003</v>
          </cell>
          <cell r="F2094" t="str">
            <v>0016</v>
          </cell>
          <cell r="G2094">
            <v>10</v>
          </cell>
          <cell r="H2094">
            <v>450.5</v>
          </cell>
          <cell r="I2094">
            <v>20392.536146400002</v>
          </cell>
          <cell r="J2094">
            <v>0</v>
          </cell>
        </row>
        <row r="2095">
          <cell r="E2095">
            <v>10100009</v>
          </cell>
          <cell r="F2095" t="str">
            <v>0002</v>
          </cell>
          <cell r="G2095">
            <v>13</v>
          </cell>
          <cell r="H2095">
            <v>697</v>
          </cell>
          <cell r="I2095">
            <v>29223.986858319364</v>
          </cell>
          <cell r="J2095">
            <v>1014.8000000000001</v>
          </cell>
        </row>
        <row r="2096">
          <cell r="E2096">
            <v>10100009</v>
          </cell>
          <cell r="F2096" t="str">
            <v>0009</v>
          </cell>
          <cell r="G2096">
            <v>13</v>
          </cell>
          <cell r="H2096">
            <v>827.36999999999989</v>
          </cell>
          <cell r="I2096">
            <v>42162.219346762271</v>
          </cell>
          <cell r="J2096">
            <v>0</v>
          </cell>
        </row>
        <row r="2097">
          <cell r="E2097">
            <v>10100009</v>
          </cell>
          <cell r="F2097" t="str">
            <v>0037</v>
          </cell>
          <cell r="G2097">
            <v>12</v>
          </cell>
          <cell r="H2097">
            <v>38.190000000000005</v>
          </cell>
          <cell r="I2097">
            <v>2470.1912946861003</v>
          </cell>
          <cell r="J2097">
            <v>0</v>
          </cell>
        </row>
        <row r="2098">
          <cell r="E2098">
            <v>10100009</v>
          </cell>
          <cell r="F2098" t="str">
            <v>0043</v>
          </cell>
          <cell r="G2098">
            <v>8</v>
          </cell>
          <cell r="H2098">
            <v>26.93</v>
          </cell>
          <cell r="I2098">
            <v>958.8288744936001</v>
          </cell>
          <cell r="J2098">
            <v>0</v>
          </cell>
        </row>
        <row r="2099">
          <cell r="E2099">
            <v>10100009</v>
          </cell>
          <cell r="F2099" t="str">
            <v>0046</v>
          </cell>
          <cell r="G2099">
            <v>5</v>
          </cell>
          <cell r="H2099">
            <v>17.060000000000002</v>
          </cell>
          <cell r="I2099">
            <v>655.47074910239996</v>
          </cell>
          <cell r="J2099">
            <v>0</v>
          </cell>
        </row>
        <row r="2100">
          <cell r="E2100">
            <v>10100009</v>
          </cell>
          <cell r="F2100" t="str">
            <v>0056</v>
          </cell>
          <cell r="G2100">
            <v>4</v>
          </cell>
          <cell r="H2100">
            <v>20.049999999999997</v>
          </cell>
          <cell r="I2100">
            <v>921.17412203475305</v>
          </cell>
          <cell r="J2100">
            <v>0</v>
          </cell>
        </row>
        <row r="2101">
          <cell r="E2101">
            <v>10100014</v>
          </cell>
          <cell r="F2101" t="str">
            <v>0002</v>
          </cell>
          <cell r="G2101">
            <v>1</v>
          </cell>
          <cell r="H2101">
            <v>6.5</v>
          </cell>
          <cell r="I2101">
            <v>303.03757575000003</v>
          </cell>
          <cell r="J2101">
            <v>0</v>
          </cell>
        </row>
        <row r="2102">
          <cell r="E2102">
            <v>10100014</v>
          </cell>
          <cell r="F2102" t="str">
            <v>0003</v>
          </cell>
          <cell r="G2102">
            <v>14</v>
          </cell>
          <cell r="H2102">
            <v>99.42</v>
          </cell>
          <cell r="I2102">
            <v>4002.161457096</v>
          </cell>
          <cell r="J2102">
            <v>0</v>
          </cell>
        </row>
        <row r="2103">
          <cell r="E2103">
            <v>10100014</v>
          </cell>
          <cell r="F2103" t="str">
            <v>0014</v>
          </cell>
          <cell r="G2103">
            <v>14</v>
          </cell>
          <cell r="H2103">
            <v>167.49999999999997</v>
          </cell>
          <cell r="I2103">
            <v>6694.735522068001</v>
          </cell>
          <cell r="J2103">
            <v>0</v>
          </cell>
        </row>
        <row r="2104">
          <cell r="E2104">
            <v>10100014</v>
          </cell>
          <cell r="F2104" t="str">
            <v>0015</v>
          </cell>
          <cell r="G2104">
            <v>12</v>
          </cell>
          <cell r="H2104">
            <v>26.12</v>
          </cell>
          <cell r="I2104">
            <v>1055.7217586520001</v>
          </cell>
          <cell r="J2104">
            <v>0</v>
          </cell>
        </row>
        <row r="2105">
          <cell r="E2105">
            <v>10100014</v>
          </cell>
          <cell r="F2105" t="str">
            <v>0018</v>
          </cell>
          <cell r="G2105">
            <v>13</v>
          </cell>
          <cell r="H2105">
            <v>56.18</v>
          </cell>
          <cell r="I2105">
            <v>2274.8482163880003</v>
          </cell>
          <cell r="J2105">
            <v>0</v>
          </cell>
        </row>
        <row r="2106">
          <cell r="E2106">
            <v>10100014</v>
          </cell>
          <cell r="F2106" t="str">
            <v>0028</v>
          </cell>
          <cell r="G2106">
            <v>5</v>
          </cell>
          <cell r="H2106">
            <v>15.92</v>
          </cell>
          <cell r="I2106">
            <v>664.12702224000009</v>
          </cell>
          <cell r="J2106">
            <v>0</v>
          </cell>
        </row>
        <row r="2107">
          <cell r="E2107">
            <v>10100015</v>
          </cell>
          <cell r="F2107" t="str">
            <v>0002</v>
          </cell>
          <cell r="G2107">
            <v>1</v>
          </cell>
          <cell r="H2107">
            <v>339</v>
          </cell>
          <cell r="I2107">
            <v>19755.816558390001</v>
          </cell>
          <cell r="J2107">
            <v>3304</v>
          </cell>
        </row>
        <row r="2108">
          <cell r="E2108">
            <v>10100016</v>
          </cell>
          <cell r="F2108" t="str">
            <v>0002</v>
          </cell>
          <cell r="G2108">
            <v>1</v>
          </cell>
          <cell r="H2108">
            <v>28</v>
          </cell>
          <cell r="I2108">
            <v>1127.311416</v>
          </cell>
          <cell r="J2108">
            <v>0</v>
          </cell>
        </row>
        <row r="2109">
          <cell r="E2109">
            <v>10100016</v>
          </cell>
          <cell r="F2109" t="str">
            <v>0010</v>
          </cell>
          <cell r="G2109">
            <v>3</v>
          </cell>
          <cell r="H2109">
            <v>103.8</v>
          </cell>
          <cell r="I2109">
            <v>4104.655632</v>
          </cell>
          <cell r="J2109">
            <v>0</v>
          </cell>
        </row>
        <row r="2110">
          <cell r="E2110">
            <v>10100021</v>
          </cell>
          <cell r="F2110" t="str">
            <v>0001</v>
          </cell>
          <cell r="G2110">
            <v>14</v>
          </cell>
          <cell r="H2110">
            <v>1.4000000000000001</v>
          </cell>
          <cell r="I2110">
            <v>54.86074308000002</v>
          </cell>
          <cell r="J2110">
            <v>0</v>
          </cell>
        </row>
        <row r="2111">
          <cell r="E2111">
            <v>10100021</v>
          </cell>
          <cell r="F2111" t="str">
            <v>0002</v>
          </cell>
          <cell r="G2111">
            <v>2</v>
          </cell>
          <cell r="H2111">
            <v>5.5</v>
          </cell>
          <cell r="I2111">
            <v>214.46644824000003</v>
          </cell>
          <cell r="J2111">
            <v>214</v>
          </cell>
        </row>
        <row r="2112">
          <cell r="E2112">
            <v>10100021</v>
          </cell>
          <cell r="F2112" t="str">
            <v>0003</v>
          </cell>
          <cell r="G2112">
            <v>14</v>
          </cell>
          <cell r="H2112">
            <v>516.79999999999995</v>
          </cell>
          <cell r="I2112">
            <v>20251.772196480008</v>
          </cell>
          <cell r="J2112">
            <v>0</v>
          </cell>
        </row>
        <row r="2113">
          <cell r="E2113">
            <v>10100021</v>
          </cell>
          <cell r="F2113" t="str">
            <v>0023</v>
          </cell>
          <cell r="G2113">
            <v>7</v>
          </cell>
          <cell r="H2113">
            <v>119.2</v>
          </cell>
          <cell r="I2113">
            <v>4665.3547089600015</v>
          </cell>
          <cell r="J2113">
            <v>0</v>
          </cell>
        </row>
        <row r="2114">
          <cell r="E2114">
            <v>10100035</v>
          </cell>
          <cell r="F2114" t="str">
            <v>0002</v>
          </cell>
          <cell r="G2114">
            <v>1</v>
          </cell>
          <cell r="H2114">
            <v>253.6</v>
          </cell>
          <cell r="I2114">
            <v>12808.375393631999</v>
          </cell>
          <cell r="J2114">
            <v>0</v>
          </cell>
        </row>
        <row r="2115">
          <cell r="E2115">
            <v>10100037</v>
          </cell>
          <cell r="F2115" t="str">
            <v>0001</v>
          </cell>
          <cell r="G2115">
            <v>13</v>
          </cell>
          <cell r="H2115">
            <v>0.12999999999999998</v>
          </cell>
          <cell r="I2115">
            <v>5.9055109903400007</v>
          </cell>
          <cell r="J2115">
            <v>0</v>
          </cell>
        </row>
        <row r="2116">
          <cell r="E2116">
            <v>10100037</v>
          </cell>
          <cell r="F2116" t="str">
            <v>0002</v>
          </cell>
          <cell r="G2116">
            <v>12</v>
          </cell>
          <cell r="H2116">
            <v>115.70000000000002</v>
          </cell>
          <cell r="I2116">
            <v>5222.2663583900012</v>
          </cell>
          <cell r="J2116">
            <v>0</v>
          </cell>
        </row>
        <row r="2117">
          <cell r="E2117">
            <v>10100037</v>
          </cell>
          <cell r="F2117" t="str">
            <v>0003</v>
          </cell>
          <cell r="G2117">
            <v>8</v>
          </cell>
          <cell r="H2117">
            <v>23.7</v>
          </cell>
          <cell r="I2117">
            <v>1102.7385165402002</v>
          </cell>
          <cell r="J2117">
            <v>0</v>
          </cell>
        </row>
        <row r="2118">
          <cell r="E2118">
            <v>10100045</v>
          </cell>
          <cell r="F2118" t="str">
            <v>0001</v>
          </cell>
          <cell r="G2118">
            <v>14</v>
          </cell>
          <cell r="H2118">
            <v>4.6499999999999995</v>
          </cell>
          <cell r="I2118">
            <v>175.05034232400004</v>
          </cell>
          <cell r="J2118">
            <v>0</v>
          </cell>
        </row>
        <row r="2119">
          <cell r="E2119">
            <v>10100045</v>
          </cell>
          <cell r="F2119" t="str">
            <v>0002</v>
          </cell>
          <cell r="G2119">
            <v>14</v>
          </cell>
          <cell r="H2119">
            <v>1314.1999999999998</v>
          </cell>
          <cell r="I2119">
            <v>63801.219326232</v>
          </cell>
          <cell r="J2119">
            <v>0</v>
          </cell>
        </row>
        <row r="2120">
          <cell r="E2120">
            <v>10100045</v>
          </cell>
          <cell r="F2120" t="str">
            <v>0004</v>
          </cell>
          <cell r="G2120">
            <v>14</v>
          </cell>
          <cell r="H2120">
            <v>362.8300000000001</v>
          </cell>
          <cell r="I2120">
            <v>13643.037033912</v>
          </cell>
          <cell r="J2120">
            <v>0</v>
          </cell>
        </row>
        <row r="2121">
          <cell r="E2121">
            <v>10100045</v>
          </cell>
          <cell r="F2121" t="str">
            <v>0006</v>
          </cell>
          <cell r="G2121">
            <v>14</v>
          </cell>
          <cell r="H2121">
            <v>547.46999999999991</v>
          </cell>
          <cell r="I2121">
            <v>20533.706827128</v>
          </cell>
          <cell r="J2121">
            <v>0</v>
          </cell>
        </row>
        <row r="2122">
          <cell r="E2122">
            <v>10100049</v>
          </cell>
          <cell r="F2122" t="str">
            <v>0001</v>
          </cell>
          <cell r="G2122">
            <v>2</v>
          </cell>
          <cell r="H2122">
            <v>0.2</v>
          </cell>
          <cell r="I2122">
            <v>7.7090191200000024</v>
          </cell>
          <cell r="J2122">
            <v>0</v>
          </cell>
        </row>
        <row r="2123">
          <cell r="E2123">
            <v>10100049</v>
          </cell>
          <cell r="F2123" t="str">
            <v>0002</v>
          </cell>
          <cell r="G2123">
            <v>3</v>
          </cell>
          <cell r="H2123">
            <v>470</v>
          </cell>
          <cell r="I2123">
            <v>22776.245928191998</v>
          </cell>
          <cell r="J2123">
            <v>1062</v>
          </cell>
        </row>
        <row r="2124">
          <cell r="E2124">
            <v>10100051</v>
          </cell>
          <cell r="F2124" t="str">
            <v>0002</v>
          </cell>
          <cell r="G2124">
            <v>12</v>
          </cell>
          <cell r="H2124">
            <v>383.5</v>
          </cell>
          <cell r="I2124">
            <v>16442.432294072001</v>
          </cell>
          <cell r="J2124">
            <v>512.12</v>
          </cell>
        </row>
        <row r="2125">
          <cell r="E2125">
            <v>10100051</v>
          </cell>
          <cell r="F2125" t="str">
            <v>0003</v>
          </cell>
          <cell r="G2125">
            <v>12</v>
          </cell>
          <cell r="H2125">
            <v>1100</v>
          </cell>
          <cell r="I2125">
            <v>40088.401650000007</v>
          </cell>
          <cell r="J2125">
            <v>0</v>
          </cell>
        </row>
        <row r="2126">
          <cell r="E2126">
            <v>10100054</v>
          </cell>
          <cell r="F2126" t="str">
            <v>0001</v>
          </cell>
          <cell r="G2126">
            <v>14</v>
          </cell>
          <cell r="H2126">
            <v>4.09</v>
          </cell>
          <cell r="I2126">
            <v>159.39705632400003</v>
          </cell>
          <cell r="J2126">
            <v>0</v>
          </cell>
        </row>
        <row r="2127">
          <cell r="E2127">
            <v>10100054</v>
          </cell>
          <cell r="F2127" t="str">
            <v>0002</v>
          </cell>
          <cell r="G2127">
            <v>14</v>
          </cell>
          <cell r="H2127">
            <v>441.6400000000001</v>
          </cell>
          <cell r="I2127">
            <v>17647.128255625004</v>
          </cell>
          <cell r="J2127">
            <v>0</v>
          </cell>
        </row>
        <row r="2128">
          <cell r="E2128">
            <v>10100054</v>
          </cell>
          <cell r="F2128" t="str">
            <v>0008</v>
          </cell>
          <cell r="G2128">
            <v>10</v>
          </cell>
          <cell r="H2128">
            <v>68.45</v>
          </cell>
          <cell r="I2128">
            <v>2493.1651342752002</v>
          </cell>
          <cell r="J2128">
            <v>0</v>
          </cell>
        </row>
        <row r="2129">
          <cell r="E2129">
            <v>10100054</v>
          </cell>
          <cell r="F2129" t="str">
            <v>0009</v>
          </cell>
          <cell r="G2129">
            <v>12</v>
          </cell>
          <cell r="H2129">
            <v>27.14</v>
          </cell>
          <cell r="I2129">
            <v>1105.1994588426001</v>
          </cell>
          <cell r="J2129">
            <v>0</v>
          </cell>
        </row>
        <row r="2130">
          <cell r="E2130">
            <v>10100054</v>
          </cell>
          <cell r="F2130" t="str">
            <v>0013</v>
          </cell>
          <cell r="G2130">
            <v>8</v>
          </cell>
          <cell r="H2130">
            <v>24.83</v>
          </cell>
          <cell r="I2130">
            <v>895.21902561959996</v>
          </cell>
          <cell r="J2130">
            <v>0</v>
          </cell>
        </row>
        <row r="2131">
          <cell r="E2131">
            <v>10100054</v>
          </cell>
          <cell r="F2131" t="str">
            <v>0015</v>
          </cell>
          <cell r="G2131">
            <v>14</v>
          </cell>
          <cell r="H2131">
            <v>13.82</v>
          </cell>
          <cell r="I2131">
            <v>543.30858252000007</v>
          </cell>
          <cell r="J2131">
            <v>0</v>
          </cell>
        </row>
        <row r="2132">
          <cell r="E2132">
            <v>10100054</v>
          </cell>
          <cell r="F2132" t="str">
            <v>0024</v>
          </cell>
          <cell r="G2132">
            <v>7</v>
          </cell>
          <cell r="H2132">
            <v>20.380000000000003</v>
          </cell>
          <cell r="I2132">
            <v>804.65214709440011</v>
          </cell>
          <cell r="J2132">
            <v>0</v>
          </cell>
        </row>
        <row r="2133">
          <cell r="E2133">
            <v>10100054</v>
          </cell>
          <cell r="F2133" t="str">
            <v>0031</v>
          </cell>
          <cell r="G2133">
            <v>4</v>
          </cell>
          <cell r="H2133">
            <v>7.47</v>
          </cell>
          <cell r="I2133">
            <v>300.83321505600003</v>
          </cell>
          <cell r="J2133">
            <v>0</v>
          </cell>
        </row>
        <row r="2134">
          <cell r="E2134">
            <v>10100060</v>
          </cell>
          <cell r="F2134" t="str">
            <v>0001</v>
          </cell>
          <cell r="G2134">
            <v>13</v>
          </cell>
          <cell r="H2134">
            <v>1.3</v>
          </cell>
          <cell r="I2134">
            <v>52.019875236000011</v>
          </cell>
          <cell r="J2134">
            <v>0</v>
          </cell>
        </row>
        <row r="2135">
          <cell r="E2135">
            <v>10100060</v>
          </cell>
          <cell r="F2135" t="str">
            <v>0002</v>
          </cell>
          <cell r="G2135">
            <v>13</v>
          </cell>
          <cell r="H2135">
            <v>18</v>
          </cell>
          <cell r="I2135">
            <v>689.86358803275004</v>
          </cell>
          <cell r="J2135">
            <v>0</v>
          </cell>
        </row>
        <row r="2136">
          <cell r="E2136">
            <v>10100060</v>
          </cell>
          <cell r="F2136" t="str">
            <v>0003</v>
          </cell>
          <cell r="G2136">
            <v>13</v>
          </cell>
          <cell r="H2136">
            <v>45.800000000000004</v>
          </cell>
          <cell r="I2136">
            <v>2154.9475031716506</v>
          </cell>
          <cell r="J2136">
            <v>0</v>
          </cell>
        </row>
        <row r="2137">
          <cell r="E2137">
            <v>10100060</v>
          </cell>
          <cell r="F2137" t="str">
            <v>0004</v>
          </cell>
          <cell r="G2137">
            <v>13</v>
          </cell>
          <cell r="H2137">
            <v>38.799999999999997</v>
          </cell>
          <cell r="I2137">
            <v>1438.6294386127502</v>
          </cell>
          <cell r="J2137">
            <v>0</v>
          </cell>
        </row>
        <row r="2138">
          <cell r="E2138">
            <v>10100060</v>
          </cell>
          <cell r="F2138" t="str">
            <v>0006</v>
          </cell>
          <cell r="G2138">
            <v>13</v>
          </cell>
          <cell r="H2138">
            <v>19.2</v>
          </cell>
          <cell r="I2138">
            <v>733.71525391274997</v>
          </cell>
          <cell r="J2138">
            <v>0</v>
          </cell>
        </row>
        <row r="2139">
          <cell r="E2139">
            <v>10100060</v>
          </cell>
          <cell r="F2139" t="str">
            <v>0007</v>
          </cell>
          <cell r="G2139">
            <v>13</v>
          </cell>
          <cell r="H2139">
            <v>74.5</v>
          </cell>
          <cell r="I2139">
            <v>2778.5813156995505</v>
          </cell>
          <cell r="J2139">
            <v>0</v>
          </cell>
        </row>
        <row r="2140">
          <cell r="E2140">
            <v>10110001</v>
          </cell>
          <cell r="F2140" t="str">
            <v>0001</v>
          </cell>
          <cell r="G2140">
            <v>13</v>
          </cell>
          <cell r="H2140">
            <v>39</v>
          </cell>
          <cell r="I2140">
            <v>1580.8757580000001</v>
          </cell>
          <cell r="J2140">
            <v>0</v>
          </cell>
        </row>
        <row r="2141">
          <cell r="E2141">
            <v>10110001</v>
          </cell>
          <cell r="F2141" t="str">
            <v>0002</v>
          </cell>
          <cell r="G2141">
            <v>8</v>
          </cell>
          <cell r="H2141">
            <v>328.5</v>
          </cell>
          <cell r="I2141">
            <v>13243.004577000003</v>
          </cell>
          <cell r="J2141">
            <v>0</v>
          </cell>
        </row>
        <row r="2142">
          <cell r="E2142">
            <v>10110001</v>
          </cell>
          <cell r="F2142" t="str">
            <v>0009</v>
          </cell>
          <cell r="G2142">
            <v>13</v>
          </cell>
          <cell r="H2142">
            <v>76.2</v>
          </cell>
          <cell r="I2142">
            <v>2834.8514964000005</v>
          </cell>
          <cell r="J2142">
            <v>0</v>
          </cell>
        </row>
        <row r="2143">
          <cell r="E2143">
            <v>10110001</v>
          </cell>
          <cell r="F2143" t="str">
            <v>0010</v>
          </cell>
          <cell r="G2143">
            <v>13</v>
          </cell>
          <cell r="H2143">
            <v>845</v>
          </cell>
          <cell r="I2143">
            <v>34200.352890000002</v>
          </cell>
          <cell r="J2143">
            <v>0</v>
          </cell>
        </row>
        <row r="2144">
          <cell r="E2144">
            <v>10110001</v>
          </cell>
          <cell r="F2144" t="str">
            <v>0015</v>
          </cell>
          <cell r="G2144">
            <v>7</v>
          </cell>
          <cell r="H2144">
            <v>26.8</v>
          </cell>
          <cell r="I2144">
            <v>991.1652696000001</v>
          </cell>
          <cell r="J2144">
            <v>0</v>
          </cell>
        </row>
        <row r="2145">
          <cell r="E2145">
            <v>10110001</v>
          </cell>
          <cell r="F2145" t="str">
            <v>0018</v>
          </cell>
          <cell r="G2145">
            <v>14</v>
          </cell>
          <cell r="H2145">
            <v>83.899999999999991</v>
          </cell>
          <cell r="I2145">
            <v>3157.3753793999999</v>
          </cell>
          <cell r="J2145">
            <v>0</v>
          </cell>
        </row>
        <row r="2146">
          <cell r="E2146">
            <v>10110001</v>
          </cell>
          <cell r="F2146" t="str">
            <v>0048</v>
          </cell>
          <cell r="G2146">
            <v>7</v>
          </cell>
          <cell r="H2146">
            <v>21.599999999999998</v>
          </cell>
          <cell r="I2146">
            <v>826.55543519999992</v>
          </cell>
          <cell r="J2146">
            <v>0</v>
          </cell>
        </row>
        <row r="2147">
          <cell r="E2147">
            <v>10110001</v>
          </cell>
          <cell r="F2147" t="str">
            <v>0068</v>
          </cell>
          <cell r="G2147">
            <v>13</v>
          </cell>
          <cell r="H2147">
            <v>31.799999999999997</v>
          </cell>
          <cell r="I2147">
            <v>1190.9660796000001</v>
          </cell>
          <cell r="J2147">
            <v>0</v>
          </cell>
        </row>
        <row r="2148">
          <cell r="E2148">
            <v>10110001</v>
          </cell>
          <cell r="F2148" t="str">
            <v>0077</v>
          </cell>
          <cell r="G2148">
            <v>14</v>
          </cell>
          <cell r="H2148">
            <v>195</v>
          </cell>
          <cell r="I2148">
            <v>7617.1203900000019</v>
          </cell>
          <cell r="J2148">
            <v>0</v>
          </cell>
        </row>
        <row r="2149">
          <cell r="E2149">
            <v>10110001</v>
          </cell>
          <cell r="F2149" t="str">
            <v>0084</v>
          </cell>
          <cell r="G2149">
            <v>14</v>
          </cell>
          <cell r="H2149">
            <v>133.9</v>
          </cell>
          <cell r="I2149">
            <v>5019.7934358000002</v>
          </cell>
          <cell r="J2149">
            <v>0</v>
          </cell>
        </row>
        <row r="2150">
          <cell r="E2150">
            <v>10110002</v>
          </cell>
          <cell r="F2150" t="str">
            <v>0002</v>
          </cell>
          <cell r="G2150">
            <v>14</v>
          </cell>
          <cell r="H2150">
            <v>286.2</v>
          </cell>
          <cell r="I2150">
            <v>10957.514361552003</v>
          </cell>
          <cell r="J2150">
            <v>0</v>
          </cell>
        </row>
        <row r="2151">
          <cell r="E2151">
            <v>10110002</v>
          </cell>
          <cell r="F2151" t="str">
            <v>0011</v>
          </cell>
          <cell r="G2151">
            <v>14</v>
          </cell>
          <cell r="H2151">
            <v>78.3</v>
          </cell>
          <cell r="I2151">
            <v>2995.5545244900009</v>
          </cell>
          <cell r="J2151">
            <v>0</v>
          </cell>
        </row>
        <row r="2152">
          <cell r="E2152">
            <v>10110004</v>
          </cell>
          <cell r="F2152" t="str">
            <v>0001</v>
          </cell>
          <cell r="G2152">
            <v>14</v>
          </cell>
          <cell r="H2152">
            <v>1.4000000000000001</v>
          </cell>
          <cell r="I2152">
            <v>53.870723280000014</v>
          </cell>
          <cell r="J2152">
            <v>0</v>
          </cell>
        </row>
        <row r="2153">
          <cell r="E2153">
            <v>10110004</v>
          </cell>
          <cell r="F2153" t="str">
            <v>0002</v>
          </cell>
          <cell r="G2153">
            <v>14</v>
          </cell>
          <cell r="H2153">
            <v>545.9</v>
          </cell>
          <cell r="I2153">
            <v>20991.009073320005</v>
          </cell>
          <cell r="J2153">
            <v>0</v>
          </cell>
        </row>
        <row r="2154">
          <cell r="E2154">
            <v>10110004</v>
          </cell>
          <cell r="F2154" t="str">
            <v>0004</v>
          </cell>
          <cell r="G2154">
            <v>14</v>
          </cell>
          <cell r="H2154">
            <v>535</v>
          </cell>
          <cell r="I2154">
            <v>20568.953592000002</v>
          </cell>
          <cell r="J2154">
            <v>0</v>
          </cell>
        </row>
        <row r="2155">
          <cell r="E2155">
            <v>10110005</v>
          </cell>
          <cell r="F2155" t="str">
            <v>0001</v>
          </cell>
          <cell r="G2155">
            <v>14</v>
          </cell>
          <cell r="H2155">
            <v>26.84</v>
          </cell>
          <cell r="I2155">
            <v>1819.9391088802802</v>
          </cell>
          <cell r="J2155">
            <v>0</v>
          </cell>
        </row>
        <row r="2156">
          <cell r="E2156">
            <v>10110005</v>
          </cell>
          <cell r="F2156" t="str">
            <v>0002</v>
          </cell>
          <cell r="G2156">
            <v>14</v>
          </cell>
          <cell r="H2156">
            <v>332.68</v>
          </cell>
          <cell r="I2156">
            <v>13387.956297803998</v>
          </cell>
          <cell r="J2156">
            <v>0</v>
          </cell>
        </row>
        <row r="2157">
          <cell r="E2157">
            <v>10110005</v>
          </cell>
          <cell r="F2157" t="str">
            <v>0004</v>
          </cell>
          <cell r="G2157">
            <v>14</v>
          </cell>
          <cell r="H2157">
            <v>50.33</v>
          </cell>
          <cell r="I2157">
            <v>2545.0647375822705</v>
          </cell>
          <cell r="J2157">
            <v>0</v>
          </cell>
        </row>
        <row r="2158">
          <cell r="E2158">
            <v>10110005</v>
          </cell>
          <cell r="F2158" t="str">
            <v>0005</v>
          </cell>
          <cell r="G2158">
            <v>14</v>
          </cell>
          <cell r="H2158">
            <v>301.5</v>
          </cell>
          <cell r="I2158">
            <v>12110.810785128</v>
          </cell>
          <cell r="J2158">
            <v>0</v>
          </cell>
        </row>
        <row r="2159">
          <cell r="E2159">
            <v>10110005</v>
          </cell>
          <cell r="F2159" t="str">
            <v>0006</v>
          </cell>
          <cell r="G2159">
            <v>13</v>
          </cell>
          <cell r="H2159">
            <v>34.770000000000003</v>
          </cell>
          <cell r="I2159">
            <v>1409.9720694048001</v>
          </cell>
          <cell r="J2159">
            <v>0</v>
          </cell>
        </row>
        <row r="2160">
          <cell r="E2160">
            <v>10110005</v>
          </cell>
          <cell r="F2160" t="str">
            <v>0007</v>
          </cell>
          <cell r="G2160">
            <v>14</v>
          </cell>
          <cell r="H2160">
            <v>97.789999999999992</v>
          </cell>
          <cell r="I2160">
            <v>4006.6039830959999</v>
          </cell>
          <cell r="J2160">
            <v>0</v>
          </cell>
        </row>
        <row r="2161">
          <cell r="E2161">
            <v>10110005</v>
          </cell>
          <cell r="F2161" t="str">
            <v>0008</v>
          </cell>
          <cell r="G2161">
            <v>14</v>
          </cell>
          <cell r="H2161">
            <v>326.43000000000006</v>
          </cell>
          <cell r="I2161">
            <v>12931.646308020001</v>
          </cell>
          <cell r="J2161">
            <v>0</v>
          </cell>
        </row>
        <row r="2162">
          <cell r="E2162">
            <v>10110005</v>
          </cell>
          <cell r="F2162" t="str">
            <v>0009</v>
          </cell>
          <cell r="G2162">
            <v>14</v>
          </cell>
          <cell r="H2162">
            <v>128.83000000000001</v>
          </cell>
          <cell r="I2162">
            <v>5752.9732589999994</v>
          </cell>
          <cell r="J2162">
            <v>0</v>
          </cell>
        </row>
        <row r="2163">
          <cell r="E2163">
            <v>10110005</v>
          </cell>
          <cell r="F2163" t="str">
            <v>0012</v>
          </cell>
          <cell r="G2163">
            <v>13</v>
          </cell>
          <cell r="H2163">
            <v>41.669999999999995</v>
          </cell>
          <cell r="I2163">
            <v>1682.9223158880002</v>
          </cell>
          <cell r="J2163">
            <v>0</v>
          </cell>
        </row>
        <row r="2164">
          <cell r="E2164">
            <v>10110005</v>
          </cell>
          <cell r="F2164" t="str">
            <v>0014</v>
          </cell>
          <cell r="G2164">
            <v>14</v>
          </cell>
          <cell r="H2164">
            <v>145.02999999999997</v>
          </cell>
          <cell r="I2164">
            <v>5425.6887970560001</v>
          </cell>
          <cell r="J2164">
            <v>0</v>
          </cell>
        </row>
        <row r="2165">
          <cell r="E2165">
            <v>10110005</v>
          </cell>
          <cell r="F2165" t="str">
            <v>0015</v>
          </cell>
          <cell r="G2165">
            <v>14</v>
          </cell>
          <cell r="H2165">
            <v>244.17999999999998</v>
          </cell>
          <cell r="I2165">
            <v>11466.590529889441</v>
          </cell>
          <cell r="J2165">
            <v>0</v>
          </cell>
        </row>
        <row r="2166">
          <cell r="E2166">
            <v>10110005</v>
          </cell>
          <cell r="F2166" t="str">
            <v>0016</v>
          </cell>
          <cell r="G2166">
            <v>14</v>
          </cell>
          <cell r="H2166">
            <v>78.09</v>
          </cell>
          <cell r="I2166">
            <v>3024.6009769799998</v>
          </cell>
          <cell r="J2166">
            <v>0</v>
          </cell>
        </row>
        <row r="2167">
          <cell r="E2167">
            <v>10110005</v>
          </cell>
          <cell r="F2167" t="str">
            <v>0017</v>
          </cell>
          <cell r="G2167">
            <v>14</v>
          </cell>
          <cell r="H2167">
            <v>114.82000000000001</v>
          </cell>
          <cell r="I2167">
            <v>4438.5561237599995</v>
          </cell>
          <cell r="J2167">
            <v>0</v>
          </cell>
        </row>
        <row r="2168">
          <cell r="E2168">
            <v>10110005</v>
          </cell>
          <cell r="F2168" t="str">
            <v>0021</v>
          </cell>
          <cell r="G2168">
            <v>14</v>
          </cell>
          <cell r="H2168">
            <v>194.94</v>
          </cell>
          <cell r="I2168">
            <v>9897.784665970441</v>
          </cell>
          <cell r="J2168">
            <v>0</v>
          </cell>
        </row>
        <row r="2169">
          <cell r="E2169">
            <v>10110005</v>
          </cell>
          <cell r="F2169" t="str">
            <v>0023</v>
          </cell>
          <cell r="G2169">
            <v>12</v>
          </cell>
          <cell r="H2169">
            <v>57.61</v>
          </cell>
          <cell r="I2169">
            <v>2928.1065845329103</v>
          </cell>
          <cell r="J2169">
            <v>0</v>
          </cell>
        </row>
        <row r="2170">
          <cell r="E2170">
            <v>10110005</v>
          </cell>
          <cell r="F2170" t="str">
            <v>0024</v>
          </cell>
          <cell r="G2170">
            <v>14</v>
          </cell>
          <cell r="H2170">
            <v>163.38000000000002</v>
          </cell>
          <cell r="I2170">
            <v>10631.599236183221</v>
          </cell>
          <cell r="J2170">
            <v>0</v>
          </cell>
        </row>
        <row r="2171">
          <cell r="E2171">
            <v>10110005</v>
          </cell>
          <cell r="F2171" t="str">
            <v>0025</v>
          </cell>
          <cell r="G2171">
            <v>13</v>
          </cell>
          <cell r="H2171">
            <v>85.17</v>
          </cell>
          <cell r="I2171">
            <v>3203.4385607400009</v>
          </cell>
          <cell r="J2171">
            <v>0</v>
          </cell>
        </row>
        <row r="2172">
          <cell r="E2172">
            <v>10110005</v>
          </cell>
          <cell r="F2172" t="str">
            <v>0026</v>
          </cell>
          <cell r="G2172">
            <v>14</v>
          </cell>
          <cell r="H2172">
            <v>288.35000000000002</v>
          </cell>
          <cell r="I2172">
            <v>10861.492997916001</v>
          </cell>
          <cell r="J2172">
            <v>0</v>
          </cell>
        </row>
        <row r="2173">
          <cell r="E2173">
            <v>10110005</v>
          </cell>
          <cell r="F2173" t="str">
            <v>0029</v>
          </cell>
          <cell r="G2173">
            <v>14</v>
          </cell>
          <cell r="H2173">
            <v>297.79000000000002</v>
          </cell>
          <cell r="I2173">
            <v>11333.445863651999</v>
          </cell>
          <cell r="J2173">
            <v>0</v>
          </cell>
        </row>
        <row r="2174">
          <cell r="E2174">
            <v>10110005</v>
          </cell>
          <cell r="F2174" t="str">
            <v>0030</v>
          </cell>
          <cell r="G2174">
            <v>13</v>
          </cell>
          <cell r="H2174">
            <v>113.41</v>
          </cell>
          <cell r="I2174">
            <v>4200.1285997880004</v>
          </cell>
          <cell r="J2174">
            <v>0</v>
          </cell>
        </row>
        <row r="2175">
          <cell r="E2175">
            <v>10110005</v>
          </cell>
          <cell r="F2175" t="str">
            <v>0032</v>
          </cell>
          <cell r="G2175">
            <v>14</v>
          </cell>
          <cell r="H2175">
            <v>140.52000000000001</v>
          </cell>
          <cell r="I2175">
            <v>5590.6610312519997</v>
          </cell>
          <cell r="J2175">
            <v>0</v>
          </cell>
        </row>
        <row r="2176">
          <cell r="E2176">
            <v>10110005</v>
          </cell>
          <cell r="F2176" t="str">
            <v>0036</v>
          </cell>
          <cell r="G2176">
            <v>14</v>
          </cell>
          <cell r="H2176">
            <v>264.20999999999998</v>
          </cell>
          <cell r="I2176">
            <v>9935.9582188680015</v>
          </cell>
          <cell r="J2176">
            <v>0</v>
          </cell>
        </row>
        <row r="2177">
          <cell r="E2177">
            <v>10110005</v>
          </cell>
          <cell r="F2177" t="str">
            <v>0039</v>
          </cell>
          <cell r="G2177">
            <v>14</v>
          </cell>
          <cell r="H2177">
            <v>74.89</v>
          </cell>
          <cell r="I2177">
            <v>2878.7710723200007</v>
          </cell>
          <cell r="J2177">
            <v>0</v>
          </cell>
        </row>
        <row r="2178">
          <cell r="E2178">
            <v>10110005</v>
          </cell>
          <cell r="F2178" t="str">
            <v>0040</v>
          </cell>
          <cell r="G2178">
            <v>7</v>
          </cell>
          <cell r="H2178">
            <v>59.949999999999996</v>
          </cell>
          <cell r="I2178">
            <v>2273.0333820480005</v>
          </cell>
          <cell r="J2178">
            <v>0</v>
          </cell>
        </row>
        <row r="2179">
          <cell r="E2179">
            <v>10110005</v>
          </cell>
          <cell r="F2179" t="str">
            <v>0041</v>
          </cell>
          <cell r="G2179">
            <v>11</v>
          </cell>
          <cell r="H2179">
            <v>44.939999999999991</v>
          </cell>
          <cell r="I2179">
            <v>1658.4989446080003</v>
          </cell>
          <cell r="J2179">
            <v>0</v>
          </cell>
        </row>
        <row r="2180">
          <cell r="E2180">
            <v>10110005</v>
          </cell>
          <cell r="F2180" t="str">
            <v>0043</v>
          </cell>
          <cell r="G2180">
            <v>13</v>
          </cell>
          <cell r="H2180">
            <v>36.839999999999996</v>
          </cell>
          <cell r="I2180">
            <v>1677.4395219030903</v>
          </cell>
          <cell r="J2180">
            <v>0</v>
          </cell>
        </row>
        <row r="2181">
          <cell r="E2181">
            <v>10110005</v>
          </cell>
          <cell r="F2181" t="str">
            <v>0044</v>
          </cell>
          <cell r="G2181">
            <v>14</v>
          </cell>
          <cell r="H2181">
            <v>95.16</v>
          </cell>
          <cell r="I2181">
            <v>3532.7594118960001</v>
          </cell>
          <cell r="J2181">
            <v>0</v>
          </cell>
        </row>
        <row r="2182">
          <cell r="E2182">
            <v>10110005</v>
          </cell>
          <cell r="F2182" t="str">
            <v>0045</v>
          </cell>
          <cell r="G2182">
            <v>14</v>
          </cell>
          <cell r="H2182">
            <v>134.06000000000003</v>
          </cell>
          <cell r="I2182">
            <v>5033.0708445600003</v>
          </cell>
          <cell r="J2182">
            <v>0</v>
          </cell>
        </row>
        <row r="2183">
          <cell r="E2183">
            <v>10110005</v>
          </cell>
          <cell r="F2183" t="str">
            <v>0046</v>
          </cell>
          <cell r="G2183">
            <v>14</v>
          </cell>
          <cell r="H2183">
            <v>101.38</v>
          </cell>
          <cell r="I2183">
            <v>4293.2754081359999</v>
          </cell>
          <cell r="J2183">
            <v>0</v>
          </cell>
        </row>
        <row r="2184">
          <cell r="E2184">
            <v>10110005</v>
          </cell>
          <cell r="F2184" t="str">
            <v>0049</v>
          </cell>
          <cell r="G2184">
            <v>14</v>
          </cell>
          <cell r="H2184">
            <v>53.08</v>
          </cell>
          <cell r="I2184">
            <v>2119.6905828912004</v>
          </cell>
          <cell r="J2184">
            <v>0</v>
          </cell>
        </row>
        <row r="2185">
          <cell r="E2185">
            <v>10110005</v>
          </cell>
          <cell r="F2185" t="str">
            <v>0055</v>
          </cell>
          <cell r="G2185">
            <v>14</v>
          </cell>
          <cell r="H2185">
            <v>55.49</v>
          </cell>
          <cell r="I2185">
            <v>2068.8963724440005</v>
          </cell>
          <cell r="J2185">
            <v>0</v>
          </cell>
        </row>
        <row r="2186">
          <cell r="E2186">
            <v>10110005</v>
          </cell>
          <cell r="F2186" t="str">
            <v>0059</v>
          </cell>
          <cell r="G2186">
            <v>14</v>
          </cell>
          <cell r="H2186">
            <v>44.209999999999994</v>
          </cell>
          <cell r="I2186">
            <v>1688.9816136600002</v>
          </cell>
          <cell r="J2186">
            <v>0</v>
          </cell>
        </row>
        <row r="2187">
          <cell r="E2187">
            <v>10110005</v>
          </cell>
          <cell r="F2187" t="str">
            <v>0060</v>
          </cell>
          <cell r="G2187">
            <v>6</v>
          </cell>
          <cell r="H2187">
            <v>25.61</v>
          </cell>
          <cell r="I2187">
            <v>1936.8595814319501</v>
          </cell>
          <cell r="J2187">
            <v>0</v>
          </cell>
        </row>
        <row r="2188">
          <cell r="E2188">
            <v>10110005</v>
          </cell>
          <cell r="F2188" t="str">
            <v>0061</v>
          </cell>
          <cell r="G2188">
            <v>14</v>
          </cell>
          <cell r="H2188">
            <v>58.599999999999994</v>
          </cell>
          <cell r="I2188">
            <v>2238.5599279560001</v>
          </cell>
          <cell r="J2188">
            <v>0</v>
          </cell>
        </row>
        <row r="2189">
          <cell r="E2189">
            <v>10110005</v>
          </cell>
          <cell r="F2189" t="str">
            <v>0063</v>
          </cell>
          <cell r="G2189">
            <v>9</v>
          </cell>
          <cell r="H2189">
            <v>34.61</v>
          </cell>
          <cell r="I2189">
            <v>1391.9339733819122</v>
          </cell>
          <cell r="J2189">
            <v>0</v>
          </cell>
        </row>
        <row r="2190">
          <cell r="E2190">
            <v>10110007</v>
          </cell>
          <cell r="F2190" t="str">
            <v>0001</v>
          </cell>
          <cell r="G2190">
            <v>6</v>
          </cell>
          <cell r="H2190">
            <v>1.2</v>
          </cell>
          <cell r="I2190">
            <v>46.095690960000013</v>
          </cell>
          <cell r="J2190">
            <v>0</v>
          </cell>
        </row>
        <row r="2191">
          <cell r="E2191">
            <v>10110007</v>
          </cell>
          <cell r="F2191" t="str">
            <v>0002</v>
          </cell>
          <cell r="G2191">
            <v>6</v>
          </cell>
          <cell r="H2191">
            <v>423.4</v>
          </cell>
          <cell r="I2191">
            <v>16152.067796040003</v>
          </cell>
          <cell r="J2191">
            <v>0</v>
          </cell>
        </row>
        <row r="2192">
          <cell r="E2192">
            <v>10110007</v>
          </cell>
          <cell r="F2192" t="str">
            <v>0010</v>
          </cell>
          <cell r="G2192">
            <v>6</v>
          </cell>
          <cell r="H2192">
            <v>360</v>
          </cell>
          <cell r="I2192">
            <v>13771.946628000002</v>
          </cell>
          <cell r="J2192">
            <v>0</v>
          </cell>
        </row>
        <row r="2193">
          <cell r="E2193">
            <v>10110007</v>
          </cell>
          <cell r="F2193" t="str">
            <v>0011</v>
          </cell>
          <cell r="G2193">
            <v>6</v>
          </cell>
          <cell r="H2193">
            <v>310</v>
          </cell>
          <cell r="I2193">
            <v>11838.092508000002</v>
          </cell>
          <cell r="J2193">
            <v>0</v>
          </cell>
        </row>
        <row r="2194">
          <cell r="E2194">
            <v>10110007</v>
          </cell>
          <cell r="F2194" t="str">
            <v>0027</v>
          </cell>
          <cell r="G2194">
            <v>6</v>
          </cell>
          <cell r="H2194">
            <v>213.79999999999998</v>
          </cell>
          <cell r="I2194">
            <v>8178.4080061200002</v>
          </cell>
          <cell r="J2194">
            <v>0</v>
          </cell>
        </row>
        <row r="2195">
          <cell r="E2195">
            <v>10110008</v>
          </cell>
          <cell r="F2195" t="str">
            <v>0001</v>
          </cell>
          <cell r="G2195">
            <v>1</v>
          </cell>
          <cell r="H2195">
            <v>1.46</v>
          </cell>
          <cell r="I2195">
            <v>63.406518120000008</v>
          </cell>
          <cell r="J2195">
            <v>0</v>
          </cell>
        </row>
        <row r="2196">
          <cell r="E2196">
            <v>10110008</v>
          </cell>
          <cell r="F2196" t="str">
            <v>0002</v>
          </cell>
          <cell r="G2196">
            <v>6</v>
          </cell>
          <cell r="H2196">
            <v>302.73</v>
          </cell>
          <cell r="I2196">
            <v>11826.450673884003</v>
          </cell>
          <cell r="J2196">
            <v>0</v>
          </cell>
        </row>
        <row r="2197">
          <cell r="E2197">
            <v>10110008</v>
          </cell>
          <cell r="F2197" t="str">
            <v>0007</v>
          </cell>
          <cell r="G2197">
            <v>9</v>
          </cell>
          <cell r="H2197">
            <v>32.839999999999996</v>
          </cell>
          <cell r="I2197">
            <v>2189.3247967496</v>
          </cell>
          <cell r="J2197">
            <v>0</v>
          </cell>
        </row>
        <row r="2198">
          <cell r="E2198">
            <v>10110008</v>
          </cell>
          <cell r="F2198" t="str">
            <v>0029</v>
          </cell>
          <cell r="G2198">
            <v>11</v>
          </cell>
          <cell r="H2198">
            <v>211.16999999999996</v>
          </cell>
          <cell r="I2198">
            <v>15173.848922049698</v>
          </cell>
          <cell r="J2198">
            <v>0</v>
          </cell>
        </row>
        <row r="2199">
          <cell r="E2199">
            <v>10110008</v>
          </cell>
          <cell r="F2199" t="str">
            <v>0040</v>
          </cell>
          <cell r="G2199">
            <v>12</v>
          </cell>
          <cell r="H2199">
            <v>57.809999999999988</v>
          </cell>
          <cell r="I2199">
            <v>2232.7405828200003</v>
          </cell>
          <cell r="J2199">
            <v>0</v>
          </cell>
        </row>
        <row r="2200">
          <cell r="E2200">
            <v>10110008</v>
          </cell>
          <cell r="F2200" t="str">
            <v>0079</v>
          </cell>
          <cell r="G2200">
            <v>11</v>
          </cell>
          <cell r="H2200">
            <v>70.14</v>
          </cell>
          <cell r="I2200">
            <v>4150.7184397770843</v>
          </cell>
          <cell r="J2200">
            <v>0</v>
          </cell>
        </row>
        <row r="2201">
          <cell r="E2201">
            <v>10110008</v>
          </cell>
          <cell r="F2201" t="str">
            <v>0086</v>
          </cell>
          <cell r="G2201">
            <v>14</v>
          </cell>
          <cell r="H2201">
            <v>54.480000000000004</v>
          </cell>
          <cell r="I2201">
            <v>3409.0300996010992</v>
          </cell>
          <cell r="J2201">
            <v>0</v>
          </cell>
        </row>
        <row r="2202">
          <cell r="E2202">
            <v>10110008</v>
          </cell>
          <cell r="F2202" t="str">
            <v>0130</v>
          </cell>
          <cell r="G2202">
            <v>12</v>
          </cell>
          <cell r="H2202">
            <v>98.1</v>
          </cell>
          <cell r="I2202">
            <v>4105.9370681999999</v>
          </cell>
          <cell r="J2202">
            <v>0</v>
          </cell>
        </row>
        <row r="2203">
          <cell r="E2203">
            <v>10110008</v>
          </cell>
          <cell r="F2203" t="str">
            <v>0139</v>
          </cell>
          <cell r="G2203">
            <v>7</v>
          </cell>
          <cell r="H2203">
            <v>19.02</v>
          </cell>
          <cell r="I2203">
            <v>1438.0514465195997</v>
          </cell>
          <cell r="J2203">
            <v>0</v>
          </cell>
        </row>
        <row r="2204">
          <cell r="E2204">
            <v>10110008</v>
          </cell>
          <cell r="F2204" t="str">
            <v>0140</v>
          </cell>
          <cell r="G2204">
            <v>5</v>
          </cell>
          <cell r="H2204">
            <v>299.92</v>
          </cell>
          <cell r="I2204">
            <v>11708.665238952002</v>
          </cell>
          <cell r="J2204">
            <v>0</v>
          </cell>
        </row>
        <row r="2205">
          <cell r="E2205">
            <v>10110008</v>
          </cell>
          <cell r="F2205" t="str">
            <v>0141</v>
          </cell>
          <cell r="G2205">
            <v>5</v>
          </cell>
          <cell r="H2205">
            <v>299.90000000000003</v>
          </cell>
          <cell r="I2205">
            <v>11707.928657568003</v>
          </cell>
          <cell r="J2205">
            <v>0</v>
          </cell>
        </row>
        <row r="2206">
          <cell r="E2206">
            <v>10110008</v>
          </cell>
          <cell r="F2206" t="str">
            <v>0142</v>
          </cell>
          <cell r="G2206">
            <v>5</v>
          </cell>
          <cell r="H2206">
            <v>299.92</v>
          </cell>
          <cell r="I2206">
            <v>11708.665238952002</v>
          </cell>
          <cell r="J2206">
            <v>0</v>
          </cell>
        </row>
        <row r="2207">
          <cell r="E2207">
            <v>10110008</v>
          </cell>
          <cell r="F2207" t="str">
            <v>0143</v>
          </cell>
          <cell r="G2207">
            <v>5</v>
          </cell>
          <cell r="H2207">
            <v>299.94</v>
          </cell>
          <cell r="I2207">
            <v>11709.533821392002</v>
          </cell>
          <cell r="J2207">
            <v>0</v>
          </cell>
        </row>
        <row r="2208">
          <cell r="E2208">
            <v>10110008</v>
          </cell>
          <cell r="F2208" t="str">
            <v>0144</v>
          </cell>
          <cell r="G2208">
            <v>5</v>
          </cell>
          <cell r="H2208">
            <v>299.92</v>
          </cell>
          <cell r="I2208">
            <v>11708.665238952002</v>
          </cell>
          <cell r="J2208">
            <v>0</v>
          </cell>
        </row>
        <row r="2209">
          <cell r="E2209">
            <v>10110008</v>
          </cell>
          <cell r="F2209" t="str">
            <v>0145</v>
          </cell>
          <cell r="G2209">
            <v>5</v>
          </cell>
          <cell r="H2209">
            <v>299.98</v>
          </cell>
          <cell r="I2209">
            <v>11710.988504424002</v>
          </cell>
          <cell r="J2209">
            <v>0</v>
          </cell>
        </row>
        <row r="2210">
          <cell r="E2210">
            <v>10110008</v>
          </cell>
          <cell r="F2210" t="str">
            <v>0146</v>
          </cell>
          <cell r="G2210">
            <v>5</v>
          </cell>
          <cell r="H2210">
            <v>299.94</v>
          </cell>
          <cell r="I2210">
            <v>11709.533821392002</v>
          </cell>
          <cell r="J2210">
            <v>0</v>
          </cell>
        </row>
        <row r="2211">
          <cell r="E2211">
            <v>10110008</v>
          </cell>
          <cell r="F2211" t="str">
            <v>0147</v>
          </cell>
          <cell r="G2211">
            <v>5</v>
          </cell>
          <cell r="H2211">
            <v>299.98</v>
          </cell>
          <cell r="I2211">
            <v>11710.988504424002</v>
          </cell>
          <cell r="J2211">
            <v>0</v>
          </cell>
        </row>
        <row r="2212">
          <cell r="E2212">
            <v>10110008</v>
          </cell>
          <cell r="F2212" t="str">
            <v>0148</v>
          </cell>
          <cell r="G2212">
            <v>5</v>
          </cell>
          <cell r="H2212">
            <v>299.98</v>
          </cell>
          <cell r="I2212">
            <v>11710.988504424002</v>
          </cell>
          <cell r="J2212">
            <v>0</v>
          </cell>
        </row>
        <row r="2213">
          <cell r="E2213">
            <v>10110008</v>
          </cell>
          <cell r="F2213" t="str">
            <v>0149</v>
          </cell>
          <cell r="G2213">
            <v>5</v>
          </cell>
          <cell r="H2213">
            <v>299.94</v>
          </cell>
          <cell r="I2213">
            <v>11709.496861128002</v>
          </cell>
          <cell r="J2213">
            <v>0</v>
          </cell>
        </row>
        <row r="2214">
          <cell r="E2214">
            <v>10110008</v>
          </cell>
          <cell r="F2214" t="str">
            <v>0150</v>
          </cell>
          <cell r="G2214">
            <v>5</v>
          </cell>
          <cell r="H2214">
            <v>299.98</v>
          </cell>
          <cell r="I2214">
            <v>11710.988504424002</v>
          </cell>
          <cell r="J2214">
            <v>0</v>
          </cell>
        </row>
        <row r="2215">
          <cell r="E2215">
            <v>10110008</v>
          </cell>
          <cell r="F2215" t="str">
            <v>0151</v>
          </cell>
          <cell r="G2215">
            <v>5</v>
          </cell>
          <cell r="H2215">
            <v>299.92</v>
          </cell>
          <cell r="I2215">
            <v>11708.628278688002</v>
          </cell>
          <cell r="J2215">
            <v>0</v>
          </cell>
        </row>
        <row r="2216">
          <cell r="E2216">
            <v>10110008</v>
          </cell>
          <cell r="F2216" t="str">
            <v>0152</v>
          </cell>
          <cell r="G2216">
            <v>5</v>
          </cell>
          <cell r="H2216">
            <v>299.92</v>
          </cell>
          <cell r="I2216">
            <v>11708.628278688002</v>
          </cell>
          <cell r="J2216">
            <v>0</v>
          </cell>
        </row>
        <row r="2217">
          <cell r="E2217">
            <v>10110008</v>
          </cell>
          <cell r="F2217" t="str">
            <v>0153</v>
          </cell>
          <cell r="G2217">
            <v>5</v>
          </cell>
          <cell r="H2217">
            <v>299.94</v>
          </cell>
          <cell r="I2217">
            <v>11709.364860072003</v>
          </cell>
          <cell r="J2217">
            <v>0</v>
          </cell>
        </row>
        <row r="2218">
          <cell r="E2218">
            <v>10110008</v>
          </cell>
          <cell r="F2218" t="str">
            <v>0154</v>
          </cell>
          <cell r="G2218">
            <v>5</v>
          </cell>
          <cell r="H2218">
            <v>299.96000000000004</v>
          </cell>
          <cell r="I2218">
            <v>11710.233442512003</v>
          </cell>
          <cell r="J2218">
            <v>0</v>
          </cell>
        </row>
        <row r="2219">
          <cell r="E2219">
            <v>10110008</v>
          </cell>
          <cell r="F2219" t="str">
            <v>0155</v>
          </cell>
          <cell r="G2219">
            <v>5</v>
          </cell>
          <cell r="H2219">
            <v>299.98</v>
          </cell>
          <cell r="I2219">
            <v>11711.006984160003</v>
          </cell>
          <cell r="J2219">
            <v>0</v>
          </cell>
        </row>
        <row r="2220">
          <cell r="E2220">
            <v>10110008</v>
          </cell>
          <cell r="F2220" t="str">
            <v>0156</v>
          </cell>
          <cell r="G2220">
            <v>5</v>
          </cell>
          <cell r="H2220">
            <v>299.94</v>
          </cell>
          <cell r="I2220">
            <v>11709.401820336003</v>
          </cell>
          <cell r="J2220">
            <v>0</v>
          </cell>
        </row>
        <row r="2221">
          <cell r="E2221">
            <v>10110008</v>
          </cell>
          <cell r="F2221" t="str">
            <v>0157</v>
          </cell>
          <cell r="G2221">
            <v>5</v>
          </cell>
          <cell r="H2221">
            <v>299.99</v>
          </cell>
          <cell r="I2221">
            <v>11711.405635380002</v>
          </cell>
          <cell r="J2221">
            <v>0</v>
          </cell>
        </row>
        <row r="2222">
          <cell r="E2222">
            <v>10110008</v>
          </cell>
          <cell r="F2222" t="str">
            <v>0158</v>
          </cell>
          <cell r="G2222">
            <v>5</v>
          </cell>
          <cell r="H2222">
            <v>299.96000000000004</v>
          </cell>
          <cell r="I2222">
            <v>11710.233442512003</v>
          </cell>
          <cell r="J2222">
            <v>0</v>
          </cell>
        </row>
        <row r="2223">
          <cell r="E2223">
            <v>10110008</v>
          </cell>
          <cell r="F2223" t="str">
            <v>0159</v>
          </cell>
          <cell r="G2223">
            <v>5</v>
          </cell>
          <cell r="H2223">
            <v>299.96000000000004</v>
          </cell>
          <cell r="I2223">
            <v>11710.270402776003</v>
          </cell>
          <cell r="J2223">
            <v>0</v>
          </cell>
        </row>
        <row r="2224">
          <cell r="E2224">
            <v>10110008</v>
          </cell>
          <cell r="F2224" t="str">
            <v>0163</v>
          </cell>
          <cell r="G2224">
            <v>5</v>
          </cell>
          <cell r="H2224">
            <v>299.96000000000004</v>
          </cell>
          <cell r="I2224">
            <v>11710.138401720003</v>
          </cell>
          <cell r="J2224">
            <v>0</v>
          </cell>
        </row>
        <row r="2225">
          <cell r="E2225">
            <v>10110008</v>
          </cell>
          <cell r="F2225" t="str">
            <v>0164</v>
          </cell>
          <cell r="G2225">
            <v>5</v>
          </cell>
          <cell r="H2225">
            <v>299.96000000000004</v>
          </cell>
          <cell r="I2225">
            <v>11710.233442512003</v>
          </cell>
          <cell r="J2225">
            <v>0</v>
          </cell>
        </row>
        <row r="2226">
          <cell r="E2226">
            <v>10110008</v>
          </cell>
          <cell r="F2226" t="str">
            <v>0165</v>
          </cell>
          <cell r="G2226">
            <v>5</v>
          </cell>
          <cell r="H2226">
            <v>299.96000000000004</v>
          </cell>
          <cell r="I2226">
            <v>11710.233442512003</v>
          </cell>
          <cell r="J2226">
            <v>0</v>
          </cell>
        </row>
        <row r="2227">
          <cell r="E2227">
            <v>10110008</v>
          </cell>
          <cell r="F2227" t="str">
            <v>0166</v>
          </cell>
          <cell r="G2227">
            <v>5</v>
          </cell>
          <cell r="H2227">
            <v>299.98</v>
          </cell>
          <cell r="I2227">
            <v>11711.006984160003</v>
          </cell>
          <cell r="J2227">
            <v>0</v>
          </cell>
        </row>
        <row r="2228">
          <cell r="E2228">
            <v>10110008</v>
          </cell>
          <cell r="F2228" t="str">
            <v>0167</v>
          </cell>
          <cell r="G2228">
            <v>5</v>
          </cell>
          <cell r="H2228">
            <v>299.98</v>
          </cell>
          <cell r="I2228">
            <v>11711.006984160003</v>
          </cell>
          <cell r="J2228">
            <v>0</v>
          </cell>
        </row>
        <row r="2229">
          <cell r="E2229">
            <v>10110008</v>
          </cell>
          <cell r="F2229" t="str">
            <v>0168</v>
          </cell>
          <cell r="G2229">
            <v>5</v>
          </cell>
          <cell r="H2229">
            <v>299.98</v>
          </cell>
          <cell r="I2229">
            <v>11711.006984160003</v>
          </cell>
          <cell r="J2229">
            <v>0</v>
          </cell>
        </row>
        <row r="2230">
          <cell r="E2230">
            <v>10110008</v>
          </cell>
          <cell r="F2230" t="str">
            <v>0169</v>
          </cell>
          <cell r="G2230">
            <v>5</v>
          </cell>
          <cell r="H2230">
            <v>299.96000000000004</v>
          </cell>
          <cell r="I2230">
            <v>11710.233442512003</v>
          </cell>
          <cell r="J2230">
            <v>0</v>
          </cell>
        </row>
        <row r="2231">
          <cell r="E2231">
            <v>10110008</v>
          </cell>
          <cell r="F2231" t="str">
            <v>0170</v>
          </cell>
          <cell r="G2231">
            <v>5</v>
          </cell>
          <cell r="H2231">
            <v>299.96000000000004</v>
          </cell>
          <cell r="I2231">
            <v>11710.233442512003</v>
          </cell>
          <cell r="J2231">
            <v>0</v>
          </cell>
        </row>
        <row r="2232">
          <cell r="E2232">
            <v>10110008</v>
          </cell>
          <cell r="F2232" t="str">
            <v>0171</v>
          </cell>
          <cell r="G2232">
            <v>5</v>
          </cell>
          <cell r="H2232">
            <v>299.94</v>
          </cell>
          <cell r="I2232">
            <v>11709.364860072003</v>
          </cell>
          <cell r="J2232">
            <v>0</v>
          </cell>
        </row>
        <row r="2233">
          <cell r="E2233">
            <v>10110013</v>
          </cell>
          <cell r="F2233" t="str">
            <v>0001</v>
          </cell>
          <cell r="G2233">
            <v>13</v>
          </cell>
          <cell r="H2233">
            <v>3.1999999999999997</v>
          </cell>
          <cell r="I2233">
            <v>122.05068876000001</v>
          </cell>
          <cell r="J2233">
            <v>0</v>
          </cell>
        </row>
        <row r="2234">
          <cell r="E2234">
            <v>10110013</v>
          </cell>
          <cell r="F2234" t="str">
            <v>0002</v>
          </cell>
          <cell r="G2234">
            <v>12</v>
          </cell>
          <cell r="H2234">
            <v>233</v>
          </cell>
          <cell r="I2234">
            <v>8910.9125027999999</v>
          </cell>
          <cell r="J2234">
            <v>0</v>
          </cell>
        </row>
        <row r="2235">
          <cell r="E2235">
            <v>10110013</v>
          </cell>
          <cell r="F2235" t="str">
            <v>0006</v>
          </cell>
          <cell r="G2235">
            <v>11</v>
          </cell>
          <cell r="H2235">
            <v>188</v>
          </cell>
          <cell r="I2235">
            <v>7199.2192932000007</v>
          </cell>
          <cell r="J2235">
            <v>0</v>
          </cell>
        </row>
        <row r="2236">
          <cell r="E2236">
            <v>10110013</v>
          </cell>
          <cell r="F2236" t="str">
            <v>0008</v>
          </cell>
          <cell r="G2236">
            <v>12</v>
          </cell>
          <cell r="H2236">
            <v>298.7</v>
          </cell>
          <cell r="I2236">
            <v>11429.991064800002</v>
          </cell>
          <cell r="J2236">
            <v>0</v>
          </cell>
        </row>
        <row r="2237">
          <cell r="E2237">
            <v>10110013</v>
          </cell>
          <cell r="F2237" t="str">
            <v>0010</v>
          </cell>
          <cell r="G2237">
            <v>9</v>
          </cell>
          <cell r="H2237">
            <v>143</v>
          </cell>
          <cell r="I2237">
            <v>5392.8817668000011</v>
          </cell>
          <cell r="J2237">
            <v>0</v>
          </cell>
        </row>
        <row r="2238">
          <cell r="E2238">
            <v>10110013</v>
          </cell>
          <cell r="F2238" t="str">
            <v>0014</v>
          </cell>
          <cell r="G2238">
            <v>7</v>
          </cell>
          <cell r="H2238">
            <v>7</v>
          </cell>
          <cell r="I2238">
            <v>264.66759000000002</v>
          </cell>
          <cell r="J2238">
            <v>0</v>
          </cell>
        </row>
        <row r="2239">
          <cell r="E2239">
            <v>10110013</v>
          </cell>
          <cell r="F2239" t="str">
            <v>0015</v>
          </cell>
          <cell r="G2239">
            <v>12</v>
          </cell>
          <cell r="H2239">
            <v>236.1</v>
          </cell>
          <cell r="I2239">
            <v>8931.9015720000007</v>
          </cell>
          <cell r="J2239">
            <v>0</v>
          </cell>
        </row>
        <row r="2240">
          <cell r="E2240">
            <v>10110014</v>
          </cell>
          <cell r="F2240" t="str">
            <v>0001</v>
          </cell>
          <cell r="G2240">
            <v>14</v>
          </cell>
          <cell r="H2240">
            <v>26.3</v>
          </cell>
          <cell r="I2240">
            <v>1167.7993085805003</v>
          </cell>
          <cell r="J2240">
            <v>0</v>
          </cell>
        </row>
        <row r="2241">
          <cell r="E2241">
            <v>10110014</v>
          </cell>
          <cell r="F2241" t="str">
            <v>0002</v>
          </cell>
          <cell r="G2241">
            <v>11</v>
          </cell>
          <cell r="H2241">
            <v>63.099999999999994</v>
          </cell>
          <cell r="I2241">
            <v>4401.6530265552992</v>
          </cell>
          <cell r="J2241">
            <v>0</v>
          </cell>
        </row>
        <row r="2242">
          <cell r="E2242">
            <v>10110014</v>
          </cell>
          <cell r="F2242" t="str">
            <v>0008</v>
          </cell>
          <cell r="G2242">
            <v>14</v>
          </cell>
          <cell r="H2242">
            <v>82.300000000000011</v>
          </cell>
          <cell r="I2242">
            <v>4060.0039260170006</v>
          </cell>
          <cell r="J2242">
            <v>0</v>
          </cell>
        </row>
        <row r="2243">
          <cell r="E2243">
            <v>10110014</v>
          </cell>
          <cell r="F2243" t="str">
            <v>0009</v>
          </cell>
          <cell r="G2243">
            <v>1</v>
          </cell>
          <cell r="H2243">
            <v>2.1</v>
          </cell>
          <cell r="I2243">
            <v>76.23227304000001</v>
          </cell>
          <cell r="J2243">
            <v>0</v>
          </cell>
        </row>
        <row r="2244">
          <cell r="E2244">
            <v>10110014</v>
          </cell>
          <cell r="F2244" t="str">
            <v>0012</v>
          </cell>
          <cell r="G2244">
            <v>14</v>
          </cell>
          <cell r="H2244">
            <v>64.2</v>
          </cell>
          <cell r="I2244">
            <v>3340.3348026247004</v>
          </cell>
          <cell r="J2244">
            <v>0</v>
          </cell>
        </row>
        <row r="2245">
          <cell r="E2245">
            <v>10110014</v>
          </cell>
          <cell r="F2245" t="str">
            <v>0013</v>
          </cell>
          <cell r="G2245">
            <v>14</v>
          </cell>
          <cell r="H2245">
            <v>44.999999999999993</v>
          </cell>
          <cell r="I2245">
            <v>2029.7384481419997</v>
          </cell>
          <cell r="J2245">
            <v>0</v>
          </cell>
        </row>
        <row r="2246">
          <cell r="E2246">
            <v>10110014</v>
          </cell>
          <cell r="F2246" t="str">
            <v>0020</v>
          </cell>
          <cell r="G2246">
            <v>2</v>
          </cell>
          <cell r="H2246">
            <v>9</v>
          </cell>
          <cell r="I2246">
            <v>337.40209800000002</v>
          </cell>
          <cell r="J2246">
            <v>0</v>
          </cell>
        </row>
        <row r="2247">
          <cell r="E2247">
            <v>10110014</v>
          </cell>
          <cell r="F2247" t="str">
            <v>0023</v>
          </cell>
          <cell r="G2247">
            <v>14</v>
          </cell>
          <cell r="H2247">
            <v>28.7</v>
          </cell>
          <cell r="I2247">
            <v>1593.3445137268002</v>
          </cell>
          <cell r="J2247">
            <v>0</v>
          </cell>
        </row>
        <row r="2248">
          <cell r="E2248">
            <v>10110014</v>
          </cell>
          <cell r="F2248" t="str">
            <v>0024</v>
          </cell>
          <cell r="G2248">
            <v>14</v>
          </cell>
          <cell r="H2248">
            <v>37.5</v>
          </cell>
          <cell r="I2248">
            <v>1404.3501846000001</v>
          </cell>
          <cell r="J2248">
            <v>0</v>
          </cell>
        </row>
        <row r="2249">
          <cell r="E2249">
            <v>10110014</v>
          </cell>
          <cell r="F2249" t="str">
            <v>0025</v>
          </cell>
          <cell r="G2249">
            <v>8</v>
          </cell>
          <cell r="H2249">
            <v>23.599999999999998</v>
          </cell>
          <cell r="I2249">
            <v>1207.1316151923997</v>
          </cell>
          <cell r="J2249">
            <v>0</v>
          </cell>
        </row>
        <row r="2250">
          <cell r="E2250">
            <v>10110014</v>
          </cell>
          <cell r="F2250" t="str">
            <v>0027</v>
          </cell>
          <cell r="G2250">
            <v>13</v>
          </cell>
          <cell r="H2250">
            <v>44.800000000000004</v>
          </cell>
          <cell r="I2250">
            <v>2139.2262099977006</v>
          </cell>
          <cell r="J2250">
            <v>0</v>
          </cell>
        </row>
        <row r="2251">
          <cell r="E2251">
            <v>10110014</v>
          </cell>
          <cell r="F2251" t="str">
            <v>0028</v>
          </cell>
          <cell r="G2251">
            <v>8</v>
          </cell>
          <cell r="H2251">
            <v>38.799999999999997</v>
          </cell>
          <cell r="I2251">
            <v>1378.905701976</v>
          </cell>
          <cell r="J2251">
            <v>0</v>
          </cell>
        </row>
        <row r="2252">
          <cell r="E2252">
            <v>10110014</v>
          </cell>
          <cell r="F2252" t="str">
            <v>0030</v>
          </cell>
          <cell r="G2252">
            <v>14</v>
          </cell>
          <cell r="H2252">
            <v>39.200000000000003</v>
          </cell>
          <cell r="I2252">
            <v>1627.9328894400003</v>
          </cell>
          <cell r="J2252">
            <v>0</v>
          </cell>
        </row>
        <row r="2253">
          <cell r="E2253">
            <v>10110014</v>
          </cell>
          <cell r="F2253" t="str">
            <v>0037</v>
          </cell>
          <cell r="G2253">
            <v>14</v>
          </cell>
          <cell r="H2253">
            <v>52.099999999999994</v>
          </cell>
          <cell r="I2253">
            <v>1984.1084406</v>
          </cell>
          <cell r="J2253">
            <v>0</v>
          </cell>
        </row>
        <row r="2254">
          <cell r="E2254">
            <v>10110014</v>
          </cell>
          <cell r="F2254" t="str">
            <v>0038</v>
          </cell>
          <cell r="G2254">
            <v>7</v>
          </cell>
          <cell r="H2254">
            <v>26.8</v>
          </cell>
          <cell r="I2254">
            <v>1719.7651727729997</v>
          </cell>
          <cell r="J2254">
            <v>0</v>
          </cell>
        </row>
        <row r="2255">
          <cell r="E2255">
            <v>10110014</v>
          </cell>
          <cell r="F2255" t="str">
            <v>0039</v>
          </cell>
          <cell r="G2255">
            <v>12</v>
          </cell>
          <cell r="H2255">
            <v>44.900000000000006</v>
          </cell>
          <cell r="I2255">
            <v>1667.5618336740004</v>
          </cell>
          <cell r="J2255">
            <v>0</v>
          </cell>
        </row>
        <row r="2256">
          <cell r="E2256">
            <v>10110014</v>
          </cell>
          <cell r="F2256" t="str">
            <v>0040</v>
          </cell>
          <cell r="G2256">
            <v>13</v>
          </cell>
          <cell r="H2256">
            <v>16.599999999999998</v>
          </cell>
          <cell r="I2256">
            <v>993.72847039499993</v>
          </cell>
          <cell r="J2256">
            <v>0</v>
          </cell>
        </row>
        <row r="2257">
          <cell r="E2257">
            <v>10110014</v>
          </cell>
          <cell r="F2257" t="str">
            <v>0050</v>
          </cell>
          <cell r="G2257">
            <v>12</v>
          </cell>
          <cell r="H2257">
            <v>20.3</v>
          </cell>
          <cell r="I2257">
            <v>929.36595975659998</v>
          </cell>
          <cell r="J2257">
            <v>0</v>
          </cell>
        </row>
        <row r="2258">
          <cell r="E2258">
            <v>10110014</v>
          </cell>
          <cell r="F2258" t="str">
            <v>0053</v>
          </cell>
          <cell r="G2258">
            <v>1</v>
          </cell>
          <cell r="H2258">
            <v>3.2</v>
          </cell>
          <cell r="I2258">
            <v>110.24982144000001</v>
          </cell>
          <cell r="J2258">
            <v>0</v>
          </cell>
        </row>
        <row r="2259">
          <cell r="E2259">
            <v>10110014</v>
          </cell>
          <cell r="F2259" t="str">
            <v>0054</v>
          </cell>
          <cell r="G2259">
            <v>7</v>
          </cell>
          <cell r="H2259">
            <v>67.2</v>
          </cell>
          <cell r="I2259">
            <v>2356.8238631519998</v>
          </cell>
          <cell r="J2259">
            <v>0</v>
          </cell>
        </row>
        <row r="2260">
          <cell r="E2260">
            <v>10110014</v>
          </cell>
          <cell r="F2260" t="str">
            <v>0055</v>
          </cell>
          <cell r="G2260">
            <v>1</v>
          </cell>
          <cell r="H2260">
            <v>3.9</v>
          </cell>
          <cell r="I2260">
            <v>141.72820576200002</v>
          </cell>
          <cell r="J2260">
            <v>0</v>
          </cell>
        </row>
        <row r="2261">
          <cell r="E2261">
            <v>10110014</v>
          </cell>
          <cell r="F2261" t="str">
            <v>0071</v>
          </cell>
          <cell r="G2261">
            <v>13</v>
          </cell>
          <cell r="H2261">
            <v>31.299999999999997</v>
          </cell>
          <cell r="I2261">
            <v>1780.0369360614004</v>
          </cell>
          <cell r="J2261">
            <v>0</v>
          </cell>
        </row>
        <row r="2262">
          <cell r="E2262">
            <v>10110014</v>
          </cell>
          <cell r="F2262" t="str">
            <v>0072</v>
          </cell>
          <cell r="G2262">
            <v>9</v>
          </cell>
          <cell r="H2262">
            <v>75.5</v>
          </cell>
          <cell r="I2262">
            <v>4223.5141197248995</v>
          </cell>
          <cell r="J2262">
            <v>0</v>
          </cell>
        </row>
        <row r="2263">
          <cell r="E2263">
            <v>10110014</v>
          </cell>
          <cell r="F2263" t="str">
            <v>0075</v>
          </cell>
          <cell r="G2263">
            <v>5</v>
          </cell>
          <cell r="H2263">
            <v>7.7</v>
          </cell>
          <cell r="I2263">
            <v>414.56405364980003</v>
          </cell>
          <cell r="J2263">
            <v>0</v>
          </cell>
        </row>
        <row r="2264">
          <cell r="E2264">
            <v>10110014</v>
          </cell>
          <cell r="F2264" t="str">
            <v>0077</v>
          </cell>
          <cell r="G2264">
            <v>14</v>
          </cell>
          <cell r="H2264">
            <v>40.4</v>
          </cell>
          <cell r="I2264">
            <v>1659.5889274800002</v>
          </cell>
          <cell r="J2264">
            <v>0</v>
          </cell>
        </row>
        <row r="2265">
          <cell r="E2265">
            <v>10110014</v>
          </cell>
          <cell r="F2265" t="str">
            <v>0078</v>
          </cell>
          <cell r="G2265">
            <v>6</v>
          </cell>
          <cell r="H2265">
            <v>12.4</v>
          </cell>
          <cell r="I2265">
            <v>394.25388868800007</v>
          </cell>
          <cell r="J2265">
            <v>0</v>
          </cell>
        </row>
        <row r="2266">
          <cell r="E2266">
            <v>10110014</v>
          </cell>
          <cell r="F2266" t="str">
            <v>0079</v>
          </cell>
          <cell r="G2266">
            <v>6</v>
          </cell>
          <cell r="H2266">
            <v>7.2000000000000011</v>
          </cell>
          <cell r="I2266">
            <v>273.49855632000003</v>
          </cell>
          <cell r="J2266">
            <v>0</v>
          </cell>
        </row>
        <row r="2267">
          <cell r="E2267">
            <v>10110014</v>
          </cell>
          <cell r="F2267" t="str">
            <v>0084</v>
          </cell>
          <cell r="G2267">
            <v>14</v>
          </cell>
          <cell r="H2267">
            <v>71.400000000000006</v>
          </cell>
          <cell r="I2267">
            <v>3338.5648895118006</v>
          </cell>
          <cell r="J2267">
            <v>0</v>
          </cell>
        </row>
        <row r="2268">
          <cell r="E2268">
            <v>10110014</v>
          </cell>
          <cell r="F2268" t="str">
            <v>0085</v>
          </cell>
          <cell r="G2268">
            <v>9</v>
          </cell>
          <cell r="H2268">
            <v>13.3</v>
          </cell>
          <cell r="I2268">
            <v>492.18980976000012</v>
          </cell>
          <cell r="J2268">
            <v>0</v>
          </cell>
        </row>
        <row r="2269">
          <cell r="E2269">
            <v>10110014</v>
          </cell>
          <cell r="F2269" t="str">
            <v>0089</v>
          </cell>
          <cell r="G2269">
            <v>5</v>
          </cell>
          <cell r="H2269">
            <v>12.799999999999999</v>
          </cell>
          <cell r="I2269">
            <v>578.51756487120008</v>
          </cell>
          <cell r="J2269">
            <v>0</v>
          </cell>
        </row>
        <row r="2270">
          <cell r="E2270">
            <v>10110014</v>
          </cell>
          <cell r="F2270" t="str">
            <v>0092</v>
          </cell>
          <cell r="G2270">
            <v>14</v>
          </cell>
          <cell r="H2270">
            <v>52.899999999999991</v>
          </cell>
          <cell r="I2270">
            <v>1829.7080962380003</v>
          </cell>
          <cell r="J2270">
            <v>0</v>
          </cell>
        </row>
        <row r="2271">
          <cell r="E2271">
            <v>10110014</v>
          </cell>
          <cell r="F2271" t="str">
            <v>0100</v>
          </cell>
          <cell r="G2271">
            <v>13</v>
          </cell>
          <cell r="H2271">
            <v>40.9</v>
          </cell>
          <cell r="I2271">
            <v>2486.2168041728</v>
          </cell>
          <cell r="J2271">
            <v>0</v>
          </cell>
        </row>
        <row r="2272">
          <cell r="E2272">
            <v>10110014</v>
          </cell>
          <cell r="F2272" t="str">
            <v>0103</v>
          </cell>
          <cell r="G2272">
            <v>13</v>
          </cell>
          <cell r="H2272">
            <v>62.800000000000011</v>
          </cell>
          <cell r="I2272">
            <v>2355.4237491179997</v>
          </cell>
          <cell r="J2272">
            <v>0</v>
          </cell>
        </row>
        <row r="2273">
          <cell r="E2273">
            <v>10110014</v>
          </cell>
          <cell r="F2273" t="str">
            <v>0120</v>
          </cell>
          <cell r="G2273">
            <v>14</v>
          </cell>
          <cell r="H2273">
            <v>49.1</v>
          </cell>
          <cell r="I2273">
            <v>1716.6760330499999</v>
          </cell>
          <cell r="J2273">
            <v>0</v>
          </cell>
        </row>
        <row r="2274">
          <cell r="E2274">
            <v>10110014</v>
          </cell>
          <cell r="F2274" t="str">
            <v>0122</v>
          </cell>
          <cell r="G2274">
            <v>14</v>
          </cell>
          <cell r="H2274">
            <v>55.2</v>
          </cell>
          <cell r="I2274">
            <v>3459.5733944191002</v>
          </cell>
          <cell r="J2274">
            <v>0</v>
          </cell>
        </row>
        <row r="2275">
          <cell r="E2275">
            <v>10110014</v>
          </cell>
          <cell r="F2275" t="str">
            <v>0126</v>
          </cell>
          <cell r="G2275">
            <v>14</v>
          </cell>
          <cell r="H2275">
            <v>56.899999999999991</v>
          </cell>
          <cell r="I2275">
            <v>1988.2633910040004</v>
          </cell>
          <cell r="J2275">
            <v>0</v>
          </cell>
        </row>
        <row r="2276">
          <cell r="E2276">
            <v>10110014</v>
          </cell>
          <cell r="F2276" t="str">
            <v>0128</v>
          </cell>
          <cell r="G2276">
            <v>2</v>
          </cell>
          <cell r="H2276">
            <v>3.4</v>
          </cell>
          <cell r="I2276">
            <v>143.9366148</v>
          </cell>
          <cell r="J2276">
            <v>0</v>
          </cell>
        </row>
        <row r="2277">
          <cell r="E2277">
            <v>10110014</v>
          </cell>
          <cell r="F2277" t="str">
            <v>0132</v>
          </cell>
          <cell r="G2277">
            <v>13</v>
          </cell>
          <cell r="H2277">
            <v>55.899999999999991</v>
          </cell>
          <cell r="I2277">
            <v>2338.4131372799998</v>
          </cell>
          <cell r="J2277">
            <v>0</v>
          </cell>
        </row>
        <row r="2278">
          <cell r="E2278">
            <v>10110014</v>
          </cell>
          <cell r="F2278" t="str">
            <v>0140</v>
          </cell>
          <cell r="G2278">
            <v>13</v>
          </cell>
          <cell r="H2278">
            <v>127.3</v>
          </cell>
          <cell r="I2278">
            <v>8052.3485105599993</v>
          </cell>
          <cell r="J2278">
            <v>0</v>
          </cell>
        </row>
        <row r="2279">
          <cell r="E2279">
            <v>10110014</v>
          </cell>
          <cell r="F2279" t="str">
            <v>0142</v>
          </cell>
          <cell r="G2279">
            <v>7</v>
          </cell>
          <cell r="H2279">
            <v>17.999999999999996</v>
          </cell>
          <cell r="I2279">
            <v>694.881396</v>
          </cell>
          <cell r="J2279">
            <v>0</v>
          </cell>
        </row>
        <row r="2280">
          <cell r="E2280">
            <v>10110014</v>
          </cell>
          <cell r="F2280" t="str">
            <v>0144</v>
          </cell>
          <cell r="G2280">
            <v>1</v>
          </cell>
          <cell r="H2280">
            <v>1.4</v>
          </cell>
          <cell r="I2280">
            <v>45.831915359999996</v>
          </cell>
          <cell r="J2280">
            <v>0</v>
          </cell>
        </row>
        <row r="2281">
          <cell r="E2281">
            <v>10110014</v>
          </cell>
          <cell r="F2281" t="str">
            <v>0146</v>
          </cell>
          <cell r="G2281">
            <v>7</v>
          </cell>
          <cell r="H2281">
            <v>26.9</v>
          </cell>
          <cell r="I2281">
            <v>1743.7830990330001</v>
          </cell>
          <cell r="J2281">
            <v>0</v>
          </cell>
        </row>
        <row r="2282">
          <cell r="E2282">
            <v>10110014</v>
          </cell>
          <cell r="F2282" t="str">
            <v>0147</v>
          </cell>
          <cell r="G2282">
            <v>13</v>
          </cell>
          <cell r="H2282">
            <v>78</v>
          </cell>
          <cell r="I2282">
            <v>2860.5374305200007</v>
          </cell>
          <cell r="J2282">
            <v>0</v>
          </cell>
        </row>
        <row r="2283">
          <cell r="E2283">
            <v>10110014</v>
          </cell>
          <cell r="F2283" t="str">
            <v>0149</v>
          </cell>
          <cell r="G2283">
            <v>5</v>
          </cell>
          <cell r="H2283">
            <v>27.7</v>
          </cell>
          <cell r="I2283">
            <v>1839.8121505180002</v>
          </cell>
          <cell r="J2283">
            <v>0</v>
          </cell>
        </row>
        <row r="2284">
          <cell r="E2284">
            <v>10110014</v>
          </cell>
          <cell r="F2284" t="str">
            <v>0151</v>
          </cell>
          <cell r="G2284">
            <v>8</v>
          </cell>
          <cell r="H2284">
            <v>12.9</v>
          </cell>
          <cell r="I2284">
            <v>518.60267712000007</v>
          </cell>
          <cell r="J2284">
            <v>0</v>
          </cell>
        </row>
        <row r="2285">
          <cell r="E2285">
            <v>10110014</v>
          </cell>
          <cell r="F2285" t="str">
            <v>0153</v>
          </cell>
          <cell r="G2285">
            <v>5</v>
          </cell>
          <cell r="H2285">
            <v>22.1</v>
          </cell>
          <cell r="I2285">
            <v>898.64119620000008</v>
          </cell>
          <cell r="J2285">
            <v>0</v>
          </cell>
        </row>
        <row r="2286">
          <cell r="E2286">
            <v>10110014</v>
          </cell>
          <cell r="F2286" t="str">
            <v>0160</v>
          </cell>
          <cell r="G2286">
            <v>7</v>
          </cell>
          <cell r="H2286">
            <v>30.700000000000003</v>
          </cell>
          <cell r="I2286">
            <v>1250.4952310399999</v>
          </cell>
          <cell r="J2286">
            <v>0</v>
          </cell>
        </row>
        <row r="2287">
          <cell r="E2287">
            <v>10110015</v>
          </cell>
          <cell r="F2287" t="str">
            <v>0002</v>
          </cell>
          <cell r="G2287">
            <v>14</v>
          </cell>
          <cell r="H2287">
            <v>141.92000000000002</v>
          </cell>
          <cell r="I2287">
            <v>5801.6717308440002</v>
          </cell>
          <cell r="J2287">
            <v>0</v>
          </cell>
        </row>
        <row r="2288">
          <cell r="E2288">
            <v>10110015</v>
          </cell>
          <cell r="F2288" t="str">
            <v>0003</v>
          </cell>
          <cell r="G2288">
            <v>14</v>
          </cell>
          <cell r="H2288">
            <v>143.38</v>
          </cell>
          <cell r="I2288">
            <v>5929.7256037800007</v>
          </cell>
          <cell r="J2288">
            <v>0</v>
          </cell>
        </row>
        <row r="2289">
          <cell r="E2289">
            <v>10110015</v>
          </cell>
          <cell r="F2289" t="str">
            <v>0004</v>
          </cell>
          <cell r="G2289">
            <v>2</v>
          </cell>
          <cell r="H2289">
            <v>3.32</v>
          </cell>
          <cell r="I2289">
            <v>108.073643535</v>
          </cell>
          <cell r="J2289">
            <v>0</v>
          </cell>
        </row>
        <row r="2290">
          <cell r="E2290">
            <v>10110015</v>
          </cell>
          <cell r="F2290" t="str">
            <v>0008</v>
          </cell>
          <cell r="G2290">
            <v>14</v>
          </cell>
          <cell r="H2290">
            <v>146.62</v>
          </cell>
          <cell r="I2290">
            <v>6308.4966274440012</v>
          </cell>
          <cell r="J2290">
            <v>0</v>
          </cell>
        </row>
        <row r="2291">
          <cell r="E2291">
            <v>10110015</v>
          </cell>
          <cell r="F2291" t="str">
            <v>0009</v>
          </cell>
          <cell r="G2291">
            <v>14</v>
          </cell>
          <cell r="H2291">
            <v>146.54999999999998</v>
          </cell>
          <cell r="I2291">
            <v>6770.76656272728</v>
          </cell>
          <cell r="J2291">
            <v>0</v>
          </cell>
        </row>
        <row r="2292">
          <cell r="E2292">
            <v>10110015</v>
          </cell>
          <cell r="F2292" t="str">
            <v>0016</v>
          </cell>
          <cell r="G2292">
            <v>14</v>
          </cell>
          <cell r="H2292">
            <v>33.44</v>
          </cell>
          <cell r="I2292">
            <v>2300.639936481406</v>
          </cell>
          <cell r="J2292">
            <v>0</v>
          </cell>
        </row>
        <row r="2293">
          <cell r="E2293">
            <v>10110015</v>
          </cell>
          <cell r="F2293" t="str">
            <v>0025</v>
          </cell>
          <cell r="G2293">
            <v>14</v>
          </cell>
          <cell r="H2293">
            <v>147.52999999999997</v>
          </cell>
          <cell r="I2293">
            <v>6126.8972913720017</v>
          </cell>
          <cell r="J2293">
            <v>0</v>
          </cell>
        </row>
        <row r="2294">
          <cell r="E2294">
            <v>10110015</v>
          </cell>
          <cell r="F2294" t="str">
            <v>0034</v>
          </cell>
          <cell r="G2294">
            <v>12</v>
          </cell>
          <cell r="H2294">
            <v>63.68</v>
          </cell>
          <cell r="I2294">
            <v>2083.3323496128005</v>
          </cell>
          <cell r="J2294">
            <v>0</v>
          </cell>
        </row>
        <row r="2295">
          <cell r="E2295">
            <v>10110015</v>
          </cell>
          <cell r="F2295" t="str">
            <v>0035</v>
          </cell>
          <cell r="G2295">
            <v>7</v>
          </cell>
          <cell r="H2295">
            <v>24.93</v>
          </cell>
          <cell r="I2295">
            <v>990.36171075600009</v>
          </cell>
          <cell r="J2295">
            <v>0</v>
          </cell>
        </row>
        <row r="2296">
          <cell r="E2296">
            <v>10110015</v>
          </cell>
          <cell r="F2296" t="str">
            <v>0041</v>
          </cell>
          <cell r="G2296">
            <v>14</v>
          </cell>
          <cell r="H2296">
            <v>138.95999999999998</v>
          </cell>
          <cell r="I2296">
            <v>5669.3510628480008</v>
          </cell>
          <cell r="J2296">
            <v>0</v>
          </cell>
        </row>
        <row r="2297">
          <cell r="E2297">
            <v>10110015</v>
          </cell>
          <cell r="F2297" t="str">
            <v>0046</v>
          </cell>
          <cell r="G2297">
            <v>14</v>
          </cell>
          <cell r="H2297">
            <v>146.13000000000002</v>
          </cell>
          <cell r="I2297">
            <v>7490.3887589829101</v>
          </cell>
          <cell r="J2297">
            <v>0</v>
          </cell>
        </row>
        <row r="2298">
          <cell r="E2298">
            <v>10110016</v>
          </cell>
          <cell r="F2298" t="str">
            <v>0001</v>
          </cell>
          <cell r="G2298">
            <v>14</v>
          </cell>
          <cell r="H2298">
            <v>3.5</v>
          </cell>
          <cell r="I2298">
            <v>146.3589369</v>
          </cell>
          <cell r="J2298">
            <v>0</v>
          </cell>
        </row>
        <row r="2299">
          <cell r="E2299">
            <v>10110016</v>
          </cell>
          <cell r="F2299" t="str">
            <v>0002</v>
          </cell>
          <cell r="G2299">
            <v>14</v>
          </cell>
          <cell r="H2299">
            <v>169.70000000000002</v>
          </cell>
          <cell r="I2299">
            <v>7078.9415360399998</v>
          </cell>
          <cell r="J2299">
            <v>0</v>
          </cell>
        </row>
        <row r="2300">
          <cell r="E2300">
            <v>10110016</v>
          </cell>
          <cell r="F2300" t="str">
            <v>0003</v>
          </cell>
          <cell r="G2300">
            <v>14</v>
          </cell>
          <cell r="H2300">
            <v>160</v>
          </cell>
          <cell r="I2300">
            <v>6671.4597972000001</v>
          </cell>
          <cell r="J2300">
            <v>0</v>
          </cell>
        </row>
        <row r="2301">
          <cell r="E2301">
            <v>10110016</v>
          </cell>
          <cell r="F2301" t="str">
            <v>0030</v>
          </cell>
          <cell r="G2301">
            <v>14</v>
          </cell>
          <cell r="H2301">
            <v>164</v>
          </cell>
          <cell r="I2301">
            <v>6842.4043247999998</v>
          </cell>
          <cell r="J2301">
            <v>0</v>
          </cell>
        </row>
        <row r="2302">
          <cell r="E2302">
            <v>10110016</v>
          </cell>
          <cell r="F2302" t="str">
            <v>0031</v>
          </cell>
          <cell r="G2302">
            <v>14</v>
          </cell>
          <cell r="H2302">
            <v>161</v>
          </cell>
          <cell r="I2302">
            <v>6718.0569587999998</v>
          </cell>
          <cell r="J2302">
            <v>0</v>
          </cell>
        </row>
        <row r="2303">
          <cell r="E2303">
            <v>10110016</v>
          </cell>
          <cell r="F2303" t="str">
            <v>0032</v>
          </cell>
          <cell r="G2303">
            <v>14</v>
          </cell>
          <cell r="H2303">
            <v>160</v>
          </cell>
          <cell r="I2303">
            <v>6671.4597972000001</v>
          </cell>
          <cell r="J2303">
            <v>0</v>
          </cell>
        </row>
        <row r="2304">
          <cell r="E2304">
            <v>10110019</v>
          </cell>
          <cell r="F2304" t="str">
            <v>0002</v>
          </cell>
          <cell r="G2304">
            <v>10</v>
          </cell>
          <cell r="H2304">
            <v>70.260000000000005</v>
          </cell>
          <cell r="I2304">
            <v>2653.9124317200003</v>
          </cell>
          <cell r="J2304">
            <v>13</v>
          </cell>
        </row>
        <row r="2305">
          <cell r="E2305">
            <v>10110019</v>
          </cell>
          <cell r="F2305" t="str">
            <v>0003</v>
          </cell>
          <cell r="G2305">
            <v>7</v>
          </cell>
          <cell r="H2305">
            <v>393.5</v>
          </cell>
          <cell r="I2305">
            <v>16372.07354651352</v>
          </cell>
          <cell r="J2305">
            <v>0</v>
          </cell>
        </row>
        <row r="2306">
          <cell r="E2306">
            <v>10110019</v>
          </cell>
          <cell r="F2306" t="str">
            <v>0005</v>
          </cell>
          <cell r="G2306">
            <v>14</v>
          </cell>
          <cell r="H2306">
            <v>29</v>
          </cell>
          <cell r="I2306">
            <v>1088.1982980000002</v>
          </cell>
          <cell r="J2306">
            <v>0</v>
          </cell>
        </row>
        <row r="2307">
          <cell r="E2307">
            <v>10110019</v>
          </cell>
          <cell r="F2307" t="str">
            <v>0007</v>
          </cell>
          <cell r="G2307">
            <v>10</v>
          </cell>
          <cell r="H2307">
            <v>252.72000000000003</v>
          </cell>
          <cell r="I2307">
            <v>10907.455466643842</v>
          </cell>
          <cell r="J2307">
            <v>0</v>
          </cell>
        </row>
        <row r="2308">
          <cell r="E2308">
            <v>10110019</v>
          </cell>
          <cell r="F2308" t="str">
            <v>0012</v>
          </cell>
          <cell r="G2308">
            <v>12</v>
          </cell>
          <cell r="H2308">
            <v>29.06</v>
          </cell>
          <cell r="I2308">
            <v>1216.9460437200003</v>
          </cell>
          <cell r="J2308">
            <v>0</v>
          </cell>
        </row>
        <row r="2309">
          <cell r="E2309">
            <v>10110019</v>
          </cell>
          <cell r="F2309" t="str">
            <v>0018</v>
          </cell>
          <cell r="G2309">
            <v>14</v>
          </cell>
          <cell r="H2309">
            <v>120.4</v>
          </cell>
          <cell r="I2309">
            <v>6537.3506635142003</v>
          </cell>
          <cell r="J2309">
            <v>0</v>
          </cell>
        </row>
        <row r="2310">
          <cell r="E2310">
            <v>10110019</v>
          </cell>
          <cell r="F2310" t="str">
            <v>0021</v>
          </cell>
          <cell r="G2310">
            <v>14</v>
          </cell>
          <cell r="H2310">
            <v>98.2</v>
          </cell>
          <cell r="I2310">
            <v>4736.6730227716007</v>
          </cell>
          <cell r="J2310">
            <v>0</v>
          </cell>
        </row>
        <row r="2311">
          <cell r="E2311">
            <v>10110019</v>
          </cell>
          <cell r="F2311" t="str">
            <v>0024</v>
          </cell>
          <cell r="G2311">
            <v>5</v>
          </cell>
          <cell r="H2311">
            <v>7.2199999999999989</v>
          </cell>
          <cell r="I2311">
            <v>308.57134730399997</v>
          </cell>
          <cell r="J2311">
            <v>0</v>
          </cell>
        </row>
        <row r="2312">
          <cell r="E2312">
            <v>10110019</v>
          </cell>
          <cell r="F2312" t="str">
            <v>0032</v>
          </cell>
          <cell r="G2312">
            <v>7</v>
          </cell>
          <cell r="H2312">
            <v>21.32</v>
          </cell>
          <cell r="I2312">
            <v>889.90395355800001</v>
          </cell>
          <cell r="J2312">
            <v>0</v>
          </cell>
        </row>
        <row r="2313">
          <cell r="E2313">
            <v>10110019</v>
          </cell>
          <cell r="F2313" t="str">
            <v>0035</v>
          </cell>
          <cell r="G2313">
            <v>14</v>
          </cell>
          <cell r="H2313">
            <v>95.04</v>
          </cell>
          <cell r="I2313">
            <v>3797.7070348800007</v>
          </cell>
          <cell r="J2313">
            <v>0</v>
          </cell>
        </row>
        <row r="2314">
          <cell r="E2314">
            <v>10110019</v>
          </cell>
          <cell r="F2314" t="str">
            <v>0037</v>
          </cell>
          <cell r="G2314">
            <v>14</v>
          </cell>
          <cell r="H2314">
            <v>147.47999999999999</v>
          </cell>
          <cell r="I2314">
            <v>5525.6032537200008</v>
          </cell>
          <cell r="J2314">
            <v>0</v>
          </cell>
        </row>
        <row r="2315">
          <cell r="E2315">
            <v>10110019</v>
          </cell>
          <cell r="F2315" t="str">
            <v>0038</v>
          </cell>
          <cell r="G2315">
            <v>8</v>
          </cell>
          <cell r="H2315">
            <v>12.22</v>
          </cell>
          <cell r="I2315">
            <v>465.17379084000009</v>
          </cell>
          <cell r="J2315">
            <v>0</v>
          </cell>
        </row>
        <row r="2316">
          <cell r="E2316">
            <v>10110019</v>
          </cell>
          <cell r="F2316" t="str">
            <v>0039</v>
          </cell>
          <cell r="G2316">
            <v>11</v>
          </cell>
          <cell r="H2316">
            <v>24.060000000000002</v>
          </cell>
          <cell r="I2316">
            <v>904.46455519200015</v>
          </cell>
          <cell r="J2316">
            <v>0</v>
          </cell>
        </row>
        <row r="2317">
          <cell r="E2317">
            <v>10110019</v>
          </cell>
          <cell r="F2317" t="str">
            <v>0046</v>
          </cell>
          <cell r="G2317">
            <v>1</v>
          </cell>
          <cell r="H2317">
            <v>57.4</v>
          </cell>
          <cell r="I2317">
            <v>1636.6342608000002</v>
          </cell>
          <cell r="J2317">
            <v>0</v>
          </cell>
        </row>
        <row r="2318">
          <cell r="E2318">
            <v>10110019</v>
          </cell>
          <cell r="F2318" t="str">
            <v>0048</v>
          </cell>
          <cell r="G2318">
            <v>11</v>
          </cell>
          <cell r="H2318">
            <v>38.18</v>
          </cell>
          <cell r="I2318">
            <v>2149.1862712968</v>
          </cell>
          <cell r="J2318">
            <v>0</v>
          </cell>
        </row>
        <row r="2319">
          <cell r="E2319">
            <v>10110019</v>
          </cell>
          <cell r="F2319" t="str">
            <v>0049</v>
          </cell>
          <cell r="G2319">
            <v>10</v>
          </cell>
          <cell r="H2319">
            <v>30.759999999999998</v>
          </cell>
          <cell r="I2319">
            <v>1139.3581518000001</v>
          </cell>
          <cell r="J2319">
            <v>0</v>
          </cell>
        </row>
        <row r="2320">
          <cell r="E2320">
            <v>10110019</v>
          </cell>
          <cell r="F2320" t="str">
            <v>0054</v>
          </cell>
          <cell r="G2320">
            <v>14</v>
          </cell>
          <cell r="H2320">
            <v>1389.2</v>
          </cell>
          <cell r="I2320">
            <v>56527.279207658605</v>
          </cell>
          <cell r="J2320">
            <v>0</v>
          </cell>
        </row>
        <row r="2321">
          <cell r="E2321">
            <v>10110019</v>
          </cell>
          <cell r="F2321" t="str">
            <v>0077</v>
          </cell>
          <cell r="G2321">
            <v>14</v>
          </cell>
          <cell r="H2321">
            <v>83.06</v>
          </cell>
          <cell r="I2321">
            <v>3113.00413776</v>
          </cell>
          <cell r="J2321">
            <v>0</v>
          </cell>
        </row>
        <row r="2322">
          <cell r="E2322">
            <v>10110019</v>
          </cell>
          <cell r="F2322" t="str">
            <v>0078</v>
          </cell>
          <cell r="G2322">
            <v>14</v>
          </cell>
          <cell r="H2322">
            <v>57.080000000000013</v>
          </cell>
          <cell r="I2322">
            <v>2176.8759817200003</v>
          </cell>
          <cell r="J2322">
            <v>0</v>
          </cell>
        </row>
        <row r="2323">
          <cell r="E2323">
            <v>10110019</v>
          </cell>
          <cell r="F2323" t="str">
            <v>0080</v>
          </cell>
          <cell r="G2323">
            <v>14</v>
          </cell>
          <cell r="H2323">
            <v>69.680000000000007</v>
          </cell>
          <cell r="I2323">
            <v>2601.2516302079998</v>
          </cell>
          <cell r="J2323">
            <v>0</v>
          </cell>
        </row>
        <row r="2324">
          <cell r="E2324">
            <v>10110019</v>
          </cell>
          <cell r="F2324" t="str">
            <v>0082</v>
          </cell>
          <cell r="G2324">
            <v>11</v>
          </cell>
          <cell r="H2324">
            <v>42.96</v>
          </cell>
          <cell r="I2324">
            <v>1761.7133851920003</v>
          </cell>
          <cell r="J2324">
            <v>0</v>
          </cell>
        </row>
        <row r="2325">
          <cell r="E2325">
            <v>10110019</v>
          </cell>
          <cell r="F2325" t="str">
            <v>0084</v>
          </cell>
          <cell r="G2325">
            <v>13</v>
          </cell>
          <cell r="H2325">
            <v>44.019999999999996</v>
          </cell>
          <cell r="I2325">
            <v>1854.5166419252002</v>
          </cell>
          <cell r="J2325">
            <v>0</v>
          </cell>
        </row>
        <row r="2326">
          <cell r="E2326">
            <v>10110019</v>
          </cell>
          <cell r="F2326" t="str">
            <v>0096</v>
          </cell>
          <cell r="G2326">
            <v>13</v>
          </cell>
          <cell r="H2326">
            <v>60.66</v>
          </cell>
          <cell r="I2326">
            <v>2277.0020077200002</v>
          </cell>
          <cell r="J2326">
            <v>0</v>
          </cell>
        </row>
        <row r="2327">
          <cell r="E2327">
            <v>10110021</v>
          </cell>
          <cell r="F2327" t="str">
            <v>0001</v>
          </cell>
          <cell r="G2327">
            <v>14</v>
          </cell>
          <cell r="H2327">
            <v>2.6200000000000006</v>
          </cell>
          <cell r="I2327">
            <v>98.591014962000017</v>
          </cell>
          <cell r="J2327">
            <v>0</v>
          </cell>
        </row>
        <row r="2328">
          <cell r="E2328">
            <v>10110021</v>
          </cell>
          <cell r="F2328" t="str">
            <v>0005</v>
          </cell>
          <cell r="G2328">
            <v>7</v>
          </cell>
          <cell r="H2328">
            <v>20.009999999999998</v>
          </cell>
          <cell r="I2328">
            <v>1367.7655544269001</v>
          </cell>
          <cell r="J2328">
            <v>0</v>
          </cell>
        </row>
        <row r="2329">
          <cell r="E2329">
            <v>10110021</v>
          </cell>
          <cell r="F2329" t="str">
            <v>0007</v>
          </cell>
          <cell r="G2329">
            <v>14</v>
          </cell>
          <cell r="H2329">
            <v>59.460000000000008</v>
          </cell>
          <cell r="I2329">
            <v>2286.1429945200002</v>
          </cell>
          <cell r="J2329">
            <v>0</v>
          </cell>
        </row>
        <row r="2330">
          <cell r="E2330">
            <v>10110021</v>
          </cell>
          <cell r="F2330" t="str">
            <v>0023</v>
          </cell>
          <cell r="G2330">
            <v>1</v>
          </cell>
          <cell r="H2330">
            <v>3.84</v>
          </cell>
          <cell r="I2330">
            <v>154.09572710400002</v>
          </cell>
          <cell r="J2330">
            <v>0</v>
          </cell>
        </row>
        <row r="2331">
          <cell r="E2331">
            <v>10110021</v>
          </cell>
          <cell r="F2331" t="str">
            <v>0034</v>
          </cell>
          <cell r="G2331">
            <v>13</v>
          </cell>
          <cell r="H2331">
            <v>43.719999999999992</v>
          </cell>
          <cell r="I2331">
            <v>1638.4291046640003</v>
          </cell>
          <cell r="J2331">
            <v>0</v>
          </cell>
        </row>
        <row r="2332">
          <cell r="E2332">
            <v>10110021</v>
          </cell>
          <cell r="F2332" t="str">
            <v>0048</v>
          </cell>
          <cell r="G2332">
            <v>7</v>
          </cell>
          <cell r="H2332">
            <v>20.51</v>
          </cell>
          <cell r="I2332">
            <v>878.83613217600009</v>
          </cell>
          <cell r="J2332">
            <v>0</v>
          </cell>
        </row>
        <row r="2333">
          <cell r="E2333">
            <v>10110032</v>
          </cell>
          <cell r="F2333" t="str">
            <v>0001</v>
          </cell>
          <cell r="G2333">
            <v>6</v>
          </cell>
          <cell r="H2333">
            <v>1.6</v>
          </cell>
          <cell r="I2333">
            <v>68.181529755900002</v>
          </cell>
          <cell r="J2333">
            <v>0</v>
          </cell>
        </row>
        <row r="2334">
          <cell r="E2334">
            <v>10110032</v>
          </cell>
          <cell r="F2334" t="str">
            <v>0002</v>
          </cell>
          <cell r="G2334">
            <v>6</v>
          </cell>
          <cell r="H2334">
            <v>241.5</v>
          </cell>
          <cell r="I2334">
            <v>10248.6192796383</v>
          </cell>
          <cell r="J2334">
            <v>0</v>
          </cell>
        </row>
        <row r="2335">
          <cell r="E2335">
            <v>10110032</v>
          </cell>
          <cell r="F2335" t="str">
            <v>0003</v>
          </cell>
          <cell r="G2335">
            <v>5</v>
          </cell>
          <cell r="H2335">
            <v>165.3</v>
          </cell>
          <cell r="I2335">
            <v>6488.7726261600001</v>
          </cell>
          <cell r="J2335">
            <v>0</v>
          </cell>
        </row>
        <row r="2336">
          <cell r="E2336">
            <v>10110032</v>
          </cell>
          <cell r="F2336" t="str">
            <v>0038</v>
          </cell>
          <cell r="G2336">
            <v>3</v>
          </cell>
          <cell r="H2336">
            <v>97.5</v>
          </cell>
          <cell r="I2336">
            <v>3950.2617184800001</v>
          </cell>
          <cell r="J2336">
            <v>0</v>
          </cell>
        </row>
        <row r="2337">
          <cell r="E2337">
            <v>10110049</v>
          </cell>
          <cell r="F2337" t="str">
            <v>0001</v>
          </cell>
          <cell r="G2337">
            <v>14</v>
          </cell>
          <cell r="H2337">
            <v>3.1000000000000005</v>
          </cell>
          <cell r="I2337">
            <v>121.49623728</v>
          </cell>
          <cell r="J2337">
            <v>0</v>
          </cell>
        </row>
        <row r="2338">
          <cell r="E2338">
            <v>10110049</v>
          </cell>
          <cell r="F2338" t="str">
            <v>0002</v>
          </cell>
          <cell r="G2338">
            <v>14</v>
          </cell>
          <cell r="H2338">
            <v>225.50000000000003</v>
          </cell>
          <cell r="I2338">
            <v>8923.62035664</v>
          </cell>
          <cell r="J2338">
            <v>2867.4</v>
          </cell>
        </row>
        <row r="2339">
          <cell r="E2339">
            <v>10110049</v>
          </cell>
          <cell r="F2339" t="str">
            <v>0003</v>
          </cell>
          <cell r="G2339">
            <v>9</v>
          </cell>
          <cell r="H2339">
            <v>148.79999999999998</v>
          </cell>
          <cell r="I2339">
            <v>5845.1263160400003</v>
          </cell>
          <cell r="J2339">
            <v>0</v>
          </cell>
        </row>
        <row r="2340">
          <cell r="E2340">
            <v>10110049</v>
          </cell>
          <cell r="F2340" t="str">
            <v>0004</v>
          </cell>
          <cell r="G2340">
            <v>14</v>
          </cell>
          <cell r="H2340">
            <v>293.5</v>
          </cell>
          <cell r="I2340">
            <v>11522.35278612</v>
          </cell>
          <cell r="J2340">
            <v>0</v>
          </cell>
        </row>
        <row r="2341">
          <cell r="E2341">
            <v>10110050</v>
          </cell>
          <cell r="F2341" t="str">
            <v>0006</v>
          </cell>
          <cell r="G2341">
            <v>8</v>
          </cell>
          <cell r="H2341">
            <v>782.5</v>
          </cell>
          <cell r="I2341">
            <v>30360.029297709603</v>
          </cell>
          <cell r="J2341">
            <v>0</v>
          </cell>
        </row>
        <row r="2342">
          <cell r="E2342">
            <v>10110050</v>
          </cell>
          <cell r="F2342" t="str">
            <v>0011</v>
          </cell>
          <cell r="G2342">
            <v>1</v>
          </cell>
          <cell r="H2342">
            <v>229</v>
          </cell>
          <cell r="I2342">
            <v>8585.0089380000009</v>
          </cell>
          <cell r="J2342">
            <v>0</v>
          </cell>
        </row>
        <row r="2343">
          <cell r="E2343">
            <v>10110053</v>
          </cell>
          <cell r="F2343" t="str">
            <v>0001</v>
          </cell>
          <cell r="G2343">
            <v>14</v>
          </cell>
          <cell r="H2343">
            <v>2.6</v>
          </cell>
          <cell r="I2343">
            <v>148.09098356278</v>
          </cell>
          <cell r="J2343">
            <v>0</v>
          </cell>
        </row>
        <row r="2344">
          <cell r="E2344">
            <v>10110053</v>
          </cell>
          <cell r="F2344" t="str">
            <v>0002</v>
          </cell>
          <cell r="G2344">
            <v>14</v>
          </cell>
          <cell r="H2344">
            <v>117.79999999999998</v>
          </cell>
          <cell r="I2344">
            <v>6662.8168069297899</v>
          </cell>
          <cell r="J2344">
            <v>0</v>
          </cell>
        </row>
        <row r="2345">
          <cell r="E2345">
            <v>10110053</v>
          </cell>
          <cell r="F2345" t="str">
            <v>0003</v>
          </cell>
          <cell r="G2345">
            <v>1</v>
          </cell>
          <cell r="H2345">
            <v>12.2</v>
          </cell>
          <cell r="I2345">
            <v>600.16911419360008</v>
          </cell>
          <cell r="J2345">
            <v>0</v>
          </cell>
        </row>
        <row r="2346">
          <cell r="E2346">
            <v>10110055</v>
          </cell>
          <cell r="F2346" t="str">
            <v>0002</v>
          </cell>
          <cell r="G2346">
            <v>10</v>
          </cell>
          <cell r="H2346">
            <v>256.8</v>
          </cell>
          <cell r="I2346">
            <v>13575.114968610002</v>
          </cell>
          <cell r="J2346">
            <v>1091</v>
          </cell>
        </row>
        <row r="2347">
          <cell r="E2347">
            <v>10110055</v>
          </cell>
          <cell r="F2347" t="str">
            <v>0004</v>
          </cell>
          <cell r="G2347">
            <v>10</v>
          </cell>
          <cell r="H2347">
            <v>255</v>
          </cell>
          <cell r="I2347">
            <v>13033.824079875001</v>
          </cell>
          <cell r="J2347">
            <v>0</v>
          </cell>
        </row>
        <row r="2348">
          <cell r="E2348">
            <v>10110055</v>
          </cell>
          <cell r="F2348" t="str">
            <v>0006</v>
          </cell>
          <cell r="G2348">
            <v>10</v>
          </cell>
          <cell r="H2348">
            <v>244.1</v>
          </cell>
          <cell r="I2348">
            <v>11919.046603480003</v>
          </cell>
          <cell r="J2348">
            <v>0</v>
          </cell>
        </row>
        <row r="2349">
          <cell r="E2349">
            <v>10110055</v>
          </cell>
          <cell r="F2349" t="str">
            <v>0013</v>
          </cell>
          <cell r="G2349">
            <v>10</v>
          </cell>
          <cell r="H2349">
            <v>255</v>
          </cell>
          <cell r="I2349">
            <v>13139.463046250003</v>
          </cell>
          <cell r="J2349">
            <v>0</v>
          </cell>
        </row>
        <row r="2350">
          <cell r="E2350">
            <v>10110057</v>
          </cell>
          <cell r="F2350" t="str">
            <v>0003</v>
          </cell>
          <cell r="G2350">
            <v>14</v>
          </cell>
          <cell r="H2350">
            <v>392.90000000000003</v>
          </cell>
          <cell r="I2350">
            <v>18763.188874171003</v>
          </cell>
          <cell r="J2350">
            <v>0</v>
          </cell>
        </row>
        <row r="2351">
          <cell r="E2351">
            <v>10110057</v>
          </cell>
          <cell r="F2351" t="str">
            <v>0014</v>
          </cell>
          <cell r="G2351">
            <v>13</v>
          </cell>
          <cell r="H2351">
            <v>23.8</v>
          </cell>
          <cell r="I2351">
            <v>879.67313279999996</v>
          </cell>
          <cell r="J2351">
            <v>0</v>
          </cell>
        </row>
        <row r="2352">
          <cell r="E2352">
            <v>10110065</v>
          </cell>
          <cell r="F2352" t="str">
            <v>0012</v>
          </cell>
          <cell r="G2352">
            <v>7</v>
          </cell>
          <cell r="H2352">
            <v>14.82</v>
          </cell>
          <cell r="I2352">
            <v>668.38768682800003</v>
          </cell>
          <cell r="J2352">
            <v>0</v>
          </cell>
        </row>
        <row r="2353">
          <cell r="E2353">
            <v>10110065</v>
          </cell>
          <cell r="F2353" t="str">
            <v>0016</v>
          </cell>
          <cell r="G2353">
            <v>9</v>
          </cell>
          <cell r="H2353">
            <v>60.18</v>
          </cell>
          <cell r="I2353">
            <v>2211.6716669520001</v>
          </cell>
          <cell r="J2353">
            <v>0</v>
          </cell>
        </row>
        <row r="2354">
          <cell r="E2354">
            <v>10110065</v>
          </cell>
          <cell r="F2354" t="str">
            <v>0017</v>
          </cell>
          <cell r="G2354">
            <v>14</v>
          </cell>
          <cell r="H2354">
            <v>75.5</v>
          </cell>
          <cell r="I2354">
            <v>2777.1256370880001</v>
          </cell>
          <cell r="J2354">
            <v>0</v>
          </cell>
        </row>
        <row r="2355">
          <cell r="E2355">
            <v>10110065</v>
          </cell>
          <cell r="F2355" t="str">
            <v>0021</v>
          </cell>
          <cell r="G2355">
            <v>2</v>
          </cell>
          <cell r="H2355">
            <v>2.02</v>
          </cell>
          <cell r="I2355">
            <v>81.728677800000014</v>
          </cell>
          <cell r="J2355">
            <v>0</v>
          </cell>
        </row>
        <row r="2356">
          <cell r="E2356">
            <v>10110065</v>
          </cell>
          <cell r="F2356" t="str">
            <v>0024</v>
          </cell>
          <cell r="G2356">
            <v>13</v>
          </cell>
          <cell r="H2356">
            <v>68.639999999999986</v>
          </cell>
          <cell r="I2356">
            <v>2858.8518792407999</v>
          </cell>
          <cell r="J2356">
            <v>0</v>
          </cell>
        </row>
        <row r="2357">
          <cell r="E2357">
            <v>10110065</v>
          </cell>
          <cell r="F2357" t="str">
            <v>0029</v>
          </cell>
          <cell r="G2357">
            <v>9</v>
          </cell>
          <cell r="H2357">
            <v>24.5</v>
          </cell>
          <cell r="I2357">
            <v>1029.5427452879999</v>
          </cell>
          <cell r="J2357">
            <v>0</v>
          </cell>
        </row>
        <row r="2358">
          <cell r="E2358">
            <v>10110065</v>
          </cell>
          <cell r="F2358" t="str">
            <v>0031</v>
          </cell>
          <cell r="G2358">
            <v>13</v>
          </cell>
          <cell r="H2358">
            <v>109.34</v>
          </cell>
          <cell r="I2358">
            <v>4163.9335594559998</v>
          </cell>
          <cell r="J2358">
            <v>0</v>
          </cell>
        </row>
        <row r="2359">
          <cell r="E2359">
            <v>10110065</v>
          </cell>
          <cell r="F2359" t="str">
            <v>0034</v>
          </cell>
          <cell r="G2359">
            <v>11</v>
          </cell>
          <cell r="H2359">
            <v>37.400000000000006</v>
          </cell>
          <cell r="I2359">
            <v>1539.1348837920002</v>
          </cell>
          <cell r="J2359">
            <v>0</v>
          </cell>
        </row>
        <row r="2360">
          <cell r="E2360">
            <v>10110065</v>
          </cell>
          <cell r="F2360" t="str">
            <v>0036</v>
          </cell>
          <cell r="G2360">
            <v>14</v>
          </cell>
          <cell r="H2360">
            <v>77.3</v>
          </cell>
          <cell r="I2360">
            <v>2851.13166624</v>
          </cell>
          <cell r="J2360">
            <v>0</v>
          </cell>
        </row>
        <row r="2361">
          <cell r="E2361">
            <v>10110065</v>
          </cell>
          <cell r="F2361" t="str">
            <v>0039</v>
          </cell>
          <cell r="G2361">
            <v>10</v>
          </cell>
          <cell r="H2361">
            <v>42.14</v>
          </cell>
          <cell r="I2361">
            <v>1715.1490704384003</v>
          </cell>
          <cell r="J2361">
            <v>0</v>
          </cell>
        </row>
        <row r="2362">
          <cell r="E2362">
            <v>10110065</v>
          </cell>
          <cell r="F2362" t="str">
            <v>0053</v>
          </cell>
          <cell r="G2362">
            <v>14</v>
          </cell>
          <cell r="H2362">
            <v>50.239999999999995</v>
          </cell>
          <cell r="I2362">
            <v>1894.027946184</v>
          </cell>
          <cell r="J2362">
            <v>0</v>
          </cell>
        </row>
        <row r="2363">
          <cell r="E2363">
            <v>10110065</v>
          </cell>
          <cell r="F2363" t="str">
            <v>0054</v>
          </cell>
          <cell r="G2363">
            <v>13</v>
          </cell>
          <cell r="H2363">
            <v>57.019999999999989</v>
          </cell>
          <cell r="I2363">
            <v>2233.4367242879998</v>
          </cell>
          <cell r="J2363">
            <v>0</v>
          </cell>
        </row>
        <row r="2364">
          <cell r="E2364">
            <v>10110065</v>
          </cell>
          <cell r="F2364" t="str">
            <v>0056</v>
          </cell>
          <cell r="G2364">
            <v>14</v>
          </cell>
          <cell r="H2364">
            <v>83.260000000000019</v>
          </cell>
          <cell r="I2364">
            <v>3242.4103048946008</v>
          </cell>
          <cell r="J2364">
            <v>0</v>
          </cell>
        </row>
        <row r="2365">
          <cell r="E2365">
            <v>10110065</v>
          </cell>
          <cell r="F2365" t="str">
            <v>0057</v>
          </cell>
          <cell r="G2365">
            <v>14</v>
          </cell>
          <cell r="H2365">
            <v>54.419999999999995</v>
          </cell>
          <cell r="I2365">
            <v>2114.2733051624</v>
          </cell>
          <cell r="J2365">
            <v>0</v>
          </cell>
        </row>
        <row r="2366">
          <cell r="E2366">
            <v>10110065</v>
          </cell>
          <cell r="F2366" t="str">
            <v>0058</v>
          </cell>
          <cell r="G2366">
            <v>4</v>
          </cell>
          <cell r="H2366">
            <v>17.2</v>
          </cell>
          <cell r="I2366">
            <v>639.89171136000016</v>
          </cell>
          <cell r="J2366">
            <v>0</v>
          </cell>
        </row>
        <row r="2367">
          <cell r="E2367">
            <v>10110066</v>
          </cell>
          <cell r="F2367" t="str">
            <v>0001</v>
          </cell>
          <cell r="G2367">
            <v>13</v>
          </cell>
          <cell r="H2367">
            <v>8.1399999999999988</v>
          </cell>
          <cell r="I2367">
            <v>320.87976703200007</v>
          </cell>
          <cell r="J2367">
            <v>0</v>
          </cell>
        </row>
        <row r="2368">
          <cell r="E2368">
            <v>10110066</v>
          </cell>
          <cell r="F2368" t="str">
            <v>0004</v>
          </cell>
          <cell r="G2368">
            <v>14</v>
          </cell>
          <cell r="H2368">
            <v>65</v>
          </cell>
          <cell r="I2368">
            <v>2937.712702366141</v>
          </cell>
          <cell r="J2368">
            <v>0</v>
          </cell>
        </row>
        <row r="2369">
          <cell r="E2369">
            <v>10110066</v>
          </cell>
          <cell r="F2369" t="str">
            <v>0008</v>
          </cell>
          <cell r="G2369">
            <v>13</v>
          </cell>
          <cell r="H2369">
            <v>41.400000000000006</v>
          </cell>
          <cell r="I2369">
            <v>1907.5151561852201</v>
          </cell>
          <cell r="J2369">
            <v>0</v>
          </cell>
        </row>
        <row r="2370">
          <cell r="E2370">
            <v>10110066</v>
          </cell>
          <cell r="F2370" t="str">
            <v>0013</v>
          </cell>
          <cell r="G2370">
            <v>14</v>
          </cell>
          <cell r="H2370">
            <v>34.200000000000003</v>
          </cell>
          <cell r="I2370">
            <v>1352.0525475600004</v>
          </cell>
          <cell r="J2370">
            <v>0</v>
          </cell>
        </row>
        <row r="2371">
          <cell r="E2371">
            <v>10110066</v>
          </cell>
          <cell r="F2371" t="str">
            <v>0015</v>
          </cell>
          <cell r="G2371">
            <v>8</v>
          </cell>
          <cell r="H2371">
            <v>23.58</v>
          </cell>
          <cell r="I2371">
            <v>933.83405676000007</v>
          </cell>
          <cell r="J2371">
            <v>0</v>
          </cell>
        </row>
        <row r="2372">
          <cell r="E2372">
            <v>10110066</v>
          </cell>
          <cell r="F2372" t="str">
            <v>0016</v>
          </cell>
          <cell r="G2372">
            <v>14</v>
          </cell>
          <cell r="H2372">
            <v>355.9</v>
          </cell>
          <cell r="I2372">
            <v>14545.405386468003</v>
          </cell>
          <cell r="J2372">
            <v>0</v>
          </cell>
        </row>
        <row r="2373">
          <cell r="E2373">
            <v>10110066</v>
          </cell>
          <cell r="F2373" t="str">
            <v>0019</v>
          </cell>
          <cell r="G2373">
            <v>14</v>
          </cell>
          <cell r="H2373">
            <v>132.78</v>
          </cell>
          <cell r="I2373">
            <v>4901.5274148720009</v>
          </cell>
          <cell r="J2373">
            <v>0</v>
          </cell>
        </row>
        <row r="2374">
          <cell r="E2374">
            <v>10110066</v>
          </cell>
          <cell r="F2374" t="str">
            <v>0021</v>
          </cell>
          <cell r="G2374">
            <v>8</v>
          </cell>
          <cell r="H2374">
            <v>14.100000000000001</v>
          </cell>
          <cell r="I2374">
            <v>549.69752217600012</v>
          </cell>
          <cell r="J2374">
            <v>0</v>
          </cell>
        </row>
        <row r="2375">
          <cell r="E2375">
            <v>10110066</v>
          </cell>
          <cell r="F2375" t="str">
            <v>0024</v>
          </cell>
          <cell r="G2375">
            <v>6</v>
          </cell>
          <cell r="H2375">
            <v>9.64</v>
          </cell>
          <cell r="I2375">
            <v>394.86544713000001</v>
          </cell>
          <cell r="J2375">
            <v>0</v>
          </cell>
        </row>
        <row r="2376">
          <cell r="E2376">
            <v>10110066</v>
          </cell>
          <cell r="F2376" t="str">
            <v>0027</v>
          </cell>
          <cell r="G2376">
            <v>10</v>
          </cell>
          <cell r="H2376">
            <v>12.32</v>
          </cell>
          <cell r="I2376">
            <v>438.32483640000004</v>
          </cell>
          <cell r="J2376">
            <v>0</v>
          </cell>
        </row>
        <row r="2377">
          <cell r="E2377">
            <v>10110066</v>
          </cell>
          <cell r="F2377" t="str">
            <v>0028</v>
          </cell>
          <cell r="G2377">
            <v>3</v>
          </cell>
          <cell r="H2377">
            <v>6.8000000000000007</v>
          </cell>
          <cell r="I2377">
            <v>325.65879068800007</v>
          </cell>
          <cell r="J2377">
            <v>0</v>
          </cell>
        </row>
        <row r="2378">
          <cell r="E2378">
            <v>10110066</v>
          </cell>
          <cell r="F2378" t="str">
            <v>0032</v>
          </cell>
          <cell r="G2378">
            <v>14</v>
          </cell>
          <cell r="H2378">
            <v>30.3</v>
          </cell>
          <cell r="I2378">
            <v>1134.5933998080002</v>
          </cell>
          <cell r="J2378">
            <v>0</v>
          </cell>
        </row>
        <row r="2379">
          <cell r="E2379">
            <v>10110066</v>
          </cell>
          <cell r="F2379" t="str">
            <v>0034</v>
          </cell>
          <cell r="G2379">
            <v>7</v>
          </cell>
          <cell r="H2379">
            <v>9.379999999999999</v>
          </cell>
          <cell r="I2379">
            <v>358.5433246560001</v>
          </cell>
          <cell r="J2379">
            <v>0</v>
          </cell>
        </row>
        <row r="2380">
          <cell r="E2380">
            <v>10110066</v>
          </cell>
          <cell r="F2380" t="str">
            <v>0035</v>
          </cell>
          <cell r="G2380">
            <v>13</v>
          </cell>
          <cell r="H2380">
            <v>61.120000000000005</v>
          </cell>
          <cell r="I2380">
            <v>2413.7258135760003</v>
          </cell>
          <cell r="J2380">
            <v>0</v>
          </cell>
        </row>
        <row r="2381">
          <cell r="E2381">
            <v>10110071</v>
          </cell>
          <cell r="F2381" t="str">
            <v>0002</v>
          </cell>
          <cell r="G2381">
            <v>5</v>
          </cell>
          <cell r="H2381">
            <v>153.80000000000001</v>
          </cell>
          <cell r="I2381">
            <v>5942.7957045599996</v>
          </cell>
          <cell r="J2381">
            <v>0</v>
          </cell>
        </row>
        <row r="2382">
          <cell r="E2382">
            <v>10110073</v>
          </cell>
          <cell r="F2382" t="str">
            <v>0004</v>
          </cell>
          <cell r="G2382">
            <v>11</v>
          </cell>
          <cell r="H2382">
            <v>285.17</v>
          </cell>
          <cell r="I2382">
            <v>13893.91282416839</v>
          </cell>
          <cell r="J2382">
            <v>0</v>
          </cell>
        </row>
        <row r="2383">
          <cell r="E2383">
            <v>10110073</v>
          </cell>
          <cell r="F2383" t="str">
            <v>0010</v>
          </cell>
          <cell r="G2383">
            <v>11</v>
          </cell>
          <cell r="H2383">
            <v>72.330000000000013</v>
          </cell>
          <cell r="I2383">
            <v>2920.7369367195206</v>
          </cell>
          <cell r="J2383">
            <v>0</v>
          </cell>
        </row>
        <row r="2384">
          <cell r="E2384">
            <v>10110076</v>
          </cell>
          <cell r="F2384" t="str">
            <v>0001</v>
          </cell>
          <cell r="G2384">
            <v>13</v>
          </cell>
          <cell r="H2384">
            <v>34.02000000000001</v>
          </cell>
          <cell r="I2384">
            <v>1923.4334526872799</v>
          </cell>
          <cell r="J2384">
            <v>0</v>
          </cell>
        </row>
        <row r="2385">
          <cell r="E2385">
            <v>10110076</v>
          </cell>
          <cell r="F2385" t="str">
            <v>0002</v>
          </cell>
          <cell r="G2385">
            <v>14</v>
          </cell>
          <cell r="H2385">
            <v>572</v>
          </cell>
          <cell r="I2385">
            <v>31349.820646558921</v>
          </cell>
          <cell r="J2385">
            <v>0</v>
          </cell>
        </row>
        <row r="2386">
          <cell r="E2386">
            <v>10110076</v>
          </cell>
          <cell r="F2386" t="str">
            <v>0004</v>
          </cell>
          <cell r="G2386">
            <v>14</v>
          </cell>
          <cell r="H2386">
            <v>632.42000000000007</v>
          </cell>
          <cell r="I2386">
            <v>26185.704346197799</v>
          </cell>
          <cell r="J2386">
            <v>0</v>
          </cell>
        </row>
        <row r="2387">
          <cell r="E2387">
            <v>10110076</v>
          </cell>
          <cell r="F2387" t="str">
            <v>0005</v>
          </cell>
          <cell r="G2387">
            <v>14</v>
          </cell>
          <cell r="H2387">
            <v>556.16000000000008</v>
          </cell>
          <cell r="I2387">
            <v>24878.598108285569</v>
          </cell>
          <cell r="J2387">
            <v>0</v>
          </cell>
        </row>
        <row r="2388">
          <cell r="E2388">
            <v>10110076</v>
          </cell>
          <cell r="F2388" t="str">
            <v>0009</v>
          </cell>
          <cell r="G2388">
            <v>12</v>
          </cell>
          <cell r="H2388">
            <v>440.88000000000005</v>
          </cell>
          <cell r="I2388">
            <v>18853.671146444201</v>
          </cell>
          <cell r="J2388">
            <v>0</v>
          </cell>
        </row>
        <row r="2389">
          <cell r="E2389">
            <v>10110076</v>
          </cell>
          <cell r="F2389" t="str">
            <v>0011</v>
          </cell>
          <cell r="G2389">
            <v>13</v>
          </cell>
          <cell r="H2389">
            <v>297.33999999999997</v>
          </cell>
          <cell r="I2389">
            <v>13616.116843218999</v>
          </cell>
          <cell r="J2389">
            <v>0</v>
          </cell>
        </row>
        <row r="2390">
          <cell r="E2390">
            <v>10110076</v>
          </cell>
          <cell r="F2390" t="str">
            <v>0012</v>
          </cell>
          <cell r="G2390">
            <v>4</v>
          </cell>
          <cell r="H2390">
            <v>74.2</v>
          </cell>
          <cell r="I2390">
            <v>3358.3909537640002</v>
          </cell>
          <cell r="J2390">
            <v>0</v>
          </cell>
        </row>
        <row r="2391">
          <cell r="E2391">
            <v>10110078</v>
          </cell>
          <cell r="F2391" t="str">
            <v>0002</v>
          </cell>
          <cell r="G2391">
            <v>10</v>
          </cell>
          <cell r="H2391">
            <v>1186.2</v>
          </cell>
          <cell r="I2391">
            <v>41339.89103151601</v>
          </cell>
          <cell r="J2391">
            <v>82.6</v>
          </cell>
        </row>
        <row r="2392">
          <cell r="E2392">
            <v>10110083</v>
          </cell>
          <cell r="F2392" t="str">
            <v>0001</v>
          </cell>
          <cell r="G2392">
            <v>7</v>
          </cell>
          <cell r="H2392">
            <v>0.7</v>
          </cell>
          <cell r="I2392">
            <v>25.965185400000003</v>
          </cell>
          <cell r="J2392">
            <v>0</v>
          </cell>
        </row>
        <row r="2393">
          <cell r="E2393">
            <v>10110083</v>
          </cell>
          <cell r="F2393" t="str">
            <v>0002</v>
          </cell>
          <cell r="G2393">
            <v>13</v>
          </cell>
          <cell r="H2393">
            <v>666.9</v>
          </cell>
          <cell r="I2393">
            <v>23925.682261800001</v>
          </cell>
          <cell r="J2393">
            <v>0</v>
          </cell>
        </row>
        <row r="2394">
          <cell r="E2394">
            <v>10110083</v>
          </cell>
          <cell r="F2394" t="str">
            <v>0003</v>
          </cell>
          <cell r="G2394">
            <v>4</v>
          </cell>
          <cell r="H2394">
            <v>82.9</v>
          </cell>
          <cell r="I2394">
            <v>2790.7314138000002</v>
          </cell>
          <cell r="J2394">
            <v>0</v>
          </cell>
        </row>
        <row r="2395">
          <cell r="E2395">
            <v>10110086</v>
          </cell>
          <cell r="F2395" t="str">
            <v>0001</v>
          </cell>
          <cell r="G2395">
            <v>8</v>
          </cell>
          <cell r="H2395">
            <v>1.5999999999999999</v>
          </cell>
          <cell r="I2395">
            <v>64.18015560000002</v>
          </cell>
          <cell r="J2395">
            <v>0</v>
          </cell>
        </row>
        <row r="2396">
          <cell r="E2396">
            <v>10110086</v>
          </cell>
          <cell r="F2396" t="str">
            <v>0002</v>
          </cell>
          <cell r="G2396">
            <v>8</v>
          </cell>
          <cell r="H2396">
            <v>210.10000000000002</v>
          </cell>
          <cell r="I2396">
            <v>8557.1725536000013</v>
          </cell>
          <cell r="J2396">
            <v>0</v>
          </cell>
        </row>
        <row r="2397">
          <cell r="E2397">
            <v>10110086</v>
          </cell>
          <cell r="F2397" t="str">
            <v>0004</v>
          </cell>
          <cell r="G2397">
            <v>8</v>
          </cell>
          <cell r="H2397">
            <v>274.70000000000005</v>
          </cell>
          <cell r="I2397">
            <v>10960.603841880002</v>
          </cell>
          <cell r="J2397">
            <v>0</v>
          </cell>
        </row>
        <row r="2398">
          <cell r="E2398">
            <v>10110093</v>
          </cell>
          <cell r="F2398" t="str">
            <v>0001</v>
          </cell>
          <cell r="G2398">
            <v>14</v>
          </cell>
          <cell r="H2398">
            <v>14</v>
          </cell>
          <cell r="I2398">
            <v>529.46681039999999</v>
          </cell>
          <cell r="J2398">
            <v>0</v>
          </cell>
        </row>
        <row r="2399">
          <cell r="E2399">
            <v>10110093</v>
          </cell>
          <cell r="F2399" t="str">
            <v>0002</v>
          </cell>
          <cell r="G2399">
            <v>14</v>
          </cell>
          <cell r="H2399">
            <v>604.5</v>
          </cell>
          <cell r="I2399">
            <v>22895.604464040003</v>
          </cell>
          <cell r="J2399">
            <v>0</v>
          </cell>
        </row>
        <row r="2400">
          <cell r="E2400">
            <v>10110094</v>
          </cell>
          <cell r="F2400" t="str">
            <v>0001</v>
          </cell>
          <cell r="G2400">
            <v>14</v>
          </cell>
          <cell r="H2400">
            <v>8.7500000000000018</v>
          </cell>
          <cell r="I2400">
            <v>339.593010768</v>
          </cell>
          <cell r="J2400">
            <v>0</v>
          </cell>
        </row>
        <row r="2401">
          <cell r="E2401">
            <v>10110094</v>
          </cell>
          <cell r="F2401" t="str">
            <v>0002</v>
          </cell>
          <cell r="G2401">
            <v>4</v>
          </cell>
          <cell r="H2401">
            <v>4.6500000000000004</v>
          </cell>
          <cell r="I2401">
            <v>205.13654565479999</v>
          </cell>
          <cell r="J2401">
            <v>191</v>
          </cell>
        </row>
        <row r="2402">
          <cell r="E2402">
            <v>10110094</v>
          </cell>
          <cell r="F2402" t="str">
            <v>0020</v>
          </cell>
          <cell r="G2402">
            <v>14</v>
          </cell>
          <cell r="H2402">
            <v>51.289999999999992</v>
          </cell>
          <cell r="I2402">
            <v>1997.0166668760003</v>
          </cell>
          <cell r="J2402">
            <v>0</v>
          </cell>
        </row>
        <row r="2403">
          <cell r="E2403">
            <v>10110094</v>
          </cell>
          <cell r="F2403" t="str">
            <v>0021</v>
          </cell>
          <cell r="G2403">
            <v>14</v>
          </cell>
          <cell r="H2403">
            <v>42.85</v>
          </cell>
          <cell r="I2403">
            <v>1653.5127593160005</v>
          </cell>
          <cell r="J2403">
            <v>0</v>
          </cell>
        </row>
        <row r="2404">
          <cell r="E2404">
            <v>10110094</v>
          </cell>
          <cell r="F2404" t="str">
            <v>0028</v>
          </cell>
          <cell r="G2404">
            <v>5</v>
          </cell>
          <cell r="H2404">
            <v>11.95</v>
          </cell>
          <cell r="I2404">
            <v>532.0062867071</v>
          </cell>
          <cell r="J2404">
            <v>0</v>
          </cell>
        </row>
        <row r="2405">
          <cell r="E2405">
            <v>10110094</v>
          </cell>
          <cell r="F2405" t="str">
            <v>0031</v>
          </cell>
          <cell r="G2405">
            <v>14</v>
          </cell>
          <cell r="H2405">
            <v>62.999999999999993</v>
          </cell>
          <cell r="I2405">
            <v>2331.6615058572002</v>
          </cell>
          <cell r="J2405">
            <v>0</v>
          </cell>
        </row>
        <row r="2406">
          <cell r="E2406">
            <v>10110094</v>
          </cell>
          <cell r="F2406" t="str">
            <v>0034</v>
          </cell>
          <cell r="G2406">
            <v>10</v>
          </cell>
          <cell r="H2406">
            <v>69.63000000000001</v>
          </cell>
          <cell r="I2406">
            <v>2803.9057370280002</v>
          </cell>
          <cell r="J2406">
            <v>0</v>
          </cell>
        </row>
        <row r="2407">
          <cell r="E2407">
            <v>10110094</v>
          </cell>
          <cell r="F2407" t="str">
            <v>0037</v>
          </cell>
          <cell r="G2407">
            <v>14</v>
          </cell>
          <cell r="H2407">
            <v>123.54</v>
          </cell>
          <cell r="I2407">
            <v>4104.04815117</v>
          </cell>
          <cell r="J2407">
            <v>0</v>
          </cell>
        </row>
        <row r="2408">
          <cell r="E2408">
            <v>10110094</v>
          </cell>
          <cell r="F2408" t="str">
            <v>0042</v>
          </cell>
          <cell r="G2408">
            <v>14</v>
          </cell>
          <cell r="H2408">
            <v>17.739999999999998</v>
          </cell>
          <cell r="I2408">
            <v>752.64034428000014</v>
          </cell>
          <cell r="J2408">
            <v>0</v>
          </cell>
        </row>
        <row r="2409">
          <cell r="E2409">
            <v>10110094</v>
          </cell>
          <cell r="F2409" t="str">
            <v>0047</v>
          </cell>
          <cell r="G2409">
            <v>14</v>
          </cell>
          <cell r="H2409">
            <v>122.74999999999999</v>
          </cell>
          <cell r="I2409">
            <v>4801.8726855000004</v>
          </cell>
          <cell r="J2409">
            <v>0</v>
          </cell>
        </row>
        <row r="2410">
          <cell r="E2410">
            <v>10110094</v>
          </cell>
          <cell r="F2410" t="str">
            <v>0052</v>
          </cell>
          <cell r="G2410">
            <v>7</v>
          </cell>
          <cell r="H2410">
            <v>16.63</v>
          </cell>
          <cell r="I2410">
            <v>637.21156989600013</v>
          </cell>
          <cell r="J2410">
            <v>0</v>
          </cell>
        </row>
        <row r="2411">
          <cell r="E2411">
            <v>10110094</v>
          </cell>
          <cell r="F2411" t="str">
            <v>0053</v>
          </cell>
          <cell r="G2411">
            <v>7</v>
          </cell>
          <cell r="H2411">
            <v>22.08</v>
          </cell>
          <cell r="I2411">
            <v>830.33224639200012</v>
          </cell>
          <cell r="J2411">
            <v>0</v>
          </cell>
        </row>
        <row r="2412">
          <cell r="E2412">
            <v>10110094</v>
          </cell>
          <cell r="F2412" t="str">
            <v>0054</v>
          </cell>
          <cell r="G2412">
            <v>13</v>
          </cell>
          <cell r="H2412">
            <v>41.940000000000005</v>
          </cell>
          <cell r="I2412">
            <v>1511.1038566800005</v>
          </cell>
          <cell r="J2412">
            <v>0</v>
          </cell>
        </row>
        <row r="2413">
          <cell r="E2413">
            <v>10110094</v>
          </cell>
          <cell r="F2413" t="str">
            <v>0055</v>
          </cell>
          <cell r="G2413">
            <v>14</v>
          </cell>
          <cell r="H2413">
            <v>63.43</v>
          </cell>
          <cell r="I2413">
            <v>2494.31940846</v>
          </cell>
          <cell r="J2413">
            <v>0</v>
          </cell>
        </row>
        <row r="2414">
          <cell r="E2414">
            <v>10110094</v>
          </cell>
          <cell r="F2414" t="str">
            <v>0056</v>
          </cell>
          <cell r="G2414">
            <v>14</v>
          </cell>
          <cell r="H2414">
            <v>56.580000000000005</v>
          </cell>
          <cell r="I2414">
            <v>2140.7123160720002</v>
          </cell>
          <cell r="J2414">
            <v>0</v>
          </cell>
        </row>
        <row r="2415">
          <cell r="E2415">
            <v>10110095</v>
          </cell>
          <cell r="F2415" t="str">
            <v>0001</v>
          </cell>
          <cell r="G2415">
            <v>14</v>
          </cell>
          <cell r="H2415">
            <v>7.5299999999999994</v>
          </cell>
          <cell r="I2415">
            <v>321.3742894560001</v>
          </cell>
          <cell r="J2415">
            <v>0</v>
          </cell>
        </row>
        <row r="2416">
          <cell r="E2416">
            <v>10110095</v>
          </cell>
          <cell r="F2416" t="str">
            <v>0002</v>
          </cell>
          <cell r="G2416">
            <v>13</v>
          </cell>
          <cell r="H2416">
            <v>51.75</v>
          </cell>
          <cell r="I2416">
            <v>2256.1845033315599</v>
          </cell>
          <cell r="J2416">
            <v>0</v>
          </cell>
        </row>
        <row r="2417">
          <cell r="E2417">
            <v>10110095</v>
          </cell>
          <cell r="F2417" t="str">
            <v>0005</v>
          </cell>
          <cell r="G2417">
            <v>13</v>
          </cell>
          <cell r="H2417">
            <v>48.5</v>
          </cell>
          <cell r="I2417">
            <v>1800.6486272874001</v>
          </cell>
          <cell r="J2417">
            <v>0</v>
          </cell>
        </row>
        <row r="2418">
          <cell r="E2418">
            <v>10110095</v>
          </cell>
          <cell r="F2418" t="str">
            <v>0006</v>
          </cell>
          <cell r="G2418">
            <v>13</v>
          </cell>
          <cell r="H2418">
            <v>46.039999999999992</v>
          </cell>
          <cell r="I2418">
            <v>2590.1335734043</v>
          </cell>
          <cell r="J2418">
            <v>0</v>
          </cell>
        </row>
        <row r="2419">
          <cell r="E2419">
            <v>10110095</v>
          </cell>
          <cell r="F2419" t="str">
            <v>0007</v>
          </cell>
          <cell r="G2419">
            <v>14</v>
          </cell>
          <cell r="H2419">
            <v>114.27999999999999</v>
          </cell>
          <cell r="I2419">
            <v>4608.0725054759996</v>
          </cell>
          <cell r="J2419">
            <v>0</v>
          </cell>
        </row>
        <row r="2420">
          <cell r="E2420">
            <v>10110095</v>
          </cell>
          <cell r="F2420" t="str">
            <v>0008</v>
          </cell>
          <cell r="G2420">
            <v>7</v>
          </cell>
          <cell r="H2420">
            <v>20.329999999999998</v>
          </cell>
          <cell r="I2420">
            <v>805.79940067440009</v>
          </cell>
          <cell r="J2420">
            <v>0</v>
          </cell>
        </row>
        <row r="2421">
          <cell r="E2421">
            <v>10110095</v>
          </cell>
          <cell r="F2421" t="str">
            <v>0010</v>
          </cell>
          <cell r="G2421">
            <v>14</v>
          </cell>
          <cell r="H2421">
            <v>76.66</v>
          </cell>
          <cell r="I2421">
            <v>3260.9938371120002</v>
          </cell>
          <cell r="J2421">
            <v>0</v>
          </cell>
        </row>
        <row r="2422">
          <cell r="E2422">
            <v>10110095</v>
          </cell>
          <cell r="F2422" t="str">
            <v>0011</v>
          </cell>
          <cell r="G2422">
            <v>7</v>
          </cell>
          <cell r="H2422">
            <v>40.430000000000007</v>
          </cell>
          <cell r="I2422">
            <v>1834.4147015013202</v>
          </cell>
          <cell r="J2422">
            <v>0</v>
          </cell>
        </row>
        <row r="2423">
          <cell r="E2423">
            <v>10110095</v>
          </cell>
          <cell r="F2423" t="str">
            <v>0012</v>
          </cell>
          <cell r="G2423">
            <v>7</v>
          </cell>
          <cell r="H2423">
            <v>50.43</v>
          </cell>
          <cell r="I2423">
            <v>2018.7782675280002</v>
          </cell>
          <cell r="J2423">
            <v>0</v>
          </cell>
        </row>
        <row r="2424">
          <cell r="E2424">
            <v>10110095</v>
          </cell>
          <cell r="F2424" t="str">
            <v>0014</v>
          </cell>
          <cell r="G2424">
            <v>2</v>
          </cell>
          <cell r="H2424">
            <v>7.25</v>
          </cell>
          <cell r="I2424">
            <v>307.97486359200002</v>
          </cell>
          <cell r="J2424">
            <v>0</v>
          </cell>
        </row>
        <row r="2425">
          <cell r="E2425">
            <v>10110095</v>
          </cell>
          <cell r="F2425" t="str">
            <v>0017</v>
          </cell>
          <cell r="G2425">
            <v>10</v>
          </cell>
          <cell r="H2425">
            <v>43.48</v>
          </cell>
          <cell r="I2425">
            <v>1998.1783239572042</v>
          </cell>
          <cell r="J2425">
            <v>0</v>
          </cell>
        </row>
        <row r="2426">
          <cell r="E2426">
            <v>10110095</v>
          </cell>
          <cell r="F2426" t="str">
            <v>0020</v>
          </cell>
          <cell r="G2426">
            <v>8</v>
          </cell>
          <cell r="H2426">
            <v>25.749999999999996</v>
          </cell>
          <cell r="I2426">
            <v>948.49594408800021</v>
          </cell>
          <cell r="J2426">
            <v>0</v>
          </cell>
        </row>
        <row r="2427">
          <cell r="E2427">
            <v>10110097</v>
          </cell>
          <cell r="F2427" t="str">
            <v>0001</v>
          </cell>
          <cell r="G2427">
            <v>2</v>
          </cell>
          <cell r="H2427">
            <v>0.38</v>
          </cell>
          <cell r="I2427">
            <v>14.915099628000004</v>
          </cell>
          <cell r="J2427">
            <v>0</v>
          </cell>
        </row>
        <row r="2428">
          <cell r="E2428">
            <v>10110097</v>
          </cell>
          <cell r="F2428" t="str">
            <v>0002</v>
          </cell>
          <cell r="G2428">
            <v>4</v>
          </cell>
          <cell r="H2428">
            <v>395.22</v>
          </cell>
          <cell r="I2428">
            <v>16066.514263535999</v>
          </cell>
          <cell r="J2428">
            <v>0</v>
          </cell>
        </row>
        <row r="2429">
          <cell r="E2429">
            <v>10110097</v>
          </cell>
          <cell r="F2429" t="str">
            <v>0005</v>
          </cell>
          <cell r="G2429">
            <v>1</v>
          </cell>
          <cell r="H2429">
            <v>8.06</v>
          </cell>
          <cell r="I2429">
            <v>304.28995053600011</v>
          </cell>
          <cell r="J2429">
            <v>0</v>
          </cell>
        </row>
        <row r="2430">
          <cell r="E2430">
            <v>10110097</v>
          </cell>
          <cell r="F2430" t="str">
            <v>0006</v>
          </cell>
          <cell r="G2430">
            <v>1</v>
          </cell>
          <cell r="H2430">
            <v>4.22</v>
          </cell>
          <cell r="I2430">
            <v>128.2903867476</v>
          </cell>
          <cell r="J2430">
            <v>0</v>
          </cell>
        </row>
        <row r="2431">
          <cell r="E2431">
            <v>10110098</v>
          </cell>
          <cell r="F2431" t="str">
            <v>0002</v>
          </cell>
          <cell r="G2431">
            <v>13</v>
          </cell>
          <cell r="H2431">
            <v>118.24</v>
          </cell>
          <cell r="I2431">
            <v>5096.0665206000003</v>
          </cell>
          <cell r="J2431">
            <v>0</v>
          </cell>
        </row>
        <row r="2432">
          <cell r="E2432">
            <v>10110098</v>
          </cell>
          <cell r="F2432" t="str">
            <v>0005</v>
          </cell>
          <cell r="G2432">
            <v>1</v>
          </cell>
          <cell r="H2432">
            <v>11.8</v>
          </cell>
          <cell r="I2432">
            <v>500.00268384000009</v>
          </cell>
          <cell r="J2432">
            <v>0</v>
          </cell>
        </row>
        <row r="2433">
          <cell r="E2433">
            <v>10110100</v>
          </cell>
          <cell r="F2433" t="str">
            <v>0001</v>
          </cell>
          <cell r="G2433">
            <v>9</v>
          </cell>
          <cell r="H2433">
            <v>5.66</v>
          </cell>
          <cell r="I2433">
            <v>228.75687925200003</v>
          </cell>
          <cell r="J2433">
            <v>0</v>
          </cell>
        </row>
        <row r="2434">
          <cell r="E2434">
            <v>10110100</v>
          </cell>
          <cell r="F2434" t="str">
            <v>0002</v>
          </cell>
          <cell r="G2434">
            <v>1</v>
          </cell>
          <cell r="H2434">
            <v>5</v>
          </cell>
          <cell r="I2434">
            <v>201.30561</v>
          </cell>
          <cell r="J2434">
            <v>0</v>
          </cell>
        </row>
        <row r="2435">
          <cell r="E2435">
            <v>10110100</v>
          </cell>
          <cell r="F2435" t="str">
            <v>0003</v>
          </cell>
          <cell r="G2435">
            <v>8</v>
          </cell>
          <cell r="H2435">
            <v>40.080000000000005</v>
          </cell>
          <cell r="I2435">
            <v>2474.1720445948399</v>
          </cell>
          <cell r="J2435">
            <v>0</v>
          </cell>
        </row>
        <row r="2436">
          <cell r="E2436">
            <v>10110100</v>
          </cell>
          <cell r="F2436" t="str">
            <v>0004</v>
          </cell>
          <cell r="G2436">
            <v>10</v>
          </cell>
          <cell r="H2436">
            <v>20.310000000000002</v>
          </cell>
          <cell r="I2436">
            <v>1312.7382483824999</v>
          </cell>
          <cell r="J2436">
            <v>0</v>
          </cell>
        </row>
        <row r="2437">
          <cell r="E2437">
            <v>10110100</v>
          </cell>
          <cell r="F2437" t="str">
            <v>0005</v>
          </cell>
          <cell r="G2437">
            <v>13</v>
          </cell>
          <cell r="H2437">
            <v>73.41</v>
          </cell>
          <cell r="I2437">
            <v>4243.6450928614195</v>
          </cell>
          <cell r="J2437">
            <v>0</v>
          </cell>
        </row>
        <row r="2438">
          <cell r="E2438">
            <v>10110100</v>
          </cell>
          <cell r="F2438" t="str">
            <v>0006</v>
          </cell>
          <cell r="G2438">
            <v>14</v>
          </cell>
          <cell r="H2438">
            <v>1345.8</v>
          </cell>
          <cell r="I2438">
            <v>54223.804819008001</v>
          </cell>
          <cell r="J2438">
            <v>0</v>
          </cell>
        </row>
        <row r="2439">
          <cell r="E2439">
            <v>10110100</v>
          </cell>
          <cell r="F2439" t="str">
            <v>0008</v>
          </cell>
          <cell r="G2439">
            <v>10</v>
          </cell>
          <cell r="H2439">
            <v>438.00999999999993</v>
          </cell>
          <cell r="I2439">
            <v>16815.438914472001</v>
          </cell>
          <cell r="J2439">
            <v>0</v>
          </cell>
        </row>
        <row r="2440">
          <cell r="E2440">
            <v>10110100</v>
          </cell>
          <cell r="F2440" t="str">
            <v>0013</v>
          </cell>
          <cell r="G2440">
            <v>14</v>
          </cell>
          <cell r="H2440">
            <v>1913.03</v>
          </cell>
          <cell r="I2440">
            <v>77486.549871703217</v>
          </cell>
          <cell r="J2440">
            <v>0</v>
          </cell>
        </row>
        <row r="2441">
          <cell r="E2441">
            <v>10110100</v>
          </cell>
          <cell r="F2441" t="str">
            <v>0015</v>
          </cell>
          <cell r="G2441">
            <v>2</v>
          </cell>
          <cell r="H2441">
            <v>2.4000000000000004</v>
          </cell>
          <cell r="I2441">
            <v>116.73579922368</v>
          </cell>
          <cell r="J2441">
            <v>0</v>
          </cell>
        </row>
        <row r="2442">
          <cell r="E2442">
            <v>10110100</v>
          </cell>
          <cell r="F2442" t="str">
            <v>0016</v>
          </cell>
          <cell r="G2442">
            <v>9</v>
          </cell>
          <cell r="H2442">
            <v>10.130000000000001</v>
          </cell>
          <cell r="I2442">
            <v>640.17035738469008</v>
          </cell>
          <cell r="J2442">
            <v>0</v>
          </cell>
        </row>
        <row r="2443">
          <cell r="E2443">
            <v>10110100</v>
          </cell>
          <cell r="F2443" t="str">
            <v>0018</v>
          </cell>
          <cell r="G2443">
            <v>12</v>
          </cell>
          <cell r="H2443">
            <v>20</v>
          </cell>
          <cell r="I2443">
            <v>1171.4147751267499</v>
          </cell>
          <cell r="J2443">
            <v>0</v>
          </cell>
        </row>
        <row r="2444">
          <cell r="E2444">
            <v>10110100</v>
          </cell>
          <cell r="F2444" t="str">
            <v>0019</v>
          </cell>
          <cell r="G2444">
            <v>7</v>
          </cell>
          <cell r="H2444">
            <v>162.57000000000002</v>
          </cell>
          <cell r="I2444">
            <v>6847.8570111751023</v>
          </cell>
          <cell r="J2444">
            <v>0</v>
          </cell>
        </row>
        <row r="2445">
          <cell r="E2445">
            <v>10110100</v>
          </cell>
          <cell r="F2445" t="str">
            <v>0020</v>
          </cell>
          <cell r="G2445">
            <v>8</v>
          </cell>
          <cell r="H2445">
            <v>1209.1199999999999</v>
          </cell>
          <cell r="I2445">
            <v>50906.553899223014</v>
          </cell>
          <cell r="J2445">
            <v>0</v>
          </cell>
        </row>
        <row r="2446">
          <cell r="E2446">
            <v>10110100</v>
          </cell>
          <cell r="F2446" t="str">
            <v>0023</v>
          </cell>
          <cell r="G2446">
            <v>11</v>
          </cell>
          <cell r="H2446">
            <v>15.75</v>
          </cell>
          <cell r="I2446">
            <v>584.99020685160008</v>
          </cell>
          <cell r="J2446">
            <v>0</v>
          </cell>
        </row>
        <row r="2447">
          <cell r="E2447">
            <v>10110100</v>
          </cell>
          <cell r="F2447" t="str">
            <v>0025</v>
          </cell>
          <cell r="G2447">
            <v>7</v>
          </cell>
          <cell r="H2447">
            <v>13.46</v>
          </cell>
          <cell r="I2447">
            <v>532.55326212</v>
          </cell>
          <cell r="J2447">
            <v>0</v>
          </cell>
        </row>
        <row r="2448">
          <cell r="E2448">
            <v>10110100</v>
          </cell>
          <cell r="F2448" t="str">
            <v>0028</v>
          </cell>
          <cell r="G2448">
            <v>7</v>
          </cell>
          <cell r="H2448">
            <v>16.2</v>
          </cell>
          <cell r="I2448">
            <v>809.45180562498012</v>
          </cell>
          <cell r="J2448">
            <v>0</v>
          </cell>
        </row>
        <row r="2449">
          <cell r="E2449">
            <v>10110100</v>
          </cell>
          <cell r="F2449" t="str">
            <v>0029</v>
          </cell>
          <cell r="G2449">
            <v>10</v>
          </cell>
          <cell r="H2449">
            <v>37.510000000000005</v>
          </cell>
          <cell r="I2449">
            <v>2101.9016457643502</v>
          </cell>
          <cell r="J2449">
            <v>0</v>
          </cell>
        </row>
        <row r="2450">
          <cell r="E2450">
            <v>10110100</v>
          </cell>
          <cell r="F2450" t="str">
            <v>0030</v>
          </cell>
          <cell r="G2450">
            <v>14</v>
          </cell>
          <cell r="H2450">
            <v>39.190000000000005</v>
          </cell>
          <cell r="I2450">
            <v>1543.0290872040002</v>
          </cell>
          <cell r="J2450">
            <v>0</v>
          </cell>
        </row>
        <row r="2451">
          <cell r="E2451">
            <v>10110100</v>
          </cell>
          <cell r="F2451" t="str">
            <v>0031</v>
          </cell>
          <cell r="G2451">
            <v>14</v>
          </cell>
          <cell r="H2451">
            <v>36.839999999999996</v>
          </cell>
          <cell r="I2451">
            <v>1775.5748126412302</v>
          </cell>
          <cell r="J2451">
            <v>0</v>
          </cell>
        </row>
        <row r="2452">
          <cell r="E2452">
            <v>10110101</v>
          </cell>
          <cell r="F2452" t="str">
            <v>0001</v>
          </cell>
          <cell r="G2452">
            <v>13</v>
          </cell>
          <cell r="H2452">
            <v>6.0300000000000011</v>
          </cell>
          <cell r="I2452">
            <v>247.08142027549798</v>
          </cell>
          <cell r="J2452">
            <v>0</v>
          </cell>
        </row>
        <row r="2453">
          <cell r="E2453">
            <v>10110101</v>
          </cell>
          <cell r="F2453" t="str">
            <v>0002</v>
          </cell>
          <cell r="G2453">
            <v>13</v>
          </cell>
          <cell r="H2453">
            <v>129.44</v>
          </cell>
          <cell r="I2453">
            <v>5395.4803047207242</v>
          </cell>
          <cell r="J2453">
            <v>0</v>
          </cell>
        </row>
        <row r="2454">
          <cell r="E2454">
            <v>10110101</v>
          </cell>
          <cell r="F2454" t="str">
            <v>0004</v>
          </cell>
          <cell r="G2454">
            <v>7</v>
          </cell>
          <cell r="H2454">
            <v>13.21</v>
          </cell>
          <cell r="I2454">
            <v>528.2358003628201</v>
          </cell>
          <cell r="J2454">
            <v>0</v>
          </cell>
        </row>
        <row r="2455">
          <cell r="E2455">
            <v>10110101</v>
          </cell>
          <cell r="F2455" t="str">
            <v>0008</v>
          </cell>
          <cell r="G2455">
            <v>14</v>
          </cell>
          <cell r="H2455">
            <v>44.370000000000005</v>
          </cell>
          <cell r="I2455">
            <v>1956.4211110410133</v>
          </cell>
          <cell r="J2455">
            <v>0</v>
          </cell>
        </row>
        <row r="2456">
          <cell r="E2456">
            <v>10110101</v>
          </cell>
          <cell r="F2456" t="str">
            <v>0014</v>
          </cell>
          <cell r="G2456">
            <v>7</v>
          </cell>
          <cell r="H2456">
            <v>11.32</v>
          </cell>
          <cell r="I2456">
            <v>379.5855788934</v>
          </cell>
          <cell r="J2456">
            <v>0</v>
          </cell>
        </row>
        <row r="2457">
          <cell r="E2457">
            <v>10110101</v>
          </cell>
          <cell r="F2457" t="str">
            <v>0015</v>
          </cell>
          <cell r="G2457">
            <v>1</v>
          </cell>
          <cell r="H2457">
            <v>1.18</v>
          </cell>
          <cell r="I2457">
            <v>39.906866181600002</v>
          </cell>
          <cell r="J2457">
            <v>0</v>
          </cell>
        </row>
        <row r="2458">
          <cell r="E2458">
            <v>10110101</v>
          </cell>
          <cell r="F2458" t="str">
            <v>0018</v>
          </cell>
          <cell r="G2458">
            <v>6</v>
          </cell>
          <cell r="H2458">
            <v>12.51</v>
          </cell>
          <cell r="I2458">
            <v>548.21704706670005</v>
          </cell>
          <cell r="J2458">
            <v>0</v>
          </cell>
        </row>
        <row r="2459">
          <cell r="E2459">
            <v>10110101</v>
          </cell>
          <cell r="F2459" t="str">
            <v>0019</v>
          </cell>
          <cell r="G2459">
            <v>11</v>
          </cell>
          <cell r="H2459">
            <v>24.960000000000004</v>
          </cell>
          <cell r="I2459">
            <v>933.68422461600017</v>
          </cell>
          <cell r="J2459">
            <v>0</v>
          </cell>
        </row>
        <row r="2460">
          <cell r="E2460">
            <v>10110101</v>
          </cell>
          <cell r="F2460" t="str">
            <v>0020</v>
          </cell>
          <cell r="G2460">
            <v>7</v>
          </cell>
          <cell r="H2460">
            <v>15.26</v>
          </cell>
          <cell r="I2460">
            <v>662.73494680800002</v>
          </cell>
          <cell r="J2460">
            <v>0</v>
          </cell>
        </row>
        <row r="2461">
          <cell r="E2461">
            <v>10110101</v>
          </cell>
          <cell r="F2461" t="str">
            <v>0021</v>
          </cell>
          <cell r="G2461">
            <v>7</v>
          </cell>
          <cell r="H2461">
            <v>13.01</v>
          </cell>
          <cell r="I2461">
            <v>443.98750429439997</v>
          </cell>
          <cell r="J2461">
            <v>0</v>
          </cell>
        </row>
        <row r="2462">
          <cell r="E2462">
            <v>10110101</v>
          </cell>
          <cell r="F2462" t="str">
            <v>0023</v>
          </cell>
          <cell r="G2462">
            <v>13</v>
          </cell>
          <cell r="H2462">
            <v>23.16</v>
          </cell>
          <cell r="I2462">
            <v>1194.0865690761702</v>
          </cell>
          <cell r="J2462">
            <v>0</v>
          </cell>
        </row>
        <row r="2463">
          <cell r="E2463">
            <v>10110101</v>
          </cell>
          <cell r="F2463" t="str">
            <v>0024</v>
          </cell>
          <cell r="G2463">
            <v>14</v>
          </cell>
          <cell r="H2463">
            <v>32.520000000000003</v>
          </cell>
          <cell r="I2463">
            <v>1102.5458097984003</v>
          </cell>
          <cell r="J2463">
            <v>0</v>
          </cell>
        </row>
        <row r="2464">
          <cell r="E2464">
            <v>10110105</v>
          </cell>
          <cell r="F2464" t="str">
            <v>0002</v>
          </cell>
          <cell r="G2464">
            <v>14</v>
          </cell>
          <cell r="H2464">
            <v>144</v>
          </cell>
          <cell r="I2464">
            <v>8008.0410727599992</v>
          </cell>
          <cell r="J2464">
            <v>6336</v>
          </cell>
        </row>
        <row r="2465">
          <cell r="E2465">
            <v>10110105</v>
          </cell>
          <cell r="F2465" t="str">
            <v>0003</v>
          </cell>
          <cell r="G2465">
            <v>11</v>
          </cell>
          <cell r="H2465">
            <v>21.349999999999998</v>
          </cell>
          <cell r="I2465">
            <v>1132.1126032142101</v>
          </cell>
          <cell r="J2465">
            <v>0</v>
          </cell>
        </row>
        <row r="2466">
          <cell r="E2466">
            <v>10110105</v>
          </cell>
          <cell r="F2466" t="str">
            <v>0004</v>
          </cell>
          <cell r="G2466">
            <v>7</v>
          </cell>
          <cell r="H2466">
            <v>12.799999999999999</v>
          </cell>
          <cell r="I2466">
            <v>459.30106332000003</v>
          </cell>
          <cell r="J2466">
            <v>0</v>
          </cell>
        </row>
        <row r="2467">
          <cell r="E2467">
            <v>10110105</v>
          </cell>
          <cell r="F2467" t="str">
            <v>0005</v>
          </cell>
          <cell r="G2467">
            <v>13</v>
          </cell>
          <cell r="H2467">
            <v>57</v>
          </cell>
          <cell r="I2467">
            <v>2337.2559540000002</v>
          </cell>
          <cell r="J2467">
            <v>0</v>
          </cell>
        </row>
        <row r="2468">
          <cell r="E2468">
            <v>10110105</v>
          </cell>
          <cell r="F2468" t="str">
            <v>0006</v>
          </cell>
          <cell r="G2468">
            <v>14</v>
          </cell>
          <cell r="H2468">
            <v>78.58</v>
          </cell>
          <cell r="I2468">
            <v>3181.25628216</v>
          </cell>
          <cell r="J2468">
            <v>0</v>
          </cell>
        </row>
        <row r="2469">
          <cell r="E2469">
            <v>10110105</v>
          </cell>
          <cell r="F2469" t="str">
            <v>0009</v>
          </cell>
          <cell r="G2469">
            <v>6</v>
          </cell>
          <cell r="H2469">
            <v>14.14</v>
          </cell>
          <cell r="I2469">
            <v>510.03942105600009</v>
          </cell>
          <cell r="J2469">
            <v>0</v>
          </cell>
        </row>
        <row r="2470">
          <cell r="E2470">
            <v>10110105</v>
          </cell>
          <cell r="F2470" t="str">
            <v>0010</v>
          </cell>
          <cell r="G2470">
            <v>13</v>
          </cell>
          <cell r="H2470">
            <v>54.74</v>
          </cell>
          <cell r="I2470">
            <v>1970.4475549440001</v>
          </cell>
          <cell r="J2470">
            <v>0</v>
          </cell>
        </row>
        <row r="2471">
          <cell r="E2471">
            <v>10110105</v>
          </cell>
          <cell r="F2471" t="str">
            <v>0011</v>
          </cell>
          <cell r="G2471">
            <v>13</v>
          </cell>
          <cell r="H2471">
            <v>43.95</v>
          </cell>
          <cell r="I2471">
            <v>1603.6729533000005</v>
          </cell>
          <cell r="J2471">
            <v>0</v>
          </cell>
        </row>
        <row r="2472">
          <cell r="E2472">
            <v>10110105</v>
          </cell>
          <cell r="F2472" t="str">
            <v>0013</v>
          </cell>
          <cell r="G2472">
            <v>6</v>
          </cell>
          <cell r="H2472">
            <v>26.54</v>
          </cell>
          <cell r="I2472">
            <v>983.09865376800008</v>
          </cell>
          <cell r="J2472">
            <v>0</v>
          </cell>
        </row>
        <row r="2473">
          <cell r="E2473">
            <v>10110105</v>
          </cell>
          <cell r="F2473" t="str">
            <v>0020</v>
          </cell>
          <cell r="G2473">
            <v>13</v>
          </cell>
          <cell r="H2473">
            <v>68.94</v>
          </cell>
          <cell r="I2473">
            <v>2549.2640801759994</v>
          </cell>
          <cell r="J2473">
            <v>0</v>
          </cell>
        </row>
        <row r="2474">
          <cell r="E2474">
            <v>10110105</v>
          </cell>
          <cell r="F2474" t="str">
            <v>0021</v>
          </cell>
          <cell r="G2474">
            <v>4</v>
          </cell>
          <cell r="H2474">
            <v>6.09</v>
          </cell>
          <cell r="I2474">
            <v>219.14107261200002</v>
          </cell>
          <cell r="J2474">
            <v>0</v>
          </cell>
        </row>
        <row r="2475">
          <cell r="E2475">
            <v>10110105</v>
          </cell>
          <cell r="F2475" t="str">
            <v>0022</v>
          </cell>
          <cell r="G2475">
            <v>1</v>
          </cell>
          <cell r="H2475">
            <v>1.5</v>
          </cell>
          <cell r="I2475">
            <v>53.857623600000011</v>
          </cell>
          <cell r="J2475">
            <v>0</v>
          </cell>
        </row>
        <row r="2476">
          <cell r="E2476">
            <v>10110105</v>
          </cell>
          <cell r="F2476" t="str">
            <v>0025</v>
          </cell>
          <cell r="G2476">
            <v>12</v>
          </cell>
          <cell r="H2476">
            <v>31.93</v>
          </cell>
          <cell r="I2476">
            <v>1144.5953531760001</v>
          </cell>
          <cell r="J2476">
            <v>0</v>
          </cell>
        </row>
        <row r="2477">
          <cell r="E2477">
            <v>10110105</v>
          </cell>
          <cell r="F2477" t="str">
            <v>0028</v>
          </cell>
          <cell r="G2477">
            <v>13</v>
          </cell>
          <cell r="H2477">
            <v>25.41</v>
          </cell>
          <cell r="I2477">
            <v>908.65976295600012</v>
          </cell>
          <cell r="J2477">
            <v>0</v>
          </cell>
        </row>
        <row r="2478">
          <cell r="E2478">
            <v>10110105</v>
          </cell>
          <cell r="F2478" t="str">
            <v>0030</v>
          </cell>
          <cell r="G2478">
            <v>11</v>
          </cell>
          <cell r="H2478">
            <v>43.569999999999993</v>
          </cell>
          <cell r="I2478">
            <v>1552.3029042840003</v>
          </cell>
          <cell r="J2478">
            <v>0</v>
          </cell>
        </row>
        <row r="2479">
          <cell r="E2479">
            <v>10110105</v>
          </cell>
          <cell r="F2479" t="str">
            <v>0045</v>
          </cell>
          <cell r="G2479">
            <v>4</v>
          </cell>
          <cell r="H2479">
            <v>7.24</v>
          </cell>
          <cell r="I2479">
            <v>259.90787196000008</v>
          </cell>
          <cell r="J2479">
            <v>0</v>
          </cell>
        </row>
        <row r="2480">
          <cell r="E2480">
            <v>10110106</v>
          </cell>
          <cell r="F2480" t="str">
            <v>0001</v>
          </cell>
          <cell r="G2480">
            <v>14</v>
          </cell>
          <cell r="H2480">
            <v>6.3999999999999986</v>
          </cell>
          <cell r="I2480">
            <v>248.73471215999999</v>
          </cell>
          <cell r="J2480">
            <v>0</v>
          </cell>
        </row>
        <row r="2481">
          <cell r="E2481">
            <v>10110106</v>
          </cell>
          <cell r="F2481" t="str">
            <v>0002</v>
          </cell>
          <cell r="G2481">
            <v>14</v>
          </cell>
          <cell r="H2481">
            <v>1229.4000000000001</v>
          </cell>
          <cell r="I2481">
            <v>53403.39470119161</v>
          </cell>
          <cell r="J2481">
            <v>0</v>
          </cell>
        </row>
        <row r="2482">
          <cell r="E2482">
            <v>10110106</v>
          </cell>
          <cell r="F2482" t="str">
            <v>0003</v>
          </cell>
          <cell r="G2482">
            <v>14</v>
          </cell>
          <cell r="H2482">
            <v>1376.8000000000002</v>
          </cell>
          <cell r="I2482">
            <v>53943.903264240005</v>
          </cell>
          <cell r="J2482">
            <v>0</v>
          </cell>
        </row>
        <row r="2483">
          <cell r="E2483">
            <v>10110106</v>
          </cell>
          <cell r="F2483" t="str">
            <v>0014</v>
          </cell>
          <cell r="G2483">
            <v>6</v>
          </cell>
          <cell r="H2483">
            <v>87.44</v>
          </cell>
          <cell r="I2483">
            <v>3434.6349931212003</v>
          </cell>
          <cell r="J2483">
            <v>0</v>
          </cell>
        </row>
        <row r="2484">
          <cell r="E2484">
            <v>10110106</v>
          </cell>
          <cell r="F2484" t="str">
            <v>0026</v>
          </cell>
          <cell r="G2484">
            <v>13</v>
          </cell>
          <cell r="H2484">
            <v>63.920000000000009</v>
          </cell>
          <cell r="I2484">
            <v>4302.2603043984</v>
          </cell>
          <cell r="J2484">
            <v>0</v>
          </cell>
        </row>
        <row r="2485">
          <cell r="E2485">
            <v>10110106</v>
          </cell>
          <cell r="F2485" t="str">
            <v>0031</v>
          </cell>
          <cell r="G2485">
            <v>14</v>
          </cell>
          <cell r="H2485">
            <v>247.95999999999998</v>
          </cell>
          <cell r="I2485">
            <v>9569.4534801360005</v>
          </cell>
          <cell r="J2485">
            <v>0</v>
          </cell>
        </row>
        <row r="2486">
          <cell r="E2486">
            <v>10110106</v>
          </cell>
          <cell r="F2486" t="str">
            <v>0032</v>
          </cell>
          <cell r="G2486">
            <v>14</v>
          </cell>
          <cell r="H2486">
            <v>1263</v>
          </cell>
          <cell r="I2486">
            <v>49504.044862800009</v>
          </cell>
          <cell r="J2486">
            <v>0</v>
          </cell>
        </row>
        <row r="2487">
          <cell r="E2487">
            <v>10110106</v>
          </cell>
          <cell r="F2487" t="str">
            <v>0034</v>
          </cell>
          <cell r="G2487">
            <v>13</v>
          </cell>
          <cell r="H2487">
            <v>1147</v>
          </cell>
          <cell r="I2487">
            <v>44881.272493200013</v>
          </cell>
          <cell r="J2487">
            <v>0</v>
          </cell>
        </row>
        <row r="2488">
          <cell r="E2488">
            <v>10110106</v>
          </cell>
          <cell r="F2488" t="str">
            <v>0035</v>
          </cell>
          <cell r="G2488">
            <v>12</v>
          </cell>
          <cell r="H2488">
            <v>1200</v>
          </cell>
          <cell r="I2488">
            <v>46953.731880000007</v>
          </cell>
          <cell r="J2488">
            <v>0</v>
          </cell>
        </row>
        <row r="2489">
          <cell r="E2489">
            <v>10110109</v>
          </cell>
          <cell r="F2489" t="str">
            <v>0001</v>
          </cell>
          <cell r="G2489">
            <v>14</v>
          </cell>
          <cell r="H2489">
            <v>1.4000000000000001</v>
          </cell>
          <cell r="I2489">
            <v>57.659168160000007</v>
          </cell>
          <cell r="J2489">
            <v>0</v>
          </cell>
        </row>
        <row r="2490">
          <cell r="E2490">
            <v>10110109</v>
          </cell>
          <cell r="F2490" t="str">
            <v>0005</v>
          </cell>
          <cell r="G2490">
            <v>14</v>
          </cell>
          <cell r="H2490">
            <v>527.09999999999991</v>
          </cell>
          <cell r="I2490">
            <v>21734.694166680001</v>
          </cell>
          <cell r="J2490">
            <v>0</v>
          </cell>
        </row>
        <row r="2491">
          <cell r="E2491">
            <v>10110110</v>
          </cell>
          <cell r="F2491" t="str">
            <v>0001</v>
          </cell>
          <cell r="G2491">
            <v>13</v>
          </cell>
          <cell r="H2491">
            <v>2.5099999999999998</v>
          </cell>
          <cell r="I2491">
            <v>130.35642464360001</v>
          </cell>
          <cell r="J2491">
            <v>0</v>
          </cell>
        </row>
        <row r="2492">
          <cell r="E2492">
            <v>10110110</v>
          </cell>
          <cell r="F2492" t="str">
            <v>0002</v>
          </cell>
          <cell r="G2492">
            <v>14</v>
          </cell>
          <cell r="H2492">
            <v>143.86000000000001</v>
          </cell>
          <cell r="I2492">
            <v>5483.2481690604818</v>
          </cell>
          <cell r="J2492">
            <v>0</v>
          </cell>
        </row>
        <row r="2493">
          <cell r="E2493">
            <v>10110110</v>
          </cell>
          <cell r="F2493" t="str">
            <v>0006</v>
          </cell>
          <cell r="G2493">
            <v>14</v>
          </cell>
          <cell r="H2493">
            <v>93.990000000000009</v>
          </cell>
          <cell r="I2493">
            <v>5913.0879742838006</v>
          </cell>
          <cell r="J2493">
            <v>0</v>
          </cell>
        </row>
        <row r="2494">
          <cell r="E2494">
            <v>10110110</v>
          </cell>
          <cell r="F2494" t="str">
            <v>0008</v>
          </cell>
          <cell r="G2494">
            <v>13</v>
          </cell>
          <cell r="H2494">
            <v>49.43</v>
          </cell>
          <cell r="I2494">
            <v>1851.3947491776003</v>
          </cell>
          <cell r="J2494">
            <v>0</v>
          </cell>
        </row>
        <row r="2495">
          <cell r="E2495">
            <v>10110110</v>
          </cell>
          <cell r="F2495" t="str">
            <v>0010</v>
          </cell>
          <cell r="G2495">
            <v>13</v>
          </cell>
          <cell r="H2495">
            <v>33.74</v>
          </cell>
          <cell r="I2495">
            <v>1496.7755465325004</v>
          </cell>
          <cell r="J2495">
            <v>0</v>
          </cell>
        </row>
        <row r="2496">
          <cell r="E2496">
            <v>10110111</v>
          </cell>
          <cell r="F2496" t="str">
            <v>0001</v>
          </cell>
          <cell r="G2496">
            <v>14</v>
          </cell>
          <cell r="H2496">
            <v>5.14</v>
          </cell>
          <cell r="I2496">
            <v>297.14625693758006</v>
          </cell>
          <cell r="J2496">
            <v>0</v>
          </cell>
        </row>
        <row r="2497">
          <cell r="E2497">
            <v>10110111</v>
          </cell>
          <cell r="F2497" t="str">
            <v>0002</v>
          </cell>
          <cell r="G2497">
            <v>3</v>
          </cell>
          <cell r="H2497">
            <v>18.619999999999997</v>
          </cell>
          <cell r="I2497">
            <v>904.85246925360002</v>
          </cell>
          <cell r="J2497">
            <v>107</v>
          </cell>
        </row>
        <row r="2498">
          <cell r="E2498">
            <v>10110111</v>
          </cell>
          <cell r="F2498" t="str">
            <v>0009</v>
          </cell>
          <cell r="G2498">
            <v>14</v>
          </cell>
          <cell r="H2498">
            <v>208.79999999999998</v>
          </cell>
          <cell r="I2498">
            <v>10752.617033752202</v>
          </cell>
          <cell r="J2498">
            <v>0</v>
          </cell>
        </row>
        <row r="2499">
          <cell r="E2499">
            <v>10110111</v>
          </cell>
          <cell r="F2499" t="str">
            <v>0016</v>
          </cell>
          <cell r="G2499">
            <v>14</v>
          </cell>
          <cell r="H2499">
            <v>88.679999999999993</v>
          </cell>
          <cell r="I2499">
            <v>3224.2544539127998</v>
          </cell>
          <cell r="J2499">
            <v>0</v>
          </cell>
        </row>
        <row r="2500">
          <cell r="E2500">
            <v>10110111</v>
          </cell>
          <cell r="F2500" t="str">
            <v>0026</v>
          </cell>
          <cell r="G2500">
            <v>14</v>
          </cell>
          <cell r="H2500">
            <v>29.280000000000008</v>
          </cell>
          <cell r="I2500">
            <v>2039.4247739969999</v>
          </cell>
          <cell r="J2500">
            <v>0</v>
          </cell>
        </row>
        <row r="2501">
          <cell r="E2501">
            <v>10110114</v>
          </cell>
          <cell r="F2501" t="str">
            <v>0002</v>
          </cell>
          <cell r="G2501">
            <v>13</v>
          </cell>
          <cell r="H2501">
            <v>479.81000000000006</v>
          </cell>
          <cell r="I2501">
            <v>16077.008085633002</v>
          </cell>
          <cell r="J2501">
            <v>0</v>
          </cell>
        </row>
        <row r="2502">
          <cell r="E2502">
            <v>10110114</v>
          </cell>
          <cell r="F2502" t="str">
            <v>0006</v>
          </cell>
          <cell r="G2502">
            <v>5</v>
          </cell>
          <cell r="H2502">
            <v>59.019999999999996</v>
          </cell>
          <cell r="I2502">
            <v>2113.6596120684003</v>
          </cell>
          <cell r="J2502">
            <v>0</v>
          </cell>
        </row>
        <row r="2503">
          <cell r="E2503">
            <v>10110115</v>
          </cell>
          <cell r="F2503" t="str">
            <v>0002</v>
          </cell>
          <cell r="G2503">
            <v>3</v>
          </cell>
          <cell r="H2503">
            <v>146.80000000000001</v>
          </cell>
          <cell r="I2503">
            <v>5909.1565490100002</v>
          </cell>
          <cell r="J2503">
            <v>0</v>
          </cell>
        </row>
        <row r="2504">
          <cell r="E2504">
            <v>10110116</v>
          </cell>
          <cell r="F2504" t="str">
            <v>0002</v>
          </cell>
          <cell r="G2504">
            <v>14</v>
          </cell>
          <cell r="H2504">
            <v>252</v>
          </cell>
          <cell r="I2504">
            <v>9666.2354976000006</v>
          </cell>
          <cell r="J2504">
            <v>677.31999999999994</v>
          </cell>
        </row>
        <row r="2505">
          <cell r="E2505">
            <v>10110116</v>
          </cell>
          <cell r="F2505" t="str">
            <v>0003</v>
          </cell>
          <cell r="G2505">
            <v>14</v>
          </cell>
          <cell r="H2505">
            <v>21</v>
          </cell>
          <cell r="I2505">
            <v>784.89429480000001</v>
          </cell>
          <cell r="J2505">
            <v>0</v>
          </cell>
        </row>
        <row r="2506">
          <cell r="E2506">
            <v>10110116</v>
          </cell>
          <cell r="F2506" t="str">
            <v>0004</v>
          </cell>
          <cell r="G2506">
            <v>14</v>
          </cell>
          <cell r="H2506">
            <v>251.6</v>
          </cell>
          <cell r="I2506">
            <v>9651.4511227200019</v>
          </cell>
          <cell r="J2506">
            <v>0</v>
          </cell>
        </row>
        <row r="2507">
          <cell r="E2507">
            <v>10110116</v>
          </cell>
          <cell r="F2507" t="str">
            <v>0005</v>
          </cell>
          <cell r="G2507">
            <v>14</v>
          </cell>
          <cell r="H2507">
            <v>29.5</v>
          </cell>
          <cell r="I2507">
            <v>1097.8092576000001</v>
          </cell>
          <cell r="J2507">
            <v>0</v>
          </cell>
        </row>
        <row r="2508">
          <cell r="E2508">
            <v>10110116</v>
          </cell>
          <cell r="F2508" t="str">
            <v>0006</v>
          </cell>
          <cell r="G2508">
            <v>14</v>
          </cell>
          <cell r="H2508">
            <v>145.69999999999999</v>
          </cell>
          <cell r="I2508">
            <v>5579.3611328400011</v>
          </cell>
          <cell r="J2508">
            <v>0</v>
          </cell>
        </row>
        <row r="2509">
          <cell r="E2509">
            <v>10110118</v>
          </cell>
          <cell r="F2509" t="str">
            <v>0001</v>
          </cell>
          <cell r="G2509">
            <v>14</v>
          </cell>
          <cell r="H2509">
            <v>23.970000000000002</v>
          </cell>
          <cell r="I2509">
            <v>967.64794091460021</v>
          </cell>
          <cell r="J2509">
            <v>0</v>
          </cell>
        </row>
        <row r="2510">
          <cell r="E2510">
            <v>10110118</v>
          </cell>
          <cell r="F2510" t="str">
            <v>0002</v>
          </cell>
          <cell r="G2510">
            <v>14</v>
          </cell>
          <cell r="H2510">
            <v>481.26999999999992</v>
          </cell>
          <cell r="I2510">
            <v>19836.601354953404</v>
          </cell>
          <cell r="J2510">
            <v>0</v>
          </cell>
        </row>
        <row r="2511">
          <cell r="E2511">
            <v>10110118</v>
          </cell>
          <cell r="F2511" t="str">
            <v>0003</v>
          </cell>
          <cell r="G2511">
            <v>12</v>
          </cell>
          <cell r="H2511">
            <v>69.239999999999995</v>
          </cell>
          <cell r="I2511">
            <v>3399.8483568023303</v>
          </cell>
          <cell r="J2511">
            <v>0</v>
          </cell>
        </row>
        <row r="2512">
          <cell r="E2512">
            <v>10110118</v>
          </cell>
          <cell r="F2512" t="str">
            <v>0004</v>
          </cell>
          <cell r="G2512">
            <v>13</v>
          </cell>
          <cell r="H2512">
            <v>72.81</v>
          </cell>
          <cell r="I2512">
            <v>5181.9422001901803</v>
          </cell>
          <cell r="J2512">
            <v>0</v>
          </cell>
        </row>
        <row r="2513">
          <cell r="E2513">
            <v>10110118</v>
          </cell>
          <cell r="F2513" t="str">
            <v>0005</v>
          </cell>
          <cell r="G2513">
            <v>14</v>
          </cell>
          <cell r="H2513">
            <v>37.580000000000005</v>
          </cell>
          <cell r="I2513">
            <v>1300.4302425246001</v>
          </cell>
          <cell r="J2513">
            <v>0</v>
          </cell>
        </row>
        <row r="2514">
          <cell r="E2514">
            <v>10110118</v>
          </cell>
          <cell r="F2514" t="str">
            <v>0006</v>
          </cell>
          <cell r="G2514">
            <v>14</v>
          </cell>
          <cell r="H2514">
            <v>27.02</v>
          </cell>
          <cell r="I2514">
            <v>1210.61915077249</v>
          </cell>
          <cell r="J2514">
            <v>0</v>
          </cell>
        </row>
        <row r="2515">
          <cell r="E2515">
            <v>10110118</v>
          </cell>
          <cell r="F2515" t="str">
            <v>0007</v>
          </cell>
          <cell r="G2515">
            <v>14</v>
          </cell>
          <cell r="H2515">
            <v>81.850000000000009</v>
          </cell>
          <cell r="I2515">
            <v>3111.3280463562005</v>
          </cell>
          <cell r="J2515">
            <v>0</v>
          </cell>
        </row>
        <row r="2516">
          <cell r="E2516">
            <v>10110118</v>
          </cell>
          <cell r="F2516" t="str">
            <v>0010</v>
          </cell>
          <cell r="G2516">
            <v>14</v>
          </cell>
          <cell r="H2516">
            <v>143.04000000000002</v>
          </cell>
          <cell r="I2516">
            <v>5809.3686482059138</v>
          </cell>
          <cell r="J2516">
            <v>0</v>
          </cell>
        </row>
        <row r="2517">
          <cell r="E2517">
            <v>10110119</v>
          </cell>
          <cell r="F2517" t="str">
            <v>0002</v>
          </cell>
          <cell r="G2517">
            <v>12</v>
          </cell>
          <cell r="H2517">
            <v>136.71</v>
          </cell>
          <cell r="I2517">
            <v>5221.5567901916002</v>
          </cell>
          <cell r="J2517">
            <v>0</v>
          </cell>
        </row>
        <row r="2518">
          <cell r="E2518">
            <v>10110119</v>
          </cell>
          <cell r="F2518" t="str">
            <v>0003</v>
          </cell>
          <cell r="G2518">
            <v>14</v>
          </cell>
          <cell r="H2518">
            <v>50.779999999999994</v>
          </cell>
          <cell r="I2518">
            <v>1767.5952827543999</v>
          </cell>
          <cell r="J2518">
            <v>0</v>
          </cell>
        </row>
        <row r="2519">
          <cell r="E2519">
            <v>10110119</v>
          </cell>
          <cell r="F2519" t="str">
            <v>0004</v>
          </cell>
          <cell r="G2519">
            <v>14</v>
          </cell>
          <cell r="H2519">
            <v>23.099999999999998</v>
          </cell>
          <cell r="I2519">
            <v>953.70346011600009</v>
          </cell>
          <cell r="J2519">
            <v>0</v>
          </cell>
        </row>
        <row r="2520">
          <cell r="E2520">
            <v>10110119</v>
          </cell>
          <cell r="F2520" t="str">
            <v>0007</v>
          </cell>
          <cell r="G2520">
            <v>8</v>
          </cell>
          <cell r="H2520">
            <v>8.93</v>
          </cell>
          <cell r="I2520">
            <v>298.91385073440006</v>
          </cell>
          <cell r="J2520">
            <v>0</v>
          </cell>
        </row>
        <row r="2521">
          <cell r="E2521">
            <v>10110119</v>
          </cell>
          <cell r="F2521" t="str">
            <v>0009</v>
          </cell>
          <cell r="G2521">
            <v>7</v>
          </cell>
          <cell r="H2521">
            <v>14.7</v>
          </cell>
          <cell r="I2521">
            <v>637.84846976400001</v>
          </cell>
          <cell r="J2521">
            <v>0</v>
          </cell>
        </row>
        <row r="2522">
          <cell r="E2522">
            <v>10110119</v>
          </cell>
          <cell r="F2522" t="str">
            <v>0011</v>
          </cell>
          <cell r="G2522">
            <v>14</v>
          </cell>
          <cell r="H2522">
            <v>50.169999999999995</v>
          </cell>
          <cell r="I2522">
            <v>1771.8351322890005</v>
          </cell>
          <cell r="J2522">
            <v>0</v>
          </cell>
        </row>
        <row r="2523">
          <cell r="E2523">
            <v>10110119</v>
          </cell>
          <cell r="F2523" t="str">
            <v>0013</v>
          </cell>
          <cell r="G2523">
            <v>13</v>
          </cell>
          <cell r="H2523">
            <v>87.899999999999991</v>
          </cell>
          <cell r="I2523">
            <v>3492.5939549489999</v>
          </cell>
          <cell r="J2523">
            <v>0</v>
          </cell>
        </row>
        <row r="2524">
          <cell r="E2524">
            <v>10110119</v>
          </cell>
          <cell r="F2524" t="str">
            <v>0015</v>
          </cell>
          <cell r="G2524">
            <v>7</v>
          </cell>
          <cell r="H2524">
            <v>8.99</v>
          </cell>
          <cell r="I2524">
            <v>298.30351446720005</v>
          </cell>
          <cell r="J2524">
            <v>0</v>
          </cell>
        </row>
        <row r="2525">
          <cell r="E2525">
            <v>10110119</v>
          </cell>
          <cell r="F2525" t="str">
            <v>0016</v>
          </cell>
          <cell r="G2525">
            <v>7</v>
          </cell>
          <cell r="H2525">
            <v>21.789999999999996</v>
          </cell>
          <cell r="I2525">
            <v>735.76681201980011</v>
          </cell>
          <cell r="J2525">
            <v>0</v>
          </cell>
        </row>
        <row r="2526">
          <cell r="E2526">
            <v>10110120</v>
          </cell>
          <cell r="F2526" t="str">
            <v>0002</v>
          </cell>
          <cell r="G2526">
            <v>14</v>
          </cell>
          <cell r="H2526">
            <v>29.700000000000003</v>
          </cell>
          <cell r="I2526">
            <v>1318.0007624745003</v>
          </cell>
          <cell r="J2526">
            <v>0</v>
          </cell>
        </row>
        <row r="2527">
          <cell r="E2527">
            <v>10110120</v>
          </cell>
          <cell r="F2527" t="str">
            <v>0003</v>
          </cell>
          <cell r="G2527">
            <v>14</v>
          </cell>
          <cell r="H2527">
            <v>346</v>
          </cell>
          <cell r="I2527">
            <v>15470.491741949998</v>
          </cell>
          <cell r="J2527">
            <v>0</v>
          </cell>
        </row>
        <row r="2528">
          <cell r="E2528">
            <v>10110120</v>
          </cell>
          <cell r="F2528" t="str">
            <v>0004</v>
          </cell>
          <cell r="G2528">
            <v>14</v>
          </cell>
          <cell r="H2528">
            <v>170</v>
          </cell>
          <cell r="I2528">
            <v>7603.4188681500018</v>
          </cell>
          <cell r="J2528">
            <v>0</v>
          </cell>
        </row>
        <row r="2529">
          <cell r="E2529">
            <v>10110120</v>
          </cell>
          <cell r="F2529" t="str">
            <v>0005</v>
          </cell>
          <cell r="G2529">
            <v>14</v>
          </cell>
          <cell r="H2529">
            <v>250</v>
          </cell>
          <cell r="I2529">
            <v>11133.167134800002</v>
          </cell>
          <cell r="J2529">
            <v>0</v>
          </cell>
        </row>
        <row r="2530">
          <cell r="E2530">
            <v>10110120</v>
          </cell>
          <cell r="F2530" t="str">
            <v>0006</v>
          </cell>
          <cell r="G2530">
            <v>14</v>
          </cell>
          <cell r="H2530">
            <v>260</v>
          </cell>
          <cell r="I2530">
            <v>11575.378354799999</v>
          </cell>
          <cell r="J2530">
            <v>0</v>
          </cell>
        </row>
        <row r="2531">
          <cell r="E2531">
            <v>10110120</v>
          </cell>
          <cell r="F2531" t="str">
            <v>0007</v>
          </cell>
          <cell r="G2531">
            <v>14</v>
          </cell>
          <cell r="H2531">
            <v>300</v>
          </cell>
          <cell r="I2531">
            <v>13413.772105950002</v>
          </cell>
          <cell r="J2531">
            <v>0</v>
          </cell>
        </row>
        <row r="2532">
          <cell r="E2532">
            <v>10110121</v>
          </cell>
          <cell r="F2532" t="str">
            <v>0002</v>
          </cell>
          <cell r="G2532">
            <v>14</v>
          </cell>
          <cell r="H2532">
            <v>427.53</v>
          </cell>
          <cell r="I2532">
            <v>15451.542686626202</v>
          </cell>
          <cell r="J2532">
            <v>0</v>
          </cell>
        </row>
        <row r="2533">
          <cell r="E2533">
            <v>10110123</v>
          </cell>
          <cell r="F2533" t="str">
            <v>0001</v>
          </cell>
          <cell r="G2533">
            <v>14</v>
          </cell>
          <cell r="H2533">
            <v>15.959999999999999</v>
          </cell>
          <cell r="I2533">
            <v>865.6196921154002</v>
          </cell>
          <cell r="J2533">
            <v>0</v>
          </cell>
        </row>
        <row r="2534">
          <cell r="E2534">
            <v>10110123</v>
          </cell>
          <cell r="F2534" t="str">
            <v>0002</v>
          </cell>
          <cell r="G2534">
            <v>14</v>
          </cell>
          <cell r="H2534">
            <v>134.13999999999999</v>
          </cell>
          <cell r="I2534">
            <v>5027.4099372816017</v>
          </cell>
          <cell r="J2534">
            <v>0</v>
          </cell>
        </row>
        <row r="2535">
          <cell r="E2535">
            <v>10110123</v>
          </cell>
          <cell r="F2535" t="str">
            <v>0003</v>
          </cell>
          <cell r="G2535">
            <v>1</v>
          </cell>
          <cell r="H2535">
            <v>16.41</v>
          </cell>
          <cell r="I2535">
            <v>1224.0684133244999</v>
          </cell>
          <cell r="J2535">
            <v>0</v>
          </cell>
        </row>
        <row r="2536">
          <cell r="E2536">
            <v>10110123</v>
          </cell>
          <cell r="F2536" t="str">
            <v>0005</v>
          </cell>
          <cell r="G2536">
            <v>12</v>
          </cell>
          <cell r="H2536">
            <v>76.7</v>
          </cell>
          <cell r="I2536">
            <v>4095.7034534927398</v>
          </cell>
          <cell r="J2536">
            <v>0</v>
          </cell>
        </row>
        <row r="2537">
          <cell r="E2537">
            <v>10110123</v>
          </cell>
          <cell r="F2537" t="str">
            <v>0006</v>
          </cell>
          <cell r="G2537">
            <v>14</v>
          </cell>
          <cell r="H2537">
            <v>253.64000000000001</v>
          </cell>
          <cell r="I2537">
            <v>9430.8818301918</v>
          </cell>
          <cell r="J2537">
            <v>0</v>
          </cell>
        </row>
        <row r="2538">
          <cell r="E2538">
            <v>10110123</v>
          </cell>
          <cell r="F2538" t="str">
            <v>0007</v>
          </cell>
          <cell r="G2538">
            <v>14</v>
          </cell>
          <cell r="H2538">
            <v>193.91</v>
          </cell>
          <cell r="I2538">
            <v>7387.5646221101997</v>
          </cell>
          <cell r="J2538">
            <v>0</v>
          </cell>
        </row>
        <row r="2539">
          <cell r="E2539">
            <v>10110123</v>
          </cell>
          <cell r="F2539" t="str">
            <v>0011</v>
          </cell>
          <cell r="G2539">
            <v>14</v>
          </cell>
          <cell r="H2539">
            <v>142.42999999999998</v>
          </cell>
          <cell r="I2539">
            <v>7206.7238845379006</v>
          </cell>
          <cell r="J2539">
            <v>0</v>
          </cell>
        </row>
        <row r="2540">
          <cell r="E2540">
            <v>10110123</v>
          </cell>
          <cell r="F2540" t="str">
            <v>0015</v>
          </cell>
          <cell r="G2540">
            <v>14</v>
          </cell>
          <cell r="H2540">
            <v>149.36999999999998</v>
          </cell>
          <cell r="I2540">
            <v>5523.3801936720001</v>
          </cell>
          <cell r="J2540">
            <v>0</v>
          </cell>
        </row>
        <row r="2541">
          <cell r="E2541">
            <v>10110123</v>
          </cell>
          <cell r="F2541" t="str">
            <v>0017</v>
          </cell>
          <cell r="G2541">
            <v>14</v>
          </cell>
          <cell r="H2541">
            <v>37.229999999999997</v>
          </cell>
          <cell r="I2541">
            <v>1361.6848792206001</v>
          </cell>
          <cell r="J2541">
            <v>0</v>
          </cell>
        </row>
        <row r="2542">
          <cell r="E2542">
            <v>10110123</v>
          </cell>
          <cell r="F2542" t="str">
            <v>0018</v>
          </cell>
          <cell r="G2542">
            <v>11</v>
          </cell>
          <cell r="H2542">
            <v>23.14</v>
          </cell>
          <cell r="I2542">
            <v>1467.2931462740999</v>
          </cell>
          <cell r="J2542">
            <v>0</v>
          </cell>
        </row>
        <row r="2543">
          <cell r="E2543">
            <v>10110123</v>
          </cell>
          <cell r="F2543" t="str">
            <v>0022</v>
          </cell>
          <cell r="G2543">
            <v>14</v>
          </cell>
          <cell r="H2543">
            <v>89.859999999999985</v>
          </cell>
          <cell r="I2543">
            <v>3439.6330779360005</v>
          </cell>
          <cell r="J2543">
            <v>0</v>
          </cell>
        </row>
        <row r="2544">
          <cell r="E2544">
            <v>10110123</v>
          </cell>
          <cell r="F2544" t="str">
            <v>0025</v>
          </cell>
          <cell r="G2544">
            <v>1</v>
          </cell>
          <cell r="H2544">
            <v>7.02</v>
          </cell>
          <cell r="I2544">
            <v>496.3748267556</v>
          </cell>
          <cell r="J2544">
            <v>0</v>
          </cell>
        </row>
        <row r="2545">
          <cell r="E2545">
            <v>10110123</v>
          </cell>
          <cell r="F2545" t="str">
            <v>0027</v>
          </cell>
          <cell r="G2545">
            <v>14</v>
          </cell>
          <cell r="H2545">
            <v>19.739999999999998</v>
          </cell>
          <cell r="I2545">
            <v>1243.6407613579001</v>
          </cell>
          <cell r="J2545">
            <v>0</v>
          </cell>
        </row>
        <row r="2546">
          <cell r="E2546">
            <v>10110123</v>
          </cell>
          <cell r="F2546" t="str">
            <v>0028</v>
          </cell>
          <cell r="G2546">
            <v>14</v>
          </cell>
          <cell r="H2546">
            <v>104.20999999999998</v>
          </cell>
          <cell r="I2546">
            <v>5740.3608968669005</v>
          </cell>
          <cell r="J2546">
            <v>0</v>
          </cell>
        </row>
        <row r="2547">
          <cell r="E2547">
            <v>10110123</v>
          </cell>
          <cell r="F2547" t="str">
            <v>0029</v>
          </cell>
          <cell r="G2547">
            <v>14</v>
          </cell>
          <cell r="H2547">
            <v>61.840000000000018</v>
          </cell>
          <cell r="I2547">
            <v>3459.8865130377008</v>
          </cell>
          <cell r="J2547">
            <v>0</v>
          </cell>
        </row>
        <row r="2548">
          <cell r="E2548">
            <v>10110123</v>
          </cell>
          <cell r="F2548" t="str">
            <v>0030</v>
          </cell>
          <cell r="G2548">
            <v>11</v>
          </cell>
          <cell r="H2548">
            <v>25.02</v>
          </cell>
          <cell r="I2548">
            <v>1232.6748389342001</v>
          </cell>
          <cell r="J2548">
            <v>0</v>
          </cell>
        </row>
        <row r="2549">
          <cell r="E2549">
            <v>10110124</v>
          </cell>
          <cell r="F2549" t="str">
            <v>0001</v>
          </cell>
          <cell r="G2549">
            <v>14</v>
          </cell>
          <cell r="H2549">
            <v>10.88</v>
          </cell>
          <cell r="I2549">
            <v>498.79330066521999</v>
          </cell>
          <cell r="J2549">
            <v>0</v>
          </cell>
        </row>
        <row r="2550">
          <cell r="E2550">
            <v>10110124</v>
          </cell>
          <cell r="F2550" t="str">
            <v>0002</v>
          </cell>
          <cell r="G2550">
            <v>11</v>
          </cell>
          <cell r="H2550">
            <v>67.28</v>
          </cell>
          <cell r="I2550">
            <v>2962.7150783470197</v>
          </cell>
          <cell r="J2550">
            <v>0</v>
          </cell>
        </row>
        <row r="2551">
          <cell r="E2551">
            <v>10110124</v>
          </cell>
          <cell r="F2551" t="str">
            <v>0003</v>
          </cell>
          <cell r="G2551">
            <v>13</v>
          </cell>
          <cell r="H2551">
            <v>61.659999999999982</v>
          </cell>
          <cell r="I2551">
            <v>2503.0127799724805</v>
          </cell>
          <cell r="J2551">
            <v>0</v>
          </cell>
        </row>
        <row r="2552">
          <cell r="E2552">
            <v>10110124</v>
          </cell>
          <cell r="F2552" t="str">
            <v>0006</v>
          </cell>
          <cell r="G2552">
            <v>8</v>
          </cell>
          <cell r="H2552">
            <v>32.269999999999996</v>
          </cell>
          <cell r="I2552">
            <v>1783.0636228961005</v>
          </cell>
          <cell r="J2552">
            <v>0</v>
          </cell>
        </row>
        <row r="2553">
          <cell r="E2553">
            <v>10110124</v>
          </cell>
          <cell r="F2553" t="str">
            <v>0008</v>
          </cell>
          <cell r="G2553">
            <v>13</v>
          </cell>
          <cell r="H2553">
            <v>60.129999999999995</v>
          </cell>
          <cell r="I2553">
            <v>2259.8922918132002</v>
          </cell>
          <cell r="J2553">
            <v>0</v>
          </cell>
        </row>
        <row r="2554">
          <cell r="E2554">
            <v>10110124</v>
          </cell>
          <cell r="F2554" t="str">
            <v>0009</v>
          </cell>
          <cell r="G2554">
            <v>14</v>
          </cell>
          <cell r="H2554">
            <v>116.18</v>
          </cell>
          <cell r="I2554">
            <v>4403.5659931823993</v>
          </cell>
          <cell r="J2554">
            <v>0</v>
          </cell>
        </row>
        <row r="2555">
          <cell r="E2555">
            <v>10110124</v>
          </cell>
          <cell r="F2555" t="str">
            <v>0012</v>
          </cell>
          <cell r="G2555">
            <v>13</v>
          </cell>
          <cell r="H2555">
            <v>125.55000000000001</v>
          </cell>
          <cell r="I2555">
            <v>5653.5951235005004</v>
          </cell>
          <cell r="J2555">
            <v>0</v>
          </cell>
        </row>
        <row r="2556">
          <cell r="E2556">
            <v>10110124</v>
          </cell>
          <cell r="F2556" t="str">
            <v>0013</v>
          </cell>
          <cell r="G2556">
            <v>13</v>
          </cell>
          <cell r="H2556">
            <v>61.669999999999995</v>
          </cell>
          <cell r="I2556">
            <v>2355.0037611804</v>
          </cell>
          <cell r="J2556">
            <v>0</v>
          </cell>
        </row>
        <row r="2557">
          <cell r="E2557">
            <v>10110124</v>
          </cell>
          <cell r="F2557" t="str">
            <v>0016</v>
          </cell>
          <cell r="G2557">
            <v>14</v>
          </cell>
          <cell r="H2557">
            <v>79.38</v>
          </cell>
          <cell r="I2557">
            <v>3014.3785515624008</v>
          </cell>
          <cell r="J2557">
            <v>0</v>
          </cell>
        </row>
        <row r="2558">
          <cell r="E2558">
            <v>10110124</v>
          </cell>
          <cell r="F2558" t="str">
            <v>0017</v>
          </cell>
          <cell r="G2558">
            <v>12</v>
          </cell>
          <cell r="H2558">
            <v>47.72</v>
          </cell>
          <cell r="I2558">
            <v>2833.7525042823095</v>
          </cell>
          <cell r="J2558">
            <v>0</v>
          </cell>
        </row>
        <row r="2559">
          <cell r="E2559">
            <v>10110124</v>
          </cell>
          <cell r="F2559" t="str">
            <v>0024</v>
          </cell>
          <cell r="G2559">
            <v>13</v>
          </cell>
          <cell r="H2559">
            <v>21.6</v>
          </cell>
          <cell r="I2559">
            <v>806.52461622479996</v>
          </cell>
          <cell r="J2559">
            <v>0</v>
          </cell>
        </row>
        <row r="2560">
          <cell r="E2560">
            <v>10110124</v>
          </cell>
          <cell r="F2560" t="str">
            <v>0026</v>
          </cell>
          <cell r="G2560">
            <v>7</v>
          </cell>
          <cell r="H2560">
            <v>104.11000000000001</v>
          </cell>
          <cell r="I2560">
            <v>4053.929208516</v>
          </cell>
          <cell r="J2560">
            <v>0</v>
          </cell>
        </row>
        <row r="2561">
          <cell r="E2561">
            <v>10110128</v>
          </cell>
          <cell r="F2561" t="str">
            <v>0001</v>
          </cell>
          <cell r="G2561">
            <v>14</v>
          </cell>
          <cell r="H2561">
            <v>5.4</v>
          </cell>
          <cell r="I2561">
            <v>201.25569816000001</v>
          </cell>
          <cell r="J2561">
            <v>0</v>
          </cell>
        </row>
        <row r="2562">
          <cell r="E2562">
            <v>10110128</v>
          </cell>
          <cell r="F2562" t="str">
            <v>0002</v>
          </cell>
          <cell r="G2562">
            <v>14</v>
          </cell>
          <cell r="H2562">
            <v>447.11999999999989</v>
          </cell>
          <cell r="I2562">
            <v>16759.220150019602</v>
          </cell>
          <cell r="J2562">
            <v>0</v>
          </cell>
        </row>
        <row r="2563">
          <cell r="E2563">
            <v>10110128</v>
          </cell>
          <cell r="F2563" t="str">
            <v>0004</v>
          </cell>
          <cell r="G2563">
            <v>9</v>
          </cell>
          <cell r="H2563">
            <v>184.72000000000003</v>
          </cell>
          <cell r="I2563">
            <v>6972.1550561520007</v>
          </cell>
          <cell r="J2563">
            <v>0</v>
          </cell>
        </row>
        <row r="2564">
          <cell r="E2564">
            <v>10110128</v>
          </cell>
          <cell r="F2564" t="str">
            <v>0005</v>
          </cell>
          <cell r="G2564">
            <v>13</v>
          </cell>
          <cell r="H2564">
            <v>547.80999999999995</v>
          </cell>
          <cell r="I2564">
            <v>20664.779032260005</v>
          </cell>
          <cell r="J2564">
            <v>0</v>
          </cell>
        </row>
        <row r="2565">
          <cell r="E2565">
            <v>10110128</v>
          </cell>
          <cell r="F2565" t="str">
            <v>0006</v>
          </cell>
          <cell r="G2565">
            <v>5</v>
          </cell>
          <cell r="H2565">
            <v>191.86</v>
          </cell>
          <cell r="I2565">
            <v>7317.7871152320004</v>
          </cell>
          <cell r="J2565">
            <v>0</v>
          </cell>
        </row>
        <row r="2566">
          <cell r="E2566">
            <v>10110128</v>
          </cell>
          <cell r="F2566" t="str">
            <v>0009</v>
          </cell>
          <cell r="G2566">
            <v>2</v>
          </cell>
          <cell r="H2566">
            <v>3.16</v>
          </cell>
          <cell r="I2566">
            <v>120.465734004</v>
          </cell>
          <cell r="J2566">
            <v>0</v>
          </cell>
        </row>
        <row r="2567">
          <cell r="E2567">
            <v>10110128</v>
          </cell>
          <cell r="F2567" t="str">
            <v>0010</v>
          </cell>
          <cell r="G2567">
            <v>8</v>
          </cell>
          <cell r="H2567">
            <v>23.400000000000006</v>
          </cell>
          <cell r="I2567">
            <v>913.23393479999993</v>
          </cell>
          <cell r="J2567">
            <v>0</v>
          </cell>
        </row>
        <row r="2568">
          <cell r="E2568">
            <v>10110128</v>
          </cell>
          <cell r="F2568" t="str">
            <v>0012</v>
          </cell>
          <cell r="G2568">
            <v>13</v>
          </cell>
          <cell r="H2568">
            <v>217.90000000000003</v>
          </cell>
          <cell r="I2568">
            <v>8191.6595885520001</v>
          </cell>
          <cell r="J2568">
            <v>0</v>
          </cell>
        </row>
        <row r="2569">
          <cell r="E2569">
            <v>10110128</v>
          </cell>
          <cell r="F2569" t="str">
            <v>0013</v>
          </cell>
          <cell r="G2569">
            <v>14</v>
          </cell>
          <cell r="H2569">
            <v>217.9</v>
          </cell>
          <cell r="I2569">
            <v>8337.8359029240019</v>
          </cell>
          <cell r="J2569">
            <v>0</v>
          </cell>
        </row>
        <row r="2570">
          <cell r="E2570">
            <v>10110128</v>
          </cell>
          <cell r="F2570" t="str">
            <v>0014</v>
          </cell>
          <cell r="G2570">
            <v>14</v>
          </cell>
          <cell r="H2570">
            <v>51.640000000000008</v>
          </cell>
          <cell r="I2570">
            <v>1929.9255821009999</v>
          </cell>
          <cell r="J2570">
            <v>0</v>
          </cell>
        </row>
        <row r="2571">
          <cell r="E2571">
            <v>10110128</v>
          </cell>
          <cell r="F2571" t="str">
            <v>0015</v>
          </cell>
          <cell r="G2571">
            <v>13</v>
          </cell>
          <cell r="H2571">
            <v>616.37</v>
          </cell>
          <cell r="I2571">
            <v>23071.590262116002</v>
          </cell>
          <cell r="J2571">
            <v>0</v>
          </cell>
        </row>
        <row r="2572">
          <cell r="E2572">
            <v>10110128</v>
          </cell>
          <cell r="F2572" t="str">
            <v>0016</v>
          </cell>
          <cell r="G2572">
            <v>6</v>
          </cell>
          <cell r="H2572">
            <v>70.64</v>
          </cell>
          <cell r="I2572">
            <v>2708.9547194160004</v>
          </cell>
          <cell r="J2572">
            <v>0</v>
          </cell>
        </row>
        <row r="2573">
          <cell r="E2573">
            <v>10110129</v>
          </cell>
          <cell r="F2573" t="str">
            <v>0002</v>
          </cell>
          <cell r="G2573">
            <v>8</v>
          </cell>
          <cell r="H2573">
            <v>484.29</v>
          </cell>
          <cell r="I2573">
            <v>20936.313056130544</v>
          </cell>
          <cell r="J2573">
            <v>0</v>
          </cell>
        </row>
        <row r="2574">
          <cell r="E2574">
            <v>10110129</v>
          </cell>
          <cell r="F2574" t="str">
            <v>0006</v>
          </cell>
          <cell r="G2574">
            <v>8</v>
          </cell>
          <cell r="H2574">
            <v>341.03999999999996</v>
          </cell>
          <cell r="I2574">
            <v>14479.314484200682</v>
          </cell>
          <cell r="J2574">
            <v>0</v>
          </cell>
        </row>
        <row r="2575">
          <cell r="E2575">
            <v>10110129</v>
          </cell>
          <cell r="F2575" t="str">
            <v>0007</v>
          </cell>
          <cell r="G2575">
            <v>8</v>
          </cell>
          <cell r="H2575">
            <v>386.74</v>
          </cell>
          <cell r="I2575">
            <v>15967.156338600686</v>
          </cell>
          <cell r="J2575">
            <v>0</v>
          </cell>
        </row>
        <row r="2576">
          <cell r="E2576">
            <v>10110132</v>
          </cell>
          <cell r="F2576" t="str">
            <v>0002</v>
          </cell>
          <cell r="G2576">
            <v>9</v>
          </cell>
          <cell r="H2576">
            <v>167.25</v>
          </cell>
          <cell r="I2576">
            <v>6729.6164874840006</v>
          </cell>
          <cell r="J2576">
            <v>0</v>
          </cell>
        </row>
        <row r="2577">
          <cell r="E2577">
            <v>10110133</v>
          </cell>
          <cell r="F2577" t="str">
            <v>0002</v>
          </cell>
          <cell r="G2577">
            <v>7</v>
          </cell>
          <cell r="H2577">
            <v>2915.1</v>
          </cell>
          <cell r="I2577">
            <v>120988.85028912002</v>
          </cell>
          <cell r="J2577">
            <v>0</v>
          </cell>
        </row>
        <row r="2578">
          <cell r="E2578">
            <v>10110133</v>
          </cell>
          <cell r="F2578" t="str">
            <v>0006</v>
          </cell>
          <cell r="G2578">
            <v>1</v>
          </cell>
          <cell r="H2578">
            <v>420</v>
          </cell>
          <cell r="I2578">
            <v>17907.574607999999</v>
          </cell>
          <cell r="J2578">
            <v>0</v>
          </cell>
        </row>
        <row r="2579">
          <cell r="E2579">
            <v>10110134</v>
          </cell>
          <cell r="F2579" t="str">
            <v>0002</v>
          </cell>
          <cell r="G2579">
            <v>14</v>
          </cell>
          <cell r="H2579">
            <v>262.66000000000008</v>
          </cell>
          <cell r="I2579">
            <v>10358.530579148952</v>
          </cell>
          <cell r="J2579">
            <v>0</v>
          </cell>
        </row>
        <row r="2580">
          <cell r="E2580">
            <v>10110134</v>
          </cell>
          <cell r="F2580" t="str">
            <v>0003</v>
          </cell>
          <cell r="G2580">
            <v>4</v>
          </cell>
          <cell r="H2580">
            <v>12.84</v>
          </cell>
          <cell r="I2580">
            <v>631.94287343324413</v>
          </cell>
          <cell r="J2580">
            <v>0</v>
          </cell>
        </row>
        <row r="2581">
          <cell r="E2581">
            <v>10110135</v>
          </cell>
          <cell r="F2581" t="str">
            <v>0001</v>
          </cell>
          <cell r="G2581">
            <v>13</v>
          </cell>
          <cell r="H2581">
            <v>7.3</v>
          </cell>
          <cell r="I2581">
            <v>299.38783921200002</v>
          </cell>
          <cell r="J2581">
            <v>0</v>
          </cell>
        </row>
        <row r="2582">
          <cell r="E2582">
            <v>10110135</v>
          </cell>
          <cell r="F2582" t="str">
            <v>0002</v>
          </cell>
          <cell r="G2582">
            <v>1</v>
          </cell>
          <cell r="H2582">
            <v>6.32</v>
          </cell>
          <cell r="I2582">
            <v>255.36712497120007</v>
          </cell>
          <cell r="J2582">
            <v>0</v>
          </cell>
        </row>
        <row r="2583">
          <cell r="E2583">
            <v>10110135</v>
          </cell>
          <cell r="F2583" t="str">
            <v>0004</v>
          </cell>
          <cell r="G2583">
            <v>14</v>
          </cell>
          <cell r="H2583">
            <v>70.309999999999988</v>
          </cell>
          <cell r="I2583">
            <v>2534.9969681190009</v>
          </cell>
          <cell r="J2583">
            <v>0</v>
          </cell>
        </row>
        <row r="2584">
          <cell r="E2584">
            <v>10110135</v>
          </cell>
          <cell r="F2584" t="str">
            <v>0007</v>
          </cell>
          <cell r="G2584">
            <v>7</v>
          </cell>
          <cell r="H2584">
            <v>34.14</v>
          </cell>
          <cell r="I2584">
            <v>1364.4479986871581</v>
          </cell>
          <cell r="J2584">
            <v>0</v>
          </cell>
        </row>
        <row r="2585">
          <cell r="E2585">
            <v>10110135</v>
          </cell>
          <cell r="F2585" t="str">
            <v>0008</v>
          </cell>
          <cell r="G2585">
            <v>14</v>
          </cell>
          <cell r="H2585">
            <v>47.349999999999994</v>
          </cell>
          <cell r="I2585">
            <v>1979.9900362440003</v>
          </cell>
          <cell r="J2585">
            <v>0</v>
          </cell>
        </row>
        <row r="2586">
          <cell r="E2586">
            <v>10110135</v>
          </cell>
          <cell r="F2586" t="str">
            <v>0009</v>
          </cell>
          <cell r="G2586">
            <v>14</v>
          </cell>
          <cell r="H2586">
            <v>212.21</v>
          </cell>
          <cell r="I2586">
            <v>9656.0939106758324</v>
          </cell>
          <cell r="J2586">
            <v>0</v>
          </cell>
        </row>
        <row r="2587">
          <cell r="E2587">
            <v>10110135</v>
          </cell>
          <cell r="F2587" t="str">
            <v>0012</v>
          </cell>
          <cell r="G2587">
            <v>14</v>
          </cell>
          <cell r="H2587">
            <v>58.22</v>
          </cell>
          <cell r="I2587">
            <v>2055.7166860098</v>
          </cell>
          <cell r="J2587">
            <v>0</v>
          </cell>
        </row>
        <row r="2588">
          <cell r="E2588">
            <v>10110135</v>
          </cell>
          <cell r="F2588" t="str">
            <v>0013</v>
          </cell>
          <cell r="G2588">
            <v>7</v>
          </cell>
          <cell r="H2588">
            <v>15.180000000000001</v>
          </cell>
          <cell r="I2588">
            <v>656.04641929200011</v>
          </cell>
          <cell r="J2588">
            <v>0</v>
          </cell>
        </row>
        <row r="2589">
          <cell r="E2589">
            <v>10110135</v>
          </cell>
          <cell r="F2589" t="str">
            <v>0014</v>
          </cell>
          <cell r="G2589">
            <v>5</v>
          </cell>
          <cell r="H2589">
            <v>14.659999999999998</v>
          </cell>
          <cell r="I2589">
            <v>612.03002283720002</v>
          </cell>
          <cell r="J2589">
            <v>0</v>
          </cell>
        </row>
        <row r="2590">
          <cell r="E2590">
            <v>10110135</v>
          </cell>
          <cell r="F2590" t="str">
            <v>0016</v>
          </cell>
          <cell r="G2590">
            <v>14</v>
          </cell>
          <cell r="H2590">
            <v>31.76</v>
          </cell>
          <cell r="I2590">
            <v>1462.8392962382813</v>
          </cell>
          <cell r="J2590">
            <v>0</v>
          </cell>
        </row>
        <row r="2591">
          <cell r="E2591">
            <v>10110140</v>
          </cell>
          <cell r="F2591" t="str">
            <v>0001</v>
          </cell>
          <cell r="G2591">
            <v>14</v>
          </cell>
          <cell r="H2591">
            <v>4.0399999999999991</v>
          </cell>
          <cell r="I2591">
            <v>196.72152620610001</v>
          </cell>
          <cell r="J2591">
            <v>0</v>
          </cell>
        </row>
        <row r="2592">
          <cell r="E2592">
            <v>10110140</v>
          </cell>
          <cell r="F2592" t="str">
            <v>0002</v>
          </cell>
          <cell r="G2592">
            <v>14</v>
          </cell>
          <cell r="H2592">
            <v>28.639999999999993</v>
          </cell>
          <cell r="I2592">
            <v>1372.3203638076202</v>
          </cell>
          <cell r="J2592">
            <v>0</v>
          </cell>
        </row>
        <row r="2593">
          <cell r="E2593">
            <v>10110140</v>
          </cell>
          <cell r="F2593" t="str">
            <v>0004</v>
          </cell>
          <cell r="G2593">
            <v>14</v>
          </cell>
          <cell r="H2593">
            <v>110.60999999999999</v>
          </cell>
          <cell r="I2593">
            <v>4562.4187804322801</v>
          </cell>
          <cell r="J2593">
            <v>0</v>
          </cell>
        </row>
        <row r="2594">
          <cell r="E2594">
            <v>10110140</v>
          </cell>
          <cell r="F2594" t="str">
            <v>0005</v>
          </cell>
          <cell r="G2594">
            <v>14</v>
          </cell>
          <cell r="H2594">
            <v>63.05</v>
          </cell>
          <cell r="I2594">
            <v>2322.5948424360004</v>
          </cell>
          <cell r="J2594">
            <v>0</v>
          </cell>
        </row>
        <row r="2595">
          <cell r="E2595">
            <v>10110140</v>
          </cell>
          <cell r="F2595" t="str">
            <v>0008</v>
          </cell>
          <cell r="G2595">
            <v>13</v>
          </cell>
          <cell r="H2595">
            <v>64.760000000000005</v>
          </cell>
          <cell r="I2595">
            <v>3451.2270446670805</v>
          </cell>
          <cell r="J2595">
            <v>0</v>
          </cell>
        </row>
        <row r="2596">
          <cell r="E2596">
            <v>10110140</v>
          </cell>
          <cell r="F2596" t="str">
            <v>0017</v>
          </cell>
          <cell r="G2596">
            <v>14</v>
          </cell>
          <cell r="H2596">
            <v>70.25</v>
          </cell>
          <cell r="I2596">
            <v>2831.5552300200002</v>
          </cell>
          <cell r="J2596">
            <v>0</v>
          </cell>
        </row>
        <row r="2597">
          <cell r="E2597">
            <v>10110141</v>
          </cell>
          <cell r="F2597" t="str">
            <v>0001</v>
          </cell>
          <cell r="G2597">
            <v>14</v>
          </cell>
          <cell r="H2597">
            <v>15.790000000000001</v>
          </cell>
          <cell r="I2597">
            <v>761.92415041036008</v>
          </cell>
          <cell r="J2597">
            <v>0</v>
          </cell>
        </row>
        <row r="2598">
          <cell r="E2598">
            <v>10110141</v>
          </cell>
          <cell r="F2598" t="str">
            <v>0002</v>
          </cell>
          <cell r="G2598">
            <v>14</v>
          </cell>
          <cell r="H2598">
            <v>297.27000000000004</v>
          </cell>
          <cell r="I2598">
            <v>12442.149669312003</v>
          </cell>
          <cell r="J2598">
            <v>0</v>
          </cell>
        </row>
        <row r="2599">
          <cell r="E2599">
            <v>10110141</v>
          </cell>
          <cell r="F2599" t="str">
            <v>0004</v>
          </cell>
          <cell r="G2599">
            <v>12</v>
          </cell>
          <cell r="H2599">
            <v>117.71</v>
          </cell>
          <cell r="I2599">
            <v>4518.3875124960005</v>
          </cell>
          <cell r="J2599">
            <v>0</v>
          </cell>
        </row>
        <row r="2600">
          <cell r="E2600">
            <v>10110141</v>
          </cell>
          <cell r="F2600" t="str">
            <v>0005</v>
          </cell>
          <cell r="G2600">
            <v>14</v>
          </cell>
          <cell r="H2600">
            <v>72.260000000000005</v>
          </cell>
          <cell r="I2600">
            <v>2763.4790307960006</v>
          </cell>
          <cell r="J2600">
            <v>0</v>
          </cell>
        </row>
        <row r="2601">
          <cell r="E2601">
            <v>10110141</v>
          </cell>
          <cell r="F2601" t="str">
            <v>0006</v>
          </cell>
          <cell r="G2601">
            <v>7</v>
          </cell>
          <cell r="H2601">
            <v>20.12</v>
          </cell>
          <cell r="I2601">
            <v>835.45975720584011</v>
          </cell>
          <cell r="J2601">
            <v>0</v>
          </cell>
        </row>
        <row r="2602">
          <cell r="E2602">
            <v>10110141</v>
          </cell>
          <cell r="F2602" t="str">
            <v>0007</v>
          </cell>
          <cell r="G2602">
            <v>14</v>
          </cell>
          <cell r="H2602">
            <v>28.130000000000003</v>
          </cell>
          <cell r="I2602">
            <v>1094.3104502880003</v>
          </cell>
          <cell r="J2602">
            <v>0</v>
          </cell>
        </row>
        <row r="2603">
          <cell r="E2603">
            <v>10110141</v>
          </cell>
          <cell r="F2603" t="str">
            <v>0008</v>
          </cell>
          <cell r="G2603">
            <v>13</v>
          </cell>
          <cell r="H2603">
            <v>45.76</v>
          </cell>
          <cell r="I2603">
            <v>2295.7565749860842</v>
          </cell>
          <cell r="J2603">
            <v>0</v>
          </cell>
        </row>
        <row r="2604">
          <cell r="E2604">
            <v>10110141</v>
          </cell>
          <cell r="F2604" t="str">
            <v>0010</v>
          </cell>
          <cell r="G2604">
            <v>14</v>
          </cell>
          <cell r="H2604">
            <v>35.339999999999996</v>
          </cell>
          <cell r="I2604">
            <v>2047.4880554910601</v>
          </cell>
          <cell r="J2604">
            <v>0</v>
          </cell>
        </row>
        <row r="2605">
          <cell r="E2605">
            <v>10110141</v>
          </cell>
          <cell r="F2605" t="str">
            <v>0013</v>
          </cell>
          <cell r="G2605">
            <v>14</v>
          </cell>
          <cell r="H2605">
            <v>23.21</v>
          </cell>
          <cell r="I2605">
            <v>1731.5789800231</v>
          </cell>
          <cell r="J2605">
            <v>0</v>
          </cell>
        </row>
        <row r="2606">
          <cell r="E2606">
            <v>10110141</v>
          </cell>
          <cell r="F2606" t="str">
            <v>0014</v>
          </cell>
          <cell r="G2606">
            <v>7</v>
          </cell>
          <cell r="H2606">
            <v>8.14</v>
          </cell>
          <cell r="I2606">
            <v>647.13732444059997</v>
          </cell>
          <cell r="J2606">
            <v>0</v>
          </cell>
        </row>
        <row r="2607">
          <cell r="E2607">
            <v>10110141</v>
          </cell>
          <cell r="F2607" t="str">
            <v>0015</v>
          </cell>
          <cell r="G2607">
            <v>13</v>
          </cell>
          <cell r="H2607">
            <v>22.459999999999997</v>
          </cell>
          <cell r="I2607">
            <v>1458.2015111576802</v>
          </cell>
          <cell r="J2607">
            <v>0</v>
          </cell>
        </row>
        <row r="2608">
          <cell r="E2608">
            <v>10110141</v>
          </cell>
          <cell r="F2608" t="str">
            <v>0016</v>
          </cell>
          <cell r="G2608">
            <v>14</v>
          </cell>
          <cell r="H2608">
            <v>23.759999999999994</v>
          </cell>
          <cell r="I2608">
            <v>1172.0146612893311</v>
          </cell>
          <cell r="J2608">
            <v>0</v>
          </cell>
        </row>
        <row r="2609">
          <cell r="E2609">
            <v>10110141</v>
          </cell>
          <cell r="F2609" t="str">
            <v>0018</v>
          </cell>
          <cell r="G2609">
            <v>13</v>
          </cell>
          <cell r="H2609">
            <v>32.46</v>
          </cell>
          <cell r="I2609">
            <v>1074.0266297640001</v>
          </cell>
          <cell r="J2609">
            <v>0</v>
          </cell>
        </row>
        <row r="2610">
          <cell r="E2610">
            <v>10110141</v>
          </cell>
          <cell r="F2610" t="str">
            <v>0024</v>
          </cell>
          <cell r="G2610">
            <v>7</v>
          </cell>
          <cell r="H2610">
            <v>15.700000000000001</v>
          </cell>
          <cell r="I2610">
            <v>673.43030488800002</v>
          </cell>
          <cell r="J2610">
            <v>0</v>
          </cell>
        </row>
        <row r="2611">
          <cell r="E2611">
            <v>10110141</v>
          </cell>
          <cell r="F2611" t="str">
            <v>0026</v>
          </cell>
          <cell r="G2611">
            <v>7</v>
          </cell>
          <cell r="H2611">
            <v>25.409999999999997</v>
          </cell>
          <cell r="I2611">
            <v>1099.8790612920002</v>
          </cell>
          <cell r="J2611">
            <v>0</v>
          </cell>
        </row>
        <row r="2612">
          <cell r="E2612">
            <v>10110141</v>
          </cell>
          <cell r="F2612" t="str">
            <v>0030</v>
          </cell>
          <cell r="G2612">
            <v>14</v>
          </cell>
          <cell r="H2612">
            <v>24.91</v>
          </cell>
          <cell r="I2612">
            <v>1796.7867519733597</v>
          </cell>
          <cell r="J2612">
            <v>0</v>
          </cell>
        </row>
        <row r="2613">
          <cell r="E2613">
            <v>10110141</v>
          </cell>
          <cell r="F2613" t="str">
            <v>0031</v>
          </cell>
          <cell r="G2613">
            <v>14</v>
          </cell>
          <cell r="H2613">
            <v>31.82</v>
          </cell>
          <cell r="I2613">
            <v>1228.2454665360001</v>
          </cell>
          <cell r="J2613">
            <v>0</v>
          </cell>
        </row>
        <row r="2614">
          <cell r="E2614">
            <v>10110141</v>
          </cell>
          <cell r="F2614" t="str">
            <v>0032</v>
          </cell>
          <cell r="G2614">
            <v>14</v>
          </cell>
          <cell r="H2614">
            <v>51.239999999999995</v>
          </cell>
          <cell r="I2614">
            <v>2062.8668716920001</v>
          </cell>
          <cell r="J2614">
            <v>0</v>
          </cell>
        </row>
        <row r="2615">
          <cell r="E2615">
            <v>10110141</v>
          </cell>
          <cell r="F2615" t="str">
            <v>0033</v>
          </cell>
          <cell r="G2615">
            <v>7</v>
          </cell>
          <cell r="H2615">
            <v>35.770000000000003</v>
          </cell>
          <cell r="I2615">
            <v>2296.1405385266999</v>
          </cell>
          <cell r="J2615">
            <v>0</v>
          </cell>
        </row>
        <row r="2616">
          <cell r="E2616">
            <v>10110141</v>
          </cell>
          <cell r="F2616" t="str">
            <v>0034</v>
          </cell>
          <cell r="G2616">
            <v>7</v>
          </cell>
          <cell r="H2616">
            <v>15.190000000000001</v>
          </cell>
          <cell r="I2616">
            <v>611.95541414039997</v>
          </cell>
          <cell r="J2616">
            <v>0</v>
          </cell>
        </row>
        <row r="2617">
          <cell r="E2617">
            <v>10110141</v>
          </cell>
          <cell r="F2617" t="str">
            <v>0035</v>
          </cell>
          <cell r="G2617">
            <v>6</v>
          </cell>
          <cell r="H2617">
            <v>14.069999999999999</v>
          </cell>
          <cell r="I2617">
            <v>569.64580437600011</v>
          </cell>
          <cell r="J2617">
            <v>0</v>
          </cell>
        </row>
        <row r="2618">
          <cell r="E2618">
            <v>10110141</v>
          </cell>
          <cell r="F2618" t="str">
            <v>0036</v>
          </cell>
          <cell r="G2618">
            <v>14</v>
          </cell>
          <cell r="H2618">
            <v>18.000000000000004</v>
          </cell>
          <cell r="I2618">
            <v>1331.9569700823999</v>
          </cell>
          <cell r="J2618">
            <v>0</v>
          </cell>
        </row>
        <row r="2619">
          <cell r="E2619">
            <v>10110141</v>
          </cell>
          <cell r="F2619" t="str">
            <v>0037</v>
          </cell>
          <cell r="G2619">
            <v>13</v>
          </cell>
          <cell r="H2619">
            <v>44.419999999999995</v>
          </cell>
          <cell r="I2619">
            <v>1656.9234468468001</v>
          </cell>
          <cell r="J2619">
            <v>0</v>
          </cell>
        </row>
        <row r="2620">
          <cell r="E2620">
            <v>10110141</v>
          </cell>
          <cell r="F2620" t="str">
            <v>0038</v>
          </cell>
          <cell r="G2620">
            <v>7</v>
          </cell>
          <cell r="H2620">
            <v>20.53</v>
          </cell>
          <cell r="I2620">
            <v>1517.3697320967999</v>
          </cell>
          <cell r="J2620">
            <v>0</v>
          </cell>
        </row>
        <row r="2621">
          <cell r="E2621">
            <v>10110142</v>
          </cell>
          <cell r="F2621" t="str">
            <v>0002</v>
          </cell>
          <cell r="G2621">
            <v>1</v>
          </cell>
          <cell r="H2621">
            <v>138</v>
          </cell>
          <cell r="I2621">
            <v>5556.0348359999998</v>
          </cell>
          <cell r="J2621">
            <v>0</v>
          </cell>
        </row>
        <row r="2622">
          <cell r="E2622">
            <v>10110142</v>
          </cell>
          <cell r="F2622" t="str">
            <v>0009</v>
          </cell>
          <cell r="G2622">
            <v>9</v>
          </cell>
          <cell r="H2622">
            <v>352.2299999999999</v>
          </cell>
          <cell r="I2622">
            <v>14039.649280008001</v>
          </cell>
          <cell r="J2622">
            <v>0</v>
          </cell>
        </row>
        <row r="2623">
          <cell r="E2623">
            <v>10110143</v>
          </cell>
          <cell r="F2623" t="str">
            <v>0006</v>
          </cell>
          <cell r="G2623">
            <v>13</v>
          </cell>
          <cell r="H2623">
            <v>43.929999999999993</v>
          </cell>
          <cell r="I2623">
            <v>1872.7764481134402</v>
          </cell>
          <cell r="J2623">
            <v>0</v>
          </cell>
        </row>
        <row r="2624">
          <cell r="E2624">
            <v>10110143</v>
          </cell>
          <cell r="F2624" t="str">
            <v>0010</v>
          </cell>
          <cell r="G2624">
            <v>3</v>
          </cell>
          <cell r="H2624">
            <v>42.129999999999995</v>
          </cell>
          <cell r="I2624">
            <v>1856.2223127497202</v>
          </cell>
          <cell r="J2624">
            <v>0</v>
          </cell>
        </row>
        <row r="2625">
          <cell r="E2625">
            <v>10110143</v>
          </cell>
          <cell r="F2625" t="str">
            <v>0012</v>
          </cell>
          <cell r="G2625">
            <v>12</v>
          </cell>
          <cell r="H2625">
            <v>185.25000000000003</v>
          </cell>
          <cell r="I2625">
            <v>6752.8242890658012</v>
          </cell>
          <cell r="J2625">
            <v>0</v>
          </cell>
        </row>
        <row r="2626">
          <cell r="E2626">
            <v>10110144</v>
          </cell>
          <cell r="F2626" t="str">
            <v>0002</v>
          </cell>
          <cell r="G2626">
            <v>4</v>
          </cell>
          <cell r="H2626">
            <v>643.17000000000007</v>
          </cell>
          <cell r="I2626">
            <v>26497.571943348004</v>
          </cell>
          <cell r="J2626">
            <v>0</v>
          </cell>
        </row>
        <row r="2627">
          <cell r="E2627">
            <v>10110144</v>
          </cell>
          <cell r="F2627" t="str">
            <v>0006</v>
          </cell>
          <cell r="G2627">
            <v>1</v>
          </cell>
          <cell r="H2627">
            <v>1.29</v>
          </cell>
          <cell r="I2627">
            <v>42.571413324000012</v>
          </cell>
          <cell r="J2627">
            <v>0</v>
          </cell>
        </row>
        <row r="2628">
          <cell r="E2628">
            <v>10110144</v>
          </cell>
          <cell r="F2628" t="str">
            <v>0008</v>
          </cell>
          <cell r="G2628">
            <v>1</v>
          </cell>
          <cell r="H2628">
            <v>1.35</v>
          </cell>
          <cell r="I2628">
            <v>50.075714700000013</v>
          </cell>
          <cell r="J2628">
            <v>0</v>
          </cell>
        </row>
        <row r="2629">
          <cell r="E2629">
            <v>10110144</v>
          </cell>
          <cell r="F2629" t="str">
            <v>0010</v>
          </cell>
          <cell r="G2629">
            <v>3</v>
          </cell>
          <cell r="H2629">
            <v>52.17</v>
          </cell>
          <cell r="I2629">
            <v>2107.1448973080001</v>
          </cell>
          <cell r="J2629">
            <v>0</v>
          </cell>
        </row>
        <row r="2630">
          <cell r="E2630">
            <v>10110144</v>
          </cell>
          <cell r="F2630" t="str">
            <v>0012</v>
          </cell>
          <cell r="G2630">
            <v>2</v>
          </cell>
          <cell r="H2630">
            <v>16.32</v>
          </cell>
          <cell r="I2630">
            <v>591.86407104</v>
          </cell>
          <cell r="J2630">
            <v>0</v>
          </cell>
        </row>
        <row r="2631">
          <cell r="E2631">
            <v>10110144</v>
          </cell>
          <cell r="F2631" t="str">
            <v>0013</v>
          </cell>
          <cell r="G2631">
            <v>3</v>
          </cell>
          <cell r="H2631">
            <v>90.81</v>
          </cell>
          <cell r="I2631">
            <v>3625.5659972399999</v>
          </cell>
          <cell r="J2631">
            <v>0</v>
          </cell>
        </row>
        <row r="2632">
          <cell r="E2632">
            <v>10110145</v>
          </cell>
          <cell r="F2632" t="str">
            <v>0002</v>
          </cell>
          <cell r="G2632">
            <v>1</v>
          </cell>
          <cell r="H2632">
            <v>5.61</v>
          </cell>
          <cell r="I2632">
            <v>211.05419821200002</v>
          </cell>
          <cell r="J2632">
            <v>0</v>
          </cell>
        </row>
        <row r="2633">
          <cell r="E2633">
            <v>10110145</v>
          </cell>
          <cell r="F2633" t="str">
            <v>0003</v>
          </cell>
          <cell r="G2633">
            <v>13</v>
          </cell>
          <cell r="H2633">
            <v>187.47</v>
          </cell>
          <cell r="I2633">
            <v>8378.8333236209</v>
          </cell>
          <cell r="J2633">
            <v>0</v>
          </cell>
        </row>
        <row r="2634">
          <cell r="E2634">
            <v>10110146</v>
          </cell>
          <cell r="F2634" t="str">
            <v>0002</v>
          </cell>
          <cell r="G2634">
            <v>14</v>
          </cell>
          <cell r="H2634">
            <v>2151.6000000000004</v>
          </cell>
          <cell r="I2634">
            <v>84931.963855199996</v>
          </cell>
          <cell r="J2634">
            <v>165.2</v>
          </cell>
        </row>
        <row r="2635">
          <cell r="E2635">
            <v>10110146</v>
          </cell>
          <cell r="F2635" t="str">
            <v>0003</v>
          </cell>
          <cell r="G2635">
            <v>6</v>
          </cell>
          <cell r="H2635">
            <v>77.8</v>
          </cell>
          <cell r="I2635">
            <v>3091.0124916</v>
          </cell>
          <cell r="J2635">
            <v>0</v>
          </cell>
        </row>
        <row r="2636">
          <cell r="E2636">
            <v>10110146</v>
          </cell>
          <cell r="F2636" t="str">
            <v>0006</v>
          </cell>
          <cell r="G2636">
            <v>14</v>
          </cell>
          <cell r="H2636">
            <v>1158</v>
          </cell>
          <cell r="I2636">
            <v>45975.148140240002</v>
          </cell>
          <cell r="J2636">
            <v>0</v>
          </cell>
        </row>
        <row r="2637">
          <cell r="E2637">
            <v>10110146</v>
          </cell>
          <cell r="F2637" t="str">
            <v>0007</v>
          </cell>
          <cell r="G2637">
            <v>10</v>
          </cell>
          <cell r="H2637">
            <v>614.4</v>
          </cell>
          <cell r="I2637">
            <v>24171.340564800004</v>
          </cell>
          <cell r="J2637">
            <v>0</v>
          </cell>
        </row>
        <row r="2638">
          <cell r="E2638">
            <v>10110146</v>
          </cell>
          <cell r="F2638" t="str">
            <v>0008</v>
          </cell>
          <cell r="G2638">
            <v>11</v>
          </cell>
          <cell r="H2638">
            <v>442.40000000000009</v>
          </cell>
          <cell r="I2638">
            <v>19301.060021482001</v>
          </cell>
          <cell r="J2638">
            <v>0</v>
          </cell>
        </row>
        <row r="2639">
          <cell r="E2639">
            <v>10110148</v>
          </cell>
          <cell r="F2639" t="str">
            <v>0002</v>
          </cell>
          <cell r="G2639">
            <v>7</v>
          </cell>
          <cell r="H2639">
            <v>309.36999999999995</v>
          </cell>
          <cell r="I2639">
            <v>16186.795554095719</v>
          </cell>
          <cell r="J2639">
            <v>2035</v>
          </cell>
        </row>
        <row r="2640">
          <cell r="E2640">
            <v>10110148</v>
          </cell>
          <cell r="F2640" t="str">
            <v>0005</v>
          </cell>
          <cell r="G2640">
            <v>11</v>
          </cell>
          <cell r="H2640">
            <v>83.44</v>
          </cell>
          <cell r="I2640">
            <v>4936.3608678666296</v>
          </cell>
          <cell r="J2640">
            <v>0</v>
          </cell>
        </row>
        <row r="2641">
          <cell r="E2641">
            <v>10110148</v>
          </cell>
          <cell r="F2641" t="str">
            <v>0008</v>
          </cell>
          <cell r="G2641">
            <v>12</v>
          </cell>
          <cell r="H2641">
            <v>23.709999999999997</v>
          </cell>
          <cell r="I2641">
            <v>1695.5579306091502</v>
          </cell>
          <cell r="J2641">
            <v>0</v>
          </cell>
        </row>
        <row r="2642">
          <cell r="E2642">
            <v>10110149</v>
          </cell>
          <cell r="F2642" t="str">
            <v>0002</v>
          </cell>
          <cell r="G2642">
            <v>13</v>
          </cell>
          <cell r="H2642">
            <v>70.88000000000001</v>
          </cell>
          <cell r="I2642">
            <v>3431.9898723325805</v>
          </cell>
          <cell r="J2642">
            <v>0</v>
          </cell>
        </row>
        <row r="2643">
          <cell r="E2643">
            <v>10110149</v>
          </cell>
          <cell r="F2643" t="str">
            <v>0007</v>
          </cell>
          <cell r="G2643">
            <v>11</v>
          </cell>
          <cell r="H2643">
            <v>67.66</v>
          </cell>
          <cell r="I2643">
            <v>3161.8247492305204</v>
          </cell>
          <cell r="J2643">
            <v>0</v>
          </cell>
        </row>
        <row r="2644">
          <cell r="E2644">
            <v>10110149</v>
          </cell>
          <cell r="F2644" t="str">
            <v>0008</v>
          </cell>
          <cell r="G2644">
            <v>12</v>
          </cell>
          <cell r="H2644">
            <v>118.06</v>
          </cell>
          <cell r="I2644">
            <v>5629.0381871865011</v>
          </cell>
          <cell r="J2644">
            <v>0</v>
          </cell>
        </row>
        <row r="2645">
          <cell r="E2645">
            <v>10110149</v>
          </cell>
          <cell r="F2645" t="str">
            <v>0009</v>
          </cell>
          <cell r="G2645">
            <v>11</v>
          </cell>
          <cell r="H2645">
            <v>82.83</v>
          </cell>
          <cell r="I2645">
            <v>4034.4052807344005</v>
          </cell>
          <cell r="J2645">
            <v>0</v>
          </cell>
        </row>
        <row r="2646">
          <cell r="E2646">
            <v>10110149</v>
          </cell>
          <cell r="F2646" t="str">
            <v>0010</v>
          </cell>
          <cell r="G2646">
            <v>1</v>
          </cell>
          <cell r="H2646">
            <v>0.38</v>
          </cell>
          <cell r="I2646">
            <v>13.543606296000002</v>
          </cell>
          <cell r="J2646">
            <v>0</v>
          </cell>
        </row>
        <row r="2647">
          <cell r="E2647">
            <v>10110158</v>
          </cell>
          <cell r="F2647" t="str">
            <v>0002</v>
          </cell>
          <cell r="G2647">
            <v>14</v>
          </cell>
          <cell r="H2647">
            <v>304.02000000000004</v>
          </cell>
          <cell r="I2647">
            <v>13276.500576988483</v>
          </cell>
          <cell r="J2647">
            <v>0</v>
          </cell>
        </row>
        <row r="2648">
          <cell r="E2648">
            <v>10110158</v>
          </cell>
          <cell r="F2648" t="str">
            <v>0003</v>
          </cell>
          <cell r="G2648">
            <v>14</v>
          </cell>
          <cell r="H2648">
            <v>79.34</v>
          </cell>
          <cell r="I2648">
            <v>4047.0576097998</v>
          </cell>
          <cell r="J2648">
            <v>0</v>
          </cell>
        </row>
        <row r="2649">
          <cell r="E2649">
            <v>10110158</v>
          </cell>
          <cell r="F2649" t="str">
            <v>0004</v>
          </cell>
          <cell r="G2649">
            <v>14</v>
          </cell>
          <cell r="H2649">
            <v>80.72</v>
          </cell>
          <cell r="I2649">
            <v>3194.6587302960002</v>
          </cell>
          <cell r="J2649">
            <v>0</v>
          </cell>
        </row>
        <row r="2650">
          <cell r="E2650">
            <v>10110158</v>
          </cell>
          <cell r="F2650" t="str">
            <v>0006</v>
          </cell>
          <cell r="G2650">
            <v>14</v>
          </cell>
          <cell r="H2650">
            <v>1006.54</v>
          </cell>
          <cell r="I2650">
            <v>37731.891194712007</v>
          </cell>
          <cell r="J2650">
            <v>0</v>
          </cell>
        </row>
        <row r="2651">
          <cell r="E2651">
            <v>10110158</v>
          </cell>
          <cell r="F2651" t="str">
            <v>0008</v>
          </cell>
          <cell r="G2651">
            <v>13</v>
          </cell>
          <cell r="H2651">
            <v>51.379999999999995</v>
          </cell>
          <cell r="I2651">
            <v>2160.45709704</v>
          </cell>
          <cell r="J2651">
            <v>0</v>
          </cell>
        </row>
        <row r="2652">
          <cell r="E2652">
            <v>10110158</v>
          </cell>
          <cell r="F2652" t="str">
            <v>0011</v>
          </cell>
          <cell r="G2652">
            <v>12</v>
          </cell>
          <cell r="H2652">
            <v>1043.3599999999999</v>
          </cell>
          <cell r="I2652">
            <v>38847.857568696003</v>
          </cell>
          <cell r="J2652">
            <v>0</v>
          </cell>
        </row>
        <row r="2653">
          <cell r="E2653">
            <v>10110158</v>
          </cell>
          <cell r="F2653" t="str">
            <v>0012</v>
          </cell>
          <cell r="G2653">
            <v>14</v>
          </cell>
          <cell r="H2653">
            <v>64.600000000000009</v>
          </cell>
          <cell r="I2653">
            <v>3598.60836672704</v>
          </cell>
          <cell r="J2653">
            <v>0</v>
          </cell>
        </row>
        <row r="2654">
          <cell r="E2654">
            <v>10110158</v>
          </cell>
          <cell r="F2654" t="str">
            <v>0013</v>
          </cell>
          <cell r="G2654">
            <v>13</v>
          </cell>
          <cell r="H2654">
            <v>22.439999999999998</v>
          </cell>
          <cell r="I2654">
            <v>1628.8469124005198</v>
          </cell>
          <cell r="J2654">
            <v>0</v>
          </cell>
        </row>
        <row r="2655">
          <cell r="E2655">
            <v>10110158</v>
          </cell>
          <cell r="F2655" t="str">
            <v>0014</v>
          </cell>
          <cell r="G2655">
            <v>10</v>
          </cell>
          <cell r="H2655">
            <v>430.26</v>
          </cell>
          <cell r="I2655">
            <v>15858.573936480003</v>
          </cell>
          <cell r="J2655">
            <v>0</v>
          </cell>
        </row>
        <row r="2656">
          <cell r="E2656">
            <v>10110158</v>
          </cell>
          <cell r="F2656" t="str">
            <v>0016</v>
          </cell>
          <cell r="G2656">
            <v>14</v>
          </cell>
          <cell r="H2656">
            <v>545.76</v>
          </cell>
          <cell r="I2656">
            <v>22225.689543375007</v>
          </cell>
          <cell r="J2656">
            <v>0</v>
          </cell>
        </row>
        <row r="2657">
          <cell r="E2657">
            <v>10110158</v>
          </cell>
          <cell r="F2657" t="str">
            <v>0018</v>
          </cell>
          <cell r="G2657">
            <v>14</v>
          </cell>
          <cell r="H2657">
            <v>534.41999999999996</v>
          </cell>
          <cell r="I2657">
            <v>20267.224038864002</v>
          </cell>
          <cell r="J2657">
            <v>0</v>
          </cell>
        </row>
        <row r="2658">
          <cell r="E2658">
            <v>10110158</v>
          </cell>
          <cell r="F2658" t="str">
            <v>0019</v>
          </cell>
          <cell r="G2658">
            <v>11</v>
          </cell>
          <cell r="H2658">
            <v>833.74000000000012</v>
          </cell>
          <cell r="I2658">
            <v>39846.617322620004</v>
          </cell>
          <cell r="J2658">
            <v>0</v>
          </cell>
        </row>
        <row r="2659">
          <cell r="E2659">
            <v>10110158</v>
          </cell>
          <cell r="F2659" t="str">
            <v>0025</v>
          </cell>
          <cell r="G2659">
            <v>13</v>
          </cell>
          <cell r="H2659">
            <v>515.9</v>
          </cell>
          <cell r="I2659">
            <v>19645.465668238081</v>
          </cell>
          <cell r="J2659">
            <v>0</v>
          </cell>
        </row>
        <row r="2660">
          <cell r="E2660">
            <v>10110158</v>
          </cell>
          <cell r="F2660" t="str">
            <v>0026</v>
          </cell>
          <cell r="G2660">
            <v>10</v>
          </cell>
          <cell r="H2660">
            <v>368</v>
          </cell>
          <cell r="I2660">
            <v>13774.948135344001</v>
          </cell>
          <cell r="J2660">
            <v>0</v>
          </cell>
        </row>
        <row r="2661">
          <cell r="E2661">
            <v>10110158</v>
          </cell>
          <cell r="F2661" t="str">
            <v>0028</v>
          </cell>
          <cell r="G2661">
            <v>13</v>
          </cell>
          <cell r="H2661">
            <v>86.940000000000012</v>
          </cell>
          <cell r="I2661">
            <v>3502.2834728640009</v>
          </cell>
          <cell r="J2661">
            <v>0</v>
          </cell>
        </row>
        <row r="2662">
          <cell r="E2662">
            <v>10110158</v>
          </cell>
          <cell r="F2662" t="str">
            <v>0029</v>
          </cell>
          <cell r="G2662">
            <v>11</v>
          </cell>
          <cell r="H2662">
            <v>64.28</v>
          </cell>
          <cell r="I2662">
            <v>2301.1767369360005</v>
          </cell>
          <cell r="J2662">
            <v>0</v>
          </cell>
        </row>
        <row r="2663">
          <cell r="E2663">
            <v>10110158</v>
          </cell>
          <cell r="F2663" t="str">
            <v>0030</v>
          </cell>
          <cell r="G2663">
            <v>14</v>
          </cell>
          <cell r="H2663">
            <v>39.56</v>
          </cell>
          <cell r="I2663">
            <v>1652.9882134392003</v>
          </cell>
          <cell r="J2663">
            <v>0</v>
          </cell>
        </row>
        <row r="2664">
          <cell r="E2664">
            <v>10110158</v>
          </cell>
          <cell r="F2664" t="str">
            <v>0032</v>
          </cell>
          <cell r="G2664">
            <v>13</v>
          </cell>
          <cell r="H2664">
            <v>110.84</v>
          </cell>
          <cell r="I2664">
            <v>4017.3630206688003</v>
          </cell>
          <cell r="J2664">
            <v>0</v>
          </cell>
        </row>
        <row r="2665">
          <cell r="E2665">
            <v>10110158</v>
          </cell>
          <cell r="F2665" t="str">
            <v>0033</v>
          </cell>
          <cell r="G2665">
            <v>11</v>
          </cell>
          <cell r="H2665">
            <v>34.380000000000003</v>
          </cell>
          <cell r="I2665">
            <v>1372.4237672640002</v>
          </cell>
          <cell r="J2665">
            <v>0</v>
          </cell>
        </row>
        <row r="2666">
          <cell r="E2666">
            <v>10110158</v>
          </cell>
          <cell r="F2666" t="str">
            <v>0034</v>
          </cell>
          <cell r="G2666">
            <v>14</v>
          </cell>
          <cell r="H2666">
            <v>38.76</v>
          </cell>
          <cell r="I2666">
            <v>1470.3902864640002</v>
          </cell>
          <cell r="J2666">
            <v>0</v>
          </cell>
        </row>
        <row r="2667">
          <cell r="E2667">
            <v>10110158</v>
          </cell>
          <cell r="F2667" t="str">
            <v>0035</v>
          </cell>
          <cell r="G2667">
            <v>14</v>
          </cell>
          <cell r="H2667">
            <v>86.34</v>
          </cell>
          <cell r="I2667">
            <v>2992.9859270784004</v>
          </cell>
          <cell r="J2667">
            <v>0</v>
          </cell>
        </row>
        <row r="2668">
          <cell r="E2668">
            <v>10110159</v>
          </cell>
          <cell r="F2668" t="str">
            <v>0001</v>
          </cell>
          <cell r="G2668">
            <v>14</v>
          </cell>
          <cell r="H2668">
            <v>11.17</v>
          </cell>
          <cell r="I2668">
            <v>432.52617038400012</v>
          </cell>
          <cell r="J2668">
            <v>0</v>
          </cell>
        </row>
        <row r="2669">
          <cell r="E2669">
            <v>10110159</v>
          </cell>
          <cell r="F2669" t="str">
            <v>0002</v>
          </cell>
          <cell r="G2669">
            <v>14</v>
          </cell>
          <cell r="H2669">
            <v>510.48999999999995</v>
          </cell>
          <cell r="I2669">
            <v>19769.460259031996</v>
          </cell>
          <cell r="J2669">
            <v>0</v>
          </cell>
        </row>
        <row r="2670">
          <cell r="E2670">
            <v>10110159</v>
          </cell>
          <cell r="F2670" t="str">
            <v>0005</v>
          </cell>
          <cell r="G2670">
            <v>14</v>
          </cell>
          <cell r="H2670">
            <v>511.19000000000005</v>
          </cell>
          <cell r="I2670">
            <v>19808.69105754</v>
          </cell>
          <cell r="J2670">
            <v>0</v>
          </cell>
        </row>
        <row r="2671">
          <cell r="E2671">
            <v>10110159</v>
          </cell>
          <cell r="F2671" t="str">
            <v>0006</v>
          </cell>
          <cell r="G2671">
            <v>14</v>
          </cell>
          <cell r="H2671">
            <v>462.97</v>
          </cell>
          <cell r="I2671">
            <v>17874.315000432001</v>
          </cell>
          <cell r="J2671">
            <v>0</v>
          </cell>
        </row>
        <row r="2672">
          <cell r="E2672">
            <v>10110159</v>
          </cell>
          <cell r="F2672" t="str">
            <v>0011</v>
          </cell>
          <cell r="G2672">
            <v>14</v>
          </cell>
          <cell r="H2672">
            <v>96.249999999999986</v>
          </cell>
          <cell r="I2672">
            <v>3710.0908690560004</v>
          </cell>
          <cell r="J2672">
            <v>0</v>
          </cell>
        </row>
        <row r="2673">
          <cell r="E2673">
            <v>10110164</v>
          </cell>
          <cell r="F2673" t="str">
            <v>0002</v>
          </cell>
          <cell r="G2673">
            <v>1</v>
          </cell>
          <cell r="H2673">
            <v>76</v>
          </cell>
          <cell r="I2673">
            <v>3180.2292720000005</v>
          </cell>
          <cell r="J2673">
            <v>413</v>
          </cell>
        </row>
        <row r="2674">
          <cell r="E2674">
            <v>10110164</v>
          </cell>
          <cell r="F2674" t="str">
            <v>0003</v>
          </cell>
          <cell r="G2674">
            <v>1</v>
          </cell>
          <cell r="H2674">
            <v>198</v>
          </cell>
          <cell r="I2674">
            <v>8285.3341560000008</v>
          </cell>
          <cell r="J2674">
            <v>0</v>
          </cell>
        </row>
        <row r="2675">
          <cell r="E2675">
            <v>10110164</v>
          </cell>
          <cell r="F2675" t="str">
            <v>0004</v>
          </cell>
          <cell r="G2675">
            <v>1</v>
          </cell>
          <cell r="H2675">
            <v>79</v>
          </cell>
          <cell r="I2675">
            <v>3305.7646380000001</v>
          </cell>
          <cell r="J2675">
            <v>0</v>
          </cell>
        </row>
        <row r="2676">
          <cell r="E2676">
            <v>10110167</v>
          </cell>
          <cell r="F2676" t="str">
            <v>0002</v>
          </cell>
          <cell r="G2676">
            <v>14</v>
          </cell>
          <cell r="H2676">
            <v>175.50000000000003</v>
          </cell>
          <cell r="I2676">
            <v>8602.6433277325013</v>
          </cell>
          <cell r="J2676">
            <v>0</v>
          </cell>
        </row>
        <row r="2677">
          <cell r="E2677">
            <v>10110168</v>
          </cell>
          <cell r="F2677" t="str">
            <v>0002</v>
          </cell>
          <cell r="G2677">
            <v>13</v>
          </cell>
          <cell r="H2677">
            <v>1621</v>
          </cell>
          <cell r="I2677">
            <v>63614.295161999988</v>
          </cell>
          <cell r="J2677">
            <v>0</v>
          </cell>
        </row>
        <row r="2678">
          <cell r="E2678">
            <v>10110168</v>
          </cell>
          <cell r="F2678" t="str">
            <v>0003</v>
          </cell>
          <cell r="G2678">
            <v>13</v>
          </cell>
          <cell r="H2678">
            <v>455.49999999999994</v>
          </cell>
          <cell r="I2678">
            <v>17906.469471</v>
          </cell>
          <cell r="J2678">
            <v>0</v>
          </cell>
        </row>
        <row r="2679">
          <cell r="E2679">
            <v>10110171</v>
          </cell>
          <cell r="F2679" t="str">
            <v>0003</v>
          </cell>
          <cell r="G2679">
            <v>10</v>
          </cell>
          <cell r="H2679">
            <v>380.90000000000003</v>
          </cell>
          <cell r="I2679">
            <v>17382.812815346999</v>
          </cell>
          <cell r="J2679">
            <v>0</v>
          </cell>
        </row>
        <row r="2680">
          <cell r="E2680">
            <v>10110172</v>
          </cell>
          <cell r="F2680" t="str">
            <v>0003</v>
          </cell>
          <cell r="G2680">
            <v>13</v>
          </cell>
          <cell r="H2680">
            <v>800.9</v>
          </cell>
          <cell r="I2680">
            <v>30291.108517692006</v>
          </cell>
          <cell r="J2680">
            <v>0</v>
          </cell>
        </row>
        <row r="2681">
          <cell r="E2681">
            <v>10110177</v>
          </cell>
          <cell r="F2681" t="str">
            <v>0002</v>
          </cell>
          <cell r="G2681">
            <v>14</v>
          </cell>
          <cell r="H2681">
            <v>568.9</v>
          </cell>
          <cell r="I2681">
            <v>25339.285688072203</v>
          </cell>
          <cell r="J2681">
            <v>0</v>
          </cell>
        </row>
        <row r="2682">
          <cell r="E2682">
            <v>10110181</v>
          </cell>
          <cell r="F2682" t="str">
            <v>0002</v>
          </cell>
          <cell r="G2682">
            <v>6</v>
          </cell>
          <cell r="H2682">
            <v>102.9</v>
          </cell>
          <cell r="I2682">
            <v>3880.2508489800002</v>
          </cell>
          <cell r="J2682">
            <v>0</v>
          </cell>
        </row>
        <row r="2683">
          <cell r="E2683">
            <v>10120005</v>
          </cell>
          <cell r="F2683" t="str">
            <v>0002</v>
          </cell>
          <cell r="G2683">
            <v>13</v>
          </cell>
          <cell r="H2683">
            <v>22.660000000000004</v>
          </cell>
          <cell r="I2683">
            <v>822.90316186840005</v>
          </cell>
          <cell r="J2683">
            <v>201</v>
          </cell>
        </row>
        <row r="2684">
          <cell r="E2684">
            <v>10120005</v>
          </cell>
          <cell r="F2684" t="str">
            <v>0003</v>
          </cell>
          <cell r="G2684">
            <v>14</v>
          </cell>
          <cell r="H2684">
            <v>131.52000000000001</v>
          </cell>
          <cell r="I2684">
            <v>4953.3515384966013</v>
          </cell>
          <cell r="J2684">
            <v>0</v>
          </cell>
        </row>
        <row r="2685">
          <cell r="E2685">
            <v>10120005</v>
          </cell>
          <cell r="F2685" t="str">
            <v>0005</v>
          </cell>
          <cell r="G2685">
            <v>14</v>
          </cell>
          <cell r="H2685">
            <v>79.710000000000008</v>
          </cell>
          <cell r="I2685">
            <v>2992.9596075247005</v>
          </cell>
          <cell r="J2685">
            <v>0</v>
          </cell>
        </row>
        <row r="2686">
          <cell r="E2686">
            <v>10120005</v>
          </cell>
          <cell r="F2686" t="str">
            <v>0046</v>
          </cell>
          <cell r="G2686">
            <v>14</v>
          </cell>
          <cell r="H2686">
            <v>145.26000000000002</v>
          </cell>
          <cell r="I2686">
            <v>5627.7621103796009</v>
          </cell>
          <cell r="J2686">
            <v>0</v>
          </cell>
        </row>
        <row r="2687">
          <cell r="E2687">
            <v>10120006</v>
          </cell>
          <cell r="F2687" t="str">
            <v>0001</v>
          </cell>
          <cell r="G2687">
            <v>14</v>
          </cell>
          <cell r="H2687">
            <v>7.3</v>
          </cell>
          <cell r="I2687">
            <v>263.417230098</v>
          </cell>
          <cell r="J2687">
            <v>0</v>
          </cell>
        </row>
        <row r="2688">
          <cell r="E2688">
            <v>10120006</v>
          </cell>
          <cell r="F2688" t="str">
            <v>0002</v>
          </cell>
          <cell r="G2688">
            <v>12</v>
          </cell>
          <cell r="H2688">
            <v>63.199999999999989</v>
          </cell>
          <cell r="I2688">
            <v>2329.8282790200005</v>
          </cell>
          <cell r="J2688">
            <v>1529</v>
          </cell>
        </row>
        <row r="2689">
          <cell r="E2689">
            <v>10120006</v>
          </cell>
          <cell r="F2689" t="str">
            <v>0003</v>
          </cell>
          <cell r="G2689">
            <v>14</v>
          </cell>
          <cell r="H2689">
            <v>91.9</v>
          </cell>
          <cell r="I2689">
            <v>3659.2427690082509</v>
          </cell>
          <cell r="J2689">
            <v>0</v>
          </cell>
        </row>
        <row r="2690">
          <cell r="E2690">
            <v>10120006</v>
          </cell>
          <cell r="F2690" t="str">
            <v>0004</v>
          </cell>
          <cell r="G2690">
            <v>8</v>
          </cell>
          <cell r="H2690">
            <v>21.9</v>
          </cell>
          <cell r="I2690">
            <v>780.6193851060001</v>
          </cell>
          <cell r="J2690">
            <v>0</v>
          </cell>
        </row>
        <row r="2691">
          <cell r="E2691">
            <v>10120006</v>
          </cell>
          <cell r="F2691" t="str">
            <v>0007</v>
          </cell>
          <cell r="G2691">
            <v>5</v>
          </cell>
          <cell r="H2691">
            <v>9.1999999999999993</v>
          </cell>
          <cell r="I2691">
            <v>339.82508577600004</v>
          </cell>
          <cell r="J2691">
            <v>0</v>
          </cell>
        </row>
        <row r="2692">
          <cell r="E2692">
            <v>10120006</v>
          </cell>
          <cell r="F2692" t="str">
            <v>0008</v>
          </cell>
          <cell r="G2692">
            <v>4</v>
          </cell>
          <cell r="H2692">
            <v>5.8</v>
          </cell>
          <cell r="I2692">
            <v>215.392966272</v>
          </cell>
          <cell r="J2692">
            <v>0</v>
          </cell>
        </row>
        <row r="2693">
          <cell r="E2693">
            <v>10120006</v>
          </cell>
          <cell r="F2693" t="str">
            <v>0012</v>
          </cell>
          <cell r="G2693">
            <v>12</v>
          </cell>
          <cell r="H2693">
            <v>38.900000000000006</v>
          </cell>
          <cell r="I2693">
            <v>1418.4264002040004</v>
          </cell>
          <cell r="J2693">
            <v>0</v>
          </cell>
        </row>
        <row r="2694">
          <cell r="E2694">
            <v>10120006</v>
          </cell>
          <cell r="F2694" t="str">
            <v>0013</v>
          </cell>
          <cell r="G2694">
            <v>9</v>
          </cell>
          <cell r="H2694">
            <v>24.2</v>
          </cell>
          <cell r="I2694">
            <v>877.12616772000013</v>
          </cell>
          <cell r="J2694">
            <v>0</v>
          </cell>
        </row>
        <row r="2695">
          <cell r="E2695">
            <v>10120006</v>
          </cell>
          <cell r="F2695" t="str">
            <v>0014</v>
          </cell>
          <cell r="G2695">
            <v>5</v>
          </cell>
          <cell r="H2695">
            <v>17.399999999999999</v>
          </cell>
          <cell r="I2695">
            <v>630.68800410000006</v>
          </cell>
          <cell r="J2695">
            <v>0</v>
          </cell>
        </row>
        <row r="2696">
          <cell r="E2696">
            <v>10120006</v>
          </cell>
          <cell r="F2696" t="str">
            <v>0022</v>
          </cell>
          <cell r="G2696">
            <v>6</v>
          </cell>
          <cell r="H2696">
            <v>19.599999999999998</v>
          </cell>
          <cell r="I2696">
            <v>1346.8168501806001</v>
          </cell>
          <cell r="J2696">
            <v>0</v>
          </cell>
        </row>
        <row r="2697">
          <cell r="E2697">
            <v>10120006</v>
          </cell>
          <cell r="F2697" t="str">
            <v>0026</v>
          </cell>
          <cell r="G2697">
            <v>12</v>
          </cell>
          <cell r="H2697">
            <v>58.3</v>
          </cell>
          <cell r="I2697">
            <v>2211.7158795996006</v>
          </cell>
          <cell r="J2697">
            <v>0</v>
          </cell>
        </row>
        <row r="2698">
          <cell r="E2698">
            <v>10120006</v>
          </cell>
          <cell r="F2698" t="str">
            <v>0029</v>
          </cell>
          <cell r="G2698">
            <v>7</v>
          </cell>
          <cell r="H2698">
            <v>21.6</v>
          </cell>
          <cell r="I2698">
            <v>870.21485829180006</v>
          </cell>
          <cell r="J2698">
            <v>0</v>
          </cell>
        </row>
        <row r="2699">
          <cell r="E2699">
            <v>10120006</v>
          </cell>
          <cell r="F2699" t="str">
            <v>0112</v>
          </cell>
          <cell r="G2699">
            <v>5</v>
          </cell>
          <cell r="H2699">
            <v>9.1</v>
          </cell>
          <cell r="I2699">
            <v>363.32696664000008</v>
          </cell>
          <cell r="J2699">
            <v>0</v>
          </cell>
        </row>
        <row r="2700">
          <cell r="E2700">
            <v>10120006</v>
          </cell>
          <cell r="F2700" t="str">
            <v>0122</v>
          </cell>
          <cell r="G2700">
            <v>14</v>
          </cell>
          <cell r="H2700">
            <v>76.3</v>
          </cell>
          <cell r="I2700">
            <v>3039.1783148121203</v>
          </cell>
          <cell r="J2700">
            <v>0</v>
          </cell>
        </row>
        <row r="2701">
          <cell r="E2701">
            <v>10120007</v>
          </cell>
          <cell r="F2701" t="str">
            <v>0001</v>
          </cell>
          <cell r="G2701">
            <v>14</v>
          </cell>
          <cell r="H2701">
            <v>17.7</v>
          </cell>
          <cell r="I2701">
            <v>725.49805086000003</v>
          </cell>
          <cell r="J2701">
            <v>0</v>
          </cell>
        </row>
        <row r="2702">
          <cell r="E2702">
            <v>10120007</v>
          </cell>
          <cell r="F2702" t="str">
            <v>0002</v>
          </cell>
          <cell r="G2702">
            <v>10</v>
          </cell>
          <cell r="H2702">
            <v>28.010000000000005</v>
          </cell>
          <cell r="I2702">
            <v>1096.2648160200001</v>
          </cell>
          <cell r="J2702">
            <v>0</v>
          </cell>
        </row>
        <row r="2703">
          <cell r="E2703">
            <v>10120007</v>
          </cell>
          <cell r="F2703" t="str">
            <v>0003</v>
          </cell>
          <cell r="G2703">
            <v>7</v>
          </cell>
          <cell r="H2703">
            <v>31.450000000000003</v>
          </cell>
          <cell r="I2703">
            <v>1132.6509427464</v>
          </cell>
          <cell r="J2703">
            <v>0</v>
          </cell>
        </row>
        <row r="2704">
          <cell r="E2704">
            <v>10120007</v>
          </cell>
          <cell r="F2704" t="str">
            <v>0005</v>
          </cell>
          <cell r="G2704">
            <v>2</v>
          </cell>
          <cell r="H2704">
            <v>9.1900000000000013</v>
          </cell>
          <cell r="I2704">
            <v>316.87965650880005</v>
          </cell>
          <cell r="J2704">
            <v>0</v>
          </cell>
        </row>
        <row r="2705">
          <cell r="E2705">
            <v>10120007</v>
          </cell>
          <cell r="F2705" t="str">
            <v>0009</v>
          </cell>
          <cell r="G2705">
            <v>12</v>
          </cell>
          <cell r="H2705">
            <v>29.999999999999996</v>
          </cell>
          <cell r="I2705">
            <v>1210.697238168</v>
          </cell>
          <cell r="J2705">
            <v>0</v>
          </cell>
        </row>
        <row r="2706">
          <cell r="E2706">
            <v>10120007</v>
          </cell>
          <cell r="F2706" t="str">
            <v>0011</v>
          </cell>
          <cell r="G2706">
            <v>13</v>
          </cell>
          <cell r="H2706">
            <v>25.999999999999996</v>
          </cell>
          <cell r="I2706">
            <v>1070.3998533096001</v>
          </cell>
          <cell r="J2706">
            <v>0</v>
          </cell>
        </row>
        <row r="2707">
          <cell r="E2707">
            <v>10120007</v>
          </cell>
          <cell r="F2707" t="str">
            <v>0014</v>
          </cell>
          <cell r="G2707">
            <v>2</v>
          </cell>
          <cell r="H2707">
            <v>5.91</v>
          </cell>
          <cell r="I2707">
            <v>230.10639102000005</v>
          </cell>
          <cell r="J2707">
            <v>0</v>
          </cell>
        </row>
        <row r="2708">
          <cell r="E2708">
            <v>10120007</v>
          </cell>
          <cell r="F2708" t="str">
            <v>0015</v>
          </cell>
          <cell r="G2708">
            <v>3</v>
          </cell>
          <cell r="H2708">
            <v>5.61</v>
          </cell>
          <cell r="I2708">
            <v>211.10757148800002</v>
          </cell>
          <cell r="J2708">
            <v>0</v>
          </cell>
        </row>
        <row r="2709">
          <cell r="E2709">
            <v>10120007</v>
          </cell>
          <cell r="F2709" t="str">
            <v>0032</v>
          </cell>
          <cell r="G2709">
            <v>1</v>
          </cell>
          <cell r="H2709">
            <v>2.23</v>
          </cell>
          <cell r="I2709">
            <v>93.020203188000011</v>
          </cell>
          <cell r="J2709">
            <v>0</v>
          </cell>
        </row>
        <row r="2710">
          <cell r="E2710">
            <v>10120007</v>
          </cell>
          <cell r="F2710" t="str">
            <v>0038</v>
          </cell>
          <cell r="G2710">
            <v>13</v>
          </cell>
          <cell r="H2710">
            <v>53.480000000000011</v>
          </cell>
          <cell r="I2710">
            <v>2220.3173124000004</v>
          </cell>
          <cell r="J2710">
            <v>0</v>
          </cell>
        </row>
        <row r="2711">
          <cell r="E2711">
            <v>10120007</v>
          </cell>
          <cell r="F2711" t="str">
            <v>0040</v>
          </cell>
          <cell r="G2711">
            <v>6</v>
          </cell>
          <cell r="H2711">
            <v>19.759999999999998</v>
          </cell>
          <cell r="I2711">
            <v>928.42620493230004</v>
          </cell>
          <cell r="J2711">
            <v>0</v>
          </cell>
        </row>
        <row r="2712">
          <cell r="E2712">
            <v>10120007</v>
          </cell>
          <cell r="F2712" t="str">
            <v>0059</v>
          </cell>
          <cell r="G2712">
            <v>1</v>
          </cell>
          <cell r="H2712">
            <v>6.76</v>
          </cell>
          <cell r="I2712">
            <v>285.467998464</v>
          </cell>
          <cell r="J2712">
            <v>0</v>
          </cell>
        </row>
        <row r="2713">
          <cell r="E2713">
            <v>10120007</v>
          </cell>
          <cell r="F2713" t="str">
            <v>0069</v>
          </cell>
          <cell r="G2713">
            <v>6</v>
          </cell>
          <cell r="H2713">
            <v>22.94</v>
          </cell>
          <cell r="I2713">
            <v>987.52148906400021</v>
          </cell>
          <cell r="J2713">
            <v>0</v>
          </cell>
        </row>
        <row r="2714">
          <cell r="E2714">
            <v>10120007</v>
          </cell>
          <cell r="F2714" t="str">
            <v>0072</v>
          </cell>
          <cell r="G2714">
            <v>11</v>
          </cell>
          <cell r="H2714">
            <v>23.9</v>
          </cell>
          <cell r="I2714">
            <v>828.43319467260017</v>
          </cell>
          <cell r="J2714">
            <v>0</v>
          </cell>
        </row>
        <row r="2715">
          <cell r="E2715">
            <v>10120007</v>
          </cell>
          <cell r="F2715" t="str">
            <v>0073</v>
          </cell>
          <cell r="G2715">
            <v>7</v>
          </cell>
          <cell r="H2715">
            <v>12.43</v>
          </cell>
          <cell r="I2715">
            <v>398.37746436839996</v>
          </cell>
          <cell r="J2715">
            <v>0</v>
          </cell>
        </row>
        <row r="2716">
          <cell r="E2716">
            <v>10120007</v>
          </cell>
          <cell r="F2716" t="str">
            <v>0074</v>
          </cell>
          <cell r="G2716">
            <v>13</v>
          </cell>
          <cell r="H2716">
            <v>59.580000000000005</v>
          </cell>
          <cell r="I2716">
            <v>2459.3939441280004</v>
          </cell>
          <cell r="J2716">
            <v>0</v>
          </cell>
        </row>
        <row r="2717">
          <cell r="E2717">
            <v>10120007</v>
          </cell>
          <cell r="F2717" t="str">
            <v>0076</v>
          </cell>
          <cell r="G2717">
            <v>12</v>
          </cell>
          <cell r="H2717">
            <v>21.900000000000002</v>
          </cell>
          <cell r="I2717">
            <v>849.38270036400013</v>
          </cell>
          <cell r="J2717">
            <v>0</v>
          </cell>
        </row>
        <row r="2718">
          <cell r="E2718">
            <v>10120007</v>
          </cell>
          <cell r="F2718" t="str">
            <v>0079</v>
          </cell>
          <cell r="G2718">
            <v>7</v>
          </cell>
          <cell r="H2718">
            <v>19.430000000000003</v>
          </cell>
          <cell r="I2718">
            <v>737.13553135200004</v>
          </cell>
          <cell r="J2718">
            <v>0</v>
          </cell>
        </row>
        <row r="2719">
          <cell r="E2719">
            <v>10120007</v>
          </cell>
          <cell r="F2719" t="str">
            <v>0085</v>
          </cell>
          <cell r="G2719">
            <v>9</v>
          </cell>
          <cell r="H2719">
            <v>24.5</v>
          </cell>
          <cell r="I2719">
            <v>812.12432849460015</v>
          </cell>
          <cell r="J2719">
            <v>0</v>
          </cell>
        </row>
        <row r="2720">
          <cell r="E2720">
            <v>10120007</v>
          </cell>
          <cell r="F2720" t="str">
            <v>0092</v>
          </cell>
          <cell r="G2720">
            <v>7</v>
          </cell>
          <cell r="H2720">
            <v>27.769999999999996</v>
          </cell>
          <cell r="I2720">
            <v>1824.3447779521998</v>
          </cell>
          <cell r="J2720">
            <v>0</v>
          </cell>
        </row>
        <row r="2721">
          <cell r="E2721">
            <v>10120007</v>
          </cell>
          <cell r="F2721" t="str">
            <v>0093</v>
          </cell>
          <cell r="G2721">
            <v>10</v>
          </cell>
          <cell r="H2721">
            <v>18.259999999999998</v>
          </cell>
          <cell r="I2721">
            <v>766.71149781600013</v>
          </cell>
          <cell r="J2721">
            <v>0</v>
          </cell>
        </row>
        <row r="2722">
          <cell r="E2722">
            <v>10120007</v>
          </cell>
          <cell r="F2722" t="str">
            <v>0094</v>
          </cell>
          <cell r="G2722">
            <v>6</v>
          </cell>
          <cell r="H2722">
            <v>31.96</v>
          </cell>
          <cell r="I2722">
            <v>1073.7942926238002</v>
          </cell>
          <cell r="J2722">
            <v>0</v>
          </cell>
        </row>
        <row r="2723">
          <cell r="E2723">
            <v>10120007</v>
          </cell>
          <cell r="F2723" t="str">
            <v>0099</v>
          </cell>
          <cell r="G2723">
            <v>13</v>
          </cell>
          <cell r="H2723">
            <v>67.669999999999987</v>
          </cell>
          <cell r="I2723">
            <v>2711.7999469440006</v>
          </cell>
          <cell r="J2723">
            <v>0</v>
          </cell>
        </row>
        <row r="2724">
          <cell r="E2724">
            <v>10120007</v>
          </cell>
          <cell r="F2724" t="str">
            <v>0104</v>
          </cell>
          <cell r="G2724">
            <v>7</v>
          </cell>
          <cell r="H2724">
            <v>13.139999999999999</v>
          </cell>
          <cell r="I2724">
            <v>543.10332027600009</v>
          </cell>
          <cell r="J2724">
            <v>0</v>
          </cell>
        </row>
        <row r="2725">
          <cell r="E2725">
            <v>10120007</v>
          </cell>
          <cell r="F2725" t="str">
            <v>0105</v>
          </cell>
          <cell r="G2725">
            <v>11</v>
          </cell>
          <cell r="H2725">
            <v>62.080000000000005</v>
          </cell>
          <cell r="I2725">
            <v>2721.3214493520009</v>
          </cell>
          <cell r="J2725">
            <v>0</v>
          </cell>
        </row>
        <row r="2726">
          <cell r="E2726">
            <v>10120007</v>
          </cell>
          <cell r="F2726" t="str">
            <v>0107</v>
          </cell>
          <cell r="G2726">
            <v>13</v>
          </cell>
          <cell r="H2726">
            <v>112.33999999999999</v>
          </cell>
          <cell r="I2726">
            <v>5161.0877068197606</v>
          </cell>
          <cell r="J2726">
            <v>0</v>
          </cell>
        </row>
        <row r="2727">
          <cell r="E2727">
            <v>10120007</v>
          </cell>
          <cell r="F2727" t="str">
            <v>0109</v>
          </cell>
          <cell r="G2727">
            <v>14</v>
          </cell>
          <cell r="H2727">
            <v>97.820000000000007</v>
          </cell>
          <cell r="I2727">
            <v>4100.1722906760006</v>
          </cell>
          <cell r="J2727">
            <v>0</v>
          </cell>
        </row>
        <row r="2728">
          <cell r="E2728">
            <v>10120007</v>
          </cell>
          <cell r="F2728" t="str">
            <v>0110</v>
          </cell>
          <cell r="G2728">
            <v>7</v>
          </cell>
          <cell r="H2728">
            <v>64.95</v>
          </cell>
          <cell r="I2728">
            <v>2287.9019899494001</v>
          </cell>
          <cell r="J2728">
            <v>0</v>
          </cell>
        </row>
        <row r="2729">
          <cell r="E2729">
            <v>10120007</v>
          </cell>
          <cell r="F2729" t="str">
            <v>0116</v>
          </cell>
          <cell r="G2729">
            <v>9</v>
          </cell>
          <cell r="H2729">
            <v>21.58</v>
          </cell>
          <cell r="I2729">
            <v>917.43609276000007</v>
          </cell>
          <cell r="J2729">
            <v>0</v>
          </cell>
        </row>
        <row r="2730">
          <cell r="E2730">
            <v>10120007</v>
          </cell>
          <cell r="F2730" t="str">
            <v>0120</v>
          </cell>
          <cell r="G2730">
            <v>13</v>
          </cell>
          <cell r="H2730">
            <v>64.28</v>
          </cell>
          <cell r="I2730">
            <v>3041.3693162754994</v>
          </cell>
          <cell r="J2730">
            <v>0</v>
          </cell>
        </row>
        <row r="2731">
          <cell r="E2731">
            <v>10120007</v>
          </cell>
          <cell r="F2731" t="str">
            <v>0122</v>
          </cell>
          <cell r="G2731">
            <v>13</v>
          </cell>
          <cell r="H2731">
            <v>107.60999999999999</v>
          </cell>
          <cell r="I2731">
            <v>4136.2888160880002</v>
          </cell>
          <cell r="J2731">
            <v>0</v>
          </cell>
        </row>
        <row r="2732">
          <cell r="E2732">
            <v>10120007</v>
          </cell>
          <cell r="F2732" t="str">
            <v>0124</v>
          </cell>
          <cell r="G2732">
            <v>12</v>
          </cell>
          <cell r="H2732">
            <v>87.910000000000025</v>
          </cell>
          <cell r="I2732">
            <v>3178.5619894182009</v>
          </cell>
          <cell r="J2732">
            <v>0</v>
          </cell>
        </row>
        <row r="2733">
          <cell r="E2733">
            <v>10120007</v>
          </cell>
          <cell r="F2733" t="str">
            <v>0125</v>
          </cell>
          <cell r="G2733">
            <v>13</v>
          </cell>
          <cell r="H2733">
            <v>106.71000000000001</v>
          </cell>
          <cell r="I2733">
            <v>3801.3150069576004</v>
          </cell>
          <cell r="J2733">
            <v>0</v>
          </cell>
        </row>
        <row r="2734">
          <cell r="E2734">
            <v>10120007</v>
          </cell>
          <cell r="F2734" t="str">
            <v>0127</v>
          </cell>
          <cell r="G2734">
            <v>13</v>
          </cell>
          <cell r="H2734">
            <v>95.85</v>
          </cell>
          <cell r="I2734">
            <v>3938.8726974960009</v>
          </cell>
          <cell r="J2734">
            <v>0</v>
          </cell>
        </row>
        <row r="2735">
          <cell r="E2735">
            <v>10120007</v>
          </cell>
          <cell r="F2735" t="str">
            <v>0128</v>
          </cell>
          <cell r="G2735">
            <v>13</v>
          </cell>
          <cell r="H2735">
            <v>29.660000000000004</v>
          </cell>
          <cell r="I2735">
            <v>993.08013823260012</v>
          </cell>
          <cell r="J2735">
            <v>0</v>
          </cell>
        </row>
        <row r="2736">
          <cell r="E2736">
            <v>10120007</v>
          </cell>
          <cell r="F2736" t="str">
            <v>0136</v>
          </cell>
          <cell r="G2736">
            <v>13</v>
          </cell>
          <cell r="H2736">
            <v>73.59</v>
          </cell>
          <cell r="I2736">
            <v>2530.8243726084002</v>
          </cell>
          <cell r="J2736">
            <v>0</v>
          </cell>
        </row>
        <row r="2737">
          <cell r="E2737">
            <v>10120007</v>
          </cell>
          <cell r="F2737" t="str">
            <v>0149</v>
          </cell>
          <cell r="G2737">
            <v>8</v>
          </cell>
          <cell r="H2737">
            <v>25.089999999999996</v>
          </cell>
          <cell r="I2737">
            <v>1066.7274227280002</v>
          </cell>
          <cell r="J2737">
            <v>0</v>
          </cell>
        </row>
        <row r="2738">
          <cell r="E2738">
            <v>10120007</v>
          </cell>
          <cell r="F2738" t="str">
            <v>0155</v>
          </cell>
          <cell r="G2738">
            <v>12</v>
          </cell>
          <cell r="H2738">
            <v>24.45</v>
          </cell>
          <cell r="I2738">
            <v>1272.8318943092502</v>
          </cell>
          <cell r="J2738">
            <v>0</v>
          </cell>
        </row>
        <row r="2739">
          <cell r="E2739">
            <v>10120007</v>
          </cell>
          <cell r="F2739" t="str">
            <v>0168</v>
          </cell>
          <cell r="G2739">
            <v>12</v>
          </cell>
          <cell r="H2739">
            <v>38.909999999999997</v>
          </cell>
          <cell r="I2739">
            <v>2737.0123743380996</v>
          </cell>
          <cell r="J2739">
            <v>0</v>
          </cell>
        </row>
        <row r="2740">
          <cell r="E2740">
            <v>10120012</v>
          </cell>
          <cell r="F2740" t="str">
            <v>0001</v>
          </cell>
          <cell r="G2740">
            <v>12</v>
          </cell>
          <cell r="H2740">
            <v>11</v>
          </cell>
          <cell r="I2740">
            <v>482.5728621546001</v>
          </cell>
          <cell r="J2740">
            <v>0</v>
          </cell>
        </row>
        <row r="2741">
          <cell r="E2741">
            <v>10120012</v>
          </cell>
          <cell r="F2741" t="str">
            <v>0002</v>
          </cell>
          <cell r="G2741">
            <v>14</v>
          </cell>
          <cell r="H2741">
            <v>34.450000000000003</v>
          </cell>
          <cell r="I2741">
            <v>1528.6537429788002</v>
          </cell>
          <cell r="J2741">
            <v>0</v>
          </cell>
        </row>
        <row r="2742">
          <cell r="E2742">
            <v>10120012</v>
          </cell>
          <cell r="F2742" t="str">
            <v>0003</v>
          </cell>
          <cell r="G2742">
            <v>13</v>
          </cell>
          <cell r="H2742">
            <v>110.2</v>
          </cell>
          <cell r="I2742">
            <v>4921.0422586130007</v>
          </cell>
          <cell r="J2742">
            <v>0</v>
          </cell>
        </row>
        <row r="2743">
          <cell r="E2743">
            <v>10120012</v>
          </cell>
          <cell r="F2743" t="str">
            <v>0005</v>
          </cell>
          <cell r="G2743">
            <v>14</v>
          </cell>
          <cell r="H2743">
            <v>69.399999999999991</v>
          </cell>
          <cell r="I2743">
            <v>3284.1094660808003</v>
          </cell>
          <cell r="J2743">
            <v>0</v>
          </cell>
        </row>
        <row r="2744">
          <cell r="E2744">
            <v>10120012</v>
          </cell>
          <cell r="F2744" t="str">
            <v>0007</v>
          </cell>
          <cell r="G2744">
            <v>13</v>
          </cell>
          <cell r="H2744">
            <v>38.100000000000009</v>
          </cell>
          <cell r="I2744">
            <v>2097.0344488708001</v>
          </cell>
          <cell r="J2744">
            <v>0</v>
          </cell>
        </row>
        <row r="2745">
          <cell r="E2745">
            <v>10120012</v>
          </cell>
          <cell r="F2745" t="str">
            <v>0019</v>
          </cell>
          <cell r="G2745">
            <v>10</v>
          </cell>
          <cell r="H2745">
            <v>55.400000000000006</v>
          </cell>
          <cell r="I2745">
            <v>2672.1990191912</v>
          </cell>
          <cell r="J2745">
            <v>0</v>
          </cell>
        </row>
        <row r="2746">
          <cell r="E2746">
            <v>10120012</v>
          </cell>
          <cell r="F2746" t="str">
            <v>0026</v>
          </cell>
          <cell r="G2746">
            <v>14</v>
          </cell>
          <cell r="H2746">
            <v>50.099999999999994</v>
          </cell>
          <cell r="I2746">
            <v>1808.3104498800003</v>
          </cell>
          <cell r="J2746">
            <v>0</v>
          </cell>
        </row>
        <row r="2747">
          <cell r="E2747">
            <v>10120012</v>
          </cell>
          <cell r="F2747" t="str">
            <v>0052</v>
          </cell>
          <cell r="G2747">
            <v>5</v>
          </cell>
          <cell r="H2747">
            <v>7.6</v>
          </cell>
          <cell r="I2747">
            <v>300.69129024000006</v>
          </cell>
          <cell r="J2747">
            <v>0</v>
          </cell>
        </row>
        <row r="2748">
          <cell r="E2748">
            <v>10120012</v>
          </cell>
          <cell r="F2748" t="str">
            <v>0078</v>
          </cell>
          <cell r="G2748">
            <v>13</v>
          </cell>
          <cell r="H2748">
            <v>30.100000000000005</v>
          </cell>
          <cell r="I2748">
            <v>1117.1279477160001</v>
          </cell>
          <cell r="J2748">
            <v>0</v>
          </cell>
        </row>
        <row r="2749">
          <cell r="E2749">
            <v>10120012</v>
          </cell>
          <cell r="F2749" t="str">
            <v>0084</v>
          </cell>
          <cell r="G2749">
            <v>13</v>
          </cell>
          <cell r="H2749">
            <v>50.199999999999996</v>
          </cell>
          <cell r="I2749">
            <v>1886.6654480520001</v>
          </cell>
          <cell r="J2749">
            <v>0</v>
          </cell>
        </row>
        <row r="2750">
          <cell r="E2750">
            <v>10120012</v>
          </cell>
          <cell r="F2750" t="str">
            <v>0089</v>
          </cell>
          <cell r="G2750">
            <v>13</v>
          </cell>
          <cell r="H2750">
            <v>28.7</v>
          </cell>
          <cell r="I2750">
            <v>1653.8429166751</v>
          </cell>
          <cell r="J2750">
            <v>0</v>
          </cell>
        </row>
        <row r="2751">
          <cell r="E2751">
            <v>10120012</v>
          </cell>
          <cell r="F2751" t="str">
            <v>0093</v>
          </cell>
          <cell r="G2751">
            <v>5</v>
          </cell>
          <cell r="H2751">
            <v>30.6</v>
          </cell>
          <cell r="I2751">
            <v>1899.1788610810002</v>
          </cell>
          <cell r="J2751">
            <v>0</v>
          </cell>
        </row>
        <row r="2752">
          <cell r="E2752">
            <v>10120012</v>
          </cell>
          <cell r="F2752" t="str">
            <v>0094</v>
          </cell>
          <cell r="G2752">
            <v>7</v>
          </cell>
          <cell r="H2752">
            <v>17.8</v>
          </cell>
          <cell r="I2752">
            <v>1263.6622895550001</v>
          </cell>
          <cell r="J2752">
            <v>0</v>
          </cell>
        </row>
        <row r="2753">
          <cell r="E2753">
            <v>10120012</v>
          </cell>
          <cell r="F2753" t="str">
            <v>0099</v>
          </cell>
          <cell r="G2753">
            <v>12</v>
          </cell>
          <cell r="H2753">
            <v>31.900000000000002</v>
          </cell>
          <cell r="I2753">
            <v>1101.4704534240002</v>
          </cell>
          <cell r="J2753">
            <v>0</v>
          </cell>
        </row>
        <row r="2754">
          <cell r="E2754">
            <v>10120012</v>
          </cell>
          <cell r="F2754" t="str">
            <v>0100</v>
          </cell>
          <cell r="G2754">
            <v>14</v>
          </cell>
          <cell r="H2754">
            <v>34.199999999999996</v>
          </cell>
          <cell r="I2754">
            <v>1610.9013874989005</v>
          </cell>
          <cell r="J2754">
            <v>0</v>
          </cell>
        </row>
        <row r="2755">
          <cell r="E2755">
            <v>10120012</v>
          </cell>
          <cell r="F2755" t="str">
            <v>0104</v>
          </cell>
          <cell r="G2755">
            <v>13</v>
          </cell>
          <cell r="H2755">
            <v>46</v>
          </cell>
          <cell r="I2755">
            <v>1812.1189294980002</v>
          </cell>
          <cell r="J2755">
            <v>0</v>
          </cell>
        </row>
        <row r="2756">
          <cell r="E2756">
            <v>10120012</v>
          </cell>
          <cell r="F2756" t="str">
            <v>0112</v>
          </cell>
          <cell r="G2756">
            <v>1</v>
          </cell>
          <cell r="H2756">
            <v>2</v>
          </cell>
          <cell r="I2756">
            <v>163.77940457999998</v>
          </cell>
          <cell r="J2756">
            <v>0</v>
          </cell>
        </row>
        <row r="2757">
          <cell r="E2757">
            <v>10120012</v>
          </cell>
          <cell r="F2757" t="str">
            <v>0113</v>
          </cell>
          <cell r="G2757">
            <v>14</v>
          </cell>
          <cell r="H2757">
            <v>30.199999999999996</v>
          </cell>
          <cell r="I2757">
            <v>1543.7936851063002</v>
          </cell>
          <cell r="J2757">
            <v>0</v>
          </cell>
        </row>
        <row r="2758">
          <cell r="E2758">
            <v>10120012</v>
          </cell>
          <cell r="F2758" t="str">
            <v>0114</v>
          </cell>
          <cell r="G2758">
            <v>13</v>
          </cell>
          <cell r="H2758">
            <v>26.599999999999994</v>
          </cell>
          <cell r="I2758">
            <v>1630.6431743239998</v>
          </cell>
          <cell r="J2758">
            <v>0</v>
          </cell>
        </row>
        <row r="2759">
          <cell r="E2759">
            <v>10120012</v>
          </cell>
          <cell r="F2759" t="str">
            <v>0115</v>
          </cell>
          <cell r="G2759">
            <v>6</v>
          </cell>
          <cell r="H2759">
            <v>9.4</v>
          </cell>
          <cell r="I2759">
            <v>496.71158310140004</v>
          </cell>
          <cell r="J2759">
            <v>0</v>
          </cell>
        </row>
        <row r="2760">
          <cell r="E2760">
            <v>10120014</v>
          </cell>
          <cell r="F2760" t="str">
            <v>0002</v>
          </cell>
          <cell r="G2760">
            <v>12</v>
          </cell>
          <cell r="H2760">
            <v>167.3</v>
          </cell>
          <cell r="I2760">
            <v>7351.9104514896007</v>
          </cell>
          <cell r="J2760">
            <v>0</v>
          </cell>
        </row>
        <row r="2761">
          <cell r="E2761">
            <v>10120014</v>
          </cell>
          <cell r="F2761" t="str">
            <v>0003</v>
          </cell>
          <cell r="G2761">
            <v>9</v>
          </cell>
          <cell r="H2761">
            <v>128.00000000000003</v>
          </cell>
          <cell r="I2761">
            <v>6207.3603033540003</v>
          </cell>
          <cell r="J2761">
            <v>0</v>
          </cell>
        </row>
        <row r="2762">
          <cell r="E2762">
            <v>10120014</v>
          </cell>
          <cell r="F2762" t="str">
            <v>0033</v>
          </cell>
          <cell r="G2762">
            <v>14</v>
          </cell>
          <cell r="H2762">
            <v>170.20000000000005</v>
          </cell>
          <cell r="I2762">
            <v>7553.1230491180013</v>
          </cell>
          <cell r="J2762">
            <v>0</v>
          </cell>
        </row>
        <row r="2763">
          <cell r="E2763">
            <v>10120014</v>
          </cell>
          <cell r="F2763" t="str">
            <v>0036</v>
          </cell>
          <cell r="G2763">
            <v>3</v>
          </cell>
          <cell r="H2763">
            <v>2.8</v>
          </cell>
          <cell r="I2763">
            <v>154.93647296300003</v>
          </cell>
          <cell r="J2763">
            <v>0</v>
          </cell>
        </row>
        <row r="2764">
          <cell r="E2764">
            <v>10120014</v>
          </cell>
          <cell r="F2764" t="str">
            <v>0037</v>
          </cell>
          <cell r="G2764">
            <v>8</v>
          </cell>
          <cell r="H2764">
            <v>55.3</v>
          </cell>
          <cell r="I2764">
            <v>3635.0073923857999</v>
          </cell>
          <cell r="J2764">
            <v>0</v>
          </cell>
        </row>
        <row r="2765">
          <cell r="E2765">
            <v>10120014</v>
          </cell>
          <cell r="F2765" t="str">
            <v>0041</v>
          </cell>
          <cell r="G2765">
            <v>14</v>
          </cell>
          <cell r="H2765">
            <v>179.89999999999998</v>
          </cell>
          <cell r="I2765">
            <v>7874.5458943478025</v>
          </cell>
          <cell r="J2765">
            <v>0</v>
          </cell>
        </row>
        <row r="2766">
          <cell r="E2766">
            <v>10120014</v>
          </cell>
          <cell r="F2766" t="str">
            <v>0043</v>
          </cell>
          <cell r="G2766">
            <v>13</v>
          </cell>
          <cell r="H2766">
            <v>130.79999999999998</v>
          </cell>
          <cell r="I2766">
            <v>5872.8329361844017</v>
          </cell>
          <cell r="J2766">
            <v>0</v>
          </cell>
        </row>
        <row r="2767">
          <cell r="E2767">
            <v>10120014</v>
          </cell>
          <cell r="F2767" t="str">
            <v>0044</v>
          </cell>
          <cell r="G2767">
            <v>13</v>
          </cell>
          <cell r="H2767">
            <v>151.1</v>
          </cell>
          <cell r="I2767">
            <v>6542.3735387366014</v>
          </cell>
          <cell r="J2767">
            <v>0</v>
          </cell>
        </row>
        <row r="2768">
          <cell r="E2768">
            <v>10120014</v>
          </cell>
          <cell r="F2768" t="str">
            <v>0045</v>
          </cell>
          <cell r="G2768">
            <v>12</v>
          </cell>
          <cell r="H2768">
            <v>147.89999999999998</v>
          </cell>
          <cell r="I2768">
            <v>6421.973394691001</v>
          </cell>
          <cell r="J2768">
            <v>0</v>
          </cell>
        </row>
        <row r="2769">
          <cell r="E2769">
            <v>10120014</v>
          </cell>
          <cell r="F2769" t="str">
            <v>0046</v>
          </cell>
          <cell r="G2769">
            <v>4</v>
          </cell>
          <cell r="H2769">
            <v>39.799999999999997</v>
          </cell>
          <cell r="I2769">
            <v>1877.2384679159998</v>
          </cell>
          <cell r="J2769">
            <v>0</v>
          </cell>
        </row>
        <row r="2770">
          <cell r="E2770">
            <v>10120014</v>
          </cell>
          <cell r="F2770" t="str">
            <v>0047</v>
          </cell>
          <cell r="G2770">
            <v>5</v>
          </cell>
          <cell r="H2770">
            <v>70.3</v>
          </cell>
          <cell r="I2770">
            <v>2875.3004570399999</v>
          </cell>
          <cell r="J2770">
            <v>0</v>
          </cell>
        </row>
        <row r="2771">
          <cell r="E2771">
            <v>10120014</v>
          </cell>
          <cell r="F2771" t="str">
            <v>0048</v>
          </cell>
          <cell r="G2771">
            <v>5</v>
          </cell>
          <cell r="H2771">
            <v>59.9</v>
          </cell>
          <cell r="I2771">
            <v>2742.8250026759997</v>
          </cell>
          <cell r="J2771">
            <v>0</v>
          </cell>
        </row>
        <row r="2772">
          <cell r="E2772">
            <v>10120014</v>
          </cell>
          <cell r="F2772" t="str">
            <v>0049</v>
          </cell>
          <cell r="G2772">
            <v>10</v>
          </cell>
          <cell r="H2772">
            <v>129.20000000000002</v>
          </cell>
          <cell r="I2772">
            <v>5692.5569290645999</v>
          </cell>
          <cell r="J2772">
            <v>0</v>
          </cell>
        </row>
        <row r="2773">
          <cell r="E2773">
            <v>10120014</v>
          </cell>
          <cell r="F2773" t="str">
            <v>0050</v>
          </cell>
          <cell r="G2773">
            <v>5</v>
          </cell>
          <cell r="H2773">
            <v>67</v>
          </cell>
          <cell r="I2773">
            <v>2928.0443354689996</v>
          </cell>
          <cell r="J2773">
            <v>0</v>
          </cell>
        </row>
        <row r="2774">
          <cell r="E2774">
            <v>10120014</v>
          </cell>
          <cell r="F2774" t="str">
            <v>0051</v>
          </cell>
          <cell r="G2774">
            <v>1</v>
          </cell>
          <cell r="H2774">
            <v>15</v>
          </cell>
          <cell r="I2774">
            <v>651.4368300000001</v>
          </cell>
          <cell r="J2774">
            <v>0</v>
          </cell>
        </row>
        <row r="2775">
          <cell r="E2775">
            <v>10120014</v>
          </cell>
          <cell r="F2775" t="str">
            <v>0053</v>
          </cell>
          <cell r="G2775">
            <v>1</v>
          </cell>
          <cell r="H2775">
            <v>13.7</v>
          </cell>
          <cell r="I2775">
            <v>566.04420972000003</v>
          </cell>
          <cell r="J2775">
            <v>0</v>
          </cell>
        </row>
        <row r="2776">
          <cell r="E2776">
            <v>10120015</v>
          </cell>
          <cell r="F2776" t="str">
            <v>0002</v>
          </cell>
          <cell r="G2776">
            <v>10</v>
          </cell>
          <cell r="H2776">
            <v>376.56</v>
          </cell>
          <cell r="I2776">
            <v>16936.074892010762</v>
          </cell>
          <cell r="J2776">
            <v>0</v>
          </cell>
        </row>
        <row r="2777">
          <cell r="E2777">
            <v>10120015</v>
          </cell>
          <cell r="F2777" t="str">
            <v>0027</v>
          </cell>
          <cell r="G2777">
            <v>14</v>
          </cell>
          <cell r="H2777">
            <v>109.06</v>
          </cell>
          <cell r="I2777">
            <v>4202.677942808401</v>
          </cell>
          <cell r="J2777">
            <v>0</v>
          </cell>
        </row>
        <row r="2778">
          <cell r="E2778">
            <v>10120015</v>
          </cell>
          <cell r="F2778" t="str">
            <v>0031</v>
          </cell>
          <cell r="G2778">
            <v>7</v>
          </cell>
          <cell r="H2778">
            <v>34.28</v>
          </cell>
          <cell r="I2778">
            <v>1211.1450763698001</v>
          </cell>
          <cell r="J2778">
            <v>0</v>
          </cell>
        </row>
        <row r="2779">
          <cell r="E2779">
            <v>10120015</v>
          </cell>
          <cell r="F2779" t="str">
            <v>0032</v>
          </cell>
          <cell r="G2779">
            <v>9</v>
          </cell>
          <cell r="H2779">
            <v>22.130000000000006</v>
          </cell>
          <cell r="I2779">
            <v>802.87658771759993</v>
          </cell>
          <cell r="J2779">
            <v>0</v>
          </cell>
        </row>
        <row r="2780">
          <cell r="E2780">
            <v>10120015</v>
          </cell>
          <cell r="F2780" t="str">
            <v>0033</v>
          </cell>
          <cell r="G2780">
            <v>6</v>
          </cell>
          <cell r="H2780">
            <v>206.00000000000003</v>
          </cell>
          <cell r="I2780">
            <v>8202.497630119562</v>
          </cell>
          <cell r="J2780">
            <v>0</v>
          </cell>
        </row>
        <row r="2781">
          <cell r="E2781">
            <v>10120015</v>
          </cell>
          <cell r="F2781" t="str">
            <v>0037</v>
          </cell>
          <cell r="G2781">
            <v>14</v>
          </cell>
          <cell r="H2781">
            <v>91.79</v>
          </cell>
          <cell r="I2781">
            <v>3330.6432948756001</v>
          </cell>
          <cell r="J2781">
            <v>0</v>
          </cell>
        </row>
        <row r="2782">
          <cell r="E2782">
            <v>10120015</v>
          </cell>
          <cell r="F2782" t="str">
            <v>0038</v>
          </cell>
          <cell r="G2782">
            <v>13</v>
          </cell>
          <cell r="H2782">
            <v>34.85</v>
          </cell>
          <cell r="I2782">
            <v>1311.3050144832002</v>
          </cell>
          <cell r="J2782">
            <v>0</v>
          </cell>
        </row>
        <row r="2783">
          <cell r="E2783">
            <v>10120015</v>
          </cell>
          <cell r="F2783" t="str">
            <v>0040</v>
          </cell>
          <cell r="G2783">
            <v>14</v>
          </cell>
          <cell r="H2783">
            <v>71.079999999999984</v>
          </cell>
          <cell r="I2783">
            <v>2478.8578756986003</v>
          </cell>
          <cell r="J2783">
            <v>0</v>
          </cell>
        </row>
        <row r="2784">
          <cell r="E2784">
            <v>10120015</v>
          </cell>
          <cell r="F2784" t="str">
            <v>0045</v>
          </cell>
          <cell r="G2784">
            <v>13</v>
          </cell>
          <cell r="H2784">
            <v>34.449999999999996</v>
          </cell>
          <cell r="I2784">
            <v>1256.8828745682001</v>
          </cell>
          <cell r="J2784">
            <v>0</v>
          </cell>
        </row>
        <row r="2785">
          <cell r="E2785">
            <v>10120015</v>
          </cell>
          <cell r="F2785" t="str">
            <v>0054</v>
          </cell>
          <cell r="G2785">
            <v>6</v>
          </cell>
          <cell r="H2785">
            <v>9.4499999999999993</v>
          </cell>
          <cell r="I2785">
            <v>607.37614702575002</v>
          </cell>
          <cell r="J2785">
            <v>0</v>
          </cell>
        </row>
        <row r="2786">
          <cell r="E2786">
            <v>10120015</v>
          </cell>
          <cell r="F2786" t="str">
            <v>0055</v>
          </cell>
          <cell r="G2786">
            <v>7</v>
          </cell>
          <cell r="H2786">
            <v>10.280000000000001</v>
          </cell>
          <cell r="I2786">
            <v>465.64173789008998</v>
          </cell>
          <cell r="J2786">
            <v>0</v>
          </cell>
        </row>
        <row r="2787">
          <cell r="E2787">
            <v>10120015</v>
          </cell>
          <cell r="F2787" t="str">
            <v>0056</v>
          </cell>
          <cell r="G2787">
            <v>14</v>
          </cell>
          <cell r="H2787">
            <v>72.960000000000008</v>
          </cell>
          <cell r="I2787">
            <v>2649.529769317201</v>
          </cell>
          <cell r="J2787">
            <v>0</v>
          </cell>
        </row>
        <row r="2788">
          <cell r="E2788">
            <v>10120015</v>
          </cell>
          <cell r="F2788" t="str">
            <v>0057</v>
          </cell>
          <cell r="G2788">
            <v>7</v>
          </cell>
          <cell r="H2788">
            <v>22.5</v>
          </cell>
          <cell r="I2788">
            <v>963.01026201600007</v>
          </cell>
          <cell r="J2788">
            <v>0</v>
          </cell>
        </row>
        <row r="2789">
          <cell r="E2789">
            <v>10120015</v>
          </cell>
          <cell r="F2789" t="str">
            <v>0059</v>
          </cell>
          <cell r="G2789">
            <v>1</v>
          </cell>
          <cell r="H2789">
            <v>2.81</v>
          </cell>
          <cell r="I2789">
            <v>115.35927282</v>
          </cell>
          <cell r="J2789">
            <v>0</v>
          </cell>
        </row>
        <row r="2790">
          <cell r="E2790">
            <v>10120015</v>
          </cell>
          <cell r="F2790" t="str">
            <v>0064</v>
          </cell>
          <cell r="G2790">
            <v>8</v>
          </cell>
          <cell r="H2790">
            <v>15.86</v>
          </cell>
          <cell r="I2790">
            <v>678.24016472520009</v>
          </cell>
          <cell r="J2790">
            <v>0</v>
          </cell>
        </row>
        <row r="2791">
          <cell r="E2791">
            <v>10120015</v>
          </cell>
          <cell r="F2791" t="str">
            <v>0067</v>
          </cell>
          <cell r="G2791">
            <v>7</v>
          </cell>
          <cell r="H2791">
            <v>22.32</v>
          </cell>
          <cell r="I2791">
            <v>770.18348056320019</v>
          </cell>
          <cell r="J2791">
            <v>0</v>
          </cell>
        </row>
        <row r="2792">
          <cell r="E2792">
            <v>10120015</v>
          </cell>
          <cell r="F2792" t="str">
            <v>0068</v>
          </cell>
          <cell r="G2792">
            <v>7</v>
          </cell>
          <cell r="H2792">
            <v>11.19</v>
          </cell>
          <cell r="I2792">
            <v>430.93406650140003</v>
          </cell>
          <cell r="J2792">
            <v>0</v>
          </cell>
        </row>
        <row r="2793">
          <cell r="E2793">
            <v>10120015</v>
          </cell>
          <cell r="F2793" t="str">
            <v>0077</v>
          </cell>
          <cell r="G2793">
            <v>13</v>
          </cell>
          <cell r="H2793">
            <v>28.819999999999997</v>
          </cell>
          <cell r="I2793">
            <v>1508.3432366902803</v>
          </cell>
          <cell r="J2793">
            <v>0</v>
          </cell>
        </row>
        <row r="2794">
          <cell r="E2794">
            <v>10120016</v>
          </cell>
          <cell r="F2794" t="str">
            <v>0001</v>
          </cell>
          <cell r="G2794">
            <v>14</v>
          </cell>
          <cell r="H2794">
            <v>4.620000000000001</v>
          </cell>
          <cell r="I2794">
            <v>174.39055296300003</v>
          </cell>
          <cell r="J2794">
            <v>0</v>
          </cell>
        </row>
        <row r="2795">
          <cell r="E2795">
            <v>10120016</v>
          </cell>
          <cell r="F2795" t="str">
            <v>0002</v>
          </cell>
          <cell r="G2795">
            <v>14</v>
          </cell>
          <cell r="H2795">
            <v>134.52000000000001</v>
          </cell>
          <cell r="I2795">
            <v>5128.8339285810007</v>
          </cell>
          <cell r="J2795">
            <v>0</v>
          </cell>
        </row>
        <row r="2796">
          <cell r="E2796">
            <v>10120016</v>
          </cell>
          <cell r="F2796" t="str">
            <v>0003</v>
          </cell>
          <cell r="G2796">
            <v>14</v>
          </cell>
          <cell r="H2796">
            <v>65.749999999999986</v>
          </cell>
          <cell r="I2796">
            <v>2492.0000971668001</v>
          </cell>
          <cell r="J2796">
            <v>0</v>
          </cell>
        </row>
        <row r="2797">
          <cell r="E2797">
            <v>10120016</v>
          </cell>
          <cell r="F2797" t="str">
            <v>0005</v>
          </cell>
          <cell r="G2797">
            <v>14</v>
          </cell>
          <cell r="H2797">
            <v>65.499999999999986</v>
          </cell>
          <cell r="I2797">
            <v>2472.3128491578</v>
          </cell>
          <cell r="J2797">
            <v>0</v>
          </cell>
        </row>
        <row r="2798">
          <cell r="E2798">
            <v>10120016</v>
          </cell>
          <cell r="F2798" t="str">
            <v>0006</v>
          </cell>
          <cell r="G2798">
            <v>14</v>
          </cell>
          <cell r="H2798">
            <v>62.959999999999987</v>
          </cell>
          <cell r="I2798">
            <v>2399.6419226208</v>
          </cell>
          <cell r="J2798">
            <v>0</v>
          </cell>
        </row>
        <row r="2799">
          <cell r="E2799">
            <v>10120017</v>
          </cell>
          <cell r="F2799" t="str">
            <v>0002</v>
          </cell>
          <cell r="G2799">
            <v>13</v>
          </cell>
          <cell r="H2799">
            <v>315.39999999999998</v>
          </cell>
          <cell r="I2799">
            <v>12205.595813400003</v>
          </cell>
          <cell r="J2799">
            <v>82.6</v>
          </cell>
        </row>
        <row r="2800">
          <cell r="E2800">
            <v>10120017</v>
          </cell>
          <cell r="F2800" t="str">
            <v>0005</v>
          </cell>
          <cell r="G2800">
            <v>11</v>
          </cell>
          <cell r="H2800">
            <v>182.1</v>
          </cell>
          <cell r="I2800">
            <v>7318.5527630560009</v>
          </cell>
          <cell r="J2800">
            <v>0</v>
          </cell>
        </row>
        <row r="2801">
          <cell r="E2801">
            <v>10120017</v>
          </cell>
          <cell r="F2801" t="str">
            <v>0026</v>
          </cell>
          <cell r="G2801">
            <v>12</v>
          </cell>
          <cell r="H2801">
            <v>122.60000000000002</v>
          </cell>
          <cell r="I2801">
            <v>4905.1631930399999</v>
          </cell>
          <cell r="J2801">
            <v>0</v>
          </cell>
        </row>
        <row r="2802">
          <cell r="E2802">
            <v>10120017</v>
          </cell>
          <cell r="F2802" t="str">
            <v>0038</v>
          </cell>
          <cell r="G2802">
            <v>1</v>
          </cell>
          <cell r="H2802">
            <v>20.100000000000001</v>
          </cell>
          <cell r="I2802">
            <v>764.14388688000008</v>
          </cell>
          <cell r="J2802">
            <v>0</v>
          </cell>
        </row>
        <row r="2803">
          <cell r="E2803">
            <v>10120018</v>
          </cell>
          <cell r="F2803" t="str">
            <v>0002</v>
          </cell>
          <cell r="G2803">
            <v>14</v>
          </cell>
          <cell r="H2803">
            <v>315</v>
          </cell>
          <cell r="I2803">
            <v>13056.473429999998</v>
          </cell>
          <cell r="J2803">
            <v>1398.3</v>
          </cell>
        </row>
        <row r="2804">
          <cell r="E2804">
            <v>10120018</v>
          </cell>
          <cell r="F2804" t="str">
            <v>0003</v>
          </cell>
          <cell r="G2804">
            <v>13</v>
          </cell>
          <cell r="H2804">
            <v>160</v>
          </cell>
          <cell r="I2804">
            <v>6631.8595199999991</v>
          </cell>
          <cell r="J2804">
            <v>0</v>
          </cell>
        </row>
        <row r="2805">
          <cell r="E2805">
            <v>10120018</v>
          </cell>
          <cell r="F2805" t="str">
            <v>0006</v>
          </cell>
          <cell r="G2805">
            <v>13</v>
          </cell>
          <cell r="H2805">
            <v>150</v>
          </cell>
          <cell r="I2805">
            <v>6217.3682999999992</v>
          </cell>
          <cell r="J2805">
            <v>0</v>
          </cell>
        </row>
        <row r="2806">
          <cell r="E2806">
            <v>10120018</v>
          </cell>
          <cell r="F2806" t="str">
            <v>0050</v>
          </cell>
          <cell r="G2806">
            <v>2</v>
          </cell>
          <cell r="H2806">
            <v>16</v>
          </cell>
          <cell r="I2806">
            <v>663.18595200000004</v>
          </cell>
          <cell r="J2806">
            <v>0</v>
          </cell>
        </row>
        <row r="2807">
          <cell r="E2807">
            <v>10120019</v>
          </cell>
          <cell r="F2807" t="str">
            <v>0001</v>
          </cell>
          <cell r="G2807">
            <v>12</v>
          </cell>
          <cell r="H2807">
            <v>2.67</v>
          </cell>
          <cell r="I2807">
            <v>102.70820458800002</v>
          </cell>
          <cell r="J2807">
            <v>0</v>
          </cell>
        </row>
        <row r="2808">
          <cell r="E2808">
            <v>10120019</v>
          </cell>
          <cell r="F2808" t="str">
            <v>0002</v>
          </cell>
          <cell r="G2808">
            <v>14</v>
          </cell>
          <cell r="H2808">
            <v>96.59999999999998</v>
          </cell>
          <cell r="I2808">
            <v>3868.9902100608006</v>
          </cell>
          <cell r="J2808">
            <v>0</v>
          </cell>
        </row>
        <row r="2809">
          <cell r="E2809">
            <v>10120019</v>
          </cell>
          <cell r="F2809" t="str">
            <v>0005</v>
          </cell>
          <cell r="G2809">
            <v>14</v>
          </cell>
          <cell r="H2809">
            <v>96.839999999999975</v>
          </cell>
          <cell r="I2809">
            <v>3693.6164267640011</v>
          </cell>
          <cell r="J2809">
            <v>0</v>
          </cell>
        </row>
        <row r="2810">
          <cell r="E2810">
            <v>10120019</v>
          </cell>
          <cell r="F2810" t="str">
            <v>0023</v>
          </cell>
          <cell r="G2810">
            <v>13</v>
          </cell>
          <cell r="H2810">
            <v>55.239999999999995</v>
          </cell>
          <cell r="I2810">
            <v>2096.1249019920006</v>
          </cell>
          <cell r="J2810">
            <v>0</v>
          </cell>
        </row>
        <row r="2811">
          <cell r="E2811">
            <v>10120019</v>
          </cell>
          <cell r="F2811" t="str">
            <v>0027</v>
          </cell>
          <cell r="G2811">
            <v>11</v>
          </cell>
          <cell r="H2811">
            <v>74.049999999999983</v>
          </cell>
          <cell r="I2811">
            <v>2867.0099879520003</v>
          </cell>
          <cell r="J2811">
            <v>0</v>
          </cell>
        </row>
        <row r="2812">
          <cell r="E2812">
            <v>10120019</v>
          </cell>
          <cell r="F2812" t="str">
            <v>0028</v>
          </cell>
          <cell r="G2812">
            <v>9</v>
          </cell>
          <cell r="H2812">
            <v>58.93</v>
          </cell>
          <cell r="I2812">
            <v>2305.3347476280005</v>
          </cell>
          <cell r="J2812">
            <v>0</v>
          </cell>
        </row>
        <row r="2813">
          <cell r="E2813">
            <v>10120025</v>
          </cell>
          <cell r="F2813" t="str">
            <v>0001</v>
          </cell>
          <cell r="G2813">
            <v>13</v>
          </cell>
          <cell r="H2813">
            <v>17.399999999999999</v>
          </cell>
          <cell r="I2813">
            <v>710.78013032400008</v>
          </cell>
          <cell r="J2813">
            <v>0</v>
          </cell>
        </row>
        <row r="2814">
          <cell r="E2814">
            <v>10120025</v>
          </cell>
          <cell r="F2814" t="str">
            <v>0002</v>
          </cell>
          <cell r="G2814">
            <v>12</v>
          </cell>
          <cell r="H2814">
            <v>385.6</v>
          </cell>
          <cell r="I2814">
            <v>15415.619494176002</v>
          </cell>
          <cell r="J2814">
            <v>4003</v>
          </cell>
        </row>
        <row r="2815">
          <cell r="E2815">
            <v>10120025</v>
          </cell>
          <cell r="F2815" t="str">
            <v>0003</v>
          </cell>
          <cell r="G2815">
            <v>11</v>
          </cell>
          <cell r="H2815">
            <v>341.62</v>
          </cell>
          <cell r="I2815">
            <v>13390.127796276003</v>
          </cell>
          <cell r="J2815">
            <v>0</v>
          </cell>
        </row>
        <row r="2816">
          <cell r="E2816">
            <v>10120025</v>
          </cell>
          <cell r="F2816" t="str">
            <v>0004</v>
          </cell>
          <cell r="G2816">
            <v>14</v>
          </cell>
          <cell r="H2816">
            <v>315.04000000000002</v>
          </cell>
          <cell r="I2816">
            <v>15298.3121439638</v>
          </cell>
          <cell r="J2816">
            <v>0</v>
          </cell>
        </row>
        <row r="2817">
          <cell r="E2817">
            <v>10120025</v>
          </cell>
          <cell r="F2817" t="str">
            <v>0005</v>
          </cell>
          <cell r="G2817">
            <v>11</v>
          </cell>
          <cell r="H2817">
            <v>273.83999999999997</v>
          </cell>
          <cell r="I2817">
            <v>13531.360721487299</v>
          </cell>
          <cell r="J2817">
            <v>0</v>
          </cell>
        </row>
        <row r="2818">
          <cell r="E2818">
            <v>10120025</v>
          </cell>
          <cell r="F2818" t="str">
            <v>0020</v>
          </cell>
          <cell r="G2818">
            <v>6</v>
          </cell>
          <cell r="H2818">
            <v>38.04</v>
          </cell>
          <cell r="I2818">
            <v>1232.4102287508001</v>
          </cell>
          <cell r="J2818">
            <v>0</v>
          </cell>
        </row>
        <row r="2819">
          <cell r="E2819">
            <v>10120025</v>
          </cell>
          <cell r="F2819" t="str">
            <v>0023</v>
          </cell>
          <cell r="G2819">
            <v>6</v>
          </cell>
          <cell r="H2819">
            <v>32.71</v>
          </cell>
          <cell r="I2819">
            <v>1243.7827025976003</v>
          </cell>
          <cell r="J2819">
            <v>0</v>
          </cell>
        </row>
        <row r="2820">
          <cell r="E2820">
            <v>10120025</v>
          </cell>
          <cell r="F2820" t="str">
            <v>0024</v>
          </cell>
          <cell r="G2820">
            <v>12</v>
          </cell>
          <cell r="H2820">
            <v>123.53000000000002</v>
          </cell>
          <cell r="I2820">
            <v>4701.3282579384013</v>
          </cell>
          <cell r="J2820">
            <v>0</v>
          </cell>
        </row>
        <row r="2821">
          <cell r="E2821">
            <v>10120025</v>
          </cell>
          <cell r="F2821" t="str">
            <v>0025</v>
          </cell>
          <cell r="G2821">
            <v>11</v>
          </cell>
          <cell r="H2821">
            <v>111.23</v>
          </cell>
          <cell r="I2821">
            <v>4286.516027904001</v>
          </cell>
          <cell r="J2821">
            <v>0</v>
          </cell>
        </row>
        <row r="2822">
          <cell r="E2822">
            <v>10120025</v>
          </cell>
          <cell r="F2822" t="str">
            <v>0026</v>
          </cell>
          <cell r="G2822">
            <v>9</v>
          </cell>
          <cell r="H2822">
            <v>81.239999999999995</v>
          </cell>
          <cell r="I2822">
            <v>3027.0341793978005</v>
          </cell>
          <cell r="J2822">
            <v>0</v>
          </cell>
        </row>
        <row r="2823">
          <cell r="E2823">
            <v>10120025</v>
          </cell>
          <cell r="F2823" t="str">
            <v>0027</v>
          </cell>
          <cell r="G2823">
            <v>8</v>
          </cell>
          <cell r="H2823">
            <v>65.960000000000008</v>
          </cell>
          <cell r="I2823">
            <v>2508.0031409399999</v>
          </cell>
          <cell r="J2823">
            <v>0</v>
          </cell>
        </row>
        <row r="2824">
          <cell r="E2824">
            <v>10120025</v>
          </cell>
          <cell r="F2824" t="str">
            <v>0028</v>
          </cell>
          <cell r="G2824">
            <v>11</v>
          </cell>
          <cell r="H2824">
            <v>98.000000000000014</v>
          </cell>
          <cell r="I2824">
            <v>3797.0395310568006</v>
          </cell>
          <cell r="J2824">
            <v>0</v>
          </cell>
        </row>
        <row r="2825">
          <cell r="E2825">
            <v>10120025</v>
          </cell>
          <cell r="F2825" t="str">
            <v>0029</v>
          </cell>
          <cell r="G2825">
            <v>11</v>
          </cell>
          <cell r="H2825">
            <v>102.39000000000001</v>
          </cell>
          <cell r="I2825">
            <v>3968.3594116980007</v>
          </cell>
          <cell r="J2825">
            <v>0</v>
          </cell>
        </row>
        <row r="2826">
          <cell r="E2826">
            <v>10120025</v>
          </cell>
          <cell r="F2826" t="str">
            <v>0031</v>
          </cell>
          <cell r="G2826">
            <v>11</v>
          </cell>
          <cell r="H2826">
            <v>93.19</v>
          </cell>
          <cell r="I2826">
            <v>3541.2654984696001</v>
          </cell>
          <cell r="J2826">
            <v>0</v>
          </cell>
        </row>
        <row r="2827">
          <cell r="E2827">
            <v>10120025</v>
          </cell>
          <cell r="F2827" t="str">
            <v>0032</v>
          </cell>
          <cell r="G2827">
            <v>8</v>
          </cell>
          <cell r="H2827">
            <v>71.66</v>
          </cell>
          <cell r="I2827">
            <v>2744.8330002983998</v>
          </cell>
          <cell r="J2827">
            <v>0</v>
          </cell>
        </row>
        <row r="2828">
          <cell r="E2828">
            <v>10120025</v>
          </cell>
          <cell r="F2828" t="str">
            <v>0033</v>
          </cell>
          <cell r="G2828">
            <v>7</v>
          </cell>
          <cell r="H2828">
            <v>68.399999999999991</v>
          </cell>
          <cell r="I2828">
            <v>2647.5437349504</v>
          </cell>
          <cell r="J2828">
            <v>0</v>
          </cell>
        </row>
        <row r="2829">
          <cell r="E2829">
            <v>10120025</v>
          </cell>
          <cell r="F2829" t="str">
            <v>0034</v>
          </cell>
          <cell r="G2829">
            <v>5</v>
          </cell>
          <cell r="H2829">
            <v>58.050000000000004</v>
          </cell>
          <cell r="I2829">
            <v>2178.0007452720001</v>
          </cell>
          <cell r="J2829">
            <v>0</v>
          </cell>
        </row>
        <row r="2830">
          <cell r="E2830">
            <v>10120025</v>
          </cell>
          <cell r="F2830" t="str">
            <v>0035</v>
          </cell>
          <cell r="G2830">
            <v>4</v>
          </cell>
          <cell r="H2830">
            <v>44.78</v>
          </cell>
          <cell r="I2830">
            <v>1753.9280352000003</v>
          </cell>
          <cell r="J2830">
            <v>0</v>
          </cell>
        </row>
        <row r="2831">
          <cell r="E2831">
            <v>10120025</v>
          </cell>
          <cell r="F2831" t="str">
            <v>0036</v>
          </cell>
          <cell r="G2831">
            <v>5</v>
          </cell>
          <cell r="H2831">
            <v>45.49</v>
          </cell>
          <cell r="I2831">
            <v>1734.1918612919999</v>
          </cell>
          <cell r="J2831">
            <v>0</v>
          </cell>
        </row>
        <row r="2832">
          <cell r="E2832">
            <v>10120025</v>
          </cell>
          <cell r="F2832" t="str">
            <v>0037</v>
          </cell>
          <cell r="G2832">
            <v>6</v>
          </cell>
          <cell r="H2832">
            <v>61.83</v>
          </cell>
          <cell r="I2832">
            <v>2312.1995866200004</v>
          </cell>
          <cell r="J2832">
            <v>0</v>
          </cell>
        </row>
        <row r="2833">
          <cell r="E2833">
            <v>10120025</v>
          </cell>
          <cell r="F2833" t="str">
            <v>0038</v>
          </cell>
          <cell r="G2833">
            <v>7</v>
          </cell>
          <cell r="H2833">
            <v>84.5</v>
          </cell>
          <cell r="I2833">
            <v>3294.7599110184001</v>
          </cell>
          <cell r="J2833">
            <v>0</v>
          </cell>
        </row>
        <row r="2834">
          <cell r="E2834">
            <v>10120025</v>
          </cell>
          <cell r="F2834" t="str">
            <v>0039</v>
          </cell>
          <cell r="G2834">
            <v>7</v>
          </cell>
          <cell r="H2834">
            <v>73.490000000000009</v>
          </cell>
          <cell r="I2834">
            <v>2790.0203344991996</v>
          </cell>
          <cell r="J2834">
            <v>0</v>
          </cell>
        </row>
        <row r="2835">
          <cell r="E2835">
            <v>10120025</v>
          </cell>
          <cell r="F2835" t="str">
            <v>0040</v>
          </cell>
          <cell r="G2835">
            <v>6</v>
          </cell>
          <cell r="H2835">
            <v>64.78</v>
          </cell>
          <cell r="I2835">
            <v>2554.3199530733405</v>
          </cell>
          <cell r="J2835">
            <v>0</v>
          </cell>
        </row>
        <row r="2836">
          <cell r="E2836">
            <v>10120025</v>
          </cell>
          <cell r="F2836" t="str">
            <v>0041</v>
          </cell>
          <cell r="G2836">
            <v>5</v>
          </cell>
          <cell r="H2836">
            <v>38.229999999999997</v>
          </cell>
          <cell r="I2836">
            <v>1559.0446973640001</v>
          </cell>
          <cell r="J2836">
            <v>0</v>
          </cell>
        </row>
        <row r="2837">
          <cell r="E2837">
            <v>10120025</v>
          </cell>
          <cell r="F2837" t="str">
            <v>0042</v>
          </cell>
          <cell r="G2837">
            <v>2</v>
          </cell>
          <cell r="H2837">
            <v>21.86</v>
          </cell>
          <cell r="I2837">
            <v>843.73101252000015</v>
          </cell>
          <cell r="J2837">
            <v>0</v>
          </cell>
        </row>
        <row r="2838">
          <cell r="E2838">
            <v>10120025</v>
          </cell>
          <cell r="F2838" t="str">
            <v>0043</v>
          </cell>
          <cell r="G2838">
            <v>4</v>
          </cell>
          <cell r="H2838">
            <v>33.61</v>
          </cell>
          <cell r="I2838">
            <v>1366.7559424199999</v>
          </cell>
          <cell r="J2838">
            <v>0</v>
          </cell>
        </row>
        <row r="2839">
          <cell r="E2839">
            <v>10120025</v>
          </cell>
          <cell r="F2839" t="str">
            <v>0044</v>
          </cell>
          <cell r="G2839">
            <v>4</v>
          </cell>
          <cell r="H2839">
            <v>30.279999999999998</v>
          </cell>
          <cell r="I2839">
            <v>1184.516228016</v>
          </cell>
          <cell r="J2839">
            <v>0</v>
          </cell>
        </row>
        <row r="2840">
          <cell r="E2840">
            <v>10120025</v>
          </cell>
          <cell r="F2840" t="str">
            <v>0045</v>
          </cell>
          <cell r="G2840">
            <v>7</v>
          </cell>
          <cell r="H2840">
            <v>82.24</v>
          </cell>
          <cell r="I2840">
            <v>3893.6400996269999</v>
          </cell>
          <cell r="J2840">
            <v>0</v>
          </cell>
        </row>
        <row r="2841">
          <cell r="E2841">
            <v>10120025</v>
          </cell>
          <cell r="F2841" t="str">
            <v>0046</v>
          </cell>
          <cell r="G2841">
            <v>13</v>
          </cell>
          <cell r="H2841">
            <v>279.17</v>
          </cell>
          <cell r="I2841">
            <v>13915.224654799222</v>
          </cell>
          <cell r="J2841">
            <v>0</v>
          </cell>
        </row>
        <row r="2842">
          <cell r="E2842">
            <v>10120029</v>
          </cell>
          <cell r="F2842" t="str">
            <v>0001</v>
          </cell>
          <cell r="G2842">
            <v>13</v>
          </cell>
          <cell r="H2842">
            <v>16.600000000000005</v>
          </cell>
          <cell r="I2842">
            <v>703.53992629800018</v>
          </cell>
          <cell r="J2842">
            <v>0</v>
          </cell>
        </row>
        <row r="2843">
          <cell r="E2843">
            <v>10120029</v>
          </cell>
          <cell r="F2843" t="str">
            <v>0002</v>
          </cell>
          <cell r="G2843">
            <v>14</v>
          </cell>
          <cell r="H2843">
            <v>138.78</v>
          </cell>
          <cell r="I2843">
            <v>5630.2189327692013</v>
          </cell>
          <cell r="J2843">
            <v>4293</v>
          </cell>
        </row>
        <row r="2844">
          <cell r="E2844">
            <v>10120029</v>
          </cell>
          <cell r="F2844" t="str">
            <v>0004</v>
          </cell>
          <cell r="G2844">
            <v>14</v>
          </cell>
          <cell r="H2844">
            <v>191</v>
          </cell>
          <cell r="I2844">
            <v>7697.7727387704017</v>
          </cell>
          <cell r="J2844">
            <v>0</v>
          </cell>
        </row>
        <row r="2845">
          <cell r="E2845">
            <v>10120029</v>
          </cell>
          <cell r="F2845" t="str">
            <v>0006</v>
          </cell>
          <cell r="G2845">
            <v>14</v>
          </cell>
          <cell r="H2845">
            <v>58.040000000000006</v>
          </cell>
          <cell r="I2845">
            <v>2251.6920296640001</v>
          </cell>
          <cell r="J2845">
            <v>0</v>
          </cell>
        </row>
        <row r="2846">
          <cell r="E2846">
            <v>10120029</v>
          </cell>
          <cell r="F2846" t="str">
            <v>0012</v>
          </cell>
          <cell r="G2846">
            <v>13</v>
          </cell>
          <cell r="H2846">
            <v>106.69999999999997</v>
          </cell>
          <cell r="I2846">
            <v>3982.1330522160006</v>
          </cell>
          <cell r="J2846">
            <v>0</v>
          </cell>
        </row>
        <row r="2847">
          <cell r="E2847">
            <v>10120029</v>
          </cell>
          <cell r="F2847" t="str">
            <v>0013</v>
          </cell>
          <cell r="G2847">
            <v>6</v>
          </cell>
          <cell r="H2847">
            <v>10.42</v>
          </cell>
          <cell r="I2847">
            <v>470.33315496960006</v>
          </cell>
          <cell r="J2847">
            <v>0</v>
          </cell>
        </row>
        <row r="2848">
          <cell r="E2848">
            <v>10120029</v>
          </cell>
          <cell r="F2848" t="str">
            <v>0016</v>
          </cell>
          <cell r="G2848">
            <v>14</v>
          </cell>
          <cell r="H2848">
            <v>149.24</v>
          </cell>
          <cell r="I2848">
            <v>5240.7681782148002</v>
          </cell>
          <cell r="J2848">
            <v>0</v>
          </cell>
        </row>
        <row r="2849">
          <cell r="E2849">
            <v>10120029</v>
          </cell>
          <cell r="F2849" t="str">
            <v>0019</v>
          </cell>
          <cell r="G2849">
            <v>13</v>
          </cell>
          <cell r="H2849">
            <v>55.92</v>
          </cell>
          <cell r="I2849">
            <v>2298.9855374640001</v>
          </cell>
          <cell r="J2849">
            <v>0</v>
          </cell>
        </row>
        <row r="2850">
          <cell r="E2850">
            <v>10120029</v>
          </cell>
          <cell r="F2850" t="str">
            <v>0025</v>
          </cell>
          <cell r="G2850">
            <v>1</v>
          </cell>
          <cell r="H2850">
            <v>5.52</v>
          </cell>
          <cell r="I2850">
            <v>228.07036771200001</v>
          </cell>
          <cell r="J2850">
            <v>0</v>
          </cell>
        </row>
        <row r="2851">
          <cell r="E2851">
            <v>10120029</v>
          </cell>
          <cell r="F2851" t="str">
            <v>0027</v>
          </cell>
          <cell r="G2851">
            <v>10</v>
          </cell>
          <cell r="H2851">
            <v>46.559999999999995</v>
          </cell>
          <cell r="I2851">
            <v>1823.1185926799999</v>
          </cell>
          <cell r="J2851">
            <v>0</v>
          </cell>
        </row>
        <row r="2852">
          <cell r="E2852">
            <v>10120029</v>
          </cell>
          <cell r="F2852" t="str">
            <v>0028</v>
          </cell>
          <cell r="G2852">
            <v>6</v>
          </cell>
          <cell r="H2852">
            <v>30.74</v>
          </cell>
          <cell r="I2852">
            <v>1207.91261052</v>
          </cell>
          <cell r="J2852">
            <v>0</v>
          </cell>
        </row>
        <row r="2853">
          <cell r="E2853">
            <v>10120029</v>
          </cell>
          <cell r="F2853" t="str">
            <v>0029</v>
          </cell>
          <cell r="G2853">
            <v>7</v>
          </cell>
          <cell r="H2853">
            <v>37.36</v>
          </cell>
          <cell r="I2853">
            <v>1478.4775798320002</v>
          </cell>
          <cell r="J2853">
            <v>0</v>
          </cell>
        </row>
        <row r="2854">
          <cell r="E2854">
            <v>10120029</v>
          </cell>
          <cell r="F2854" t="str">
            <v>0030</v>
          </cell>
          <cell r="G2854">
            <v>10</v>
          </cell>
          <cell r="H2854">
            <v>36.94</v>
          </cell>
          <cell r="I2854">
            <v>1458.8093986091999</v>
          </cell>
          <cell r="J2854">
            <v>0</v>
          </cell>
        </row>
        <row r="2855">
          <cell r="E2855">
            <v>10120029</v>
          </cell>
          <cell r="F2855" t="str">
            <v>0031</v>
          </cell>
          <cell r="G2855">
            <v>4</v>
          </cell>
          <cell r="H2855">
            <v>16.059999999999999</v>
          </cell>
          <cell r="I2855">
            <v>629.09513330400011</v>
          </cell>
          <cell r="J2855">
            <v>0</v>
          </cell>
        </row>
        <row r="2856">
          <cell r="E2856">
            <v>10120029</v>
          </cell>
          <cell r="F2856" t="str">
            <v>0032</v>
          </cell>
          <cell r="G2856">
            <v>2</v>
          </cell>
          <cell r="H2856">
            <v>9.6</v>
          </cell>
          <cell r="I2856">
            <v>376.57991448000007</v>
          </cell>
          <cell r="J2856">
            <v>0</v>
          </cell>
        </row>
        <row r="2857">
          <cell r="E2857">
            <v>10120029</v>
          </cell>
          <cell r="F2857" t="str">
            <v>0033</v>
          </cell>
          <cell r="G2857">
            <v>1</v>
          </cell>
          <cell r="H2857">
            <v>3.8</v>
          </cell>
          <cell r="I2857">
            <v>151.48731312000001</v>
          </cell>
          <cell r="J2857">
            <v>0</v>
          </cell>
        </row>
        <row r="2858">
          <cell r="E2858">
            <v>10120029</v>
          </cell>
          <cell r="F2858" t="str">
            <v>0036</v>
          </cell>
          <cell r="G2858">
            <v>14</v>
          </cell>
          <cell r="H2858">
            <v>47.76</v>
          </cell>
          <cell r="I2858">
            <v>1912.142486232</v>
          </cell>
          <cell r="J2858">
            <v>0</v>
          </cell>
        </row>
        <row r="2859">
          <cell r="E2859">
            <v>10120029</v>
          </cell>
          <cell r="F2859" t="str">
            <v>0039</v>
          </cell>
          <cell r="G2859">
            <v>7</v>
          </cell>
          <cell r="H2859">
            <v>21.16</v>
          </cell>
          <cell r="I2859">
            <v>852.49558151999997</v>
          </cell>
          <cell r="J2859">
            <v>0</v>
          </cell>
        </row>
        <row r="2860">
          <cell r="E2860">
            <v>10120029</v>
          </cell>
          <cell r="F2860" t="str">
            <v>0041</v>
          </cell>
          <cell r="G2860">
            <v>12</v>
          </cell>
          <cell r="H2860">
            <v>28.560000000000002</v>
          </cell>
          <cell r="I2860">
            <v>1026.6555680964002</v>
          </cell>
          <cell r="J2860">
            <v>0</v>
          </cell>
        </row>
        <row r="2861">
          <cell r="E2861">
            <v>10120030</v>
          </cell>
          <cell r="F2861" t="str">
            <v>0002</v>
          </cell>
          <cell r="G2861">
            <v>2</v>
          </cell>
          <cell r="H2861">
            <v>8.34</v>
          </cell>
          <cell r="I2861">
            <v>394.24901086080001</v>
          </cell>
          <cell r="J2861">
            <v>0</v>
          </cell>
        </row>
        <row r="2862">
          <cell r="E2862">
            <v>10120030</v>
          </cell>
          <cell r="F2862" t="str">
            <v>0006</v>
          </cell>
          <cell r="G2862">
            <v>4</v>
          </cell>
          <cell r="H2862">
            <v>12.44</v>
          </cell>
          <cell r="I2862">
            <v>499.53113389080011</v>
          </cell>
          <cell r="J2862">
            <v>0</v>
          </cell>
        </row>
        <row r="2863">
          <cell r="E2863">
            <v>10120030</v>
          </cell>
          <cell r="F2863" t="str">
            <v>0009</v>
          </cell>
          <cell r="G2863">
            <v>4</v>
          </cell>
          <cell r="H2863">
            <v>16.7</v>
          </cell>
          <cell r="I2863">
            <v>603.14943561840005</v>
          </cell>
          <cell r="J2863">
            <v>0</v>
          </cell>
        </row>
        <row r="2864">
          <cell r="E2864">
            <v>10120030</v>
          </cell>
          <cell r="F2864" t="str">
            <v>0010</v>
          </cell>
          <cell r="G2864">
            <v>14</v>
          </cell>
          <cell r="H2864">
            <v>108.39999999999999</v>
          </cell>
          <cell r="I2864">
            <v>4180.4378169048005</v>
          </cell>
          <cell r="J2864">
            <v>0</v>
          </cell>
        </row>
        <row r="2865">
          <cell r="E2865">
            <v>10120030</v>
          </cell>
          <cell r="F2865" t="str">
            <v>0014</v>
          </cell>
          <cell r="G2865">
            <v>14</v>
          </cell>
          <cell r="H2865">
            <v>29.95</v>
          </cell>
          <cell r="I2865">
            <v>1054.05247980885</v>
          </cell>
          <cell r="J2865">
            <v>0</v>
          </cell>
        </row>
        <row r="2866">
          <cell r="E2866">
            <v>10120030</v>
          </cell>
          <cell r="F2866" t="str">
            <v>0020</v>
          </cell>
          <cell r="G2866">
            <v>13</v>
          </cell>
          <cell r="H2866">
            <v>45.86</v>
          </cell>
          <cell r="I2866">
            <v>2153.40425482807</v>
          </cell>
          <cell r="J2866">
            <v>0</v>
          </cell>
        </row>
        <row r="2867">
          <cell r="E2867">
            <v>10120030</v>
          </cell>
          <cell r="F2867" t="str">
            <v>0025</v>
          </cell>
          <cell r="G2867">
            <v>13</v>
          </cell>
          <cell r="H2867">
            <v>31.479999999999997</v>
          </cell>
          <cell r="I2867">
            <v>1934.3792855185002</v>
          </cell>
          <cell r="J2867">
            <v>0</v>
          </cell>
        </row>
        <row r="2868">
          <cell r="E2868">
            <v>10120031</v>
          </cell>
          <cell r="F2868" t="str">
            <v>0001</v>
          </cell>
          <cell r="G2868">
            <v>13</v>
          </cell>
          <cell r="H2868">
            <v>1.9000000000000004</v>
          </cell>
          <cell r="I2868">
            <v>61.967796264000008</v>
          </cell>
          <cell r="J2868">
            <v>0</v>
          </cell>
        </row>
        <row r="2869">
          <cell r="E2869">
            <v>10120031</v>
          </cell>
          <cell r="F2869" t="str">
            <v>0002</v>
          </cell>
          <cell r="G2869">
            <v>13</v>
          </cell>
          <cell r="H2869">
            <v>120.10000000000001</v>
          </cell>
          <cell r="I2869">
            <v>4201.0691455259994</v>
          </cell>
          <cell r="J2869">
            <v>647.81999999999994</v>
          </cell>
        </row>
        <row r="2870">
          <cell r="E2870">
            <v>10120031</v>
          </cell>
          <cell r="F2870" t="str">
            <v>0003</v>
          </cell>
          <cell r="G2870">
            <v>12</v>
          </cell>
          <cell r="H2870">
            <v>91.300000000000011</v>
          </cell>
          <cell r="I2870">
            <v>3405.9451225139996</v>
          </cell>
          <cell r="J2870">
            <v>0</v>
          </cell>
        </row>
        <row r="2871">
          <cell r="E2871">
            <v>10120031</v>
          </cell>
          <cell r="F2871" t="str">
            <v>0004</v>
          </cell>
          <cell r="G2871">
            <v>7</v>
          </cell>
          <cell r="H2871">
            <v>42.4</v>
          </cell>
          <cell r="I2871">
            <v>1446.7244617980002</v>
          </cell>
          <cell r="J2871">
            <v>0</v>
          </cell>
        </row>
        <row r="2872">
          <cell r="E2872">
            <v>10120031</v>
          </cell>
          <cell r="F2872" t="str">
            <v>0005</v>
          </cell>
          <cell r="G2872">
            <v>4</v>
          </cell>
          <cell r="H2872">
            <v>23.3</v>
          </cell>
          <cell r="I2872">
            <v>752.56352938800012</v>
          </cell>
          <cell r="J2872">
            <v>0</v>
          </cell>
        </row>
        <row r="2873">
          <cell r="E2873">
            <v>10120031</v>
          </cell>
          <cell r="F2873" t="str">
            <v>0006</v>
          </cell>
          <cell r="G2873">
            <v>1</v>
          </cell>
          <cell r="H2873">
            <v>2.2000000000000002</v>
          </cell>
          <cell r="I2873">
            <v>75.273831864000016</v>
          </cell>
          <cell r="J2873">
            <v>0</v>
          </cell>
        </row>
        <row r="2874">
          <cell r="E2874">
            <v>10120034</v>
          </cell>
          <cell r="F2874" t="str">
            <v>0002</v>
          </cell>
          <cell r="G2874">
            <v>10</v>
          </cell>
          <cell r="H2874">
            <v>143.26999999999998</v>
          </cell>
          <cell r="I2874">
            <v>5775.4157853545994</v>
          </cell>
          <cell r="J2874">
            <v>82.6</v>
          </cell>
        </row>
        <row r="2875">
          <cell r="E2875">
            <v>10120043</v>
          </cell>
          <cell r="F2875" t="str">
            <v>0002</v>
          </cell>
          <cell r="G2875">
            <v>14</v>
          </cell>
          <cell r="H2875">
            <v>191.64000000000001</v>
          </cell>
          <cell r="I2875">
            <v>9027.0230192908421</v>
          </cell>
          <cell r="J2875">
            <v>0</v>
          </cell>
        </row>
        <row r="2876">
          <cell r="E2876">
            <v>10120046</v>
          </cell>
          <cell r="F2876" t="str">
            <v>0001</v>
          </cell>
          <cell r="G2876">
            <v>14</v>
          </cell>
          <cell r="H2876">
            <v>18.3</v>
          </cell>
          <cell r="I2876">
            <v>703.40993127000002</v>
          </cell>
          <cell r="J2876">
            <v>0</v>
          </cell>
        </row>
        <row r="2877">
          <cell r="E2877">
            <v>10120046</v>
          </cell>
          <cell r="F2877" t="str">
            <v>0002</v>
          </cell>
          <cell r="G2877">
            <v>10</v>
          </cell>
          <cell r="H2877">
            <v>33.6</v>
          </cell>
          <cell r="I2877">
            <v>1435.8355321199999</v>
          </cell>
          <cell r="J2877">
            <v>0</v>
          </cell>
        </row>
        <row r="2878">
          <cell r="E2878">
            <v>10120046</v>
          </cell>
          <cell r="F2878" t="str">
            <v>0003</v>
          </cell>
          <cell r="G2878">
            <v>13</v>
          </cell>
          <cell r="H2878">
            <v>236.49999999999994</v>
          </cell>
          <cell r="I2878">
            <v>8954.0386650000019</v>
          </cell>
          <cell r="J2878">
            <v>0</v>
          </cell>
        </row>
        <row r="2879">
          <cell r="E2879">
            <v>10120046</v>
          </cell>
          <cell r="F2879" t="str">
            <v>0008</v>
          </cell>
          <cell r="G2879">
            <v>14</v>
          </cell>
          <cell r="H2879">
            <v>116.20000000000002</v>
          </cell>
          <cell r="I2879">
            <v>4168.72411758</v>
          </cell>
          <cell r="J2879">
            <v>0</v>
          </cell>
        </row>
        <row r="2880">
          <cell r="E2880">
            <v>10120046</v>
          </cell>
          <cell r="F2880" t="str">
            <v>0009</v>
          </cell>
          <cell r="G2880">
            <v>11</v>
          </cell>
          <cell r="H2880">
            <v>30.9</v>
          </cell>
          <cell r="I2880">
            <v>1080.5519621160001</v>
          </cell>
          <cell r="J2880">
            <v>0</v>
          </cell>
        </row>
        <row r="2881">
          <cell r="E2881">
            <v>10120046</v>
          </cell>
          <cell r="F2881" t="str">
            <v>0013</v>
          </cell>
          <cell r="G2881">
            <v>13</v>
          </cell>
          <cell r="H2881">
            <v>19.8</v>
          </cell>
          <cell r="I2881">
            <v>843.14602289256004</v>
          </cell>
          <cell r="J2881">
            <v>0</v>
          </cell>
        </row>
        <row r="2882">
          <cell r="E2882">
            <v>10120046</v>
          </cell>
          <cell r="F2882" t="str">
            <v>0016</v>
          </cell>
          <cell r="G2882">
            <v>7</v>
          </cell>
          <cell r="H2882">
            <v>16.200000000000003</v>
          </cell>
          <cell r="I2882">
            <v>603.62688216600009</v>
          </cell>
          <cell r="J2882">
            <v>0</v>
          </cell>
        </row>
        <row r="2883">
          <cell r="E2883">
            <v>10120046</v>
          </cell>
          <cell r="F2883" t="str">
            <v>0018</v>
          </cell>
          <cell r="G2883">
            <v>14</v>
          </cell>
          <cell r="H2883">
            <v>47.5</v>
          </cell>
          <cell r="I2883">
            <v>1946.38236576234</v>
          </cell>
          <cell r="J2883">
            <v>0</v>
          </cell>
        </row>
        <row r="2884">
          <cell r="E2884">
            <v>10120046</v>
          </cell>
          <cell r="F2884" t="str">
            <v>0020</v>
          </cell>
          <cell r="G2884">
            <v>14</v>
          </cell>
          <cell r="H2884">
            <v>651.39999999999986</v>
          </cell>
          <cell r="I2884">
            <v>25073.54415369</v>
          </cell>
          <cell r="J2884">
            <v>0</v>
          </cell>
        </row>
        <row r="2885">
          <cell r="E2885">
            <v>10120046</v>
          </cell>
          <cell r="F2885" t="str">
            <v>0025</v>
          </cell>
          <cell r="G2885">
            <v>12</v>
          </cell>
          <cell r="H2885">
            <v>73.5</v>
          </cell>
          <cell r="I2885">
            <v>3188.4364612056597</v>
          </cell>
          <cell r="J2885">
            <v>0</v>
          </cell>
        </row>
        <row r="2886">
          <cell r="E2886">
            <v>10120046</v>
          </cell>
          <cell r="F2886" t="str">
            <v>0026</v>
          </cell>
          <cell r="G2886">
            <v>14</v>
          </cell>
          <cell r="H2886">
            <v>91.09999999999998</v>
          </cell>
          <cell r="I2886">
            <v>3842.199520788</v>
          </cell>
          <cell r="J2886">
            <v>0</v>
          </cell>
        </row>
        <row r="2887">
          <cell r="E2887">
            <v>10120046</v>
          </cell>
          <cell r="F2887" t="str">
            <v>0027</v>
          </cell>
          <cell r="G2887">
            <v>14</v>
          </cell>
          <cell r="H2887">
            <v>118.8</v>
          </cell>
          <cell r="I2887">
            <v>4952.2376717127008</v>
          </cell>
          <cell r="J2887">
            <v>0</v>
          </cell>
        </row>
        <row r="2888">
          <cell r="E2888">
            <v>10120046</v>
          </cell>
          <cell r="F2888" t="str">
            <v>0028</v>
          </cell>
          <cell r="G2888">
            <v>12</v>
          </cell>
          <cell r="H2888">
            <v>69.2</v>
          </cell>
          <cell r="I2888">
            <v>2861.8078568128003</v>
          </cell>
          <cell r="J2888">
            <v>0</v>
          </cell>
        </row>
        <row r="2889">
          <cell r="E2889">
            <v>10120046</v>
          </cell>
          <cell r="F2889" t="str">
            <v>0029</v>
          </cell>
          <cell r="G2889">
            <v>13</v>
          </cell>
          <cell r="H2889">
            <v>73.499999999999986</v>
          </cell>
          <cell r="I2889">
            <v>2883.6467160809998</v>
          </cell>
          <cell r="J2889">
            <v>0</v>
          </cell>
        </row>
        <row r="2890">
          <cell r="E2890">
            <v>10120046</v>
          </cell>
          <cell r="F2890" t="str">
            <v>0030</v>
          </cell>
          <cell r="G2890">
            <v>12</v>
          </cell>
          <cell r="H2890">
            <v>62.600000000000009</v>
          </cell>
          <cell r="I2890">
            <v>2505.2167442300001</v>
          </cell>
          <cell r="J2890">
            <v>0</v>
          </cell>
        </row>
        <row r="2891">
          <cell r="E2891">
            <v>10120046</v>
          </cell>
          <cell r="F2891" t="str">
            <v>0031</v>
          </cell>
          <cell r="G2891">
            <v>7</v>
          </cell>
          <cell r="H2891">
            <v>23.2</v>
          </cell>
          <cell r="I2891">
            <v>955.19880983640007</v>
          </cell>
          <cell r="J2891">
            <v>0</v>
          </cell>
        </row>
        <row r="2892">
          <cell r="E2892">
            <v>10120046</v>
          </cell>
          <cell r="F2892" t="str">
            <v>0032</v>
          </cell>
          <cell r="G2892">
            <v>7</v>
          </cell>
          <cell r="H2892">
            <v>27.299999999999997</v>
          </cell>
          <cell r="I2892">
            <v>1028.4385450680002</v>
          </cell>
          <cell r="J2892">
            <v>0</v>
          </cell>
        </row>
        <row r="2893">
          <cell r="E2893">
            <v>10120046</v>
          </cell>
          <cell r="F2893" t="str">
            <v>0033</v>
          </cell>
          <cell r="G2893">
            <v>8</v>
          </cell>
          <cell r="H2893">
            <v>35.099999999999994</v>
          </cell>
          <cell r="I2893">
            <v>1353.5025360120001</v>
          </cell>
          <cell r="J2893">
            <v>0</v>
          </cell>
        </row>
        <row r="2894">
          <cell r="E2894">
            <v>10120046</v>
          </cell>
          <cell r="F2894" t="str">
            <v>0034</v>
          </cell>
          <cell r="G2894">
            <v>1</v>
          </cell>
          <cell r="H2894">
            <v>4.3</v>
          </cell>
          <cell r="I2894">
            <v>166.87899756000004</v>
          </cell>
          <cell r="J2894">
            <v>0</v>
          </cell>
        </row>
        <row r="2895">
          <cell r="E2895">
            <v>10120046</v>
          </cell>
          <cell r="F2895" t="str">
            <v>0035</v>
          </cell>
          <cell r="G2895">
            <v>1</v>
          </cell>
          <cell r="H2895">
            <v>5.0999999999999996</v>
          </cell>
          <cell r="I2895">
            <v>193.21412219999999</v>
          </cell>
          <cell r="J2895">
            <v>0</v>
          </cell>
        </row>
        <row r="2896">
          <cell r="E2896">
            <v>10120046</v>
          </cell>
          <cell r="F2896" t="str">
            <v>0047</v>
          </cell>
          <cell r="G2896">
            <v>7</v>
          </cell>
          <cell r="H2896">
            <v>19.200000000000003</v>
          </cell>
          <cell r="I2896">
            <v>831.71400840000001</v>
          </cell>
          <cell r="J2896">
            <v>0</v>
          </cell>
        </row>
        <row r="2897">
          <cell r="E2897">
            <v>10120046</v>
          </cell>
          <cell r="F2897" t="str">
            <v>0048</v>
          </cell>
          <cell r="G2897">
            <v>13</v>
          </cell>
          <cell r="H2897">
            <v>48.3</v>
          </cell>
          <cell r="I2897">
            <v>1728.72398952</v>
          </cell>
          <cell r="J2897">
            <v>0</v>
          </cell>
        </row>
        <row r="2898">
          <cell r="E2898">
            <v>10120046</v>
          </cell>
          <cell r="F2898" t="str">
            <v>0050</v>
          </cell>
          <cell r="G2898">
            <v>14</v>
          </cell>
          <cell r="H2898">
            <v>44.6</v>
          </cell>
          <cell r="I2898">
            <v>1672.70120028</v>
          </cell>
          <cell r="J2898">
            <v>0</v>
          </cell>
        </row>
        <row r="2899">
          <cell r="E2899">
            <v>10120046</v>
          </cell>
          <cell r="F2899" t="str">
            <v>0056</v>
          </cell>
          <cell r="G2899">
            <v>14</v>
          </cell>
          <cell r="H2899">
            <v>86.300000000000011</v>
          </cell>
          <cell r="I2899">
            <v>3086.3349479160001</v>
          </cell>
          <cell r="J2899">
            <v>0</v>
          </cell>
        </row>
        <row r="2900">
          <cell r="E2900">
            <v>10120046</v>
          </cell>
          <cell r="F2900" t="str">
            <v>0061</v>
          </cell>
          <cell r="G2900">
            <v>13</v>
          </cell>
          <cell r="H2900">
            <v>38.900000000000006</v>
          </cell>
          <cell r="I2900">
            <v>1463.9268692471601</v>
          </cell>
          <cell r="J2900">
            <v>0</v>
          </cell>
        </row>
        <row r="2901">
          <cell r="E2901">
            <v>10120046</v>
          </cell>
          <cell r="F2901" t="str">
            <v>0102</v>
          </cell>
          <cell r="G2901">
            <v>14</v>
          </cell>
          <cell r="H2901">
            <v>41.099999999999994</v>
          </cell>
          <cell r="I2901">
            <v>1607.6595862800004</v>
          </cell>
          <cell r="J2901">
            <v>0</v>
          </cell>
        </row>
        <row r="2902">
          <cell r="E2902">
            <v>10120046</v>
          </cell>
          <cell r="F2902" t="str">
            <v>0103</v>
          </cell>
          <cell r="G2902">
            <v>13</v>
          </cell>
          <cell r="H2902">
            <v>30.7</v>
          </cell>
          <cell r="I2902">
            <v>1301.1189642000002</v>
          </cell>
          <cell r="J2902">
            <v>0</v>
          </cell>
        </row>
        <row r="2903">
          <cell r="E2903">
            <v>10120046</v>
          </cell>
          <cell r="F2903" t="str">
            <v>0104</v>
          </cell>
          <cell r="G2903">
            <v>11</v>
          </cell>
          <cell r="H2903">
            <v>20.400000000000002</v>
          </cell>
          <cell r="I2903">
            <v>664.34958275400004</v>
          </cell>
          <cell r="J2903">
            <v>0</v>
          </cell>
        </row>
        <row r="2904">
          <cell r="E2904">
            <v>10120051</v>
          </cell>
          <cell r="F2904" t="str">
            <v>0002</v>
          </cell>
          <cell r="G2904">
            <v>14</v>
          </cell>
          <cell r="H2904">
            <v>100.93</v>
          </cell>
          <cell r="I2904">
            <v>4363.8501619605995</v>
          </cell>
          <cell r="J2904">
            <v>2636.12</v>
          </cell>
        </row>
        <row r="2905">
          <cell r="E2905">
            <v>10120051</v>
          </cell>
          <cell r="F2905" t="str">
            <v>0011</v>
          </cell>
          <cell r="G2905">
            <v>14</v>
          </cell>
          <cell r="H2905">
            <v>35.019999999999996</v>
          </cell>
          <cell r="I2905">
            <v>1454.1312313326871</v>
          </cell>
          <cell r="J2905">
            <v>0</v>
          </cell>
        </row>
        <row r="2906">
          <cell r="E2906">
            <v>10120051</v>
          </cell>
          <cell r="F2906" t="str">
            <v>0012</v>
          </cell>
          <cell r="G2906">
            <v>14</v>
          </cell>
          <cell r="H2906">
            <v>43.710000000000008</v>
          </cell>
          <cell r="I2906">
            <v>2033.748010146147</v>
          </cell>
          <cell r="J2906">
            <v>0</v>
          </cell>
        </row>
        <row r="2907">
          <cell r="E2907">
            <v>10120051</v>
          </cell>
          <cell r="F2907" t="str">
            <v>0013</v>
          </cell>
          <cell r="G2907">
            <v>14</v>
          </cell>
          <cell r="H2907">
            <v>43.66</v>
          </cell>
          <cell r="I2907">
            <v>1950.6060688796401</v>
          </cell>
          <cell r="J2907">
            <v>0</v>
          </cell>
        </row>
        <row r="2908">
          <cell r="E2908">
            <v>10120051</v>
          </cell>
          <cell r="F2908" t="str">
            <v>0014</v>
          </cell>
          <cell r="G2908">
            <v>14</v>
          </cell>
          <cell r="H2908">
            <v>31.010000000000005</v>
          </cell>
          <cell r="I2908">
            <v>1333.4210673693453</v>
          </cell>
          <cell r="J2908">
            <v>0</v>
          </cell>
        </row>
        <row r="2909">
          <cell r="E2909">
            <v>10120051</v>
          </cell>
          <cell r="F2909" t="str">
            <v>0015</v>
          </cell>
          <cell r="G2909">
            <v>14</v>
          </cell>
          <cell r="H2909">
            <v>30.2</v>
          </cell>
          <cell r="I2909">
            <v>1297.1716551546401</v>
          </cell>
          <cell r="J2909">
            <v>0</v>
          </cell>
        </row>
        <row r="2910">
          <cell r="E2910">
            <v>10120051</v>
          </cell>
          <cell r="F2910" t="str">
            <v>0016</v>
          </cell>
          <cell r="G2910">
            <v>14</v>
          </cell>
          <cell r="H2910">
            <v>43.259999999999991</v>
          </cell>
          <cell r="I2910">
            <v>1868.2047281169605</v>
          </cell>
          <cell r="J2910">
            <v>0</v>
          </cell>
        </row>
        <row r="2911">
          <cell r="E2911">
            <v>10120051</v>
          </cell>
          <cell r="F2911" t="str">
            <v>0017</v>
          </cell>
          <cell r="G2911">
            <v>14</v>
          </cell>
          <cell r="H2911">
            <v>50.610000000000007</v>
          </cell>
          <cell r="I2911">
            <v>2138.4518545471201</v>
          </cell>
          <cell r="J2911">
            <v>0</v>
          </cell>
        </row>
        <row r="2912">
          <cell r="E2912">
            <v>10120051</v>
          </cell>
          <cell r="F2912" t="str">
            <v>0018</v>
          </cell>
          <cell r="G2912">
            <v>11</v>
          </cell>
          <cell r="H2912">
            <v>38.92</v>
          </cell>
          <cell r="I2912">
            <v>1689.3578358162702</v>
          </cell>
          <cell r="J2912">
            <v>0</v>
          </cell>
        </row>
        <row r="2913">
          <cell r="E2913">
            <v>10120051</v>
          </cell>
          <cell r="F2913" t="str">
            <v>0019</v>
          </cell>
          <cell r="G2913">
            <v>9</v>
          </cell>
          <cell r="H2913">
            <v>35.979999999999997</v>
          </cell>
          <cell r="I2913">
            <v>1584.2120831408281</v>
          </cell>
          <cell r="J2913">
            <v>0</v>
          </cell>
        </row>
        <row r="2914">
          <cell r="E2914">
            <v>10120051</v>
          </cell>
          <cell r="F2914" t="str">
            <v>0020</v>
          </cell>
          <cell r="G2914">
            <v>7</v>
          </cell>
          <cell r="H2914">
            <v>22.87</v>
          </cell>
          <cell r="I2914">
            <v>890.00542231920008</v>
          </cell>
          <cell r="J2914">
            <v>0</v>
          </cell>
        </row>
        <row r="2915">
          <cell r="E2915">
            <v>10120051</v>
          </cell>
          <cell r="F2915" t="str">
            <v>0021</v>
          </cell>
          <cell r="G2915">
            <v>6</v>
          </cell>
          <cell r="H2915">
            <v>16.75</v>
          </cell>
          <cell r="I2915">
            <v>788.9204384914799</v>
          </cell>
          <cell r="J2915">
            <v>0</v>
          </cell>
        </row>
        <row r="2916">
          <cell r="E2916">
            <v>10120051</v>
          </cell>
          <cell r="F2916" t="str">
            <v>0022</v>
          </cell>
          <cell r="G2916">
            <v>6</v>
          </cell>
          <cell r="H2916">
            <v>19.52</v>
          </cell>
          <cell r="I2916">
            <v>781.8050073044401</v>
          </cell>
          <cell r="J2916">
            <v>0</v>
          </cell>
        </row>
        <row r="2917">
          <cell r="E2917">
            <v>10120051</v>
          </cell>
          <cell r="F2917" t="str">
            <v>0023</v>
          </cell>
          <cell r="G2917">
            <v>6</v>
          </cell>
          <cell r="H2917">
            <v>21.62</v>
          </cell>
          <cell r="I2917">
            <v>958.45602948998408</v>
          </cell>
          <cell r="J2917">
            <v>0</v>
          </cell>
        </row>
        <row r="2918">
          <cell r="E2918">
            <v>10120051</v>
          </cell>
          <cell r="F2918" t="str">
            <v>0024</v>
          </cell>
          <cell r="G2918">
            <v>3</v>
          </cell>
          <cell r="H2918">
            <v>7.76</v>
          </cell>
          <cell r="I2918">
            <v>378.30868669065001</v>
          </cell>
          <cell r="J2918">
            <v>0</v>
          </cell>
        </row>
        <row r="2919">
          <cell r="E2919">
            <v>10120051</v>
          </cell>
          <cell r="F2919" t="str">
            <v>0025</v>
          </cell>
          <cell r="G2919">
            <v>3</v>
          </cell>
          <cell r="H2919">
            <v>8.1900000000000013</v>
          </cell>
          <cell r="I2919">
            <v>435.56474513072004</v>
          </cell>
          <cell r="J2919">
            <v>0</v>
          </cell>
        </row>
        <row r="2920">
          <cell r="E2920">
            <v>10120051</v>
          </cell>
          <cell r="F2920" t="str">
            <v>0026</v>
          </cell>
          <cell r="G2920">
            <v>1</v>
          </cell>
          <cell r="H2920">
            <v>1.51</v>
          </cell>
          <cell r="I2920">
            <v>72.668331554840009</v>
          </cell>
          <cell r="J2920">
            <v>0</v>
          </cell>
        </row>
        <row r="2921">
          <cell r="E2921">
            <v>10120052</v>
          </cell>
          <cell r="F2921" t="str">
            <v>0001</v>
          </cell>
          <cell r="G2921">
            <v>8</v>
          </cell>
          <cell r="H2921">
            <v>3.9399999999999995</v>
          </cell>
          <cell r="I2921">
            <v>150.28489357199999</v>
          </cell>
          <cell r="J2921">
            <v>0</v>
          </cell>
        </row>
        <row r="2922">
          <cell r="E2922">
            <v>10120052</v>
          </cell>
          <cell r="F2922" t="str">
            <v>0002</v>
          </cell>
          <cell r="G2922">
            <v>14</v>
          </cell>
          <cell r="H2922">
            <v>548.2399999999999</v>
          </cell>
          <cell r="I2922">
            <v>21200.501313307803</v>
          </cell>
          <cell r="J2922">
            <v>0</v>
          </cell>
        </row>
        <row r="2923">
          <cell r="E2923">
            <v>10120052</v>
          </cell>
          <cell r="F2923" t="str">
            <v>0003</v>
          </cell>
          <cell r="G2923">
            <v>14</v>
          </cell>
          <cell r="H2923">
            <v>524.11</v>
          </cell>
          <cell r="I2923">
            <v>19969.118253612</v>
          </cell>
          <cell r="J2923">
            <v>0</v>
          </cell>
        </row>
        <row r="2924">
          <cell r="E2924">
            <v>10120052</v>
          </cell>
          <cell r="F2924" t="str">
            <v>0004</v>
          </cell>
          <cell r="G2924">
            <v>13</v>
          </cell>
          <cell r="H2924">
            <v>331.82</v>
          </cell>
          <cell r="I2924">
            <v>14102.9814160267</v>
          </cell>
          <cell r="J2924">
            <v>0</v>
          </cell>
        </row>
        <row r="2925">
          <cell r="E2925">
            <v>10120052</v>
          </cell>
          <cell r="F2925" t="str">
            <v>0005</v>
          </cell>
          <cell r="G2925">
            <v>9</v>
          </cell>
          <cell r="H2925">
            <v>273.09000000000003</v>
          </cell>
          <cell r="I2925">
            <v>10662.490886373002</v>
          </cell>
          <cell r="J2925">
            <v>0</v>
          </cell>
        </row>
        <row r="2926">
          <cell r="E2926">
            <v>10120052</v>
          </cell>
          <cell r="F2926" t="str">
            <v>0006</v>
          </cell>
          <cell r="G2926">
            <v>7</v>
          </cell>
          <cell r="H2926">
            <v>72.39</v>
          </cell>
          <cell r="I2926">
            <v>2865.2463620981407</v>
          </cell>
          <cell r="J2926">
            <v>0</v>
          </cell>
        </row>
        <row r="2927">
          <cell r="E2927">
            <v>10120052</v>
          </cell>
          <cell r="F2927" t="str">
            <v>0008</v>
          </cell>
          <cell r="G2927">
            <v>3</v>
          </cell>
          <cell r="H2927">
            <v>38.880000000000003</v>
          </cell>
          <cell r="I2927">
            <v>1798.6032213305105</v>
          </cell>
          <cell r="J2927">
            <v>0</v>
          </cell>
        </row>
        <row r="2928">
          <cell r="E2928">
            <v>10120052</v>
          </cell>
          <cell r="F2928" t="str">
            <v>0010</v>
          </cell>
          <cell r="G2928">
            <v>3</v>
          </cell>
          <cell r="H2928">
            <v>17.39</v>
          </cell>
          <cell r="I2928">
            <v>653.62769364384008</v>
          </cell>
          <cell r="J2928">
            <v>0</v>
          </cell>
        </row>
        <row r="2929">
          <cell r="E2929">
            <v>10120052</v>
          </cell>
          <cell r="F2929" t="str">
            <v>0014</v>
          </cell>
          <cell r="G2929">
            <v>14</v>
          </cell>
          <cell r="H2929">
            <v>422.90000000000003</v>
          </cell>
          <cell r="I2929">
            <v>16086.743919100802</v>
          </cell>
          <cell r="J2929">
            <v>0</v>
          </cell>
        </row>
        <row r="2930">
          <cell r="E2930">
            <v>10120052</v>
          </cell>
          <cell r="F2930" t="str">
            <v>0015</v>
          </cell>
          <cell r="G2930">
            <v>12</v>
          </cell>
          <cell r="H2930">
            <v>356.03</v>
          </cell>
          <cell r="I2930">
            <v>13436.739734220002</v>
          </cell>
          <cell r="J2930">
            <v>0</v>
          </cell>
        </row>
        <row r="2931">
          <cell r="E2931">
            <v>10120052</v>
          </cell>
          <cell r="F2931" t="str">
            <v>0016</v>
          </cell>
          <cell r="G2931">
            <v>10</v>
          </cell>
          <cell r="H2931">
            <v>185.26000000000002</v>
          </cell>
          <cell r="I2931">
            <v>6906.7708068563998</v>
          </cell>
          <cell r="J2931">
            <v>0</v>
          </cell>
        </row>
        <row r="2932">
          <cell r="E2932">
            <v>10120052</v>
          </cell>
          <cell r="F2932" t="str">
            <v>0017</v>
          </cell>
          <cell r="G2932">
            <v>4</v>
          </cell>
          <cell r="H2932">
            <v>70.25</v>
          </cell>
          <cell r="I2932">
            <v>2571.8536665558004</v>
          </cell>
          <cell r="J2932">
            <v>0</v>
          </cell>
        </row>
        <row r="2933">
          <cell r="E2933">
            <v>10120052</v>
          </cell>
          <cell r="F2933" t="str">
            <v>0018</v>
          </cell>
          <cell r="G2933">
            <v>1</v>
          </cell>
          <cell r="H2933">
            <v>22.72</v>
          </cell>
          <cell r="I2933">
            <v>792.06897179520001</v>
          </cell>
          <cell r="J2933">
            <v>0</v>
          </cell>
        </row>
        <row r="2934">
          <cell r="E2934">
            <v>10120053</v>
          </cell>
          <cell r="F2934" t="str">
            <v>0002</v>
          </cell>
          <cell r="G2934">
            <v>13</v>
          </cell>
          <cell r="H2934">
            <v>41.28</v>
          </cell>
          <cell r="I2934">
            <v>1358.4453836382002</v>
          </cell>
          <cell r="J2934">
            <v>0</v>
          </cell>
        </row>
        <row r="2935">
          <cell r="E2935">
            <v>10120053</v>
          </cell>
          <cell r="F2935" t="str">
            <v>0004</v>
          </cell>
          <cell r="G2935">
            <v>5</v>
          </cell>
          <cell r="H2935">
            <v>11.83</v>
          </cell>
          <cell r="I2935">
            <v>435.56199930539998</v>
          </cell>
          <cell r="J2935">
            <v>0</v>
          </cell>
        </row>
        <row r="2936">
          <cell r="E2936">
            <v>10120053</v>
          </cell>
          <cell r="F2936" t="str">
            <v>0010</v>
          </cell>
          <cell r="G2936">
            <v>7</v>
          </cell>
          <cell r="H2936">
            <v>25.82</v>
          </cell>
          <cell r="I2936">
            <v>1656.3589756513702</v>
          </cell>
          <cell r="J2936">
            <v>0</v>
          </cell>
        </row>
        <row r="2937">
          <cell r="E2937">
            <v>10120053</v>
          </cell>
          <cell r="F2937" t="str">
            <v>0016</v>
          </cell>
          <cell r="G2937">
            <v>14</v>
          </cell>
          <cell r="H2937">
            <v>72.88000000000001</v>
          </cell>
          <cell r="I2937">
            <v>2443.6564748244</v>
          </cell>
          <cell r="J2937">
            <v>0</v>
          </cell>
        </row>
        <row r="2938">
          <cell r="E2938">
            <v>10120053</v>
          </cell>
          <cell r="F2938" t="str">
            <v>0024</v>
          </cell>
          <cell r="G2938">
            <v>12</v>
          </cell>
          <cell r="H2938">
            <v>20.729999999999997</v>
          </cell>
          <cell r="I2938">
            <v>699.72898018320006</v>
          </cell>
          <cell r="J2938">
            <v>0</v>
          </cell>
        </row>
        <row r="2939">
          <cell r="E2939">
            <v>10120053</v>
          </cell>
          <cell r="F2939" t="str">
            <v>0050</v>
          </cell>
          <cell r="G2939">
            <v>14</v>
          </cell>
          <cell r="H2939">
            <v>49.059999999999995</v>
          </cell>
          <cell r="I2939">
            <v>1739.6392930092002</v>
          </cell>
          <cell r="J2939">
            <v>0</v>
          </cell>
        </row>
        <row r="2940">
          <cell r="E2940">
            <v>10120053</v>
          </cell>
          <cell r="F2940" t="str">
            <v>0055</v>
          </cell>
          <cell r="G2940">
            <v>14</v>
          </cell>
          <cell r="H2940">
            <v>73.740000000000009</v>
          </cell>
          <cell r="I2940">
            <v>3703.6131822205407</v>
          </cell>
          <cell r="J2940">
            <v>0</v>
          </cell>
        </row>
        <row r="2941">
          <cell r="E2941">
            <v>10120053</v>
          </cell>
          <cell r="F2941" t="str">
            <v>0056</v>
          </cell>
          <cell r="G2941">
            <v>12</v>
          </cell>
          <cell r="H2941">
            <v>14.219999999999999</v>
          </cell>
          <cell r="I2941">
            <v>539.35032056400007</v>
          </cell>
          <cell r="J2941">
            <v>0</v>
          </cell>
        </row>
        <row r="2942">
          <cell r="E2942">
            <v>10120053</v>
          </cell>
          <cell r="F2942" t="str">
            <v>0057</v>
          </cell>
          <cell r="G2942">
            <v>6</v>
          </cell>
          <cell r="H2942">
            <v>21.020000000000003</v>
          </cell>
          <cell r="I2942">
            <v>883.84348099080012</v>
          </cell>
          <cell r="J2942">
            <v>0</v>
          </cell>
        </row>
        <row r="2943">
          <cell r="E2943">
            <v>10120053</v>
          </cell>
          <cell r="F2943" t="str">
            <v>0058</v>
          </cell>
          <cell r="G2943">
            <v>13</v>
          </cell>
          <cell r="H2943">
            <v>40.93</v>
          </cell>
          <cell r="I2943">
            <v>1241.5657767084003</v>
          </cell>
          <cell r="J2943">
            <v>0</v>
          </cell>
        </row>
        <row r="2944">
          <cell r="E2944">
            <v>10120071</v>
          </cell>
          <cell r="F2944" t="str">
            <v>0002</v>
          </cell>
          <cell r="G2944">
            <v>14</v>
          </cell>
          <cell r="H2944">
            <v>72.069999999999993</v>
          </cell>
          <cell r="I2944">
            <v>3039.0374886309</v>
          </cell>
          <cell r="J2944">
            <v>0</v>
          </cell>
        </row>
        <row r="2945">
          <cell r="E2945">
            <v>10120071</v>
          </cell>
          <cell r="F2945" t="str">
            <v>0020</v>
          </cell>
          <cell r="G2945">
            <v>1</v>
          </cell>
          <cell r="H2945">
            <v>6.58</v>
          </cell>
          <cell r="I2945">
            <v>313.52913658416003</v>
          </cell>
          <cell r="J2945">
            <v>0</v>
          </cell>
        </row>
        <row r="2946">
          <cell r="E2946">
            <v>10120071</v>
          </cell>
          <cell r="F2946" t="str">
            <v>0023</v>
          </cell>
          <cell r="G2946">
            <v>14</v>
          </cell>
          <cell r="H2946">
            <v>64.099999999999994</v>
          </cell>
          <cell r="I2946">
            <v>2533.5132632334003</v>
          </cell>
          <cell r="J2946">
            <v>0</v>
          </cell>
        </row>
        <row r="2947">
          <cell r="E2947">
            <v>10120071</v>
          </cell>
          <cell r="F2947" t="str">
            <v>0024</v>
          </cell>
          <cell r="G2947">
            <v>14</v>
          </cell>
          <cell r="H2947">
            <v>78.66</v>
          </cell>
          <cell r="I2947">
            <v>3244.4206364349302</v>
          </cell>
          <cell r="J2947">
            <v>0</v>
          </cell>
        </row>
        <row r="2948">
          <cell r="E2948">
            <v>10120071</v>
          </cell>
          <cell r="F2948" t="str">
            <v>0025</v>
          </cell>
          <cell r="G2948">
            <v>14</v>
          </cell>
          <cell r="H2948">
            <v>59.329999999999991</v>
          </cell>
          <cell r="I2948">
            <v>2502.4281495959399</v>
          </cell>
          <cell r="J2948">
            <v>0</v>
          </cell>
        </row>
        <row r="2949">
          <cell r="E2949">
            <v>10120071</v>
          </cell>
          <cell r="F2949" t="str">
            <v>0026</v>
          </cell>
          <cell r="G2949">
            <v>14</v>
          </cell>
          <cell r="H2949">
            <v>64.03</v>
          </cell>
          <cell r="I2949">
            <v>2699.10437776259</v>
          </cell>
          <cell r="J2949">
            <v>0</v>
          </cell>
        </row>
        <row r="2950">
          <cell r="E2950">
            <v>10120071</v>
          </cell>
          <cell r="F2950" t="str">
            <v>0027</v>
          </cell>
          <cell r="G2950">
            <v>12</v>
          </cell>
          <cell r="H2950">
            <v>54.400000000000006</v>
          </cell>
          <cell r="I2950">
            <v>2398.34605141772</v>
          </cell>
          <cell r="J2950">
            <v>0</v>
          </cell>
        </row>
        <row r="2951">
          <cell r="E2951">
            <v>10120071</v>
          </cell>
          <cell r="F2951" t="str">
            <v>0028</v>
          </cell>
          <cell r="G2951">
            <v>13</v>
          </cell>
          <cell r="H2951">
            <v>58.999999999999993</v>
          </cell>
          <cell r="I2951">
            <v>2595.9106639607598</v>
          </cell>
          <cell r="J2951">
            <v>0</v>
          </cell>
        </row>
        <row r="2952">
          <cell r="E2952">
            <v>10120071</v>
          </cell>
          <cell r="F2952" t="str">
            <v>0029</v>
          </cell>
          <cell r="G2952">
            <v>11</v>
          </cell>
          <cell r="H2952">
            <v>61.999999999999993</v>
          </cell>
          <cell r="I2952">
            <v>2828.3055614422601</v>
          </cell>
          <cell r="J2952">
            <v>0</v>
          </cell>
        </row>
        <row r="2953">
          <cell r="E2953">
            <v>10120071</v>
          </cell>
          <cell r="F2953" t="str">
            <v>0030</v>
          </cell>
          <cell r="G2953">
            <v>9</v>
          </cell>
          <cell r="H2953">
            <v>66.61</v>
          </cell>
          <cell r="I2953">
            <v>2805.0144383627407</v>
          </cell>
          <cell r="J2953">
            <v>0</v>
          </cell>
        </row>
        <row r="2954">
          <cell r="E2954">
            <v>10120071</v>
          </cell>
          <cell r="F2954" t="str">
            <v>0031</v>
          </cell>
          <cell r="G2954">
            <v>6</v>
          </cell>
          <cell r="H2954">
            <v>47.34</v>
          </cell>
          <cell r="I2954">
            <v>1967.9985013638402</v>
          </cell>
          <cell r="J2954">
            <v>0</v>
          </cell>
        </row>
        <row r="2955">
          <cell r="E2955">
            <v>10120071</v>
          </cell>
          <cell r="F2955" t="str">
            <v>0032</v>
          </cell>
          <cell r="G2955">
            <v>5</v>
          </cell>
          <cell r="H2955">
            <v>42.91</v>
          </cell>
          <cell r="I2955">
            <v>1940.13700615572</v>
          </cell>
          <cell r="J2955">
            <v>0</v>
          </cell>
        </row>
        <row r="2956">
          <cell r="E2956">
            <v>10120071</v>
          </cell>
          <cell r="F2956" t="str">
            <v>0033</v>
          </cell>
          <cell r="G2956">
            <v>2</v>
          </cell>
          <cell r="H2956">
            <v>7.5600000000000005</v>
          </cell>
          <cell r="I2956">
            <v>497.74792648945004</v>
          </cell>
          <cell r="J2956">
            <v>0</v>
          </cell>
        </row>
        <row r="2957">
          <cell r="E2957">
            <v>10120071</v>
          </cell>
          <cell r="F2957" t="str">
            <v>0034</v>
          </cell>
          <cell r="G2957">
            <v>3</v>
          </cell>
          <cell r="H2957">
            <v>29.9</v>
          </cell>
          <cell r="I2957">
            <v>1257.2182878619501</v>
          </cell>
          <cell r="J2957">
            <v>0</v>
          </cell>
        </row>
        <row r="2958">
          <cell r="E2958">
            <v>10120080</v>
          </cell>
          <cell r="F2958" t="str">
            <v>0002</v>
          </cell>
          <cell r="G2958">
            <v>6</v>
          </cell>
          <cell r="H2958">
            <v>26.23</v>
          </cell>
          <cell r="I2958">
            <v>975.06040596712023</v>
          </cell>
          <cell r="J2958">
            <v>0</v>
          </cell>
        </row>
        <row r="2959">
          <cell r="E2959">
            <v>10120080</v>
          </cell>
          <cell r="F2959" t="str">
            <v>0003</v>
          </cell>
          <cell r="G2959">
            <v>6</v>
          </cell>
          <cell r="H2959">
            <v>43.480000000000004</v>
          </cell>
          <cell r="I2959">
            <v>1853.9075783422481</v>
          </cell>
          <cell r="J2959">
            <v>0</v>
          </cell>
        </row>
        <row r="2960">
          <cell r="E2960">
            <v>10120080</v>
          </cell>
          <cell r="F2960" t="str">
            <v>0011</v>
          </cell>
          <cell r="G2960">
            <v>5</v>
          </cell>
          <cell r="H2960">
            <v>18.600000000000001</v>
          </cell>
          <cell r="I2960">
            <v>637.61581623960001</v>
          </cell>
          <cell r="J2960">
            <v>0</v>
          </cell>
        </row>
        <row r="2961">
          <cell r="E2961">
            <v>10120080</v>
          </cell>
          <cell r="F2961" t="str">
            <v>0025</v>
          </cell>
          <cell r="G2961">
            <v>6</v>
          </cell>
          <cell r="H2961">
            <v>14.34</v>
          </cell>
          <cell r="I2961">
            <v>526.19236735635013</v>
          </cell>
          <cell r="J2961">
            <v>0</v>
          </cell>
        </row>
        <row r="2962">
          <cell r="E2962">
            <v>10120080</v>
          </cell>
          <cell r="F2962" t="str">
            <v>0043</v>
          </cell>
          <cell r="G2962">
            <v>3</v>
          </cell>
          <cell r="H2962">
            <v>3.21</v>
          </cell>
          <cell r="I2962">
            <v>105.28784386560002</v>
          </cell>
          <cell r="J2962">
            <v>0</v>
          </cell>
        </row>
        <row r="2963">
          <cell r="E2963">
            <v>10120083</v>
          </cell>
          <cell r="F2963" t="str">
            <v>0002</v>
          </cell>
          <cell r="G2963">
            <v>14</v>
          </cell>
          <cell r="H2963">
            <v>355.07</v>
          </cell>
          <cell r="I2963">
            <v>12525.887768625002</v>
          </cell>
          <cell r="J2963">
            <v>0</v>
          </cell>
        </row>
        <row r="2964">
          <cell r="E2964">
            <v>10120084</v>
          </cell>
          <cell r="F2964" t="str">
            <v>0002</v>
          </cell>
          <cell r="G2964">
            <v>14</v>
          </cell>
          <cell r="H2964">
            <v>62.45</v>
          </cell>
          <cell r="I2964">
            <v>2834.1677555429105</v>
          </cell>
          <cell r="J2964">
            <v>0</v>
          </cell>
        </row>
        <row r="2965">
          <cell r="E2965">
            <v>10120084</v>
          </cell>
          <cell r="F2965" t="str">
            <v>0003</v>
          </cell>
          <cell r="G2965">
            <v>14</v>
          </cell>
          <cell r="H2965">
            <v>148.13000000000002</v>
          </cell>
          <cell r="I2965">
            <v>8926.0766023953001</v>
          </cell>
          <cell r="J2965">
            <v>0</v>
          </cell>
        </row>
        <row r="2966">
          <cell r="E2966">
            <v>10120084</v>
          </cell>
          <cell r="F2966" t="str">
            <v>0005</v>
          </cell>
          <cell r="G2966">
            <v>13</v>
          </cell>
          <cell r="H2966">
            <v>201.15</v>
          </cell>
          <cell r="I2966">
            <v>10208.28123306248</v>
          </cell>
          <cell r="J2966">
            <v>0</v>
          </cell>
        </row>
        <row r="2967">
          <cell r="E2967">
            <v>10120084</v>
          </cell>
          <cell r="F2967" t="str">
            <v>0011</v>
          </cell>
          <cell r="G2967">
            <v>13</v>
          </cell>
          <cell r="H2967">
            <v>41.38</v>
          </cell>
          <cell r="I2967">
            <v>1927.0588767861004</v>
          </cell>
          <cell r="J2967">
            <v>0</v>
          </cell>
        </row>
        <row r="2968">
          <cell r="E2968">
            <v>10120084</v>
          </cell>
          <cell r="F2968" t="str">
            <v>0012</v>
          </cell>
          <cell r="G2968">
            <v>10</v>
          </cell>
          <cell r="H2968">
            <v>40.07</v>
          </cell>
          <cell r="I2968">
            <v>1877.1599348111804</v>
          </cell>
          <cell r="J2968">
            <v>0</v>
          </cell>
        </row>
        <row r="2969">
          <cell r="E2969">
            <v>10120084</v>
          </cell>
          <cell r="F2969" t="str">
            <v>0013</v>
          </cell>
          <cell r="G2969">
            <v>13</v>
          </cell>
          <cell r="H2969">
            <v>47.879999999999995</v>
          </cell>
          <cell r="I2969">
            <v>2488.5797439632497</v>
          </cell>
          <cell r="J2969">
            <v>0</v>
          </cell>
        </row>
        <row r="2970">
          <cell r="E2970">
            <v>10120084</v>
          </cell>
          <cell r="F2970" t="str">
            <v>0014</v>
          </cell>
          <cell r="G2970">
            <v>13</v>
          </cell>
          <cell r="H2970">
            <v>41.1</v>
          </cell>
          <cell r="I2970">
            <v>2118.00662435718</v>
          </cell>
          <cell r="J2970">
            <v>0</v>
          </cell>
        </row>
        <row r="2971">
          <cell r="E2971">
            <v>10120084</v>
          </cell>
          <cell r="F2971" t="str">
            <v>0016</v>
          </cell>
          <cell r="G2971">
            <v>13</v>
          </cell>
          <cell r="H2971">
            <v>48.38000000000001</v>
          </cell>
          <cell r="I2971">
            <v>2355.1157043929002</v>
          </cell>
          <cell r="J2971">
            <v>0</v>
          </cell>
        </row>
        <row r="2972">
          <cell r="E2972">
            <v>10120084</v>
          </cell>
          <cell r="F2972" t="str">
            <v>0017</v>
          </cell>
          <cell r="G2972">
            <v>13</v>
          </cell>
          <cell r="H2972">
            <v>50.889999999999993</v>
          </cell>
          <cell r="I2972">
            <v>2430.5117366898753</v>
          </cell>
          <cell r="J2972">
            <v>0</v>
          </cell>
        </row>
        <row r="2973">
          <cell r="E2973">
            <v>10120084</v>
          </cell>
          <cell r="F2973" t="str">
            <v>0018</v>
          </cell>
          <cell r="G2973">
            <v>13</v>
          </cell>
          <cell r="H2973">
            <v>58.24</v>
          </cell>
          <cell r="I2973">
            <v>2956.2141567091003</v>
          </cell>
          <cell r="J2973">
            <v>0</v>
          </cell>
        </row>
        <row r="2974">
          <cell r="E2974">
            <v>10120084</v>
          </cell>
          <cell r="F2974" t="str">
            <v>0019</v>
          </cell>
          <cell r="G2974">
            <v>10</v>
          </cell>
          <cell r="H2974">
            <v>39.910000000000004</v>
          </cell>
          <cell r="I2974">
            <v>2054.9758530338604</v>
          </cell>
          <cell r="J2974">
            <v>0</v>
          </cell>
        </row>
        <row r="2975">
          <cell r="E2975">
            <v>10120084</v>
          </cell>
          <cell r="F2975" t="str">
            <v>0021</v>
          </cell>
          <cell r="G2975">
            <v>14</v>
          </cell>
          <cell r="H2975">
            <v>96.639999999999986</v>
          </cell>
          <cell r="I2975">
            <v>5714.3562246606998</v>
          </cell>
          <cell r="J2975">
            <v>0</v>
          </cell>
        </row>
        <row r="2976">
          <cell r="E2976">
            <v>10120084</v>
          </cell>
          <cell r="F2976" t="str">
            <v>0023</v>
          </cell>
          <cell r="G2976">
            <v>8</v>
          </cell>
          <cell r="H2976">
            <v>20.619999999999997</v>
          </cell>
          <cell r="I2976">
            <v>1183.30490695344</v>
          </cell>
          <cell r="J2976">
            <v>0</v>
          </cell>
        </row>
        <row r="2977">
          <cell r="E2977">
            <v>10120084</v>
          </cell>
          <cell r="F2977" t="str">
            <v>0024</v>
          </cell>
          <cell r="G2977">
            <v>13</v>
          </cell>
          <cell r="H2977">
            <v>48.310000000000009</v>
          </cell>
          <cell r="I2977">
            <v>2523.0799162678263</v>
          </cell>
          <cell r="J2977">
            <v>0</v>
          </cell>
        </row>
        <row r="2978">
          <cell r="E2978">
            <v>10120084</v>
          </cell>
          <cell r="F2978" t="str">
            <v>0025</v>
          </cell>
          <cell r="G2978">
            <v>7</v>
          </cell>
          <cell r="H2978">
            <v>30.040000000000003</v>
          </cell>
          <cell r="I2978">
            <v>1530.3062653706099</v>
          </cell>
          <cell r="J2978">
            <v>0</v>
          </cell>
        </row>
        <row r="2979">
          <cell r="E2979">
            <v>10120084</v>
          </cell>
          <cell r="F2979" t="str">
            <v>0026</v>
          </cell>
          <cell r="G2979">
            <v>11</v>
          </cell>
          <cell r="H2979">
            <v>54.430000000000007</v>
          </cell>
          <cell r="I2979">
            <v>2803.67267778528</v>
          </cell>
          <cell r="J2979">
            <v>0</v>
          </cell>
        </row>
        <row r="2980">
          <cell r="E2980">
            <v>10120084</v>
          </cell>
          <cell r="F2980" t="str">
            <v>0028</v>
          </cell>
          <cell r="G2980">
            <v>10</v>
          </cell>
          <cell r="H2980">
            <v>26.029999999999998</v>
          </cell>
          <cell r="I2980">
            <v>1527.6246207134002</v>
          </cell>
          <cell r="J2980">
            <v>0</v>
          </cell>
        </row>
        <row r="2981">
          <cell r="E2981">
            <v>10120084</v>
          </cell>
          <cell r="F2981" t="str">
            <v>0029</v>
          </cell>
          <cell r="G2981">
            <v>9</v>
          </cell>
          <cell r="H2981">
            <v>29.919999999999998</v>
          </cell>
          <cell r="I2981">
            <v>1340.5563161881262</v>
          </cell>
          <cell r="J2981">
            <v>0</v>
          </cell>
        </row>
        <row r="2982">
          <cell r="E2982">
            <v>10120084</v>
          </cell>
          <cell r="F2982" t="str">
            <v>0030</v>
          </cell>
          <cell r="G2982">
            <v>12</v>
          </cell>
          <cell r="H2982">
            <v>29.8</v>
          </cell>
          <cell r="I2982">
            <v>1884.9305403539001</v>
          </cell>
          <cell r="J2982">
            <v>0</v>
          </cell>
        </row>
        <row r="2983">
          <cell r="E2983">
            <v>10120084</v>
          </cell>
          <cell r="F2983" t="str">
            <v>0031</v>
          </cell>
          <cell r="G2983">
            <v>11</v>
          </cell>
          <cell r="H2983">
            <v>34.959999999999994</v>
          </cell>
          <cell r="I2983">
            <v>1586.4811893710998</v>
          </cell>
          <cell r="J2983">
            <v>0</v>
          </cell>
        </row>
        <row r="2984">
          <cell r="E2984">
            <v>10120084</v>
          </cell>
          <cell r="F2984" t="str">
            <v>0033</v>
          </cell>
          <cell r="G2984">
            <v>9</v>
          </cell>
          <cell r="H2984">
            <v>44.690000000000005</v>
          </cell>
          <cell r="I2984">
            <v>2307.7803292943004</v>
          </cell>
          <cell r="J2984">
            <v>0</v>
          </cell>
        </row>
        <row r="2985">
          <cell r="E2985">
            <v>10120084</v>
          </cell>
          <cell r="F2985" t="str">
            <v>0034</v>
          </cell>
          <cell r="G2985">
            <v>8</v>
          </cell>
          <cell r="H2985">
            <v>33.54</v>
          </cell>
          <cell r="I2985">
            <v>1978.4178374828803</v>
          </cell>
          <cell r="J2985">
            <v>0</v>
          </cell>
        </row>
        <row r="2986">
          <cell r="E2986">
            <v>10120084</v>
          </cell>
          <cell r="F2986" t="str">
            <v>0035</v>
          </cell>
          <cell r="G2986">
            <v>7</v>
          </cell>
          <cell r="H2986">
            <v>30.97</v>
          </cell>
          <cell r="I2986">
            <v>1859.72012805244</v>
          </cell>
          <cell r="J2986">
            <v>0</v>
          </cell>
        </row>
        <row r="2987">
          <cell r="E2987">
            <v>10120084</v>
          </cell>
          <cell r="F2987" t="str">
            <v>0036</v>
          </cell>
          <cell r="G2987">
            <v>10</v>
          </cell>
          <cell r="H2987">
            <v>33.01</v>
          </cell>
          <cell r="I2987">
            <v>1740.1248443518207</v>
          </cell>
          <cell r="J2987">
            <v>0</v>
          </cell>
        </row>
        <row r="2988">
          <cell r="E2988">
            <v>10120084</v>
          </cell>
          <cell r="F2988" t="str">
            <v>0037</v>
          </cell>
          <cell r="G2988">
            <v>13</v>
          </cell>
          <cell r="H2988">
            <v>50.410000000000011</v>
          </cell>
          <cell r="I2988">
            <v>2118.5275024624002</v>
          </cell>
          <cell r="J2988">
            <v>0</v>
          </cell>
        </row>
        <row r="2989">
          <cell r="E2989">
            <v>10120084</v>
          </cell>
          <cell r="F2989" t="str">
            <v>0038</v>
          </cell>
          <cell r="G2989">
            <v>5</v>
          </cell>
          <cell r="H2989">
            <v>29.84</v>
          </cell>
          <cell r="I2989">
            <v>1452.0856952290401</v>
          </cell>
          <cell r="J2989">
            <v>0</v>
          </cell>
        </row>
        <row r="2990">
          <cell r="E2990">
            <v>10120084</v>
          </cell>
          <cell r="F2990" t="str">
            <v>0039</v>
          </cell>
          <cell r="G2990">
            <v>6</v>
          </cell>
          <cell r="H2990">
            <v>86.910000000000011</v>
          </cell>
          <cell r="I2990">
            <v>4775.7069974925007</v>
          </cell>
          <cell r="J2990">
            <v>0</v>
          </cell>
        </row>
        <row r="2991">
          <cell r="E2991">
            <v>10120089</v>
          </cell>
          <cell r="F2991" t="str">
            <v>0001</v>
          </cell>
          <cell r="G2991">
            <v>14</v>
          </cell>
          <cell r="H2991">
            <v>1.4000000000000001</v>
          </cell>
          <cell r="I2991">
            <v>54.888424866000008</v>
          </cell>
          <cell r="J2991">
            <v>0</v>
          </cell>
        </row>
        <row r="2992">
          <cell r="E2992">
            <v>10120089</v>
          </cell>
          <cell r="F2992" t="str">
            <v>0002</v>
          </cell>
          <cell r="G2992">
            <v>14</v>
          </cell>
          <cell r="H2992">
            <v>639.20000000000005</v>
          </cell>
          <cell r="I2992">
            <v>24949.891484298001</v>
          </cell>
          <cell r="J2992">
            <v>1138.7</v>
          </cell>
        </row>
        <row r="2993">
          <cell r="E2993">
            <v>10120089</v>
          </cell>
          <cell r="F2993" t="str">
            <v>0016</v>
          </cell>
          <cell r="G2993">
            <v>1</v>
          </cell>
          <cell r="H2993">
            <v>13.5</v>
          </cell>
          <cell r="I2993">
            <v>575.60114700000008</v>
          </cell>
          <cell r="J2993">
            <v>0</v>
          </cell>
        </row>
        <row r="2994">
          <cell r="E2994">
            <v>10120091</v>
          </cell>
          <cell r="F2994" t="str">
            <v>0001</v>
          </cell>
          <cell r="G2994">
            <v>14</v>
          </cell>
          <cell r="H2994">
            <v>10.039999999999999</v>
          </cell>
          <cell r="I2994">
            <v>404.29385001720004</v>
          </cell>
          <cell r="J2994">
            <v>0</v>
          </cell>
        </row>
        <row r="2995">
          <cell r="E2995">
            <v>10120091</v>
          </cell>
          <cell r="F2995" t="str">
            <v>0002</v>
          </cell>
          <cell r="G2995">
            <v>13</v>
          </cell>
          <cell r="H2995">
            <v>91.76</v>
          </cell>
          <cell r="I2995">
            <v>4500.0464420204044</v>
          </cell>
          <cell r="J2995">
            <v>0</v>
          </cell>
        </row>
        <row r="2996">
          <cell r="E2996">
            <v>10120091</v>
          </cell>
          <cell r="F2996" t="str">
            <v>0003</v>
          </cell>
          <cell r="G2996">
            <v>14</v>
          </cell>
          <cell r="H2996">
            <v>96.139999999999986</v>
          </cell>
          <cell r="I2996">
            <v>3594.9974030793901</v>
          </cell>
          <cell r="J2996">
            <v>0</v>
          </cell>
        </row>
        <row r="2997">
          <cell r="E2997">
            <v>10120091</v>
          </cell>
          <cell r="F2997" t="str">
            <v>0010</v>
          </cell>
          <cell r="G2997">
            <v>10</v>
          </cell>
          <cell r="H2997">
            <v>22.500000000000004</v>
          </cell>
          <cell r="I2997">
            <v>793.31959474020016</v>
          </cell>
          <cell r="J2997">
            <v>0</v>
          </cell>
        </row>
        <row r="2998">
          <cell r="E2998">
            <v>10120091</v>
          </cell>
          <cell r="F2998" t="str">
            <v>0011</v>
          </cell>
          <cell r="G2998">
            <v>14</v>
          </cell>
          <cell r="H2998">
            <v>29.260000000000005</v>
          </cell>
          <cell r="I2998">
            <v>1012.0187245014</v>
          </cell>
          <cell r="J2998">
            <v>0</v>
          </cell>
        </row>
        <row r="2999">
          <cell r="E2999">
            <v>10120091</v>
          </cell>
          <cell r="F2999" t="str">
            <v>0012</v>
          </cell>
          <cell r="G2999">
            <v>14</v>
          </cell>
          <cell r="H2999">
            <v>45.499999999999993</v>
          </cell>
          <cell r="I2999">
            <v>1733.1608455326004</v>
          </cell>
          <cell r="J2999">
            <v>0</v>
          </cell>
        </row>
        <row r="3000">
          <cell r="E3000">
            <v>10120091</v>
          </cell>
          <cell r="F3000" t="str">
            <v>0013</v>
          </cell>
          <cell r="G3000">
            <v>14</v>
          </cell>
          <cell r="H3000">
            <v>50.52</v>
          </cell>
          <cell r="I3000">
            <v>1824.1676575254003</v>
          </cell>
          <cell r="J3000">
            <v>0</v>
          </cell>
        </row>
        <row r="3001">
          <cell r="E3001">
            <v>10120091</v>
          </cell>
          <cell r="F3001" t="str">
            <v>0014</v>
          </cell>
          <cell r="G3001">
            <v>14</v>
          </cell>
          <cell r="H3001">
            <v>43.23</v>
          </cell>
          <cell r="I3001">
            <v>1719.3930124352</v>
          </cell>
          <cell r="J3001">
            <v>0</v>
          </cell>
        </row>
        <row r="3002">
          <cell r="E3002">
            <v>10120091</v>
          </cell>
          <cell r="F3002" t="str">
            <v>0015</v>
          </cell>
          <cell r="G3002">
            <v>11</v>
          </cell>
          <cell r="H3002">
            <v>43.47</v>
          </cell>
          <cell r="I3002">
            <v>1721.9894249453405</v>
          </cell>
          <cell r="J3002">
            <v>0</v>
          </cell>
        </row>
        <row r="3003">
          <cell r="E3003">
            <v>10120091</v>
          </cell>
          <cell r="F3003" t="str">
            <v>0016</v>
          </cell>
          <cell r="G3003">
            <v>9</v>
          </cell>
          <cell r="H3003">
            <v>32.980000000000004</v>
          </cell>
          <cell r="I3003">
            <v>1347.0957361359121</v>
          </cell>
          <cell r="J3003">
            <v>0</v>
          </cell>
        </row>
        <row r="3004">
          <cell r="E3004">
            <v>10120091</v>
          </cell>
          <cell r="F3004" t="str">
            <v>0017</v>
          </cell>
          <cell r="G3004">
            <v>7</v>
          </cell>
          <cell r="H3004">
            <v>21.57</v>
          </cell>
          <cell r="I3004">
            <v>844.87119632999998</v>
          </cell>
          <cell r="J3004">
            <v>0</v>
          </cell>
        </row>
        <row r="3005">
          <cell r="E3005">
            <v>10120091</v>
          </cell>
          <cell r="F3005" t="str">
            <v>0018</v>
          </cell>
          <cell r="G3005">
            <v>5</v>
          </cell>
          <cell r="H3005">
            <v>18.400000000000002</v>
          </cell>
          <cell r="I3005">
            <v>688.77022106698405</v>
          </cell>
          <cell r="J3005">
            <v>0</v>
          </cell>
        </row>
        <row r="3006">
          <cell r="E3006">
            <v>10120091</v>
          </cell>
          <cell r="F3006" t="str">
            <v>0019</v>
          </cell>
          <cell r="G3006">
            <v>3</v>
          </cell>
          <cell r="H3006">
            <v>14.760000000000002</v>
          </cell>
          <cell r="I3006">
            <v>534.90967836536004</v>
          </cell>
          <cell r="J3006">
            <v>0</v>
          </cell>
        </row>
        <row r="3007">
          <cell r="E3007">
            <v>10120094</v>
          </cell>
          <cell r="F3007" t="str">
            <v>0002</v>
          </cell>
          <cell r="G3007">
            <v>10</v>
          </cell>
          <cell r="H3007">
            <v>47.660000000000004</v>
          </cell>
          <cell r="I3007">
            <v>2465.4268073571002</v>
          </cell>
          <cell r="J3007">
            <v>2168</v>
          </cell>
        </row>
        <row r="3008">
          <cell r="E3008">
            <v>10120094</v>
          </cell>
          <cell r="F3008" t="str">
            <v>0007</v>
          </cell>
          <cell r="G3008">
            <v>12</v>
          </cell>
          <cell r="H3008">
            <v>43.849999999999987</v>
          </cell>
          <cell r="I3008">
            <v>2190.9154174611999</v>
          </cell>
          <cell r="J3008">
            <v>0</v>
          </cell>
        </row>
        <row r="3009">
          <cell r="E3009">
            <v>10120094</v>
          </cell>
          <cell r="F3009" t="str">
            <v>0008</v>
          </cell>
          <cell r="G3009">
            <v>11</v>
          </cell>
          <cell r="H3009">
            <v>40.83</v>
          </cell>
          <cell r="I3009">
            <v>1884.2161265648001</v>
          </cell>
          <cell r="J3009">
            <v>0</v>
          </cell>
        </row>
        <row r="3010">
          <cell r="E3010">
            <v>10120094</v>
          </cell>
          <cell r="F3010" t="str">
            <v>0009</v>
          </cell>
          <cell r="G3010">
            <v>14</v>
          </cell>
          <cell r="H3010">
            <v>58.66</v>
          </cell>
          <cell r="I3010">
            <v>2559.8135337107201</v>
          </cell>
          <cell r="J3010">
            <v>0</v>
          </cell>
        </row>
        <row r="3011">
          <cell r="E3011">
            <v>10120094</v>
          </cell>
          <cell r="F3011" t="str">
            <v>0010</v>
          </cell>
          <cell r="G3011">
            <v>7</v>
          </cell>
          <cell r="H3011">
            <v>22.060000000000002</v>
          </cell>
          <cell r="I3011">
            <v>1068.37444752802</v>
          </cell>
          <cell r="J3011">
            <v>0</v>
          </cell>
        </row>
        <row r="3012">
          <cell r="E3012">
            <v>10120094</v>
          </cell>
          <cell r="F3012" t="str">
            <v>0012</v>
          </cell>
          <cell r="G3012">
            <v>14</v>
          </cell>
          <cell r="H3012">
            <v>55.269999999999996</v>
          </cell>
          <cell r="I3012">
            <v>3655.8786755547999</v>
          </cell>
          <cell r="J3012">
            <v>0</v>
          </cell>
        </row>
        <row r="3013">
          <cell r="E3013">
            <v>10120094</v>
          </cell>
          <cell r="F3013" t="str">
            <v>0013</v>
          </cell>
          <cell r="G3013">
            <v>8</v>
          </cell>
          <cell r="H3013">
            <v>32.549999999999997</v>
          </cell>
          <cell r="I3013">
            <v>1268.4784844159999</v>
          </cell>
          <cell r="J3013">
            <v>0</v>
          </cell>
        </row>
        <row r="3014">
          <cell r="E3014">
            <v>10120094</v>
          </cell>
          <cell r="F3014" t="str">
            <v>0014</v>
          </cell>
          <cell r="G3014">
            <v>12</v>
          </cell>
          <cell r="H3014">
            <v>32.33</v>
          </cell>
          <cell r="I3014">
            <v>1580.3544153945002</v>
          </cell>
          <cell r="J3014">
            <v>0</v>
          </cell>
        </row>
        <row r="3015">
          <cell r="E3015">
            <v>10120094</v>
          </cell>
          <cell r="F3015" t="str">
            <v>0015</v>
          </cell>
          <cell r="G3015">
            <v>11</v>
          </cell>
          <cell r="H3015">
            <v>25.97</v>
          </cell>
          <cell r="I3015">
            <v>1429.6930006522198</v>
          </cell>
          <cell r="J3015">
            <v>0</v>
          </cell>
        </row>
        <row r="3016">
          <cell r="E3016">
            <v>10120094</v>
          </cell>
          <cell r="F3016" t="str">
            <v>0016</v>
          </cell>
          <cell r="G3016">
            <v>11</v>
          </cell>
          <cell r="H3016">
            <v>43.26</v>
          </cell>
          <cell r="I3016">
            <v>2171.9283923460002</v>
          </cell>
          <cell r="J3016">
            <v>0</v>
          </cell>
        </row>
        <row r="3017">
          <cell r="E3017">
            <v>10120094</v>
          </cell>
          <cell r="F3017" t="str">
            <v>0017</v>
          </cell>
          <cell r="G3017">
            <v>13</v>
          </cell>
          <cell r="H3017">
            <v>65.88</v>
          </cell>
          <cell r="I3017">
            <v>3269.7175261949806</v>
          </cell>
          <cell r="J3017">
            <v>0</v>
          </cell>
        </row>
        <row r="3018">
          <cell r="E3018">
            <v>10120094</v>
          </cell>
          <cell r="F3018" t="str">
            <v>0018</v>
          </cell>
          <cell r="G3018">
            <v>14</v>
          </cell>
          <cell r="H3018">
            <v>56.879999999999995</v>
          </cell>
          <cell r="I3018">
            <v>2731.1863785147002</v>
          </cell>
          <cell r="J3018">
            <v>0</v>
          </cell>
        </row>
        <row r="3019">
          <cell r="E3019">
            <v>10120094</v>
          </cell>
          <cell r="F3019" t="str">
            <v>0019</v>
          </cell>
          <cell r="G3019">
            <v>12</v>
          </cell>
          <cell r="H3019">
            <v>32.619999999999997</v>
          </cell>
          <cell r="I3019">
            <v>1525.1761175162999</v>
          </cell>
          <cell r="J3019">
            <v>0</v>
          </cell>
        </row>
        <row r="3020">
          <cell r="E3020">
            <v>10120094</v>
          </cell>
          <cell r="F3020" t="str">
            <v>0020</v>
          </cell>
          <cell r="G3020">
            <v>14</v>
          </cell>
          <cell r="H3020">
            <v>52.51</v>
          </cell>
          <cell r="I3020">
            <v>2429.03354016908</v>
          </cell>
          <cell r="J3020">
            <v>0</v>
          </cell>
        </row>
        <row r="3021">
          <cell r="E3021">
            <v>10120094</v>
          </cell>
          <cell r="F3021" t="str">
            <v>0021</v>
          </cell>
          <cell r="G3021">
            <v>13</v>
          </cell>
          <cell r="H3021">
            <v>55.61999999999999</v>
          </cell>
          <cell r="I3021">
            <v>2472.2899919241004</v>
          </cell>
          <cell r="J3021">
            <v>0</v>
          </cell>
        </row>
        <row r="3022">
          <cell r="E3022">
            <v>10120094</v>
          </cell>
          <cell r="F3022" t="str">
            <v>0022</v>
          </cell>
          <cell r="G3022">
            <v>12</v>
          </cell>
          <cell r="H3022">
            <v>50.440000000000005</v>
          </cell>
          <cell r="I3022">
            <v>2466.7989150837202</v>
          </cell>
          <cell r="J3022">
            <v>0</v>
          </cell>
        </row>
        <row r="3023">
          <cell r="E3023">
            <v>10120094</v>
          </cell>
          <cell r="F3023" t="str">
            <v>0023</v>
          </cell>
          <cell r="G3023">
            <v>14</v>
          </cell>
          <cell r="H3023">
            <v>48.519999999999996</v>
          </cell>
          <cell r="I3023">
            <v>2330.8184482015799</v>
          </cell>
          <cell r="J3023">
            <v>0</v>
          </cell>
        </row>
        <row r="3024">
          <cell r="E3024">
            <v>10120094</v>
          </cell>
          <cell r="F3024" t="str">
            <v>0024</v>
          </cell>
          <cell r="G3024">
            <v>10</v>
          </cell>
          <cell r="H3024">
            <v>43.769999999999996</v>
          </cell>
          <cell r="I3024">
            <v>2003.4976211458002</v>
          </cell>
          <cell r="J3024">
            <v>0</v>
          </cell>
        </row>
        <row r="3025">
          <cell r="E3025">
            <v>10120094</v>
          </cell>
          <cell r="F3025" t="str">
            <v>0025</v>
          </cell>
          <cell r="G3025">
            <v>11</v>
          </cell>
          <cell r="H3025">
            <v>38.58</v>
          </cell>
          <cell r="I3025">
            <v>1806.2669258830201</v>
          </cell>
          <cell r="J3025">
            <v>0</v>
          </cell>
        </row>
        <row r="3026">
          <cell r="E3026">
            <v>10120094</v>
          </cell>
          <cell r="F3026" t="str">
            <v>0026</v>
          </cell>
          <cell r="G3026">
            <v>10</v>
          </cell>
          <cell r="H3026">
            <v>37.5</v>
          </cell>
          <cell r="I3026">
            <v>1666.7959276256406</v>
          </cell>
          <cell r="J3026">
            <v>0</v>
          </cell>
        </row>
        <row r="3027">
          <cell r="E3027">
            <v>10120094</v>
          </cell>
          <cell r="F3027" t="str">
            <v>0027</v>
          </cell>
          <cell r="G3027">
            <v>12</v>
          </cell>
          <cell r="H3027">
            <v>34.47</v>
          </cell>
          <cell r="I3027">
            <v>1630.8582582581403</v>
          </cell>
          <cell r="J3027">
            <v>0</v>
          </cell>
        </row>
        <row r="3028">
          <cell r="E3028">
            <v>10120094</v>
          </cell>
          <cell r="F3028" t="str">
            <v>0028</v>
          </cell>
          <cell r="G3028">
            <v>13</v>
          </cell>
          <cell r="H3028">
            <v>117.00999999999999</v>
          </cell>
          <cell r="I3028">
            <v>4436.9117602920005</v>
          </cell>
          <cell r="J3028">
            <v>0</v>
          </cell>
        </row>
        <row r="3029">
          <cell r="E3029">
            <v>10120094</v>
          </cell>
          <cell r="F3029" t="str">
            <v>0029</v>
          </cell>
          <cell r="G3029">
            <v>12</v>
          </cell>
          <cell r="H3029">
            <v>31.48</v>
          </cell>
          <cell r="I3029">
            <v>1542.66522725718</v>
          </cell>
          <cell r="J3029">
            <v>0</v>
          </cell>
        </row>
        <row r="3030">
          <cell r="E3030">
            <v>10120094</v>
          </cell>
          <cell r="F3030" t="str">
            <v>0030</v>
          </cell>
          <cell r="G3030">
            <v>11</v>
          </cell>
          <cell r="H3030">
            <v>34.299999999999997</v>
          </cell>
          <cell r="I3030">
            <v>1665.6653219823299</v>
          </cell>
          <cell r="J3030">
            <v>0</v>
          </cell>
        </row>
        <row r="3031">
          <cell r="E3031">
            <v>10120095</v>
          </cell>
          <cell r="F3031" t="str">
            <v>0002</v>
          </cell>
          <cell r="G3031">
            <v>14</v>
          </cell>
          <cell r="H3031">
            <v>131</v>
          </cell>
          <cell r="I3031">
            <v>5429.8349819999994</v>
          </cell>
          <cell r="J3031">
            <v>0</v>
          </cell>
        </row>
        <row r="3032">
          <cell r="E3032">
            <v>10120095</v>
          </cell>
          <cell r="F3032" t="str">
            <v>0006</v>
          </cell>
          <cell r="G3032">
            <v>14</v>
          </cell>
          <cell r="H3032">
            <v>126</v>
          </cell>
          <cell r="I3032">
            <v>5222.5893719999995</v>
          </cell>
          <cell r="J3032">
            <v>0</v>
          </cell>
        </row>
        <row r="3033">
          <cell r="E3033">
            <v>10120095</v>
          </cell>
          <cell r="F3033" t="str">
            <v>0007</v>
          </cell>
          <cell r="G3033">
            <v>13</v>
          </cell>
          <cell r="H3033">
            <v>111</v>
          </cell>
          <cell r="I3033">
            <v>4600.8525419999996</v>
          </cell>
          <cell r="J3033">
            <v>0</v>
          </cell>
        </row>
        <row r="3034">
          <cell r="E3034">
            <v>10120104</v>
          </cell>
          <cell r="F3034" t="str">
            <v>0002</v>
          </cell>
          <cell r="G3034">
            <v>11</v>
          </cell>
          <cell r="H3034">
            <v>205.82999999999998</v>
          </cell>
          <cell r="I3034">
            <v>8116.3854791712001</v>
          </cell>
          <cell r="J3034">
            <v>3060.92</v>
          </cell>
        </row>
        <row r="3035">
          <cell r="E3035">
            <v>10120104</v>
          </cell>
          <cell r="F3035" t="str">
            <v>0003</v>
          </cell>
          <cell r="G3035">
            <v>14</v>
          </cell>
          <cell r="H3035">
            <v>447.33000000000004</v>
          </cell>
          <cell r="I3035">
            <v>17086.669357705199</v>
          </cell>
          <cell r="J3035">
            <v>0</v>
          </cell>
        </row>
        <row r="3036">
          <cell r="E3036">
            <v>10120104</v>
          </cell>
          <cell r="F3036" t="str">
            <v>0004</v>
          </cell>
          <cell r="G3036">
            <v>1</v>
          </cell>
          <cell r="H3036">
            <v>3.97</v>
          </cell>
          <cell r="I3036">
            <v>160.360484724</v>
          </cell>
          <cell r="J3036">
            <v>0</v>
          </cell>
        </row>
        <row r="3037">
          <cell r="E3037">
            <v>10120104</v>
          </cell>
          <cell r="F3037" t="str">
            <v>0006</v>
          </cell>
          <cell r="G3037">
            <v>8</v>
          </cell>
          <cell r="H3037">
            <v>120.61999999999999</v>
          </cell>
          <cell r="I3037">
            <v>4698.9366188688</v>
          </cell>
          <cell r="J3037">
            <v>0</v>
          </cell>
        </row>
        <row r="3038">
          <cell r="E3038">
            <v>10120104</v>
          </cell>
          <cell r="F3038" t="str">
            <v>0008</v>
          </cell>
          <cell r="G3038">
            <v>3</v>
          </cell>
          <cell r="H3038">
            <v>13.91</v>
          </cell>
          <cell r="I3038">
            <v>528.71447257200009</v>
          </cell>
          <cell r="J3038">
            <v>0</v>
          </cell>
        </row>
        <row r="3039">
          <cell r="E3039">
            <v>10120104</v>
          </cell>
          <cell r="F3039" t="str">
            <v>0009</v>
          </cell>
          <cell r="G3039">
            <v>3</v>
          </cell>
          <cell r="H3039">
            <v>30.439999999999998</v>
          </cell>
          <cell r="I3039">
            <v>1207.6555277160001</v>
          </cell>
          <cell r="J3039">
            <v>0</v>
          </cell>
        </row>
        <row r="3040">
          <cell r="E3040">
            <v>10120107</v>
          </cell>
          <cell r="F3040" t="str">
            <v>0002</v>
          </cell>
          <cell r="G3040">
            <v>14</v>
          </cell>
          <cell r="H3040">
            <v>1283.5699999999997</v>
          </cell>
          <cell r="I3040">
            <v>52502.026079844007</v>
          </cell>
          <cell r="J3040">
            <v>352.82</v>
          </cell>
        </row>
        <row r="3041">
          <cell r="E3041">
            <v>10120108</v>
          </cell>
          <cell r="F3041" t="str">
            <v>0002</v>
          </cell>
          <cell r="G3041">
            <v>14</v>
          </cell>
          <cell r="H3041">
            <v>366.4</v>
          </cell>
          <cell r="I3041">
            <v>16090.44748573086</v>
          </cell>
          <cell r="J3041">
            <v>0</v>
          </cell>
        </row>
        <row r="3042">
          <cell r="E3042">
            <v>10120108</v>
          </cell>
          <cell r="F3042" t="str">
            <v>0003</v>
          </cell>
          <cell r="G3042">
            <v>13</v>
          </cell>
          <cell r="H3042">
            <v>90.899999999999991</v>
          </cell>
          <cell r="I3042">
            <v>3658.6636613545006</v>
          </cell>
          <cell r="J3042">
            <v>0</v>
          </cell>
        </row>
        <row r="3043">
          <cell r="E3043">
            <v>10120108</v>
          </cell>
          <cell r="F3043" t="str">
            <v>0004</v>
          </cell>
          <cell r="G3043">
            <v>3</v>
          </cell>
          <cell r="H3043">
            <v>8.1999999999999993</v>
          </cell>
          <cell r="I3043">
            <v>314.94219609600003</v>
          </cell>
          <cell r="J3043">
            <v>0</v>
          </cell>
        </row>
        <row r="3044">
          <cell r="E3044">
            <v>10120108</v>
          </cell>
          <cell r="F3044" t="str">
            <v>0005</v>
          </cell>
          <cell r="G3044">
            <v>14</v>
          </cell>
          <cell r="H3044">
            <v>97.3</v>
          </cell>
          <cell r="I3044">
            <v>3453.1669695600003</v>
          </cell>
          <cell r="J3044">
            <v>0</v>
          </cell>
        </row>
        <row r="3045">
          <cell r="E3045">
            <v>10120108</v>
          </cell>
          <cell r="F3045" t="str">
            <v>0006</v>
          </cell>
          <cell r="G3045">
            <v>14</v>
          </cell>
          <cell r="H3045">
            <v>39.5</v>
          </cell>
          <cell r="I3045">
            <v>1471.41778366369</v>
          </cell>
          <cell r="J3045">
            <v>0</v>
          </cell>
        </row>
        <row r="3046">
          <cell r="E3046">
            <v>10120108</v>
          </cell>
          <cell r="F3046" t="str">
            <v>0007</v>
          </cell>
          <cell r="G3046">
            <v>6</v>
          </cell>
          <cell r="H3046">
            <v>16.399999999999999</v>
          </cell>
          <cell r="I3046">
            <v>503.14268644200001</v>
          </cell>
          <cell r="J3046">
            <v>0</v>
          </cell>
        </row>
        <row r="3047">
          <cell r="E3047">
            <v>10120108</v>
          </cell>
          <cell r="F3047" t="str">
            <v>0008</v>
          </cell>
          <cell r="G3047">
            <v>9</v>
          </cell>
          <cell r="H3047">
            <v>22.7</v>
          </cell>
          <cell r="I3047">
            <v>903.83961214800013</v>
          </cell>
          <cell r="J3047">
            <v>0</v>
          </cell>
        </row>
        <row r="3048">
          <cell r="E3048">
            <v>10120108</v>
          </cell>
          <cell r="F3048" t="str">
            <v>0009</v>
          </cell>
          <cell r="G3048">
            <v>12</v>
          </cell>
          <cell r="H3048">
            <v>52.6</v>
          </cell>
          <cell r="I3048">
            <v>2101.0287473340004</v>
          </cell>
          <cell r="J3048">
            <v>0</v>
          </cell>
        </row>
        <row r="3049">
          <cell r="E3049">
            <v>10120108</v>
          </cell>
          <cell r="F3049" t="str">
            <v>0010</v>
          </cell>
          <cell r="G3049">
            <v>13</v>
          </cell>
          <cell r="H3049">
            <v>39</v>
          </cell>
          <cell r="I3049">
            <v>1523.7987613200003</v>
          </cell>
          <cell r="J3049">
            <v>0</v>
          </cell>
        </row>
        <row r="3050">
          <cell r="E3050">
            <v>10120108</v>
          </cell>
          <cell r="F3050" t="str">
            <v>0011</v>
          </cell>
          <cell r="G3050">
            <v>6</v>
          </cell>
          <cell r="H3050">
            <v>16.299999999999997</v>
          </cell>
          <cell r="I3050">
            <v>1014.3167693865001</v>
          </cell>
          <cell r="J3050">
            <v>0</v>
          </cell>
        </row>
        <row r="3051">
          <cell r="E3051">
            <v>10120108</v>
          </cell>
          <cell r="F3051" t="str">
            <v>0012</v>
          </cell>
          <cell r="G3051">
            <v>10</v>
          </cell>
          <cell r="H3051">
            <v>48.8</v>
          </cell>
          <cell r="I3051">
            <v>2266.5281606469998</v>
          </cell>
          <cell r="J3051">
            <v>0</v>
          </cell>
        </row>
        <row r="3052">
          <cell r="E3052">
            <v>10120111</v>
          </cell>
          <cell r="F3052" t="str">
            <v>0002</v>
          </cell>
          <cell r="G3052">
            <v>13</v>
          </cell>
          <cell r="H3052">
            <v>82.83</v>
          </cell>
          <cell r="I3052">
            <v>3766.2292841392009</v>
          </cell>
          <cell r="J3052">
            <v>1389</v>
          </cell>
        </row>
        <row r="3053">
          <cell r="E3053">
            <v>10120111</v>
          </cell>
          <cell r="F3053" t="str">
            <v>0003</v>
          </cell>
          <cell r="G3053">
            <v>12</v>
          </cell>
          <cell r="H3053">
            <v>69.300000000000011</v>
          </cell>
          <cell r="I3053">
            <v>2829.8255366950002</v>
          </cell>
          <cell r="J3053">
            <v>0</v>
          </cell>
        </row>
        <row r="3054">
          <cell r="E3054">
            <v>10120111</v>
          </cell>
          <cell r="F3054" t="str">
            <v>0005</v>
          </cell>
          <cell r="G3054">
            <v>14</v>
          </cell>
          <cell r="H3054">
            <v>85.69</v>
          </cell>
          <cell r="I3054">
            <v>3576.5358459093009</v>
          </cell>
          <cell r="J3054">
            <v>0</v>
          </cell>
        </row>
        <row r="3055">
          <cell r="E3055">
            <v>10120111</v>
          </cell>
          <cell r="F3055" t="str">
            <v>0012</v>
          </cell>
          <cell r="G3055">
            <v>14</v>
          </cell>
          <cell r="H3055">
            <v>127.47999999999999</v>
          </cell>
          <cell r="I3055">
            <v>5395.3459901243195</v>
          </cell>
          <cell r="J3055">
            <v>0</v>
          </cell>
        </row>
        <row r="3056">
          <cell r="E3056">
            <v>10120111</v>
          </cell>
          <cell r="F3056" t="str">
            <v>0013</v>
          </cell>
          <cell r="G3056">
            <v>13</v>
          </cell>
          <cell r="H3056">
            <v>155.40000000000003</v>
          </cell>
          <cell r="I3056">
            <v>7824.431986824201</v>
          </cell>
          <cell r="J3056">
            <v>0</v>
          </cell>
        </row>
        <row r="3057">
          <cell r="E3057">
            <v>10120111</v>
          </cell>
          <cell r="F3057" t="str">
            <v>0014</v>
          </cell>
          <cell r="G3057">
            <v>13</v>
          </cell>
          <cell r="H3057">
            <v>217.76000000000002</v>
          </cell>
          <cell r="I3057">
            <v>9739.7783406527014</v>
          </cell>
          <cell r="J3057">
            <v>0</v>
          </cell>
        </row>
        <row r="3058">
          <cell r="E3058">
            <v>10120111</v>
          </cell>
          <cell r="F3058" t="str">
            <v>0015</v>
          </cell>
          <cell r="G3058">
            <v>12</v>
          </cell>
          <cell r="H3058">
            <v>155.9</v>
          </cell>
          <cell r="I3058">
            <v>6373.2652798320005</v>
          </cell>
          <cell r="J3058">
            <v>0</v>
          </cell>
        </row>
        <row r="3059">
          <cell r="E3059">
            <v>10120111</v>
          </cell>
          <cell r="F3059" t="str">
            <v>0016</v>
          </cell>
          <cell r="G3059">
            <v>13</v>
          </cell>
          <cell r="H3059">
            <v>84.4</v>
          </cell>
          <cell r="I3059">
            <v>3625.4627484520406</v>
          </cell>
          <cell r="J3059">
            <v>0</v>
          </cell>
        </row>
        <row r="3060">
          <cell r="E3060">
            <v>10120111</v>
          </cell>
          <cell r="F3060" t="str">
            <v>0017</v>
          </cell>
          <cell r="G3060">
            <v>11</v>
          </cell>
          <cell r="H3060">
            <v>80.52</v>
          </cell>
          <cell r="I3060">
            <v>3385.8534719218205</v>
          </cell>
          <cell r="J3060">
            <v>0</v>
          </cell>
        </row>
        <row r="3061">
          <cell r="E3061">
            <v>10120111</v>
          </cell>
          <cell r="F3061" t="str">
            <v>0018</v>
          </cell>
          <cell r="G3061">
            <v>11</v>
          </cell>
          <cell r="H3061">
            <v>93.51</v>
          </cell>
          <cell r="I3061">
            <v>3834.6022991540008</v>
          </cell>
          <cell r="J3061">
            <v>0</v>
          </cell>
        </row>
        <row r="3062">
          <cell r="E3062">
            <v>10120111</v>
          </cell>
          <cell r="F3062" t="str">
            <v>0019</v>
          </cell>
          <cell r="G3062">
            <v>11</v>
          </cell>
          <cell r="H3062">
            <v>111.14</v>
          </cell>
          <cell r="I3062">
            <v>4748.7477973433006</v>
          </cell>
          <cell r="J3062">
            <v>0</v>
          </cell>
        </row>
        <row r="3063">
          <cell r="E3063">
            <v>10120113</v>
          </cell>
          <cell r="F3063" t="str">
            <v>0002</v>
          </cell>
          <cell r="G3063">
            <v>3</v>
          </cell>
          <cell r="H3063">
            <v>16.850000000000001</v>
          </cell>
          <cell r="I3063">
            <v>643.08066570000005</v>
          </cell>
          <cell r="J3063">
            <v>0</v>
          </cell>
        </row>
        <row r="3064">
          <cell r="E3064">
            <v>10120113</v>
          </cell>
          <cell r="F3064" t="str">
            <v>0003</v>
          </cell>
          <cell r="G3064">
            <v>10</v>
          </cell>
          <cell r="H3064">
            <v>61.92</v>
          </cell>
          <cell r="I3064">
            <v>2367.86039424</v>
          </cell>
          <cell r="J3064">
            <v>0</v>
          </cell>
        </row>
        <row r="3065">
          <cell r="E3065">
            <v>10120114</v>
          </cell>
          <cell r="F3065" t="str">
            <v>0002</v>
          </cell>
          <cell r="G3065">
            <v>10</v>
          </cell>
          <cell r="H3065">
            <v>120.9</v>
          </cell>
          <cell r="I3065">
            <v>4840.2053924399997</v>
          </cell>
          <cell r="J3065">
            <v>2489.8000000000002</v>
          </cell>
        </row>
        <row r="3066">
          <cell r="E3066">
            <v>10120114</v>
          </cell>
          <cell r="F3066" t="str">
            <v>0003</v>
          </cell>
          <cell r="G3066">
            <v>5</v>
          </cell>
          <cell r="H3066">
            <v>55.7</v>
          </cell>
          <cell r="I3066">
            <v>2188.0152954</v>
          </cell>
          <cell r="J3066">
            <v>0</v>
          </cell>
        </row>
        <row r="3067">
          <cell r="E3067">
            <v>10120114</v>
          </cell>
          <cell r="F3067" t="str">
            <v>0006</v>
          </cell>
          <cell r="G3067">
            <v>13</v>
          </cell>
          <cell r="H3067">
            <v>27.3</v>
          </cell>
          <cell r="I3067">
            <v>1132.600220928</v>
          </cell>
          <cell r="J3067">
            <v>0</v>
          </cell>
        </row>
        <row r="3068">
          <cell r="E3068">
            <v>10120116</v>
          </cell>
          <cell r="F3068" t="str">
            <v>0001</v>
          </cell>
          <cell r="G3068">
            <v>14</v>
          </cell>
          <cell r="H3068">
            <v>18.399999999999999</v>
          </cell>
          <cell r="I3068">
            <v>954.61683836610007</v>
          </cell>
          <cell r="J3068">
            <v>0</v>
          </cell>
        </row>
        <row r="3069">
          <cell r="E3069">
            <v>10120116</v>
          </cell>
          <cell r="F3069" t="str">
            <v>0003</v>
          </cell>
          <cell r="G3069">
            <v>7</v>
          </cell>
          <cell r="H3069">
            <v>44.6</v>
          </cell>
          <cell r="I3069">
            <v>1670.5096016400003</v>
          </cell>
          <cell r="J3069">
            <v>0</v>
          </cell>
        </row>
        <row r="3070">
          <cell r="E3070">
            <v>10120116</v>
          </cell>
          <cell r="F3070" t="str">
            <v>0004</v>
          </cell>
          <cell r="G3070">
            <v>14</v>
          </cell>
          <cell r="H3070">
            <v>49.999999999999993</v>
          </cell>
          <cell r="I3070">
            <v>1516.8862488780001</v>
          </cell>
          <cell r="J3070">
            <v>0</v>
          </cell>
        </row>
        <row r="3071">
          <cell r="E3071">
            <v>10120116</v>
          </cell>
          <cell r="F3071" t="str">
            <v>0006</v>
          </cell>
          <cell r="G3071">
            <v>2</v>
          </cell>
          <cell r="H3071">
            <v>53.8</v>
          </cell>
          <cell r="I3071">
            <v>1966.6485352800003</v>
          </cell>
          <cell r="J3071">
            <v>0</v>
          </cell>
        </row>
        <row r="3072">
          <cell r="E3072">
            <v>10120116</v>
          </cell>
          <cell r="F3072" t="str">
            <v>0007</v>
          </cell>
          <cell r="G3072">
            <v>14</v>
          </cell>
          <cell r="H3072">
            <v>483.80000000000007</v>
          </cell>
          <cell r="I3072">
            <v>17431.548685133406</v>
          </cell>
          <cell r="J3072">
            <v>0</v>
          </cell>
        </row>
        <row r="3073">
          <cell r="E3073">
            <v>10120116</v>
          </cell>
          <cell r="F3073" t="str">
            <v>0009</v>
          </cell>
          <cell r="G3073">
            <v>13</v>
          </cell>
          <cell r="H3073">
            <v>41</v>
          </cell>
          <cell r="I3073">
            <v>1474.875434736</v>
          </cell>
          <cell r="J3073">
            <v>0</v>
          </cell>
        </row>
        <row r="3074">
          <cell r="E3074">
            <v>10120116</v>
          </cell>
          <cell r="F3074" t="str">
            <v>0010</v>
          </cell>
          <cell r="G3074">
            <v>11</v>
          </cell>
          <cell r="H3074">
            <v>45.1</v>
          </cell>
          <cell r="I3074">
            <v>2502.5861822966003</v>
          </cell>
          <cell r="J3074">
            <v>0</v>
          </cell>
        </row>
        <row r="3075">
          <cell r="E3075">
            <v>10120116</v>
          </cell>
          <cell r="F3075" t="str">
            <v>0011</v>
          </cell>
          <cell r="G3075">
            <v>14</v>
          </cell>
          <cell r="H3075">
            <v>162.09999999999997</v>
          </cell>
          <cell r="I3075">
            <v>5632.3103363999999</v>
          </cell>
          <cell r="J3075">
            <v>0</v>
          </cell>
        </row>
        <row r="3076">
          <cell r="E3076">
            <v>10120116</v>
          </cell>
          <cell r="F3076" t="str">
            <v>0013</v>
          </cell>
          <cell r="G3076">
            <v>14</v>
          </cell>
          <cell r="H3076">
            <v>90.3</v>
          </cell>
          <cell r="I3076">
            <v>3929.0881925700005</v>
          </cell>
          <cell r="J3076">
            <v>0</v>
          </cell>
        </row>
        <row r="3077">
          <cell r="E3077">
            <v>10120116</v>
          </cell>
          <cell r="F3077" t="str">
            <v>0014</v>
          </cell>
          <cell r="G3077">
            <v>14</v>
          </cell>
          <cell r="H3077">
            <v>171.8</v>
          </cell>
          <cell r="I3077">
            <v>9710.3414100009995</v>
          </cell>
          <cell r="J3077">
            <v>0</v>
          </cell>
        </row>
        <row r="3078">
          <cell r="E3078">
            <v>10120116</v>
          </cell>
          <cell r="F3078" t="str">
            <v>0015</v>
          </cell>
          <cell r="G3078">
            <v>12</v>
          </cell>
          <cell r="H3078">
            <v>32.299999999999997</v>
          </cell>
          <cell r="I3078">
            <v>1292.9496505200002</v>
          </cell>
          <cell r="J3078">
            <v>0</v>
          </cell>
        </row>
        <row r="3079">
          <cell r="E3079">
            <v>10120116</v>
          </cell>
          <cell r="F3079" t="str">
            <v>0016</v>
          </cell>
          <cell r="G3079">
            <v>14</v>
          </cell>
          <cell r="H3079">
            <v>118.10000000000001</v>
          </cell>
          <cell r="I3079">
            <v>4186.2609771840007</v>
          </cell>
          <cell r="J3079">
            <v>0</v>
          </cell>
        </row>
        <row r="3080">
          <cell r="E3080">
            <v>10120116</v>
          </cell>
          <cell r="F3080" t="str">
            <v>0018</v>
          </cell>
          <cell r="G3080">
            <v>12</v>
          </cell>
          <cell r="H3080">
            <v>40.799999999999997</v>
          </cell>
          <cell r="I3080">
            <v>1636.5416839200004</v>
          </cell>
          <cell r="J3080">
            <v>0</v>
          </cell>
        </row>
        <row r="3081">
          <cell r="E3081">
            <v>10120116</v>
          </cell>
          <cell r="F3081" t="str">
            <v>0019</v>
          </cell>
          <cell r="G3081">
            <v>12</v>
          </cell>
          <cell r="H3081">
            <v>40.5</v>
          </cell>
          <cell r="I3081">
            <v>1936.7605260829</v>
          </cell>
          <cell r="J3081">
            <v>0</v>
          </cell>
        </row>
        <row r="3082">
          <cell r="E3082">
            <v>10120116</v>
          </cell>
          <cell r="F3082" t="str">
            <v>0020</v>
          </cell>
          <cell r="G3082">
            <v>12</v>
          </cell>
          <cell r="H3082">
            <v>37.9</v>
          </cell>
          <cell r="I3082">
            <v>1448.589988296</v>
          </cell>
          <cell r="J3082">
            <v>0</v>
          </cell>
        </row>
        <row r="3083">
          <cell r="E3083">
            <v>10120116</v>
          </cell>
          <cell r="F3083" t="str">
            <v>0021</v>
          </cell>
          <cell r="G3083">
            <v>14</v>
          </cell>
          <cell r="H3083">
            <v>75.600000000000009</v>
          </cell>
          <cell r="I3083">
            <v>2737.0508814000013</v>
          </cell>
          <cell r="J3083">
            <v>0</v>
          </cell>
        </row>
        <row r="3084">
          <cell r="E3084">
            <v>10120116</v>
          </cell>
          <cell r="F3084" t="str">
            <v>0023</v>
          </cell>
          <cell r="G3084">
            <v>14</v>
          </cell>
          <cell r="H3084">
            <v>41.000000000000007</v>
          </cell>
          <cell r="I3084">
            <v>1604.7158252400004</v>
          </cell>
          <cell r="J3084">
            <v>0</v>
          </cell>
        </row>
        <row r="3085">
          <cell r="E3085">
            <v>10120116</v>
          </cell>
          <cell r="F3085" t="str">
            <v>0024</v>
          </cell>
          <cell r="G3085">
            <v>14</v>
          </cell>
          <cell r="H3085">
            <v>68</v>
          </cell>
          <cell r="I3085">
            <v>2673.2478960000003</v>
          </cell>
          <cell r="J3085">
            <v>0</v>
          </cell>
        </row>
        <row r="3086">
          <cell r="E3086">
            <v>10120116</v>
          </cell>
          <cell r="F3086" t="str">
            <v>0025</v>
          </cell>
          <cell r="G3086">
            <v>10</v>
          </cell>
          <cell r="H3086">
            <v>33.299999999999997</v>
          </cell>
          <cell r="I3086">
            <v>1200.8673745200001</v>
          </cell>
          <cell r="J3086">
            <v>0</v>
          </cell>
        </row>
        <row r="3087">
          <cell r="E3087">
            <v>10120116</v>
          </cell>
          <cell r="F3087" t="str">
            <v>0026</v>
          </cell>
          <cell r="G3087">
            <v>14</v>
          </cell>
          <cell r="H3087">
            <v>33.900000000000006</v>
          </cell>
          <cell r="I3087">
            <v>1255.5025797600001</v>
          </cell>
          <cell r="J3087">
            <v>0</v>
          </cell>
        </row>
        <row r="3088">
          <cell r="E3088">
            <v>10120116</v>
          </cell>
          <cell r="F3088" t="str">
            <v>0027</v>
          </cell>
          <cell r="G3088">
            <v>7</v>
          </cell>
          <cell r="H3088">
            <v>20.100000000000001</v>
          </cell>
          <cell r="I3088">
            <v>857.75865912000006</v>
          </cell>
          <cell r="J3088">
            <v>0</v>
          </cell>
        </row>
        <row r="3089">
          <cell r="E3089">
            <v>10120116</v>
          </cell>
          <cell r="F3089" t="str">
            <v>0028</v>
          </cell>
          <cell r="G3089">
            <v>3</v>
          </cell>
          <cell r="H3089">
            <v>6.1</v>
          </cell>
          <cell r="I3089">
            <v>525.70217496899977</v>
          </cell>
          <cell r="J3089">
            <v>0</v>
          </cell>
        </row>
        <row r="3090">
          <cell r="E3090">
            <v>10120116</v>
          </cell>
          <cell r="F3090" t="str">
            <v>0029</v>
          </cell>
          <cell r="G3090">
            <v>14</v>
          </cell>
          <cell r="H3090">
            <v>46.199999999999996</v>
          </cell>
          <cell r="I3090">
            <v>1942.16794992</v>
          </cell>
          <cell r="J3090">
            <v>0</v>
          </cell>
        </row>
        <row r="3091">
          <cell r="E3091">
            <v>10120116</v>
          </cell>
          <cell r="F3091" t="str">
            <v>0030</v>
          </cell>
          <cell r="G3091">
            <v>13</v>
          </cell>
          <cell r="H3091">
            <v>23.9</v>
          </cell>
          <cell r="I3091">
            <v>981.89559863999978</v>
          </cell>
          <cell r="J3091">
            <v>0</v>
          </cell>
        </row>
        <row r="3092">
          <cell r="E3092">
            <v>10120116</v>
          </cell>
          <cell r="F3092" t="str">
            <v>0032</v>
          </cell>
          <cell r="G3092">
            <v>13</v>
          </cell>
          <cell r="H3092">
            <v>99.600000000000009</v>
          </cell>
          <cell r="I3092">
            <v>4037.8731386400004</v>
          </cell>
          <cell r="J3092">
            <v>0</v>
          </cell>
        </row>
        <row r="3093">
          <cell r="E3093">
            <v>10120116</v>
          </cell>
          <cell r="F3093" t="str">
            <v>0033</v>
          </cell>
          <cell r="G3093">
            <v>6</v>
          </cell>
          <cell r="H3093">
            <v>38.9</v>
          </cell>
          <cell r="I3093">
            <v>1449.6162478379997</v>
          </cell>
          <cell r="J3093">
            <v>0</v>
          </cell>
        </row>
        <row r="3094">
          <cell r="E3094">
            <v>10120116</v>
          </cell>
          <cell r="F3094" t="str">
            <v>0034</v>
          </cell>
          <cell r="G3094">
            <v>6</v>
          </cell>
          <cell r="H3094">
            <v>8.3000000000000007</v>
          </cell>
          <cell r="I3094">
            <v>451.85644414620003</v>
          </cell>
          <cell r="J3094">
            <v>0</v>
          </cell>
        </row>
        <row r="3095">
          <cell r="E3095">
            <v>10120116</v>
          </cell>
          <cell r="F3095" t="str">
            <v>0035</v>
          </cell>
          <cell r="G3095">
            <v>14</v>
          </cell>
          <cell r="H3095">
            <v>30.8</v>
          </cell>
          <cell r="I3095">
            <v>1156.3808137200001</v>
          </cell>
          <cell r="J3095">
            <v>0</v>
          </cell>
        </row>
        <row r="3096">
          <cell r="E3096">
            <v>10120116</v>
          </cell>
          <cell r="F3096" t="str">
            <v>0036</v>
          </cell>
          <cell r="G3096">
            <v>10</v>
          </cell>
          <cell r="H3096">
            <v>36.1</v>
          </cell>
          <cell r="I3096">
            <v>1280.4657346800002</v>
          </cell>
          <cell r="J3096">
            <v>0</v>
          </cell>
        </row>
        <row r="3097">
          <cell r="E3097">
            <v>10120116</v>
          </cell>
          <cell r="F3097" t="str">
            <v>0037</v>
          </cell>
          <cell r="G3097">
            <v>14</v>
          </cell>
          <cell r="H3097">
            <v>135.39999999999998</v>
          </cell>
          <cell r="I3097">
            <v>8183.6992794420003</v>
          </cell>
          <cell r="J3097">
            <v>0</v>
          </cell>
        </row>
        <row r="3098">
          <cell r="E3098">
            <v>10120116</v>
          </cell>
          <cell r="F3098" t="str">
            <v>0038</v>
          </cell>
          <cell r="G3098">
            <v>14</v>
          </cell>
          <cell r="H3098">
            <v>31</v>
          </cell>
          <cell r="I3098">
            <v>1016.441082954</v>
          </cell>
          <cell r="J3098">
            <v>0</v>
          </cell>
        </row>
        <row r="3099">
          <cell r="E3099">
            <v>10120120</v>
          </cell>
          <cell r="F3099" t="str">
            <v>0002</v>
          </cell>
          <cell r="G3099">
            <v>14</v>
          </cell>
          <cell r="H3099">
            <v>209.59</v>
          </cell>
          <cell r="I3099">
            <v>9330.3989246025012</v>
          </cell>
          <cell r="J3099">
            <v>0</v>
          </cell>
        </row>
        <row r="3100">
          <cell r="E3100">
            <v>10120121</v>
          </cell>
          <cell r="F3100" t="str">
            <v>0002</v>
          </cell>
          <cell r="G3100">
            <v>5</v>
          </cell>
          <cell r="H3100">
            <v>142.86000000000001</v>
          </cell>
          <cell r="I3100">
            <v>5179.186962813601</v>
          </cell>
          <cell r="J3100">
            <v>0</v>
          </cell>
        </row>
        <row r="3101">
          <cell r="E3101">
            <v>10120122</v>
          </cell>
          <cell r="F3101" t="str">
            <v>0002</v>
          </cell>
          <cell r="G3101">
            <v>4</v>
          </cell>
          <cell r="H3101">
            <v>62.07</v>
          </cell>
          <cell r="I3101">
            <v>2423.6355142470902</v>
          </cell>
          <cell r="J3101">
            <v>0</v>
          </cell>
        </row>
        <row r="3102">
          <cell r="E3102">
            <v>10120122</v>
          </cell>
          <cell r="F3102" t="str">
            <v>0006</v>
          </cell>
          <cell r="G3102">
            <v>14</v>
          </cell>
          <cell r="H3102">
            <v>713.73000000000013</v>
          </cell>
          <cell r="I3102">
            <v>28912.991328179734</v>
          </cell>
          <cell r="J3102">
            <v>0</v>
          </cell>
        </row>
        <row r="3103">
          <cell r="E3103">
            <v>10120122</v>
          </cell>
          <cell r="F3103" t="str">
            <v>0008</v>
          </cell>
          <cell r="G3103">
            <v>14</v>
          </cell>
          <cell r="H3103">
            <v>80.63</v>
          </cell>
          <cell r="I3103">
            <v>3305.6254141267805</v>
          </cell>
          <cell r="J3103">
            <v>0</v>
          </cell>
        </row>
        <row r="3104">
          <cell r="E3104">
            <v>10120122</v>
          </cell>
          <cell r="F3104" t="str">
            <v>0009</v>
          </cell>
          <cell r="G3104">
            <v>12</v>
          </cell>
          <cell r="H3104">
            <v>87.81</v>
          </cell>
          <cell r="I3104">
            <v>3604.3248246234007</v>
          </cell>
          <cell r="J3104">
            <v>0</v>
          </cell>
        </row>
        <row r="3105">
          <cell r="E3105">
            <v>10120122</v>
          </cell>
          <cell r="F3105" t="str">
            <v>0010</v>
          </cell>
          <cell r="G3105">
            <v>12</v>
          </cell>
          <cell r="H3105">
            <v>69.219999999999985</v>
          </cell>
          <cell r="I3105">
            <v>2865.3302752013997</v>
          </cell>
          <cell r="J3105">
            <v>0</v>
          </cell>
        </row>
        <row r="3106">
          <cell r="E3106">
            <v>10120122</v>
          </cell>
          <cell r="F3106" t="str">
            <v>0011</v>
          </cell>
          <cell r="G3106">
            <v>13</v>
          </cell>
          <cell r="H3106">
            <v>112.38999999999999</v>
          </cell>
          <cell r="I3106">
            <v>5001.5023522022702</v>
          </cell>
          <cell r="J3106">
            <v>0</v>
          </cell>
        </row>
        <row r="3107">
          <cell r="E3107">
            <v>10120122</v>
          </cell>
          <cell r="F3107" t="str">
            <v>0012</v>
          </cell>
          <cell r="G3107">
            <v>8</v>
          </cell>
          <cell r="H3107">
            <v>74.17</v>
          </cell>
          <cell r="I3107">
            <v>2895.2651803680001</v>
          </cell>
          <cell r="J3107">
            <v>0</v>
          </cell>
        </row>
        <row r="3108">
          <cell r="E3108">
            <v>10120122</v>
          </cell>
          <cell r="F3108" t="str">
            <v>0013</v>
          </cell>
          <cell r="G3108">
            <v>12</v>
          </cell>
          <cell r="H3108">
            <v>67.7</v>
          </cell>
          <cell r="I3108">
            <v>2928.7262489647001</v>
          </cell>
          <cell r="J3108">
            <v>0</v>
          </cell>
        </row>
        <row r="3109">
          <cell r="E3109">
            <v>10120122</v>
          </cell>
          <cell r="F3109" t="str">
            <v>0014</v>
          </cell>
          <cell r="G3109">
            <v>14</v>
          </cell>
          <cell r="H3109">
            <v>76.339999999999989</v>
          </cell>
          <cell r="I3109">
            <v>3481.5897823757009</v>
          </cell>
          <cell r="J3109">
            <v>0</v>
          </cell>
        </row>
        <row r="3110">
          <cell r="E3110">
            <v>10120122</v>
          </cell>
          <cell r="F3110" t="str">
            <v>0016</v>
          </cell>
          <cell r="G3110">
            <v>11</v>
          </cell>
          <cell r="H3110">
            <v>80.87</v>
          </cell>
          <cell r="I3110">
            <v>3269.0181433600205</v>
          </cell>
          <cell r="J3110">
            <v>0</v>
          </cell>
        </row>
        <row r="3111">
          <cell r="E3111">
            <v>10120122</v>
          </cell>
          <cell r="F3111" t="str">
            <v>0017</v>
          </cell>
          <cell r="G3111">
            <v>13</v>
          </cell>
          <cell r="H3111">
            <v>120.33000000000001</v>
          </cell>
          <cell r="I3111">
            <v>4869.3058889479998</v>
          </cell>
          <cell r="J3111">
            <v>0</v>
          </cell>
        </row>
        <row r="3112">
          <cell r="E3112">
            <v>10120122</v>
          </cell>
          <cell r="F3112" t="str">
            <v>0018</v>
          </cell>
          <cell r="G3112">
            <v>10</v>
          </cell>
          <cell r="H3112">
            <v>206.08</v>
          </cell>
          <cell r="I3112">
            <v>8015.3120587320009</v>
          </cell>
          <cell r="J3112">
            <v>0</v>
          </cell>
        </row>
        <row r="3113">
          <cell r="E3113">
            <v>10120123</v>
          </cell>
          <cell r="F3113" t="str">
            <v>0001</v>
          </cell>
          <cell r="G3113">
            <v>6</v>
          </cell>
          <cell r="H3113">
            <v>0.73</v>
          </cell>
          <cell r="I3113">
            <v>28.685950207200005</v>
          </cell>
          <cell r="J3113">
            <v>0</v>
          </cell>
        </row>
        <row r="3114">
          <cell r="E3114">
            <v>10120123</v>
          </cell>
          <cell r="F3114" t="str">
            <v>0002</v>
          </cell>
          <cell r="G3114">
            <v>14</v>
          </cell>
          <cell r="H3114">
            <v>468.97</v>
          </cell>
          <cell r="I3114">
            <v>18718.592043492004</v>
          </cell>
          <cell r="J3114">
            <v>0</v>
          </cell>
        </row>
        <row r="3115">
          <cell r="E3115">
            <v>10120123</v>
          </cell>
          <cell r="F3115" t="str">
            <v>0003</v>
          </cell>
          <cell r="G3115">
            <v>9</v>
          </cell>
          <cell r="H3115">
            <v>43.609999999999992</v>
          </cell>
          <cell r="I3115">
            <v>2145.24087225636</v>
          </cell>
          <cell r="J3115">
            <v>0</v>
          </cell>
        </row>
        <row r="3116">
          <cell r="E3116">
            <v>10120123</v>
          </cell>
          <cell r="F3116" t="str">
            <v>0004</v>
          </cell>
          <cell r="G3116">
            <v>8</v>
          </cell>
          <cell r="H3116">
            <v>36.65</v>
          </cell>
          <cell r="I3116">
            <v>1300.0516145892</v>
          </cell>
          <cell r="J3116">
            <v>0</v>
          </cell>
        </row>
        <row r="3117">
          <cell r="E3117">
            <v>10120123</v>
          </cell>
          <cell r="F3117" t="str">
            <v>0005</v>
          </cell>
          <cell r="G3117">
            <v>5</v>
          </cell>
          <cell r="H3117">
            <v>16.75</v>
          </cell>
          <cell r="I3117">
            <v>606.06357995700012</v>
          </cell>
          <cell r="J3117">
            <v>0</v>
          </cell>
        </row>
        <row r="3118">
          <cell r="E3118">
            <v>10130001</v>
          </cell>
          <cell r="F3118" t="str">
            <v>0001</v>
          </cell>
          <cell r="G3118">
            <v>13</v>
          </cell>
          <cell r="H3118">
            <v>4.4000000000000004</v>
          </cell>
          <cell r="I3118">
            <v>162.71701558200002</v>
          </cell>
          <cell r="J3118">
            <v>0</v>
          </cell>
        </row>
        <row r="3119">
          <cell r="E3119">
            <v>10130001</v>
          </cell>
          <cell r="F3119" t="str">
            <v>0002</v>
          </cell>
          <cell r="G3119">
            <v>14</v>
          </cell>
          <cell r="H3119">
            <v>101.2</v>
          </cell>
          <cell r="I3119">
            <v>3529.2893339880002</v>
          </cell>
          <cell r="J3119">
            <v>0</v>
          </cell>
        </row>
        <row r="3120">
          <cell r="E3120">
            <v>10130001</v>
          </cell>
          <cell r="F3120" t="str">
            <v>0007</v>
          </cell>
          <cell r="G3120">
            <v>4</v>
          </cell>
          <cell r="H3120">
            <v>11</v>
          </cell>
          <cell r="I3120">
            <v>398.48473328400007</v>
          </cell>
          <cell r="J3120">
            <v>0</v>
          </cell>
        </row>
        <row r="3121">
          <cell r="E3121">
            <v>10130001</v>
          </cell>
          <cell r="F3121" t="str">
            <v>0010</v>
          </cell>
          <cell r="G3121">
            <v>13</v>
          </cell>
          <cell r="H3121">
            <v>104.89999999999999</v>
          </cell>
          <cell r="I3121">
            <v>3766.9086467918405</v>
          </cell>
          <cell r="J3121">
            <v>0</v>
          </cell>
        </row>
        <row r="3122">
          <cell r="E3122">
            <v>10130001</v>
          </cell>
          <cell r="F3122" t="str">
            <v>0011</v>
          </cell>
          <cell r="G3122">
            <v>14</v>
          </cell>
          <cell r="H3122">
            <v>108.20000000000002</v>
          </cell>
          <cell r="I3122">
            <v>4372.2002478509994</v>
          </cell>
          <cell r="J3122">
            <v>0</v>
          </cell>
        </row>
        <row r="3123">
          <cell r="E3123">
            <v>10130001</v>
          </cell>
          <cell r="F3123" t="str">
            <v>0012</v>
          </cell>
          <cell r="G3123">
            <v>14</v>
          </cell>
          <cell r="H3123">
            <v>105</v>
          </cell>
          <cell r="I3123">
            <v>3767.7879468900001</v>
          </cell>
          <cell r="J3123">
            <v>0</v>
          </cell>
        </row>
        <row r="3124">
          <cell r="E3124">
            <v>10130001</v>
          </cell>
          <cell r="F3124" t="str">
            <v>0013</v>
          </cell>
          <cell r="G3124">
            <v>10</v>
          </cell>
          <cell r="H3124">
            <v>64.8</v>
          </cell>
          <cell r="I3124">
            <v>2280.8227252140005</v>
          </cell>
          <cell r="J3124">
            <v>0</v>
          </cell>
        </row>
        <row r="3125">
          <cell r="E3125">
            <v>10130001</v>
          </cell>
          <cell r="F3125" t="str">
            <v>0014</v>
          </cell>
          <cell r="G3125">
            <v>7</v>
          </cell>
          <cell r="H3125">
            <v>40.299999999999997</v>
          </cell>
          <cell r="I3125">
            <v>1457.474276016</v>
          </cell>
          <cell r="J3125">
            <v>0</v>
          </cell>
        </row>
        <row r="3126">
          <cell r="E3126">
            <v>10130001</v>
          </cell>
          <cell r="F3126" t="str">
            <v>0015</v>
          </cell>
          <cell r="G3126">
            <v>7</v>
          </cell>
          <cell r="H3126">
            <v>36.5</v>
          </cell>
          <cell r="I3126">
            <v>1424.5322145120001</v>
          </cell>
          <cell r="J3126">
            <v>0</v>
          </cell>
        </row>
        <row r="3127">
          <cell r="E3127">
            <v>10130001</v>
          </cell>
          <cell r="F3127" t="str">
            <v>0016</v>
          </cell>
          <cell r="G3127">
            <v>1</v>
          </cell>
          <cell r="H3127">
            <v>3.8</v>
          </cell>
          <cell r="I3127">
            <v>141.95681279999999</v>
          </cell>
          <cell r="J3127">
            <v>0</v>
          </cell>
        </row>
        <row r="3128">
          <cell r="E3128">
            <v>10130001</v>
          </cell>
          <cell r="F3128" t="str">
            <v>0017</v>
          </cell>
          <cell r="G3128">
            <v>1</v>
          </cell>
          <cell r="H3128">
            <v>6.5</v>
          </cell>
          <cell r="I3128">
            <v>267.7029498</v>
          </cell>
          <cell r="J3128">
            <v>0</v>
          </cell>
        </row>
        <row r="3129">
          <cell r="E3129">
            <v>10130003</v>
          </cell>
          <cell r="F3129" t="str">
            <v>0001</v>
          </cell>
          <cell r="G3129">
            <v>3</v>
          </cell>
          <cell r="H3129">
            <v>0.5</v>
          </cell>
          <cell r="I3129">
            <v>15.019413948</v>
          </cell>
          <cell r="J3129">
            <v>0</v>
          </cell>
        </row>
        <row r="3130">
          <cell r="E3130">
            <v>10130003</v>
          </cell>
          <cell r="F3130" t="str">
            <v>0002</v>
          </cell>
          <cell r="G3130">
            <v>12</v>
          </cell>
          <cell r="H3130">
            <v>125.9</v>
          </cell>
          <cell r="I3130">
            <v>4127.5130145480016</v>
          </cell>
          <cell r="J3130">
            <v>2666.7999999999997</v>
          </cell>
        </row>
        <row r="3131">
          <cell r="E3131">
            <v>10130003</v>
          </cell>
          <cell r="F3131" t="str">
            <v>0004</v>
          </cell>
          <cell r="G3131">
            <v>1</v>
          </cell>
          <cell r="H3131">
            <v>0.21</v>
          </cell>
          <cell r="I3131">
            <v>5.8213663200000001</v>
          </cell>
          <cell r="J3131">
            <v>0</v>
          </cell>
        </row>
        <row r="3132">
          <cell r="E3132">
            <v>10130006</v>
          </cell>
          <cell r="F3132" t="str">
            <v>0001</v>
          </cell>
          <cell r="G3132">
            <v>1</v>
          </cell>
          <cell r="H3132">
            <v>1.8</v>
          </cell>
          <cell r="I3132">
            <v>68.906019600000008</v>
          </cell>
          <cell r="J3132">
            <v>0</v>
          </cell>
        </row>
        <row r="3133">
          <cell r="E3133">
            <v>10130006</v>
          </cell>
          <cell r="F3133" t="str">
            <v>0002</v>
          </cell>
          <cell r="G3133">
            <v>7</v>
          </cell>
          <cell r="H3133">
            <v>30.02</v>
          </cell>
          <cell r="I3133">
            <v>1090.9092593718001</v>
          </cell>
          <cell r="J3133">
            <v>0</v>
          </cell>
        </row>
        <row r="3134">
          <cell r="E3134">
            <v>10130006</v>
          </cell>
          <cell r="F3134" t="str">
            <v>0016</v>
          </cell>
          <cell r="G3134">
            <v>3</v>
          </cell>
          <cell r="H3134">
            <v>8.379999999999999</v>
          </cell>
          <cell r="I3134">
            <v>312.40368923940002</v>
          </cell>
          <cell r="J3134">
            <v>0</v>
          </cell>
        </row>
        <row r="3135">
          <cell r="E3135">
            <v>10130006</v>
          </cell>
          <cell r="F3135" t="str">
            <v>0017</v>
          </cell>
          <cell r="G3135">
            <v>9</v>
          </cell>
          <cell r="H3135">
            <v>32.65</v>
          </cell>
          <cell r="I3135">
            <v>1148.5791837035999</v>
          </cell>
          <cell r="J3135">
            <v>0</v>
          </cell>
        </row>
        <row r="3136">
          <cell r="E3136">
            <v>10130006</v>
          </cell>
          <cell r="F3136" t="str">
            <v>0026</v>
          </cell>
          <cell r="G3136">
            <v>14</v>
          </cell>
          <cell r="H3136">
            <v>75.830000000000013</v>
          </cell>
          <cell r="I3136">
            <v>2580.8065949358001</v>
          </cell>
          <cell r="J3136">
            <v>0</v>
          </cell>
        </row>
        <row r="3137">
          <cell r="E3137">
            <v>10130006</v>
          </cell>
          <cell r="F3137" t="str">
            <v>0029</v>
          </cell>
          <cell r="G3137">
            <v>14</v>
          </cell>
          <cell r="H3137">
            <v>179.78000000000003</v>
          </cell>
          <cell r="I3137">
            <v>6813.4990278960013</v>
          </cell>
          <cell r="J3137">
            <v>0</v>
          </cell>
        </row>
        <row r="3138">
          <cell r="E3138">
            <v>10130006</v>
          </cell>
          <cell r="F3138" t="str">
            <v>0033</v>
          </cell>
          <cell r="G3138">
            <v>12</v>
          </cell>
          <cell r="H3138">
            <v>41.790000000000006</v>
          </cell>
          <cell r="I3138">
            <v>2336.3772270491313</v>
          </cell>
          <cell r="J3138">
            <v>0</v>
          </cell>
        </row>
        <row r="3139">
          <cell r="E3139">
            <v>10130006</v>
          </cell>
          <cell r="F3139" t="str">
            <v>0047</v>
          </cell>
          <cell r="G3139">
            <v>10</v>
          </cell>
          <cell r="H3139">
            <v>32.07</v>
          </cell>
          <cell r="I3139">
            <v>1107.2374514190001</v>
          </cell>
          <cell r="J3139">
            <v>0</v>
          </cell>
        </row>
        <row r="3140">
          <cell r="E3140">
            <v>10130006</v>
          </cell>
          <cell r="F3140" t="str">
            <v>0048</v>
          </cell>
          <cell r="G3140">
            <v>13</v>
          </cell>
          <cell r="H3140">
            <v>67.52000000000001</v>
          </cell>
          <cell r="I3140">
            <v>2310.200099361</v>
          </cell>
          <cell r="J3140">
            <v>0</v>
          </cell>
        </row>
        <row r="3141">
          <cell r="E3141">
            <v>10130006</v>
          </cell>
          <cell r="F3141" t="str">
            <v>0082</v>
          </cell>
          <cell r="G3141">
            <v>14</v>
          </cell>
          <cell r="H3141">
            <v>127.82</v>
          </cell>
          <cell r="I3141">
            <v>4910.7524455440007</v>
          </cell>
          <cell r="J3141">
            <v>0</v>
          </cell>
        </row>
        <row r="3142">
          <cell r="E3142">
            <v>10130006</v>
          </cell>
          <cell r="F3142" t="str">
            <v>0083</v>
          </cell>
          <cell r="G3142">
            <v>6</v>
          </cell>
          <cell r="H3142">
            <v>6.5</v>
          </cell>
          <cell r="I3142">
            <v>241.71357373020004</v>
          </cell>
          <cell r="J3142">
            <v>0</v>
          </cell>
        </row>
        <row r="3143">
          <cell r="E3143">
            <v>10130006</v>
          </cell>
          <cell r="F3143" t="str">
            <v>0084</v>
          </cell>
          <cell r="G3143">
            <v>14</v>
          </cell>
          <cell r="H3143">
            <v>110.52999999999999</v>
          </cell>
          <cell r="I3143">
            <v>3919.4074439783994</v>
          </cell>
          <cell r="J3143">
            <v>0</v>
          </cell>
        </row>
        <row r="3144">
          <cell r="E3144">
            <v>10130008</v>
          </cell>
          <cell r="F3144" t="str">
            <v>0001</v>
          </cell>
          <cell r="G3144">
            <v>13</v>
          </cell>
          <cell r="H3144">
            <v>6.83</v>
          </cell>
          <cell r="I3144">
            <v>287.01657846682002</v>
          </cell>
          <cell r="J3144">
            <v>0</v>
          </cell>
        </row>
        <row r="3145">
          <cell r="E3145">
            <v>10130008</v>
          </cell>
          <cell r="F3145" t="str">
            <v>0002</v>
          </cell>
          <cell r="G3145">
            <v>13</v>
          </cell>
          <cell r="H3145">
            <v>147.70999999999998</v>
          </cell>
          <cell r="I3145">
            <v>6254.5199934893399</v>
          </cell>
          <cell r="J3145">
            <v>0</v>
          </cell>
        </row>
        <row r="3146">
          <cell r="E3146">
            <v>10130008</v>
          </cell>
          <cell r="F3146" t="str">
            <v>0003</v>
          </cell>
          <cell r="G3146">
            <v>12</v>
          </cell>
          <cell r="H3146">
            <v>100.88</v>
          </cell>
          <cell r="I3146">
            <v>4307.9922887861803</v>
          </cell>
          <cell r="J3146">
            <v>0</v>
          </cell>
        </row>
        <row r="3147">
          <cell r="E3147">
            <v>10130008</v>
          </cell>
          <cell r="F3147" t="str">
            <v>0004</v>
          </cell>
          <cell r="G3147">
            <v>12</v>
          </cell>
          <cell r="H3147">
            <v>100.80999999999999</v>
          </cell>
          <cell r="I3147">
            <v>4179.0184218557806</v>
          </cell>
          <cell r="J3147">
            <v>0</v>
          </cell>
        </row>
        <row r="3148">
          <cell r="E3148">
            <v>10130008</v>
          </cell>
          <cell r="F3148" t="str">
            <v>0005</v>
          </cell>
          <cell r="G3148">
            <v>3</v>
          </cell>
          <cell r="H3148">
            <v>30.669999999999998</v>
          </cell>
          <cell r="I3148">
            <v>1216.0380774960001</v>
          </cell>
          <cell r="J3148">
            <v>0</v>
          </cell>
        </row>
        <row r="3149">
          <cell r="E3149">
            <v>10130008</v>
          </cell>
          <cell r="F3149" t="str">
            <v>0006</v>
          </cell>
          <cell r="G3149">
            <v>8</v>
          </cell>
          <cell r="H3149">
            <v>75.31</v>
          </cell>
          <cell r="I3149">
            <v>3015.8074255320007</v>
          </cell>
          <cell r="J3149">
            <v>0</v>
          </cell>
        </row>
        <row r="3150">
          <cell r="E3150">
            <v>10130008</v>
          </cell>
          <cell r="F3150" t="str">
            <v>0014</v>
          </cell>
          <cell r="G3150">
            <v>6</v>
          </cell>
          <cell r="H3150">
            <v>12.63</v>
          </cell>
          <cell r="I3150">
            <v>820.1007393120401</v>
          </cell>
          <cell r="J3150">
            <v>0</v>
          </cell>
        </row>
        <row r="3151">
          <cell r="E3151">
            <v>10130008</v>
          </cell>
          <cell r="F3151" t="str">
            <v>0016</v>
          </cell>
          <cell r="G3151">
            <v>9</v>
          </cell>
          <cell r="H3151">
            <v>86.45</v>
          </cell>
          <cell r="I3151">
            <v>3548.12843286</v>
          </cell>
          <cell r="J3151">
            <v>0</v>
          </cell>
        </row>
        <row r="3152">
          <cell r="E3152">
            <v>10130008</v>
          </cell>
          <cell r="F3152" t="str">
            <v>0017</v>
          </cell>
          <cell r="G3152">
            <v>2</v>
          </cell>
          <cell r="H3152">
            <v>9.09</v>
          </cell>
          <cell r="I3152">
            <v>352.91475568800001</v>
          </cell>
          <cell r="J3152">
            <v>0</v>
          </cell>
        </row>
        <row r="3153">
          <cell r="E3153">
            <v>10130008</v>
          </cell>
          <cell r="F3153" t="str">
            <v>0018</v>
          </cell>
          <cell r="G3153">
            <v>3</v>
          </cell>
          <cell r="H3153">
            <v>29.330000000000002</v>
          </cell>
          <cell r="I3153">
            <v>1162.8062598240001</v>
          </cell>
          <cell r="J3153">
            <v>0</v>
          </cell>
        </row>
        <row r="3154">
          <cell r="E3154">
            <v>10130008</v>
          </cell>
          <cell r="F3154" t="str">
            <v>0019</v>
          </cell>
          <cell r="G3154">
            <v>10</v>
          </cell>
          <cell r="H3154">
            <v>90.139999999999986</v>
          </cell>
          <cell r="I3154">
            <v>3681.8209739520007</v>
          </cell>
          <cell r="J3154">
            <v>0</v>
          </cell>
        </row>
        <row r="3155">
          <cell r="E3155">
            <v>10130008</v>
          </cell>
          <cell r="F3155" t="str">
            <v>0022</v>
          </cell>
          <cell r="G3155">
            <v>7</v>
          </cell>
          <cell r="H3155">
            <v>57.55</v>
          </cell>
          <cell r="I3155">
            <v>2272.4096959080002</v>
          </cell>
          <cell r="J3155">
            <v>0</v>
          </cell>
        </row>
        <row r="3156">
          <cell r="E3156">
            <v>10130008</v>
          </cell>
          <cell r="F3156" t="str">
            <v>0023</v>
          </cell>
          <cell r="G3156">
            <v>3</v>
          </cell>
          <cell r="H3156">
            <v>24.330000000000002</v>
          </cell>
          <cell r="I3156">
            <v>962.65697893200013</v>
          </cell>
          <cell r="J3156">
            <v>0</v>
          </cell>
        </row>
        <row r="3157">
          <cell r="E3157">
            <v>10130012</v>
          </cell>
          <cell r="F3157" t="str">
            <v>0001</v>
          </cell>
          <cell r="G3157">
            <v>14</v>
          </cell>
          <cell r="H3157">
            <v>33.399999999999991</v>
          </cell>
          <cell r="I3157">
            <v>1269.0046076400001</v>
          </cell>
          <cell r="J3157">
            <v>0</v>
          </cell>
        </row>
        <row r="3158">
          <cell r="E3158">
            <v>10130012</v>
          </cell>
          <cell r="F3158" t="str">
            <v>0002</v>
          </cell>
          <cell r="G3158">
            <v>14</v>
          </cell>
          <cell r="H3158">
            <v>258.10000000000002</v>
          </cell>
          <cell r="I3158">
            <v>9774.1144013040011</v>
          </cell>
          <cell r="J3158">
            <v>1283.8399999999999</v>
          </cell>
        </row>
        <row r="3159">
          <cell r="E3159">
            <v>10130012</v>
          </cell>
          <cell r="F3159" t="str">
            <v>0003</v>
          </cell>
          <cell r="G3159">
            <v>14</v>
          </cell>
          <cell r="H3159">
            <v>232.3</v>
          </cell>
          <cell r="I3159">
            <v>8693.5882728419983</v>
          </cell>
          <cell r="J3159">
            <v>0</v>
          </cell>
        </row>
        <row r="3160">
          <cell r="E3160">
            <v>10130012</v>
          </cell>
          <cell r="F3160" t="str">
            <v>0004</v>
          </cell>
          <cell r="G3160">
            <v>14</v>
          </cell>
          <cell r="H3160">
            <v>201.2</v>
          </cell>
          <cell r="I3160">
            <v>7430.2306333200013</v>
          </cell>
          <cell r="J3160">
            <v>0</v>
          </cell>
        </row>
        <row r="3161">
          <cell r="E3161">
            <v>10130012</v>
          </cell>
          <cell r="F3161" t="str">
            <v>0007</v>
          </cell>
          <cell r="G3161">
            <v>14</v>
          </cell>
          <cell r="H3161">
            <v>36.5</v>
          </cell>
          <cell r="I3161">
            <v>1359.9540286199999</v>
          </cell>
          <cell r="J3161">
            <v>0</v>
          </cell>
        </row>
        <row r="3162">
          <cell r="E3162">
            <v>10130012</v>
          </cell>
          <cell r="F3162" t="str">
            <v>0008</v>
          </cell>
          <cell r="G3162">
            <v>14</v>
          </cell>
          <cell r="H3162">
            <v>32</v>
          </cell>
          <cell r="I3162">
            <v>1221.611447628</v>
          </cell>
          <cell r="J3162">
            <v>0</v>
          </cell>
        </row>
        <row r="3163">
          <cell r="E3163">
            <v>10130012</v>
          </cell>
          <cell r="F3163" t="str">
            <v>0009</v>
          </cell>
          <cell r="G3163">
            <v>14</v>
          </cell>
          <cell r="H3163">
            <v>31.4</v>
          </cell>
          <cell r="I3163">
            <v>1257.72586450586</v>
          </cell>
          <cell r="J3163">
            <v>0</v>
          </cell>
        </row>
        <row r="3164">
          <cell r="E3164">
            <v>10130012</v>
          </cell>
          <cell r="F3164" t="str">
            <v>0010</v>
          </cell>
          <cell r="G3164">
            <v>14</v>
          </cell>
          <cell r="H3164">
            <v>36.299999999999997</v>
          </cell>
          <cell r="I3164">
            <v>1425.8263614304201</v>
          </cell>
          <cell r="J3164">
            <v>0</v>
          </cell>
        </row>
        <row r="3165">
          <cell r="E3165">
            <v>10130012</v>
          </cell>
          <cell r="F3165" t="str">
            <v>0011</v>
          </cell>
          <cell r="G3165">
            <v>14</v>
          </cell>
          <cell r="H3165">
            <v>39.1</v>
          </cell>
          <cell r="I3165">
            <v>1466.0819308080002</v>
          </cell>
          <cell r="J3165">
            <v>0</v>
          </cell>
        </row>
        <row r="3166">
          <cell r="E3166">
            <v>10130012</v>
          </cell>
          <cell r="F3166" t="str">
            <v>0012</v>
          </cell>
          <cell r="G3166">
            <v>14</v>
          </cell>
          <cell r="H3166">
            <v>228.29999999999998</v>
          </cell>
          <cell r="I3166">
            <v>8317.5437717460009</v>
          </cell>
          <cell r="J3166">
            <v>0</v>
          </cell>
        </row>
        <row r="3167">
          <cell r="E3167">
            <v>10130012</v>
          </cell>
          <cell r="F3167" t="str">
            <v>0018</v>
          </cell>
          <cell r="G3167">
            <v>14</v>
          </cell>
          <cell r="H3167">
            <v>244.59999999999997</v>
          </cell>
          <cell r="I3167">
            <v>9951.08886002709</v>
          </cell>
          <cell r="J3167">
            <v>0</v>
          </cell>
        </row>
        <row r="3168">
          <cell r="E3168">
            <v>10130012</v>
          </cell>
          <cell r="F3168" t="str">
            <v>0020</v>
          </cell>
          <cell r="G3168">
            <v>14</v>
          </cell>
          <cell r="H3168">
            <v>230.20000000000002</v>
          </cell>
          <cell r="I3168">
            <v>8609.2316192520011</v>
          </cell>
          <cell r="J3168">
            <v>0</v>
          </cell>
        </row>
        <row r="3169">
          <cell r="E3169">
            <v>10130012</v>
          </cell>
          <cell r="F3169" t="str">
            <v>0023</v>
          </cell>
          <cell r="G3169">
            <v>13</v>
          </cell>
          <cell r="H3169">
            <v>203.20000000000002</v>
          </cell>
          <cell r="I3169">
            <v>7416.2483433719999</v>
          </cell>
          <cell r="J3169">
            <v>0</v>
          </cell>
        </row>
        <row r="3170">
          <cell r="E3170">
            <v>10130012</v>
          </cell>
          <cell r="F3170" t="str">
            <v>0028</v>
          </cell>
          <cell r="G3170">
            <v>13</v>
          </cell>
          <cell r="H3170">
            <v>35.200000000000003</v>
          </cell>
          <cell r="I3170">
            <v>1633.7424097861101</v>
          </cell>
          <cell r="J3170">
            <v>0</v>
          </cell>
        </row>
        <row r="3171">
          <cell r="E3171">
            <v>10130012</v>
          </cell>
          <cell r="F3171" t="str">
            <v>0029</v>
          </cell>
          <cell r="G3171">
            <v>14</v>
          </cell>
          <cell r="H3171">
            <v>57.9</v>
          </cell>
          <cell r="I3171">
            <v>2099.9608512300006</v>
          </cell>
          <cell r="J3171">
            <v>0</v>
          </cell>
        </row>
        <row r="3172">
          <cell r="E3172">
            <v>10130012</v>
          </cell>
          <cell r="F3172" t="str">
            <v>0031</v>
          </cell>
          <cell r="G3172">
            <v>14</v>
          </cell>
          <cell r="H3172">
            <v>250.49999999999997</v>
          </cell>
          <cell r="I3172">
            <v>9481.8056305500031</v>
          </cell>
          <cell r="J3172">
            <v>0</v>
          </cell>
        </row>
        <row r="3173">
          <cell r="E3173">
            <v>10130012</v>
          </cell>
          <cell r="F3173" t="str">
            <v>0033</v>
          </cell>
          <cell r="G3173">
            <v>14</v>
          </cell>
          <cell r="H3173">
            <v>35.4</v>
          </cell>
          <cell r="I3173">
            <v>1276.7819137920003</v>
          </cell>
          <cell r="J3173">
            <v>0</v>
          </cell>
        </row>
        <row r="3174">
          <cell r="E3174">
            <v>10130012</v>
          </cell>
          <cell r="F3174" t="str">
            <v>0034</v>
          </cell>
          <cell r="G3174">
            <v>13</v>
          </cell>
          <cell r="H3174">
            <v>36.5</v>
          </cell>
          <cell r="I3174">
            <v>1325.1786619500001</v>
          </cell>
          <cell r="J3174">
            <v>0</v>
          </cell>
        </row>
        <row r="3175">
          <cell r="E3175">
            <v>10130012</v>
          </cell>
          <cell r="F3175" t="str">
            <v>0035</v>
          </cell>
          <cell r="G3175">
            <v>13</v>
          </cell>
          <cell r="H3175">
            <v>36.199999999999996</v>
          </cell>
          <cell r="I3175">
            <v>1352.1723444390004</v>
          </cell>
          <cell r="J3175">
            <v>0</v>
          </cell>
        </row>
        <row r="3176">
          <cell r="E3176">
            <v>10130012</v>
          </cell>
          <cell r="F3176" t="str">
            <v>0036</v>
          </cell>
          <cell r="G3176">
            <v>13</v>
          </cell>
          <cell r="H3176">
            <v>31.3</v>
          </cell>
          <cell r="I3176">
            <v>1161.4607239760999</v>
          </cell>
          <cell r="J3176">
            <v>0</v>
          </cell>
        </row>
        <row r="3177">
          <cell r="E3177">
            <v>10130012</v>
          </cell>
          <cell r="F3177" t="str">
            <v>0037</v>
          </cell>
          <cell r="G3177">
            <v>13</v>
          </cell>
          <cell r="H3177">
            <v>31.9</v>
          </cell>
          <cell r="I3177">
            <v>1205.9943351249601</v>
          </cell>
          <cell r="J3177">
            <v>0</v>
          </cell>
        </row>
        <row r="3178">
          <cell r="E3178">
            <v>10130012</v>
          </cell>
          <cell r="F3178" t="str">
            <v>0038</v>
          </cell>
          <cell r="G3178">
            <v>13</v>
          </cell>
          <cell r="H3178">
            <v>32.5</v>
          </cell>
          <cell r="I3178">
            <v>1252.57123078788</v>
          </cell>
          <cell r="J3178">
            <v>0</v>
          </cell>
        </row>
        <row r="3179">
          <cell r="E3179">
            <v>10130012</v>
          </cell>
          <cell r="F3179" t="str">
            <v>0039</v>
          </cell>
          <cell r="G3179">
            <v>13</v>
          </cell>
          <cell r="H3179">
            <v>35.4</v>
          </cell>
          <cell r="I3179">
            <v>1404.6277383457598</v>
          </cell>
          <cell r="J3179">
            <v>0</v>
          </cell>
        </row>
        <row r="3180">
          <cell r="E3180">
            <v>10130012</v>
          </cell>
          <cell r="F3180" t="str">
            <v>0040</v>
          </cell>
          <cell r="G3180">
            <v>14</v>
          </cell>
          <cell r="H3180">
            <v>39.1</v>
          </cell>
          <cell r="I3180">
            <v>1513.8858737588</v>
          </cell>
          <cell r="J3180">
            <v>0</v>
          </cell>
        </row>
        <row r="3181">
          <cell r="E3181">
            <v>10130012</v>
          </cell>
          <cell r="F3181" t="str">
            <v>0041</v>
          </cell>
          <cell r="G3181">
            <v>13</v>
          </cell>
          <cell r="H3181">
            <v>39.1</v>
          </cell>
          <cell r="I3181">
            <v>1525.5652626830001</v>
          </cell>
          <cell r="J3181">
            <v>0</v>
          </cell>
        </row>
        <row r="3182">
          <cell r="E3182">
            <v>10130012</v>
          </cell>
          <cell r="F3182" t="str">
            <v>0042</v>
          </cell>
          <cell r="G3182">
            <v>13</v>
          </cell>
          <cell r="H3182">
            <v>41.5</v>
          </cell>
          <cell r="I3182">
            <v>1580.8552618870401</v>
          </cell>
          <cell r="J3182">
            <v>0</v>
          </cell>
        </row>
        <row r="3183">
          <cell r="E3183">
            <v>10130012</v>
          </cell>
          <cell r="F3183" t="str">
            <v>0043</v>
          </cell>
          <cell r="G3183">
            <v>13</v>
          </cell>
          <cell r="H3183">
            <v>32.799999999999997</v>
          </cell>
          <cell r="I3183">
            <v>1189.8588278115003</v>
          </cell>
          <cell r="J3183">
            <v>0</v>
          </cell>
        </row>
        <row r="3184">
          <cell r="E3184">
            <v>10130012</v>
          </cell>
          <cell r="F3184" t="str">
            <v>0044</v>
          </cell>
          <cell r="G3184">
            <v>13</v>
          </cell>
          <cell r="H3184">
            <v>34.299999999999997</v>
          </cell>
          <cell r="I3184">
            <v>1247.489429472</v>
          </cell>
          <cell r="J3184">
            <v>0</v>
          </cell>
        </row>
        <row r="3185">
          <cell r="E3185">
            <v>10130012</v>
          </cell>
          <cell r="F3185" t="str">
            <v>0045</v>
          </cell>
          <cell r="G3185">
            <v>12</v>
          </cell>
          <cell r="H3185">
            <v>35</v>
          </cell>
          <cell r="I3185">
            <v>1329.5634365320502</v>
          </cell>
          <cell r="J3185">
            <v>0</v>
          </cell>
        </row>
        <row r="3186">
          <cell r="E3186">
            <v>10130012</v>
          </cell>
          <cell r="F3186" t="str">
            <v>0046</v>
          </cell>
          <cell r="G3186">
            <v>13</v>
          </cell>
          <cell r="H3186">
            <v>32.9</v>
          </cell>
          <cell r="I3186">
            <v>1208.3583081827001</v>
          </cell>
          <cell r="J3186">
            <v>0</v>
          </cell>
        </row>
        <row r="3187">
          <cell r="E3187">
            <v>10130012</v>
          </cell>
          <cell r="F3187" t="str">
            <v>0047</v>
          </cell>
          <cell r="G3187">
            <v>13</v>
          </cell>
          <cell r="H3187">
            <v>34.400000000000006</v>
          </cell>
          <cell r="I3187">
            <v>1247.5509167880002</v>
          </cell>
          <cell r="J3187">
            <v>0</v>
          </cell>
        </row>
        <row r="3188">
          <cell r="E3188">
            <v>10130012</v>
          </cell>
          <cell r="F3188" t="str">
            <v>0048</v>
          </cell>
          <cell r="G3188">
            <v>14</v>
          </cell>
          <cell r="H3188">
            <v>33.699999999999996</v>
          </cell>
          <cell r="I3188">
            <v>1300.1934521547</v>
          </cell>
          <cell r="J3188">
            <v>0</v>
          </cell>
        </row>
        <row r="3189">
          <cell r="E3189">
            <v>10130012</v>
          </cell>
          <cell r="F3189" t="str">
            <v>0049</v>
          </cell>
          <cell r="G3189">
            <v>14</v>
          </cell>
          <cell r="H3189">
            <v>32.599999999999994</v>
          </cell>
          <cell r="I3189">
            <v>1259.1342656342001</v>
          </cell>
          <cell r="J3189">
            <v>0</v>
          </cell>
        </row>
        <row r="3190">
          <cell r="E3190">
            <v>10130012</v>
          </cell>
          <cell r="F3190" t="str">
            <v>0050</v>
          </cell>
          <cell r="G3190">
            <v>14</v>
          </cell>
          <cell r="H3190">
            <v>35.199999999999996</v>
          </cell>
          <cell r="I3190">
            <v>1300.5655903663503</v>
          </cell>
          <cell r="J3190">
            <v>0</v>
          </cell>
        </row>
        <row r="3191">
          <cell r="E3191">
            <v>10130012</v>
          </cell>
          <cell r="F3191" t="str">
            <v>0051</v>
          </cell>
          <cell r="G3191">
            <v>13</v>
          </cell>
          <cell r="H3191">
            <v>32.5</v>
          </cell>
          <cell r="I3191">
            <v>1210.5417697427199</v>
          </cell>
          <cell r="J3191">
            <v>0</v>
          </cell>
        </row>
        <row r="3192">
          <cell r="E3192">
            <v>10130012</v>
          </cell>
          <cell r="F3192" t="str">
            <v>0052</v>
          </cell>
          <cell r="G3192">
            <v>12</v>
          </cell>
          <cell r="H3192">
            <v>35.200000000000003</v>
          </cell>
          <cell r="I3192">
            <v>1330.2719394652001</v>
          </cell>
          <cell r="J3192">
            <v>0</v>
          </cell>
        </row>
        <row r="3193">
          <cell r="E3193">
            <v>10130012</v>
          </cell>
          <cell r="F3193" t="str">
            <v>0053</v>
          </cell>
          <cell r="G3193">
            <v>11</v>
          </cell>
          <cell r="H3193">
            <v>30.1</v>
          </cell>
          <cell r="I3193">
            <v>1171.3761894577999</v>
          </cell>
          <cell r="J3193">
            <v>0</v>
          </cell>
        </row>
        <row r="3194">
          <cell r="E3194">
            <v>10130012</v>
          </cell>
          <cell r="F3194" t="str">
            <v>0054</v>
          </cell>
          <cell r="G3194">
            <v>11</v>
          </cell>
          <cell r="H3194">
            <v>29.900000000000002</v>
          </cell>
          <cell r="I3194">
            <v>1145.00701993854</v>
          </cell>
          <cell r="J3194">
            <v>0</v>
          </cell>
        </row>
        <row r="3195">
          <cell r="E3195">
            <v>10130012</v>
          </cell>
          <cell r="F3195" t="str">
            <v>0055</v>
          </cell>
          <cell r="G3195">
            <v>12</v>
          </cell>
          <cell r="H3195">
            <v>33</v>
          </cell>
          <cell r="I3195">
            <v>1243.6239487478404</v>
          </cell>
          <cell r="J3195">
            <v>0</v>
          </cell>
        </row>
        <row r="3196">
          <cell r="E3196">
            <v>10130012</v>
          </cell>
          <cell r="F3196" t="str">
            <v>0056</v>
          </cell>
          <cell r="G3196">
            <v>12</v>
          </cell>
          <cell r="H3196">
            <v>32.299999999999997</v>
          </cell>
          <cell r="I3196">
            <v>1186.7099171195252</v>
          </cell>
          <cell r="J3196">
            <v>0</v>
          </cell>
        </row>
        <row r="3197">
          <cell r="E3197">
            <v>10130012</v>
          </cell>
          <cell r="F3197" t="str">
            <v>0057</v>
          </cell>
          <cell r="G3197">
            <v>11</v>
          </cell>
          <cell r="H3197">
            <v>27.499999999999996</v>
          </cell>
          <cell r="I3197">
            <v>1013.0365694212002</v>
          </cell>
          <cell r="J3197">
            <v>0</v>
          </cell>
        </row>
        <row r="3198">
          <cell r="E3198">
            <v>10130012</v>
          </cell>
          <cell r="F3198" t="str">
            <v>0058</v>
          </cell>
          <cell r="G3198">
            <v>12</v>
          </cell>
          <cell r="H3198">
            <v>30.599999999999998</v>
          </cell>
          <cell r="I3198">
            <v>1136.72623663124</v>
          </cell>
          <cell r="J3198">
            <v>0</v>
          </cell>
        </row>
        <row r="3199">
          <cell r="E3199">
            <v>10130012</v>
          </cell>
          <cell r="F3199" t="str">
            <v>0059</v>
          </cell>
          <cell r="G3199">
            <v>10</v>
          </cell>
          <cell r="H3199">
            <v>27.3</v>
          </cell>
          <cell r="I3199">
            <v>1050.94771556316</v>
          </cell>
          <cell r="J3199">
            <v>0</v>
          </cell>
        </row>
        <row r="3200">
          <cell r="E3200">
            <v>10130012</v>
          </cell>
          <cell r="F3200" t="str">
            <v>0060</v>
          </cell>
          <cell r="G3200">
            <v>10</v>
          </cell>
          <cell r="H3200">
            <v>29.000000000000007</v>
          </cell>
          <cell r="I3200">
            <v>1075.3135297740002</v>
          </cell>
          <cell r="J3200">
            <v>0</v>
          </cell>
        </row>
        <row r="3201">
          <cell r="E3201">
            <v>10130012</v>
          </cell>
          <cell r="F3201" t="str">
            <v>0061</v>
          </cell>
          <cell r="G3201">
            <v>8</v>
          </cell>
          <cell r="H3201">
            <v>23.400000000000002</v>
          </cell>
          <cell r="I3201">
            <v>850.57684984800005</v>
          </cell>
          <cell r="J3201">
            <v>0</v>
          </cell>
        </row>
        <row r="3202">
          <cell r="E3202">
            <v>10130012</v>
          </cell>
          <cell r="F3202" t="str">
            <v>0062</v>
          </cell>
          <cell r="G3202">
            <v>6</v>
          </cell>
          <cell r="H3202">
            <v>14.700000000000001</v>
          </cell>
          <cell r="I3202">
            <v>521.71830611999997</v>
          </cell>
          <cell r="J3202">
            <v>0</v>
          </cell>
        </row>
        <row r="3203">
          <cell r="E3203">
            <v>10130012</v>
          </cell>
          <cell r="F3203" t="str">
            <v>0063</v>
          </cell>
          <cell r="G3203">
            <v>7</v>
          </cell>
          <cell r="H3203">
            <v>19.5</v>
          </cell>
          <cell r="I3203">
            <v>738.44839237064002</v>
          </cell>
          <cell r="J3203">
            <v>0</v>
          </cell>
        </row>
        <row r="3204">
          <cell r="E3204">
            <v>10130012</v>
          </cell>
          <cell r="F3204" t="str">
            <v>0064</v>
          </cell>
          <cell r="G3204">
            <v>6</v>
          </cell>
          <cell r="H3204">
            <v>15.399999999999999</v>
          </cell>
          <cell r="I3204">
            <v>581.21282351946002</v>
          </cell>
          <cell r="J3204">
            <v>0</v>
          </cell>
        </row>
        <row r="3205">
          <cell r="E3205">
            <v>10130012</v>
          </cell>
          <cell r="F3205" t="str">
            <v>0065</v>
          </cell>
          <cell r="G3205">
            <v>6</v>
          </cell>
          <cell r="H3205">
            <v>15.2</v>
          </cell>
          <cell r="I3205">
            <v>578.05086800232004</v>
          </cell>
          <cell r="J3205">
            <v>0</v>
          </cell>
        </row>
        <row r="3206">
          <cell r="E3206">
            <v>10130012</v>
          </cell>
          <cell r="F3206" t="str">
            <v>0066</v>
          </cell>
          <cell r="G3206">
            <v>4</v>
          </cell>
          <cell r="H3206">
            <v>6.1</v>
          </cell>
          <cell r="I3206">
            <v>228.28733136</v>
          </cell>
          <cell r="J3206">
            <v>0</v>
          </cell>
        </row>
        <row r="3207">
          <cell r="E3207">
            <v>10130012</v>
          </cell>
          <cell r="F3207" t="str">
            <v>0067</v>
          </cell>
          <cell r="G3207">
            <v>4</v>
          </cell>
          <cell r="H3207">
            <v>4.8999999999999995</v>
          </cell>
          <cell r="I3207">
            <v>179.98194891600002</v>
          </cell>
          <cell r="J3207">
            <v>0</v>
          </cell>
        </row>
        <row r="3208">
          <cell r="E3208">
            <v>10130012</v>
          </cell>
          <cell r="F3208" t="str">
            <v>0068</v>
          </cell>
          <cell r="G3208">
            <v>3</v>
          </cell>
          <cell r="H3208">
            <v>3.5</v>
          </cell>
          <cell r="I3208">
            <v>131.70537230400004</v>
          </cell>
          <cell r="J3208">
            <v>0</v>
          </cell>
        </row>
        <row r="3209">
          <cell r="E3209">
            <v>10130012</v>
          </cell>
          <cell r="F3209" t="str">
            <v>0069</v>
          </cell>
          <cell r="G3209">
            <v>3</v>
          </cell>
          <cell r="H3209">
            <v>5.1000000000000005</v>
          </cell>
          <cell r="I3209">
            <v>179.53459504200003</v>
          </cell>
          <cell r="J3209">
            <v>0</v>
          </cell>
        </row>
        <row r="3210">
          <cell r="E3210">
            <v>10130012</v>
          </cell>
          <cell r="F3210" t="str">
            <v>0070</v>
          </cell>
          <cell r="G3210">
            <v>3</v>
          </cell>
          <cell r="H3210">
            <v>3.5999999999999996</v>
          </cell>
          <cell r="I3210">
            <v>142.40546496000002</v>
          </cell>
          <cell r="J3210">
            <v>0</v>
          </cell>
        </row>
        <row r="3211">
          <cell r="E3211">
            <v>10130012</v>
          </cell>
          <cell r="F3211" t="str">
            <v>0072</v>
          </cell>
          <cell r="G3211">
            <v>14</v>
          </cell>
          <cell r="H3211">
            <v>75.90000000000002</v>
          </cell>
          <cell r="I3211">
            <v>2740.4782008120001</v>
          </cell>
          <cell r="J3211">
            <v>0</v>
          </cell>
        </row>
        <row r="3212">
          <cell r="E3212">
            <v>10130012</v>
          </cell>
          <cell r="F3212" t="str">
            <v>0073</v>
          </cell>
          <cell r="G3212">
            <v>14</v>
          </cell>
          <cell r="H3212">
            <v>92.600000000000009</v>
          </cell>
          <cell r="I3212">
            <v>3466.5110548200009</v>
          </cell>
          <cell r="J3212">
            <v>0</v>
          </cell>
        </row>
        <row r="3213">
          <cell r="E3213">
            <v>10130026</v>
          </cell>
          <cell r="F3213" t="str">
            <v>0001</v>
          </cell>
          <cell r="G3213">
            <v>7</v>
          </cell>
          <cell r="H3213">
            <v>1.47</v>
          </cell>
          <cell r="I3213">
            <v>60.201569340000006</v>
          </cell>
          <cell r="J3213">
            <v>0</v>
          </cell>
        </row>
        <row r="3214">
          <cell r="E3214">
            <v>10130026</v>
          </cell>
          <cell r="F3214" t="str">
            <v>0002</v>
          </cell>
          <cell r="G3214">
            <v>9</v>
          </cell>
          <cell r="H3214">
            <v>58.28</v>
          </cell>
          <cell r="I3214">
            <v>2517.0366889668007</v>
          </cell>
          <cell r="J3214">
            <v>1616</v>
          </cell>
        </row>
        <row r="3215">
          <cell r="E3215">
            <v>10130026</v>
          </cell>
          <cell r="F3215" t="str">
            <v>0005</v>
          </cell>
          <cell r="G3215">
            <v>6</v>
          </cell>
          <cell r="H3215">
            <v>36.340000000000003</v>
          </cell>
          <cell r="I3215">
            <v>1521.5033889000001</v>
          </cell>
          <cell r="J3215">
            <v>0</v>
          </cell>
        </row>
        <row r="3216">
          <cell r="E3216">
            <v>10130026</v>
          </cell>
          <cell r="F3216" t="str">
            <v>0006</v>
          </cell>
          <cell r="G3216">
            <v>5</v>
          </cell>
          <cell r="H3216">
            <v>31.229999999999997</v>
          </cell>
          <cell r="I3216">
            <v>1270.2406800600002</v>
          </cell>
          <cell r="J3216">
            <v>0</v>
          </cell>
        </row>
        <row r="3217">
          <cell r="E3217">
            <v>10130026</v>
          </cell>
          <cell r="F3217" t="str">
            <v>0007</v>
          </cell>
          <cell r="G3217">
            <v>3</v>
          </cell>
          <cell r="H3217">
            <v>19.09</v>
          </cell>
          <cell r="I3217">
            <v>773.41997898</v>
          </cell>
          <cell r="J3217">
            <v>0</v>
          </cell>
        </row>
        <row r="3218">
          <cell r="E3218">
            <v>10130026</v>
          </cell>
          <cell r="F3218" t="str">
            <v>0008</v>
          </cell>
          <cell r="G3218">
            <v>3</v>
          </cell>
          <cell r="H3218">
            <v>17.12</v>
          </cell>
          <cell r="I3218">
            <v>688.22892864000005</v>
          </cell>
          <cell r="J3218">
            <v>0</v>
          </cell>
        </row>
        <row r="3219">
          <cell r="E3219">
            <v>10130026</v>
          </cell>
          <cell r="F3219" t="str">
            <v>0009</v>
          </cell>
          <cell r="G3219">
            <v>5</v>
          </cell>
          <cell r="H3219">
            <v>29.799999999999997</v>
          </cell>
          <cell r="I3219">
            <v>1272.426979197</v>
          </cell>
          <cell r="J3219">
            <v>0</v>
          </cell>
        </row>
        <row r="3220">
          <cell r="E3220">
            <v>10130030</v>
          </cell>
          <cell r="F3220" t="str">
            <v>0002</v>
          </cell>
          <cell r="G3220">
            <v>7</v>
          </cell>
          <cell r="H3220">
            <v>210</v>
          </cell>
          <cell r="I3220">
            <v>7761.8217600000007</v>
          </cell>
          <cell r="J3220">
            <v>1062</v>
          </cell>
        </row>
        <row r="3221">
          <cell r="E3221">
            <v>10130030</v>
          </cell>
          <cell r="F3221" t="str">
            <v>0006</v>
          </cell>
          <cell r="G3221">
            <v>1</v>
          </cell>
          <cell r="H3221">
            <v>10</v>
          </cell>
          <cell r="I3221">
            <v>369.61055999999996</v>
          </cell>
          <cell r="J3221">
            <v>0</v>
          </cell>
        </row>
        <row r="3222">
          <cell r="E3222">
            <v>10130030</v>
          </cell>
          <cell r="F3222" t="str">
            <v>0010</v>
          </cell>
          <cell r="G3222">
            <v>4</v>
          </cell>
          <cell r="H3222">
            <v>35</v>
          </cell>
          <cell r="I3222">
            <v>1293.6369599999998</v>
          </cell>
          <cell r="J3222">
            <v>0</v>
          </cell>
        </row>
        <row r="3223">
          <cell r="E3223">
            <v>10130030</v>
          </cell>
          <cell r="F3223" t="str">
            <v>0011</v>
          </cell>
          <cell r="G3223">
            <v>1</v>
          </cell>
          <cell r="H3223">
            <v>10</v>
          </cell>
          <cell r="I3223">
            <v>369.61055999999996</v>
          </cell>
          <cell r="J3223">
            <v>0</v>
          </cell>
        </row>
        <row r="3224">
          <cell r="E3224">
            <v>10130030</v>
          </cell>
          <cell r="F3224" t="str">
            <v>0012</v>
          </cell>
          <cell r="G3224">
            <v>2</v>
          </cell>
          <cell r="H3224">
            <v>15</v>
          </cell>
          <cell r="I3224">
            <v>554.41583999999989</v>
          </cell>
          <cell r="J3224">
            <v>0</v>
          </cell>
        </row>
        <row r="3225">
          <cell r="E3225">
            <v>10130030</v>
          </cell>
          <cell r="F3225" t="str">
            <v>0015</v>
          </cell>
          <cell r="G3225">
            <v>2</v>
          </cell>
          <cell r="H3225">
            <v>15</v>
          </cell>
          <cell r="I3225">
            <v>554.41583999999989</v>
          </cell>
          <cell r="J3225">
            <v>0</v>
          </cell>
        </row>
        <row r="3226">
          <cell r="E3226">
            <v>10130030</v>
          </cell>
          <cell r="F3226" t="str">
            <v>0020</v>
          </cell>
          <cell r="G3226">
            <v>1</v>
          </cell>
          <cell r="H3226">
            <v>10</v>
          </cell>
          <cell r="I3226">
            <v>369.61055999999996</v>
          </cell>
          <cell r="J3226">
            <v>0</v>
          </cell>
        </row>
        <row r="3227">
          <cell r="E3227">
            <v>10130032</v>
          </cell>
          <cell r="F3227" t="str">
            <v>0002</v>
          </cell>
          <cell r="G3227">
            <v>10</v>
          </cell>
          <cell r="H3227">
            <v>148</v>
          </cell>
          <cell r="I3227">
            <v>6567.3385409920002</v>
          </cell>
          <cell r="J3227">
            <v>2879.2000000000003</v>
          </cell>
        </row>
        <row r="3228">
          <cell r="E3228">
            <v>10130046</v>
          </cell>
          <cell r="F3228" t="str">
            <v>0002</v>
          </cell>
          <cell r="G3228">
            <v>13</v>
          </cell>
          <cell r="H3228">
            <v>259.5</v>
          </cell>
          <cell r="I3228">
            <v>11336.601270210298</v>
          </cell>
          <cell r="J3228">
            <v>0</v>
          </cell>
        </row>
        <row r="3229">
          <cell r="E3229">
            <v>10130046</v>
          </cell>
          <cell r="F3229" t="str">
            <v>0003</v>
          </cell>
          <cell r="G3229">
            <v>14</v>
          </cell>
          <cell r="H3229">
            <v>182.56</v>
          </cell>
          <cell r="I3229">
            <v>7248.9448688381999</v>
          </cell>
          <cell r="J3229">
            <v>0</v>
          </cell>
        </row>
        <row r="3230">
          <cell r="E3230">
            <v>10130046</v>
          </cell>
          <cell r="F3230" t="str">
            <v>0007</v>
          </cell>
          <cell r="G3230">
            <v>7</v>
          </cell>
          <cell r="H3230">
            <v>11.799999999999999</v>
          </cell>
          <cell r="I3230">
            <v>650.6396266854</v>
          </cell>
          <cell r="J3230">
            <v>0</v>
          </cell>
        </row>
        <row r="3231">
          <cell r="E3231">
            <v>10130046</v>
          </cell>
          <cell r="F3231" t="str">
            <v>0008</v>
          </cell>
          <cell r="G3231">
            <v>6</v>
          </cell>
          <cell r="H3231">
            <v>14.100000000000001</v>
          </cell>
          <cell r="I3231">
            <v>684.76407614721006</v>
          </cell>
          <cell r="J3231">
            <v>0</v>
          </cell>
        </row>
        <row r="3232">
          <cell r="E3232">
            <v>10130046</v>
          </cell>
          <cell r="F3232" t="str">
            <v>0009</v>
          </cell>
          <cell r="G3232">
            <v>7</v>
          </cell>
          <cell r="H3232">
            <v>16.689999999999998</v>
          </cell>
          <cell r="I3232">
            <v>821.31494100281407</v>
          </cell>
          <cell r="J3232">
            <v>0</v>
          </cell>
        </row>
        <row r="3233">
          <cell r="E3233">
            <v>10130046</v>
          </cell>
          <cell r="F3233" t="str">
            <v>0010</v>
          </cell>
          <cell r="G3233">
            <v>2</v>
          </cell>
          <cell r="H3233">
            <v>5.0599999999999996</v>
          </cell>
          <cell r="I3233">
            <v>253.72673167464001</v>
          </cell>
          <cell r="J3233">
            <v>0</v>
          </cell>
        </row>
        <row r="3234">
          <cell r="E3234">
            <v>10130046</v>
          </cell>
          <cell r="F3234" t="str">
            <v>0011</v>
          </cell>
          <cell r="G3234">
            <v>6</v>
          </cell>
          <cell r="H3234">
            <v>11.01</v>
          </cell>
          <cell r="I3234">
            <v>591.16005357387996</v>
          </cell>
          <cell r="J3234">
            <v>0</v>
          </cell>
        </row>
        <row r="3235">
          <cell r="E3235">
            <v>10130046</v>
          </cell>
          <cell r="F3235" t="str">
            <v>0012</v>
          </cell>
          <cell r="G3235">
            <v>6</v>
          </cell>
          <cell r="H3235">
            <v>12.42</v>
          </cell>
          <cell r="I3235">
            <v>616.00881394528005</v>
          </cell>
          <cell r="J3235">
            <v>0</v>
          </cell>
        </row>
        <row r="3236">
          <cell r="E3236">
            <v>10130046</v>
          </cell>
          <cell r="F3236" t="str">
            <v>0013</v>
          </cell>
          <cell r="G3236">
            <v>1</v>
          </cell>
          <cell r="H3236">
            <v>2.23</v>
          </cell>
          <cell r="I3236">
            <v>93.314622060000005</v>
          </cell>
          <cell r="J3236">
            <v>0</v>
          </cell>
        </row>
        <row r="3237">
          <cell r="E3237">
            <v>10130046</v>
          </cell>
          <cell r="F3237" t="str">
            <v>0014</v>
          </cell>
          <cell r="G3237">
            <v>6</v>
          </cell>
          <cell r="H3237">
            <v>11.169999999999998</v>
          </cell>
          <cell r="I3237">
            <v>620.84301084192009</v>
          </cell>
          <cell r="J3237">
            <v>0</v>
          </cell>
        </row>
        <row r="3238">
          <cell r="E3238">
            <v>10130046</v>
          </cell>
          <cell r="F3238" t="str">
            <v>0015</v>
          </cell>
          <cell r="G3238">
            <v>7</v>
          </cell>
          <cell r="H3238">
            <v>15.030000000000001</v>
          </cell>
          <cell r="I3238">
            <v>800.26352714657003</v>
          </cell>
          <cell r="J3238">
            <v>0</v>
          </cell>
        </row>
        <row r="3239">
          <cell r="E3239">
            <v>10130046</v>
          </cell>
          <cell r="F3239" t="str">
            <v>0016</v>
          </cell>
          <cell r="G3239">
            <v>3</v>
          </cell>
          <cell r="H3239">
            <v>5.4799999999999995</v>
          </cell>
          <cell r="I3239">
            <v>354.73799967177001</v>
          </cell>
          <cell r="J3239">
            <v>0</v>
          </cell>
        </row>
        <row r="3240">
          <cell r="E3240">
            <v>10130046</v>
          </cell>
          <cell r="F3240" t="str">
            <v>0017</v>
          </cell>
          <cell r="G3240">
            <v>5</v>
          </cell>
          <cell r="H3240">
            <v>10.23</v>
          </cell>
          <cell r="I3240">
            <v>519.96043661075998</v>
          </cell>
          <cell r="J3240">
            <v>0</v>
          </cell>
        </row>
        <row r="3241">
          <cell r="E3241">
            <v>10130046</v>
          </cell>
          <cell r="F3241" t="str">
            <v>0018</v>
          </cell>
          <cell r="G3241">
            <v>5</v>
          </cell>
          <cell r="H3241">
            <v>8.5299999999999994</v>
          </cell>
          <cell r="I3241">
            <v>463.35647140407008</v>
          </cell>
          <cell r="J3241">
            <v>0</v>
          </cell>
        </row>
        <row r="3242">
          <cell r="E3242">
            <v>10130046</v>
          </cell>
          <cell r="F3242" t="str">
            <v>0021</v>
          </cell>
          <cell r="G3242">
            <v>1</v>
          </cell>
          <cell r="H3242">
            <v>1.71</v>
          </cell>
          <cell r="I3242">
            <v>105.28350710400002</v>
          </cell>
          <cell r="J3242">
            <v>0</v>
          </cell>
        </row>
        <row r="3243">
          <cell r="E3243">
            <v>10130047</v>
          </cell>
          <cell r="F3243" t="str">
            <v>0001</v>
          </cell>
          <cell r="G3243">
            <v>13</v>
          </cell>
          <cell r="H3243">
            <v>3.25</v>
          </cell>
          <cell r="I3243">
            <v>117.84913786800003</v>
          </cell>
          <cell r="J3243">
            <v>0</v>
          </cell>
        </row>
        <row r="3244">
          <cell r="E3244">
            <v>10130047</v>
          </cell>
          <cell r="F3244" t="str">
            <v>0002</v>
          </cell>
          <cell r="G3244">
            <v>13</v>
          </cell>
          <cell r="H3244">
            <v>45.04999999999999</v>
          </cell>
          <cell r="I3244">
            <v>1666.2999435984007</v>
          </cell>
          <cell r="J3244">
            <v>0</v>
          </cell>
        </row>
        <row r="3245">
          <cell r="E3245">
            <v>10130047</v>
          </cell>
          <cell r="F3245" t="str">
            <v>0003</v>
          </cell>
          <cell r="G3245">
            <v>14</v>
          </cell>
          <cell r="H3245">
            <v>76.97</v>
          </cell>
          <cell r="I3245">
            <v>2953.1491196724005</v>
          </cell>
          <cell r="J3245">
            <v>0</v>
          </cell>
        </row>
        <row r="3246">
          <cell r="E3246">
            <v>10130047</v>
          </cell>
          <cell r="F3246" t="str">
            <v>0004</v>
          </cell>
          <cell r="G3246">
            <v>13</v>
          </cell>
          <cell r="H3246">
            <v>46.789999999999992</v>
          </cell>
          <cell r="I3246">
            <v>1908.0991381320005</v>
          </cell>
          <cell r="J3246">
            <v>0</v>
          </cell>
        </row>
        <row r="3247">
          <cell r="E3247">
            <v>10130047</v>
          </cell>
          <cell r="F3247" t="str">
            <v>0009</v>
          </cell>
          <cell r="G3247">
            <v>13</v>
          </cell>
          <cell r="H3247">
            <v>36.67</v>
          </cell>
          <cell r="I3247">
            <v>1117.4833996128002</v>
          </cell>
          <cell r="J3247">
            <v>0</v>
          </cell>
        </row>
        <row r="3248">
          <cell r="E3248">
            <v>10130047</v>
          </cell>
          <cell r="F3248" t="str">
            <v>0014</v>
          </cell>
          <cell r="G3248">
            <v>12</v>
          </cell>
          <cell r="H3248">
            <v>24.319999999999997</v>
          </cell>
          <cell r="I3248">
            <v>835.84541502000013</v>
          </cell>
          <cell r="J3248">
            <v>0</v>
          </cell>
        </row>
        <row r="3249">
          <cell r="E3249">
            <v>10130047</v>
          </cell>
          <cell r="F3249" t="str">
            <v>0016</v>
          </cell>
          <cell r="G3249">
            <v>1</v>
          </cell>
          <cell r="H3249">
            <v>3.58</v>
          </cell>
          <cell r="I3249">
            <v>135.15608224800005</v>
          </cell>
          <cell r="J3249">
            <v>0</v>
          </cell>
        </row>
        <row r="3250">
          <cell r="E3250">
            <v>10130052</v>
          </cell>
          <cell r="F3250" t="str">
            <v>0001</v>
          </cell>
          <cell r="G3250">
            <v>14</v>
          </cell>
          <cell r="H3250">
            <v>14.91</v>
          </cell>
          <cell r="I3250">
            <v>511.85917844820005</v>
          </cell>
          <cell r="J3250">
            <v>0</v>
          </cell>
        </row>
        <row r="3251">
          <cell r="E3251">
            <v>10130052</v>
          </cell>
          <cell r="F3251" t="str">
            <v>0002</v>
          </cell>
          <cell r="G3251">
            <v>14</v>
          </cell>
          <cell r="H3251">
            <v>52.26</v>
          </cell>
          <cell r="I3251">
            <v>1838.9139203952004</v>
          </cell>
          <cell r="J3251">
            <v>0</v>
          </cell>
        </row>
        <row r="3252">
          <cell r="E3252">
            <v>10130052</v>
          </cell>
          <cell r="F3252" t="str">
            <v>0006</v>
          </cell>
          <cell r="G3252">
            <v>12</v>
          </cell>
          <cell r="H3252">
            <v>42.959999999999994</v>
          </cell>
          <cell r="I3252">
            <v>1304.7340535262001</v>
          </cell>
          <cell r="J3252">
            <v>0</v>
          </cell>
        </row>
        <row r="3253">
          <cell r="E3253">
            <v>10130052</v>
          </cell>
          <cell r="F3253" t="str">
            <v>0011</v>
          </cell>
          <cell r="G3253">
            <v>7</v>
          </cell>
          <cell r="H3253">
            <v>8.98</v>
          </cell>
          <cell r="I3253">
            <v>357.90396922473599</v>
          </cell>
          <cell r="J3253">
            <v>0</v>
          </cell>
        </row>
        <row r="3254">
          <cell r="E3254">
            <v>10130052</v>
          </cell>
          <cell r="F3254" t="str">
            <v>0013</v>
          </cell>
          <cell r="G3254">
            <v>14</v>
          </cell>
          <cell r="H3254">
            <v>82.52000000000001</v>
          </cell>
          <cell r="I3254">
            <v>2504.1436062984003</v>
          </cell>
          <cell r="J3254">
            <v>0</v>
          </cell>
        </row>
        <row r="3255">
          <cell r="E3255">
            <v>10130052</v>
          </cell>
          <cell r="F3255" t="str">
            <v>0016</v>
          </cell>
          <cell r="G3255">
            <v>11</v>
          </cell>
          <cell r="H3255">
            <v>38.4</v>
          </cell>
          <cell r="I3255">
            <v>1251.0938080674</v>
          </cell>
          <cell r="J3255">
            <v>0</v>
          </cell>
        </row>
        <row r="3256">
          <cell r="E3256">
            <v>10130052</v>
          </cell>
          <cell r="F3256" t="str">
            <v>0019</v>
          </cell>
          <cell r="G3256">
            <v>7</v>
          </cell>
          <cell r="H3256">
            <v>15.379999999999999</v>
          </cell>
          <cell r="I3256">
            <v>593.3475790704</v>
          </cell>
          <cell r="J3256">
            <v>0</v>
          </cell>
        </row>
        <row r="3257">
          <cell r="E3257">
            <v>10130052</v>
          </cell>
          <cell r="F3257" t="str">
            <v>0023</v>
          </cell>
          <cell r="G3257">
            <v>14</v>
          </cell>
          <cell r="H3257">
            <v>203.50000000000003</v>
          </cell>
          <cell r="I3257">
            <v>7651.1757083057992</v>
          </cell>
          <cell r="J3257">
            <v>0</v>
          </cell>
        </row>
        <row r="3258">
          <cell r="E3258">
            <v>10130052</v>
          </cell>
          <cell r="F3258" t="str">
            <v>0025</v>
          </cell>
          <cell r="G3258">
            <v>7</v>
          </cell>
          <cell r="H3258">
            <v>46.46</v>
          </cell>
          <cell r="I3258">
            <v>1519.6468847471999</v>
          </cell>
          <cell r="J3258">
            <v>0</v>
          </cell>
        </row>
        <row r="3259">
          <cell r="E3259">
            <v>10130052</v>
          </cell>
          <cell r="F3259" t="str">
            <v>0031</v>
          </cell>
          <cell r="G3259">
            <v>14</v>
          </cell>
          <cell r="H3259">
            <v>22.74</v>
          </cell>
          <cell r="I3259">
            <v>854.9086693800391</v>
          </cell>
          <cell r="J3259">
            <v>0</v>
          </cell>
        </row>
        <row r="3260">
          <cell r="E3260">
            <v>10130052</v>
          </cell>
          <cell r="F3260" t="str">
            <v>0035</v>
          </cell>
          <cell r="G3260">
            <v>14</v>
          </cell>
          <cell r="H3260">
            <v>290.95999999999998</v>
          </cell>
          <cell r="I3260">
            <v>9522.1017211320013</v>
          </cell>
          <cell r="J3260">
            <v>0</v>
          </cell>
        </row>
        <row r="3261">
          <cell r="E3261">
            <v>10130052</v>
          </cell>
          <cell r="F3261" t="str">
            <v>0037</v>
          </cell>
          <cell r="G3261">
            <v>14</v>
          </cell>
          <cell r="H3261">
            <v>38.799999999999997</v>
          </cell>
          <cell r="I3261">
            <v>1230.0707250612002</v>
          </cell>
          <cell r="J3261">
            <v>0</v>
          </cell>
        </row>
        <row r="3262">
          <cell r="E3262">
            <v>10130052</v>
          </cell>
          <cell r="F3262" t="str">
            <v>0041</v>
          </cell>
          <cell r="G3262">
            <v>11</v>
          </cell>
          <cell r="H3262">
            <v>39.939999999999991</v>
          </cell>
          <cell r="I3262">
            <v>1268.8562266974002</v>
          </cell>
          <cell r="J3262">
            <v>0</v>
          </cell>
        </row>
        <row r="3263">
          <cell r="E3263">
            <v>10130052</v>
          </cell>
          <cell r="F3263" t="str">
            <v>0042</v>
          </cell>
          <cell r="G3263">
            <v>13</v>
          </cell>
          <cell r="H3263">
            <v>30.670000000000005</v>
          </cell>
          <cell r="I3263">
            <v>948.23233886700007</v>
          </cell>
          <cell r="J3263">
            <v>0</v>
          </cell>
        </row>
        <row r="3264">
          <cell r="E3264">
            <v>10130052</v>
          </cell>
          <cell r="F3264" t="str">
            <v>0043</v>
          </cell>
          <cell r="G3264">
            <v>3</v>
          </cell>
          <cell r="H3264">
            <v>8.9700000000000006</v>
          </cell>
          <cell r="I3264">
            <v>297.075578382</v>
          </cell>
          <cell r="J3264">
            <v>0</v>
          </cell>
        </row>
        <row r="3265">
          <cell r="E3265">
            <v>10130052</v>
          </cell>
          <cell r="F3265" t="str">
            <v>0045</v>
          </cell>
          <cell r="G3265">
            <v>2</v>
          </cell>
          <cell r="H3265">
            <v>25.14</v>
          </cell>
          <cell r="I3265">
            <v>950.47592624820027</v>
          </cell>
          <cell r="J3265">
            <v>0</v>
          </cell>
        </row>
        <row r="3266">
          <cell r="E3266">
            <v>10130052</v>
          </cell>
          <cell r="F3266" t="str">
            <v>0046</v>
          </cell>
          <cell r="G3266">
            <v>2</v>
          </cell>
          <cell r="H3266">
            <v>14.83</v>
          </cell>
          <cell r="I3266">
            <v>502.93918045800007</v>
          </cell>
          <cell r="J3266">
            <v>0</v>
          </cell>
        </row>
        <row r="3267">
          <cell r="E3267">
            <v>10130052</v>
          </cell>
          <cell r="F3267" t="str">
            <v>0054</v>
          </cell>
          <cell r="G3267">
            <v>6</v>
          </cell>
          <cell r="H3267">
            <v>14.2</v>
          </cell>
          <cell r="I3267">
            <v>479.14785180900003</v>
          </cell>
          <cell r="J3267">
            <v>0</v>
          </cell>
        </row>
        <row r="3268">
          <cell r="E3268">
            <v>10130052</v>
          </cell>
          <cell r="F3268" t="str">
            <v>0055</v>
          </cell>
          <cell r="G3268">
            <v>9</v>
          </cell>
          <cell r="H3268">
            <v>22.37</v>
          </cell>
          <cell r="I3268">
            <v>751.09713311160021</v>
          </cell>
          <cell r="J3268">
            <v>0</v>
          </cell>
        </row>
        <row r="3269">
          <cell r="E3269">
            <v>10130052</v>
          </cell>
          <cell r="F3269" t="str">
            <v>0056</v>
          </cell>
          <cell r="G3269">
            <v>12</v>
          </cell>
          <cell r="H3269">
            <v>19.419999999999998</v>
          </cell>
          <cell r="I3269">
            <v>714.08878570260003</v>
          </cell>
          <cell r="J3269">
            <v>0</v>
          </cell>
        </row>
        <row r="3270">
          <cell r="E3270">
            <v>10130052</v>
          </cell>
          <cell r="F3270" t="str">
            <v>0057</v>
          </cell>
          <cell r="G3270">
            <v>10</v>
          </cell>
          <cell r="H3270">
            <v>17.72</v>
          </cell>
          <cell r="I3270">
            <v>584.02140564240005</v>
          </cell>
          <cell r="J3270">
            <v>0</v>
          </cell>
        </row>
        <row r="3271">
          <cell r="E3271">
            <v>10130052</v>
          </cell>
          <cell r="F3271" t="str">
            <v>0058</v>
          </cell>
          <cell r="G3271">
            <v>14</v>
          </cell>
          <cell r="H3271">
            <v>39.539999999999992</v>
          </cell>
          <cell r="I3271">
            <v>2163.3315689824703</v>
          </cell>
          <cell r="J3271">
            <v>0</v>
          </cell>
        </row>
        <row r="3272">
          <cell r="E3272">
            <v>10130052</v>
          </cell>
          <cell r="F3272" t="str">
            <v>0060</v>
          </cell>
          <cell r="G3272">
            <v>7</v>
          </cell>
          <cell r="H3272">
            <v>48.47</v>
          </cell>
          <cell r="I3272">
            <v>3121.7088736561409</v>
          </cell>
          <cell r="J3272">
            <v>0</v>
          </cell>
        </row>
        <row r="3273">
          <cell r="E3273">
            <v>10130052</v>
          </cell>
          <cell r="F3273" t="str">
            <v>0062</v>
          </cell>
          <cell r="G3273">
            <v>7</v>
          </cell>
          <cell r="H3273">
            <v>13.100000000000001</v>
          </cell>
          <cell r="I3273">
            <v>523.69583672376007</v>
          </cell>
          <cell r="J3273">
            <v>0</v>
          </cell>
        </row>
        <row r="3274">
          <cell r="E3274">
            <v>10130052</v>
          </cell>
          <cell r="F3274" t="str">
            <v>0063</v>
          </cell>
          <cell r="G3274">
            <v>14</v>
          </cell>
          <cell r="H3274">
            <v>40.630000000000003</v>
          </cell>
          <cell r="I3274">
            <v>1359.2882567286001</v>
          </cell>
          <cell r="J3274">
            <v>0</v>
          </cell>
        </row>
        <row r="3275">
          <cell r="E3275">
            <v>10130052</v>
          </cell>
          <cell r="F3275" t="str">
            <v>0065</v>
          </cell>
          <cell r="G3275">
            <v>13</v>
          </cell>
          <cell r="H3275">
            <v>66.72999999999999</v>
          </cell>
          <cell r="I3275">
            <v>2393.0590955832004</v>
          </cell>
          <cell r="J3275">
            <v>0</v>
          </cell>
        </row>
        <row r="3276">
          <cell r="E3276">
            <v>10130054</v>
          </cell>
          <cell r="F3276" t="str">
            <v>0001</v>
          </cell>
          <cell r="G3276">
            <v>3</v>
          </cell>
          <cell r="H3276">
            <v>2.99</v>
          </cell>
          <cell r="I3276">
            <v>102.66209858520001</v>
          </cell>
          <cell r="J3276">
            <v>0</v>
          </cell>
        </row>
        <row r="3277">
          <cell r="E3277">
            <v>10130054</v>
          </cell>
          <cell r="F3277" t="str">
            <v>0002</v>
          </cell>
          <cell r="G3277">
            <v>4</v>
          </cell>
          <cell r="H3277">
            <v>60.48</v>
          </cell>
          <cell r="I3277">
            <v>2196.5892501762</v>
          </cell>
          <cell r="J3277">
            <v>0</v>
          </cell>
        </row>
        <row r="3278">
          <cell r="E3278">
            <v>10130054</v>
          </cell>
          <cell r="F3278" t="str">
            <v>0007</v>
          </cell>
          <cell r="G3278">
            <v>5</v>
          </cell>
          <cell r="H3278">
            <v>10.620000000000001</v>
          </cell>
          <cell r="I3278">
            <v>755.07997030539991</v>
          </cell>
          <cell r="J3278">
            <v>0</v>
          </cell>
        </row>
        <row r="3279">
          <cell r="E3279">
            <v>10130054</v>
          </cell>
          <cell r="F3279" t="str">
            <v>0016</v>
          </cell>
          <cell r="G3279">
            <v>14</v>
          </cell>
          <cell r="H3279">
            <v>218.45</v>
          </cell>
          <cell r="I3279">
            <v>8674.3463525221014</v>
          </cell>
          <cell r="J3279">
            <v>0</v>
          </cell>
        </row>
        <row r="3280">
          <cell r="E3280">
            <v>10130054</v>
          </cell>
          <cell r="F3280" t="str">
            <v>0017</v>
          </cell>
          <cell r="G3280">
            <v>6</v>
          </cell>
          <cell r="H3280">
            <v>48.440000000000005</v>
          </cell>
          <cell r="I3280">
            <v>1972.6950173040004</v>
          </cell>
          <cell r="J3280">
            <v>0</v>
          </cell>
        </row>
        <row r="3281">
          <cell r="E3281">
            <v>10130054</v>
          </cell>
          <cell r="F3281" t="str">
            <v>0019</v>
          </cell>
          <cell r="G3281">
            <v>14</v>
          </cell>
          <cell r="H3281">
            <v>112.96000000000001</v>
          </cell>
          <cell r="I3281">
            <v>6158.6647423778613</v>
          </cell>
          <cell r="J3281">
            <v>0</v>
          </cell>
        </row>
        <row r="3282">
          <cell r="E3282">
            <v>10130054</v>
          </cell>
          <cell r="F3282" t="str">
            <v>0026</v>
          </cell>
          <cell r="G3282">
            <v>6</v>
          </cell>
          <cell r="H3282">
            <v>105.55</v>
          </cell>
          <cell r="I3282">
            <v>3874.5299299608005</v>
          </cell>
          <cell r="J3282">
            <v>0</v>
          </cell>
        </row>
        <row r="3283">
          <cell r="E3283">
            <v>10130054</v>
          </cell>
          <cell r="F3283" t="str">
            <v>0027</v>
          </cell>
          <cell r="G3283">
            <v>5</v>
          </cell>
          <cell r="H3283">
            <v>53.370000000000005</v>
          </cell>
          <cell r="I3283">
            <v>2077.2630151416001</v>
          </cell>
          <cell r="J3283">
            <v>0</v>
          </cell>
        </row>
        <row r="3284">
          <cell r="E3284">
            <v>10130054</v>
          </cell>
          <cell r="F3284" t="str">
            <v>0028</v>
          </cell>
          <cell r="G3284">
            <v>6</v>
          </cell>
          <cell r="H3284">
            <v>57.04</v>
          </cell>
          <cell r="I3284">
            <v>2010.3870414672003</v>
          </cell>
          <cell r="J3284">
            <v>0</v>
          </cell>
        </row>
        <row r="3285">
          <cell r="E3285">
            <v>10130054</v>
          </cell>
          <cell r="F3285" t="str">
            <v>0029</v>
          </cell>
          <cell r="G3285">
            <v>8</v>
          </cell>
          <cell r="H3285">
            <v>39.18</v>
          </cell>
          <cell r="I3285">
            <v>1609.1611711560001</v>
          </cell>
          <cell r="J3285">
            <v>0</v>
          </cell>
        </row>
        <row r="3286">
          <cell r="E3286">
            <v>10130054</v>
          </cell>
          <cell r="F3286" t="str">
            <v>0030</v>
          </cell>
          <cell r="G3286">
            <v>5</v>
          </cell>
          <cell r="H3286">
            <v>93.57</v>
          </cell>
          <cell r="I3286">
            <v>3132.4868376912004</v>
          </cell>
          <cell r="J3286">
            <v>0</v>
          </cell>
        </row>
        <row r="3287">
          <cell r="E3287">
            <v>10130054</v>
          </cell>
          <cell r="F3287" t="str">
            <v>0031</v>
          </cell>
          <cell r="G3287">
            <v>5</v>
          </cell>
          <cell r="H3287">
            <v>31.479999999999997</v>
          </cell>
          <cell r="I3287">
            <v>1136.8440407808</v>
          </cell>
          <cell r="J3287">
            <v>0</v>
          </cell>
        </row>
        <row r="3288">
          <cell r="E3288">
            <v>10130054</v>
          </cell>
          <cell r="F3288" t="str">
            <v>0032</v>
          </cell>
          <cell r="G3288">
            <v>4</v>
          </cell>
          <cell r="H3288">
            <v>55.28</v>
          </cell>
          <cell r="I3288">
            <v>1753.3704070476001</v>
          </cell>
          <cell r="J3288">
            <v>0</v>
          </cell>
        </row>
        <row r="3289">
          <cell r="E3289">
            <v>10130054</v>
          </cell>
          <cell r="F3289" t="str">
            <v>0033</v>
          </cell>
          <cell r="G3289">
            <v>1</v>
          </cell>
          <cell r="H3289">
            <v>4.1100000000000003</v>
          </cell>
          <cell r="I3289">
            <v>170.35589142000003</v>
          </cell>
          <cell r="J3289">
            <v>0</v>
          </cell>
        </row>
        <row r="3290">
          <cell r="E3290">
            <v>10130054</v>
          </cell>
          <cell r="F3290" t="str">
            <v>0034</v>
          </cell>
          <cell r="G3290">
            <v>2</v>
          </cell>
          <cell r="H3290">
            <v>4.58</v>
          </cell>
          <cell r="I3290">
            <v>174.989322684</v>
          </cell>
          <cell r="J3290">
            <v>0</v>
          </cell>
        </row>
        <row r="3291">
          <cell r="E3291">
            <v>10130070</v>
          </cell>
          <cell r="F3291" t="str">
            <v>0001</v>
          </cell>
          <cell r="G3291">
            <v>1</v>
          </cell>
          <cell r="H3291">
            <v>0.3</v>
          </cell>
          <cell r="I3291">
            <v>11.088316799999999</v>
          </cell>
          <cell r="J3291">
            <v>0</v>
          </cell>
        </row>
        <row r="3292">
          <cell r="E3292">
            <v>10130070</v>
          </cell>
          <cell r="F3292" t="str">
            <v>0002</v>
          </cell>
          <cell r="G3292">
            <v>12</v>
          </cell>
          <cell r="H3292">
            <v>141.25000000000003</v>
          </cell>
          <cell r="I3292">
            <v>5793.0350197500002</v>
          </cell>
          <cell r="J3292">
            <v>1358.18</v>
          </cell>
        </row>
        <row r="3293">
          <cell r="E3293">
            <v>10130070</v>
          </cell>
          <cell r="F3293" t="str">
            <v>0005</v>
          </cell>
          <cell r="G3293">
            <v>5</v>
          </cell>
          <cell r="H3293">
            <v>40.909999999999997</v>
          </cell>
          <cell r="I3293">
            <v>1679.7693215160002</v>
          </cell>
          <cell r="J3293">
            <v>0</v>
          </cell>
        </row>
        <row r="3294">
          <cell r="E3294">
            <v>10130070</v>
          </cell>
          <cell r="F3294" t="str">
            <v>0010</v>
          </cell>
          <cell r="G3294">
            <v>1</v>
          </cell>
          <cell r="H3294">
            <v>10</v>
          </cell>
          <cell r="I3294">
            <v>422.41082400000005</v>
          </cell>
          <cell r="J3294">
            <v>0</v>
          </cell>
        </row>
        <row r="3295">
          <cell r="E3295">
            <v>10130073</v>
          </cell>
          <cell r="F3295" t="str">
            <v>0002</v>
          </cell>
          <cell r="G3295">
            <v>4</v>
          </cell>
          <cell r="H3295">
            <v>71.84</v>
          </cell>
          <cell r="I3295">
            <v>2961.3915903132001</v>
          </cell>
          <cell r="J3295">
            <v>1359.3599999999997</v>
          </cell>
        </row>
        <row r="3296">
          <cell r="E3296">
            <v>10130073</v>
          </cell>
          <cell r="F3296" t="str">
            <v>0003</v>
          </cell>
          <cell r="G3296">
            <v>6</v>
          </cell>
          <cell r="H3296">
            <v>83.41</v>
          </cell>
          <cell r="I3296">
            <v>3378.6166188852012</v>
          </cell>
          <cell r="J3296">
            <v>0</v>
          </cell>
        </row>
        <row r="3297">
          <cell r="E3297">
            <v>10130073</v>
          </cell>
          <cell r="F3297" t="str">
            <v>0014</v>
          </cell>
          <cell r="G3297">
            <v>3</v>
          </cell>
          <cell r="H3297">
            <v>8.81</v>
          </cell>
          <cell r="I3297">
            <v>386.88318637614003</v>
          </cell>
          <cell r="J3297">
            <v>0</v>
          </cell>
        </row>
        <row r="3298">
          <cell r="E3298">
            <v>10130073</v>
          </cell>
          <cell r="F3298" t="str">
            <v>0015</v>
          </cell>
          <cell r="G3298">
            <v>1</v>
          </cell>
          <cell r="H3298">
            <v>1.85</v>
          </cell>
          <cell r="I3298">
            <v>80.343875700000012</v>
          </cell>
          <cell r="J3298">
            <v>0</v>
          </cell>
        </row>
        <row r="3299">
          <cell r="E3299">
            <v>10130073</v>
          </cell>
          <cell r="F3299" t="str">
            <v>0017</v>
          </cell>
          <cell r="G3299">
            <v>1</v>
          </cell>
          <cell r="H3299">
            <v>5.95</v>
          </cell>
          <cell r="I3299">
            <v>215.36249981400002</v>
          </cell>
          <cell r="J3299">
            <v>0</v>
          </cell>
        </row>
        <row r="3300">
          <cell r="E3300">
            <v>10130073</v>
          </cell>
          <cell r="F3300" t="str">
            <v>0021</v>
          </cell>
          <cell r="G3300">
            <v>1</v>
          </cell>
          <cell r="H3300">
            <v>3.13</v>
          </cell>
          <cell r="I3300">
            <v>126.43030659599999</v>
          </cell>
          <cell r="J3300">
            <v>0</v>
          </cell>
        </row>
        <row r="3301">
          <cell r="E3301">
            <v>10130074</v>
          </cell>
          <cell r="F3301" t="str">
            <v>0001</v>
          </cell>
          <cell r="G3301">
            <v>11</v>
          </cell>
          <cell r="H3301">
            <v>5.8900000000000006</v>
          </cell>
          <cell r="I3301">
            <v>206.1977167341</v>
          </cell>
          <cell r="J3301">
            <v>0</v>
          </cell>
        </row>
        <row r="3302">
          <cell r="E3302">
            <v>10130074</v>
          </cell>
          <cell r="F3302" t="str">
            <v>0002</v>
          </cell>
          <cell r="G3302">
            <v>10</v>
          </cell>
          <cell r="H3302">
            <v>82.56</v>
          </cell>
          <cell r="I3302">
            <v>2858.6929110300007</v>
          </cell>
          <cell r="J3302">
            <v>0</v>
          </cell>
        </row>
        <row r="3303">
          <cell r="E3303">
            <v>10130074</v>
          </cell>
          <cell r="F3303" t="str">
            <v>0015</v>
          </cell>
          <cell r="G3303">
            <v>5</v>
          </cell>
          <cell r="H3303">
            <v>15.61</v>
          </cell>
          <cell r="I3303">
            <v>546.01705501200001</v>
          </cell>
          <cell r="J3303">
            <v>0</v>
          </cell>
        </row>
        <row r="3304">
          <cell r="E3304">
            <v>10130074</v>
          </cell>
          <cell r="F3304" t="str">
            <v>0016</v>
          </cell>
          <cell r="G3304">
            <v>8</v>
          </cell>
          <cell r="H3304">
            <v>44.5</v>
          </cell>
          <cell r="I3304">
            <v>1659.3355763080001</v>
          </cell>
          <cell r="J3304">
            <v>0</v>
          </cell>
        </row>
        <row r="3305">
          <cell r="E3305">
            <v>10130074</v>
          </cell>
          <cell r="F3305" t="str">
            <v>0017</v>
          </cell>
          <cell r="G3305">
            <v>11</v>
          </cell>
          <cell r="H3305">
            <v>56.519999999999996</v>
          </cell>
          <cell r="I3305">
            <v>2286.55903844869</v>
          </cell>
          <cell r="J3305">
            <v>0</v>
          </cell>
        </row>
        <row r="3306">
          <cell r="E3306">
            <v>10130074</v>
          </cell>
          <cell r="F3306" t="str">
            <v>0018</v>
          </cell>
          <cell r="G3306">
            <v>9</v>
          </cell>
          <cell r="H3306">
            <v>35.86</v>
          </cell>
          <cell r="I3306">
            <v>1781.6252835152002</v>
          </cell>
          <cell r="J3306">
            <v>0</v>
          </cell>
        </row>
        <row r="3307">
          <cell r="E3307">
            <v>10130074</v>
          </cell>
          <cell r="F3307" t="str">
            <v>0022</v>
          </cell>
          <cell r="G3307">
            <v>11</v>
          </cell>
          <cell r="H3307">
            <v>79.150000000000006</v>
          </cell>
          <cell r="I3307">
            <v>2410.3169399232006</v>
          </cell>
          <cell r="J3307">
            <v>0</v>
          </cell>
        </row>
        <row r="3308">
          <cell r="E3308">
            <v>10130074</v>
          </cell>
          <cell r="F3308" t="str">
            <v>0023</v>
          </cell>
          <cell r="G3308">
            <v>5</v>
          </cell>
          <cell r="H3308">
            <v>15.990000000000002</v>
          </cell>
          <cell r="I3308">
            <v>555.96509547480002</v>
          </cell>
          <cell r="J3308">
            <v>0</v>
          </cell>
        </row>
        <row r="3309">
          <cell r="E3309">
            <v>10130074</v>
          </cell>
          <cell r="F3309" t="str">
            <v>0027</v>
          </cell>
          <cell r="G3309">
            <v>2</v>
          </cell>
          <cell r="H3309">
            <v>5.71</v>
          </cell>
          <cell r="I3309">
            <v>187.5424839552</v>
          </cell>
          <cell r="J3309">
            <v>0</v>
          </cell>
        </row>
        <row r="3310">
          <cell r="E3310">
            <v>10130074</v>
          </cell>
          <cell r="F3310" t="str">
            <v>0029</v>
          </cell>
          <cell r="G3310">
            <v>11</v>
          </cell>
          <cell r="H3310">
            <v>20.669999999999998</v>
          </cell>
          <cell r="I3310">
            <v>857.78944536944266</v>
          </cell>
          <cell r="J3310">
            <v>0</v>
          </cell>
        </row>
        <row r="3311">
          <cell r="E3311">
            <v>10130074</v>
          </cell>
          <cell r="F3311" t="str">
            <v>0033</v>
          </cell>
          <cell r="G3311">
            <v>10</v>
          </cell>
          <cell r="H3311">
            <v>24.59</v>
          </cell>
          <cell r="I3311">
            <v>873.15131710619983</v>
          </cell>
          <cell r="J3311">
            <v>0</v>
          </cell>
        </row>
        <row r="3312">
          <cell r="E3312">
            <v>10130074</v>
          </cell>
          <cell r="F3312" t="str">
            <v>0035</v>
          </cell>
          <cell r="G3312">
            <v>3</v>
          </cell>
          <cell r="H3312">
            <v>3.8599999999999994</v>
          </cell>
          <cell r="I3312">
            <v>133.331447731944</v>
          </cell>
          <cell r="J3312">
            <v>0</v>
          </cell>
        </row>
        <row r="3313">
          <cell r="E3313">
            <v>10130074</v>
          </cell>
          <cell r="F3313" t="str">
            <v>0036</v>
          </cell>
          <cell r="G3313">
            <v>7</v>
          </cell>
          <cell r="H3313">
            <v>11.64</v>
          </cell>
          <cell r="I3313">
            <v>401.06886732765003</v>
          </cell>
          <cell r="J3313">
            <v>0</v>
          </cell>
        </row>
        <row r="3314">
          <cell r="E3314">
            <v>10130077</v>
          </cell>
          <cell r="F3314" t="str">
            <v>0001</v>
          </cell>
          <cell r="G3314">
            <v>14</v>
          </cell>
          <cell r="H3314">
            <v>1.8</v>
          </cell>
          <cell r="I3314">
            <v>66.806528025600002</v>
          </cell>
          <cell r="J3314">
            <v>0</v>
          </cell>
        </row>
        <row r="3315">
          <cell r="E3315">
            <v>10130077</v>
          </cell>
          <cell r="F3315" t="str">
            <v>0002</v>
          </cell>
          <cell r="G3315">
            <v>14</v>
          </cell>
          <cell r="H3315">
            <v>129.23999999999998</v>
          </cell>
          <cell r="I3315">
            <v>4853.2348890702006</v>
          </cell>
          <cell r="J3315">
            <v>0</v>
          </cell>
        </row>
        <row r="3316">
          <cell r="E3316">
            <v>10130077</v>
          </cell>
          <cell r="F3316" t="str">
            <v>0003</v>
          </cell>
          <cell r="G3316">
            <v>14</v>
          </cell>
          <cell r="H3316">
            <v>98.389999999999986</v>
          </cell>
          <cell r="I3316">
            <v>3656.9587712724001</v>
          </cell>
          <cell r="J3316">
            <v>0</v>
          </cell>
        </row>
        <row r="3317">
          <cell r="E3317">
            <v>10130077</v>
          </cell>
          <cell r="F3317" t="str">
            <v>0012</v>
          </cell>
          <cell r="G3317">
            <v>6</v>
          </cell>
          <cell r="H3317">
            <v>15.299999999999997</v>
          </cell>
          <cell r="I3317">
            <v>644.20325047980009</v>
          </cell>
          <cell r="J3317">
            <v>0</v>
          </cell>
        </row>
        <row r="3318">
          <cell r="E3318">
            <v>10130077</v>
          </cell>
          <cell r="F3318" t="str">
            <v>0023</v>
          </cell>
          <cell r="G3318">
            <v>14</v>
          </cell>
          <cell r="H3318">
            <v>29.32</v>
          </cell>
          <cell r="I3318">
            <v>975.89315345940008</v>
          </cell>
          <cell r="J3318">
            <v>0</v>
          </cell>
        </row>
        <row r="3319">
          <cell r="E3319">
            <v>10130077</v>
          </cell>
          <cell r="F3319" t="str">
            <v>0027</v>
          </cell>
          <cell r="G3319">
            <v>12</v>
          </cell>
          <cell r="H3319">
            <v>40.699999999999996</v>
          </cell>
          <cell r="I3319">
            <v>1840.3649496096004</v>
          </cell>
          <cell r="J3319">
            <v>0</v>
          </cell>
        </row>
        <row r="3320">
          <cell r="E3320">
            <v>10130085</v>
          </cell>
          <cell r="F3320" t="str">
            <v>0002</v>
          </cell>
          <cell r="G3320">
            <v>7</v>
          </cell>
          <cell r="H3320">
            <v>184.7</v>
          </cell>
          <cell r="I3320">
            <v>6986.5489962180009</v>
          </cell>
          <cell r="J3320">
            <v>3384.2400000000002</v>
          </cell>
        </row>
        <row r="3321">
          <cell r="E3321">
            <v>10130090</v>
          </cell>
          <cell r="F3321" t="str">
            <v>0002</v>
          </cell>
          <cell r="G3321">
            <v>3</v>
          </cell>
          <cell r="H3321">
            <v>70</v>
          </cell>
          <cell r="I3321">
            <v>2587.2739199999996</v>
          </cell>
          <cell r="J3321">
            <v>973.5</v>
          </cell>
        </row>
        <row r="3322">
          <cell r="E3322">
            <v>10130091</v>
          </cell>
          <cell r="F3322" t="str">
            <v>0001</v>
          </cell>
          <cell r="G3322">
            <v>14</v>
          </cell>
          <cell r="H3322">
            <v>6.26</v>
          </cell>
          <cell r="I3322">
            <v>260.35213145039995</v>
          </cell>
          <cell r="J3322">
            <v>0</v>
          </cell>
        </row>
        <row r="3323">
          <cell r="E3323">
            <v>10130091</v>
          </cell>
          <cell r="F3323" t="str">
            <v>0002</v>
          </cell>
          <cell r="G3323">
            <v>13</v>
          </cell>
          <cell r="H3323">
            <v>61.42</v>
          </cell>
          <cell r="I3323">
            <v>2910.9368913299695</v>
          </cell>
          <cell r="J3323">
            <v>908.6</v>
          </cell>
        </row>
        <row r="3324">
          <cell r="E3324">
            <v>10130091</v>
          </cell>
          <cell r="F3324" t="str">
            <v>0003</v>
          </cell>
          <cell r="G3324">
            <v>1</v>
          </cell>
          <cell r="H3324">
            <v>2.83</v>
          </cell>
          <cell r="I3324">
            <v>94.588160079600016</v>
          </cell>
          <cell r="J3324">
            <v>0</v>
          </cell>
        </row>
        <row r="3325">
          <cell r="E3325">
            <v>10130091</v>
          </cell>
          <cell r="F3325" t="str">
            <v>0005</v>
          </cell>
          <cell r="G3325">
            <v>14</v>
          </cell>
          <cell r="H3325">
            <v>27.52</v>
          </cell>
          <cell r="I3325">
            <v>1526.784462963238</v>
          </cell>
          <cell r="J3325">
            <v>0</v>
          </cell>
        </row>
        <row r="3326">
          <cell r="E3326">
            <v>10130091</v>
          </cell>
          <cell r="F3326" t="str">
            <v>0006</v>
          </cell>
          <cell r="G3326">
            <v>14</v>
          </cell>
          <cell r="H3326">
            <v>59.660000000000011</v>
          </cell>
          <cell r="I3326">
            <v>2048.012491338</v>
          </cell>
          <cell r="J3326">
            <v>0</v>
          </cell>
        </row>
        <row r="3327">
          <cell r="E3327">
            <v>10130091</v>
          </cell>
          <cell r="F3327" t="str">
            <v>0011</v>
          </cell>
          <cell r="G3327">
            <v>14</v>
          </cell>
          <cell r="H3327">
            <v>81.900000000000006</v>
          </cell>
          <cell r="I3327">
            <v>2968.2394233306004</v>
          </cell>
          <cell r="J3327">
            <v>0</v>
          </cell>
        </row>
        <row r="3328">
          <cell r="E3328">
            <v>10130091</v>
          </cell>
          <cell r="F3328" t="str">
            <v>0015</v>
          </cell>
          <cell r="G3328">
            <v>10</v>
          </cell>
          <cell r="H3328">
            <v>14.14</v>
          </cell>
          <cell r="I3328">
            <v>532.16342748360012</v>
          </cell>
          <cell r="J3328">
            <v>0</v>
          </cell>
        </row>
        <row r="3329">
          <cell r="E3329">
            <v>10130091</v>
          </cell>
          <cell r="F3329" t="str">
            <v>0022</v>
          </cell>
          <cell r="G3329">
            <v>12</v>
          </cell>
          <cell r="H3329">
            <v>25.650000000000002</v>
          </cell>
          <cell r="I3329">
            <v>1687.6700983951002</v>
          </cell>
          <cell r="J3329">
            <v>0</v>
          </cell>
        </row>
        <row r="3330">
          <cell r="E3330">
            <v>10130091</v>
          </cell>
          <cell r="F3330" t="str">
            <v>0023</v>
          </cell>
          <cell r="G3330">
            <v>14</v>
          </cell>
          <cell r="H3330">
            <v>19.96</v>
          </cell>
          <cell r="I3330">
            <v>1287.1084588071999</v>
          </cell>
          <cell r="J3330">
            <v>0</v>
          </cell>
        </row>
        <row r="3331">
          <cell r="E3331">
            <v>10130091</v>
          </cell>
          <cell r="F3331" t="str">
            <v>0024</v>
          </cell>
          <cell r="G3331">
            <v>14</v>
          </cell>
          <cell r="H3331">
            <v>31.55</v>
          </cell>
          <cell r="I3331">
            <v>910.40801963760009</v>
          </cell>
          <cell r="J3331">
            <v>0</v>
          </cell>
        </row>
        <row r="3332">
          <cell r="E3332">
            <v>10130093</v>
          </cell>
          <cell r="F3332" t="str">
            <v>0001</v>
          </cell>
          <cell r="G3332">
            <v>8</v>
          </cell>
          <cell r="H3332">
            <v>3.21</v>
          </cell>
          <cell r="I3332">
            <v>121.01784397560002</v>
          </cell>
          <cell r="J3332">
            <v>0</v>
          </cell>
        </row>
        <row r="3333">
          <cell r="E3333">
            <v>10130093</v>
          </cell>
          <cell r="F3333" t="str">
            <v>0002</v>
          </cell>
          <cell r="G3333">
            <v>14</v>
          </cell>
          <cell r="H3333">
            <v>397.81</v>
          </cell>
          <cell r="I3333">
            <v>14806.1886052806</v>
          </cell>
          <cell r="J3333">
            <v>0</v>
          </cell>
        </row>
        <row r="3334">
          <cell r="E3334">
            <v>10130093</v>
          </cell>
          <cell r="F3334" t="str">
            <v>0003</v>
          </cell>
          <cell r="G3334">
            <v>14</v>
          </cell>
          <cell r="H3334">
            <v>31.41</v>
          </cell>
          <cell r="I3334">
            <v>1165.8783215574003</v>
          </cell>
          <cell r="J3334">
            <v>0</v>
          </cell>
        </row>
        <row r="3335">
          <cell r="E3335">
            <v>10130093</v>
          </cell>
          <cell r="F3335" t="str">
            <v>0004</v>
          </cell>
          <cell r="G3335">
            <v>8</v>
          </cell>
          <cell r="H3335">
            <v>35.050000000000004</v>
          </cell>
          <cell r="I3335">
            <v>1281.393769392</v>
          </cell>
          <cell r="J3335">
            <v>0</v>
          </cell>
        </row>
        <row r="3336">
          <cell r="E3336">
            <v>10130093</v>
          </cell>
          <cell r="F3336" t="str">
            <v>0013</v>
          </cell>
          <cell r="G3336">
            <v>11</v>
          </cell>
          <cell r="H3336">
            <v>91.670000000000016</v>
          </cell>
          <cell r="I3336">
            <v>3314.3220265320006</v>
          </cell>
          <cell r="J3336">
            <v>0</v>
          </cell>
        </row>
        <row r="3337">
          <cell r="E3337">
            <v>10130093</v>
          </cell>
          <cell r="F3337" t="str">
            <v>0014</v>
          </cell>
          <cell r="G3337">
            <v>2</v>
          </cell>
          <cell r="H3337">
            <v>9.5400000000000009</v>
          </cell>
          <cell r="I3337">
            <v>345.86076016800007</v>
          </cell>
          <cell r="J3337">
            <v>0</v>
          </cell>
        </row>
        <row r="3338">
          <cell r="E3338">
            <v>10130094</v>
          </cell>
          <cell r="F3338" t="str">
            <v>0002</v>
          </cell>
          <cell r="G3338">
            <v>13</v>
          </cell>
          <cell r="H3338">
            <v>22.770000000000003</v>
          </cell>
          <cell r="I3338">
            <v>1894.4449166714994</v>
          </cell>
          <cell r="J3338">
            <v>0</v>
          </cell>
        </row>
        <row r="3339">
          <cell r="E3339">
            <v>10130094</v>
          </cell>
          <cell r="F3339" t="str">
            <v>0007</v>
          </cell>
          <cell r="G3339">
            <v>6</v>
          </cell>
          <cell r="H3339">
            <v>15.93</v>
          </cell>
          <cell r="I3339">
            <v>459.53512989120003</v>
          </cell>
          <cell r="J3339">
            <v>0</v>
          </cell>
        </row>
        <row r="3340">
          <cell r="E3340">
            <v>10130094</v>
          </cell>
          <cell r="F3340" t="str">
            <v>0009</v>
          </cell>
          <cell r="G3340">
            <v>12</v>
          </cell>
          <cell r="H3340">
            <v>17.75</v>
          </cell>
          <cell r="I3340">
            <v>788.58676407840017</v>
          </cell>
          <cell r="J3340">
            <v>0</v>
          </cell>
        </row>
        <row r="3341">
          <cell r="E3341">
            <v>10130094</v>
          </cell>
          <cell r="F3341" t="str">
            <v>0010</v>
          </cell>
          <cell r="G3341">
            <v>5</v>
          </cell>
          <cell r="H3341">
            <v>6.3599999999999994</v>
          </cell>
          <cell r="I3341">
            <v>191.92555649520003</v>
          </cell>
          <cell r="J3341">
            <v>0</v>
          </cell>
        </row>
        <row r="3342">
          <cell r="E3342">
            <v>10130097</v>
          </cell>
          <cell r="F3342" t="str">
            <v>0002</v>
          </cell>
          <cell r="G3342">
            <v>12</v>
          </cell>
          <cell r="H3342">
            <v>477</v>
          </cell>
          <cell r="I3342">
            <v>18253.464767999998</v>
          </cell>
          <cell r="J3342">
            <v>0</v>
          </cell>
        </row>
        <row r="3343">
          <cell r="E3343">
            <v>10130098</v>
          </cell>
          <cell r="F3343" t="str">
            <v>0002</v>
          </cell>
          <cell r="G3343">
            <v>14</v>
          </cell>
          <cell r="H3343">
            <v>113.06</v>
          </cell>
          <cell r="I3343">
            <v>4459.3688647530007</v>
          </cell>
          <cell r="J3343">
            <v>3028</v>
          </cell>
        </row>
        <row r="3344">
          <cell r="E3344">
            <v>10130098</v>
          </cell>
          <cell r="F3344" t="str">
            <v>0010</v>
          </cell>
          <cell r="G3344">
            <v>13</v>
          </cell>
          <cell r="H3344">
            <v>463.59</v>
          </cell>
          <cell r="I3344">
            <v>17754.844147761603</v>
          </cell>
          <cell r="J3344">
            <v>0</v>
          </cell>
        </row>
        <row r="3345">
          <cell r="E3345">
            <v>10130098</v>
          </cell>
          <cell r="F3345" t="str">
            <v>0011</v>
          </cell>
          <cell r="G3345">
            <v>14</v>
          </cell>
          <cell r="H3345">
            <v>501.61</v>
          </cell>
          <cell r="I3345">
            <v>18788.036903103603</v>
          </cell>
          <cell r="J3345">
            <v>0</v>
          </cell>
        </row>
        <row r="3346">
          <cell r="E3346">
            <v>10130098</v>
          </cell>
          <cell r="F3346" t="str">
            <v>0012</v>
          </cell>
          <cell r="G3346">
            <v>14</v>
          </cell>
          <cell r="H3346">
            <v>552.40000000000009</v>
          </cell>
          <cell r="I3346">
            <v>22114.592807392804</v>
          </cell>
          <cell r="J3346">
            <v>0</v>
          </cell>
        </row>
        <row r="3347">
          <cell r="E3347">
            <v>10130100</v>
          </cell>
          <cell r="F3347" t="str">
            <v>0002</v>
          </cell>
          <cell r="G3347">
            <v>14</v>
          </cell>
          <cell r="H3347">
            <v>176.44000000000003</v>
          </cell>
          <cell r="I3347">
            <v>8620.4393052950309</v>
          </cell>
          <cell r="J3347">
            <v>0</v>
          </cell>
        </row>
        <row r="3348">
          <cell r="E3348">
            <v>10130100</v>
          </cell>
          <cell r="F3348" t="str">
            <v>0003</v>
          </cell>
          <cell r="G3348">
            <v>2</v>
          </cell>
          <cell r="H3348">
            <v>4.32</v>
          </cell>
          <cell r="I3348">
            <v>179.43656611068002</v>
          </cell>
          <cell r="J3348">
            <v>0</v>
          </cell>
        </row>
        <row r="3349">
          <cell r="E3349">
            <v>10130102</v>
          </cell>
          <cell r="F3349" t="str">
            <v>0002</v>
          </cell>
          <cell r="G3349">
            <v>2</v>
          </cell>
          <cell r="H3349">
            <v>32.5</v>
          </cell>
          <cell r="I3349">
            <v>1085.1252932520001</v>
          </cell>
          <cell r="J3349">
            <v>0</v>
          </cell>
        </row>
        <row r="3350">
          <cell r="E3350">
            <v>10130115</v>
          </cell>
          <cell r="F3350" t="str">
            <v>0002</v>
          </cell>
          <cell r="G3350">
            <v>12</v>
          </cell>
          <cell r="H3350">
            <v>517.40000000000009</v>
          </cell>
          <cell r="I3350">
            <v>22929.303144519999</v>
          </cell>
          <cell r="J3350">
            <v>0</v>
          </cell>
        </row>
        <row r="3351">
          <cell r="E3351">
            <v>10130115</v>
          </cell>
          <cell r="F3351" t="str">
            <v>0003</v>
          </cell>
          <cell r="G3351">
            <v>3</v>
          </cell>
          <cell r="H3351">
            <v>88.4</v>
          </cell>
          <cell r="I3351">
            <v>3436.8460156800002</v>
          </cell>
          <cell r="J3351">
            <v>0</v>
          </cell>
        </row>
        <row r="3352">
          <cell r="E3352">
            <v>10130116</v>
          </cell>
          <cell r="F3352" t="str">
            <v>0001</v>
          </cell>
          <cell r="G3352">
            <v>1</v>
          </cell>
          <cell r="H3352">
            <v>9.85</v>
          </cell>
          <cell r="I3352">
            <v>454.00935047324998</v>
          </cell>
          <cell r="J3352">
            <v>0</v>
          </cell>
        </row>
        <row r="3353">
          <cell r="E3353">
            <v>10130116</v>
          </cell>
          <cell r="F3353" t="str">
            <v>0002</v>
          </cell>
          <cell r="G3353">
            <v>13</v>
          </cell>
          <cell r="H3353">
            <v>73.589999999999989</v>
          </cell>
          <cell r="I3353">
            <v>3324.0304235369404</v>
          </cell>
          <cell r="J3353">
            <v>0</v>
          </cell>
        </row>
        <row r="3354">
          <cell r="E3354">
            <v>10130116</v>
          </cell>
          <cell r="F3354" t="str">
            <v>0004</v>
          </cell>
          <cell r="G3354">
            <v>7</v>
          </cell>
          <cell r="H3354">
            <v>19.13</v>
          </cell>
          <cell r="I3354">
            <v>637.66528792560018</v>
          </cell>
          <cell r="J3354">
            <v>0</v>
          </cell>
        </row>
        <row r="3355">
          <cell r="E3355">
            <v>10130116</v>
          </cell>
          <cell r="F3355" t="str">
            <v>0005</v>
          </cell>
          <cell r="G3355">
            <v>12</v>
          </cell>
          <cell r="H3355">
            <v>68.45</v>
          </cell>
          <cell r="I3355">
            <v>2412.5934200148004</v>
          </cell>
          <cell r="J3355">
            <v>0</v>
          </cell>
        </row>
        <row r="3356">
          <cell r="E3356">
            <v>10130116</v>
          </cell>
          <cell r="F3356" t="str">
            <v>0006</v>
          </cell>
          <cell r="G3356">
            <v>13</v>
          </cell>
          <cell r="H3356">
            <v>56.019999999999996</v>
          </cell>
          <cell r="I3356">
            <v>2042.6169547080001</v>
          </cell>
          <cell r="J3356">
            <v>0</v>
          </cell>
        </row>
        <row r="3357">
          <cell r="E3357">
            <v>10130116</v>
          </cell>
          <cell r="F3357" t="str">
            <v>0008</v>
          </cell>
          <cell r="G3357">
            <v>7</v>
          </cell>
          <cell r="H3357">
            <v>21.59</v>
          </cell>
          <cell r="I3357">
            <v>863.69262487200012</v>
          </cell>
          <cell r="J3357">
            <v>0</v>
          </cell>
        </row>
        <row r="3358">
          <cell r="E3358">
            <v>10130116</v>
          </cell>
          <cell r="F3358" t="str">
            <v>0009</v>
          </cell>
          <cell r="G3358">
            <v>14</v>
          </cell>
          <cell r="H3358">
            <v>27.19</v>
          </cell>
          <cell r="I3358">
            <v>1087.2136883520002</v>
          </cell>
          <cell r="J3358">
            <v>0</v>
          </cell>
        </row>
        <row r="3359">
          <cell r="E3359">
            <v>10130116</v>
          </cell>
          <cell r="F3359" t="str">
            <v>0011</v>
          </cell>
          <cell r="G3359">
            <v>2</v>
          </cell>
          <cell r="H3359">
            <v>4</v>
          </cell>
          <cell r="I3359">
            <v>157.75754148000004</v>
          </cell>
          <cell r="J3359">
            <v>0</v>
          </cell>
        </row>
        <row r="3360">
          <cell r="E3360">
            <v>10130116</v>
          </cell>
          <cell r="F3360" t="str">
            <v>0012</v>
          </cell>
          <cell r="G3360">
            <v>13</v>
          </cell>
          <cell r="H3360">
            <v>37.6</v>
          </cell>
          <cell r="I3360">
            <v>1443.8661573600002</v>
          </cell>
          <cell r="J3360">
            <v>0</v>
          </cell>
        </row>
        <row r="3361">
          <cell r="E3361">
            <v>10130116</v>
          </cell>
          <cell r="F3361" t="str">
            <v>0014</v>
          </cell>
          <cell r="G3361">
            <v>2</v>
          </cell>
          <cell r="H3361">
            <v>10.350000000000001</v>
          </cell>
          <cell r="I3361">
            <v>288.83638998720005</v>
          </cell>
          <cell r="J3361">
            <v>0</v>
          </cell>
        </row>
        <row r="3362">
          <cell r="E3362">
            <v>10130116</v>
          </cell>
          <cell r="F3362" t="str">
            <v>0015</v>
          </cell>
          <cell r="G3362">
            <v>14</v>
          </cell>
          <cell r="H3362">
            <v>31.259999999999998</v>
          </cell>
          <cell r="I3362">
            <v>1205.8312309560001</v>
          </cell>
          <cell r="J3362">
            <v>0</v>
          </cell>
        </row>
        <row r="3363">
          <cell r="E3363">
            <v>10130117</v>
          </cell>
          <cell r="F3363" t="str">
            <v>0002</v>
          </cell>
          <cell r="G3363">
            <v>14</v>
          </cell>
          <cell r="H3363">
            <v>514.4</v>
          </cell>
          <cell r="I3363">
            <v>20729.915379359998</v>
          </cell>
          <cell r="J3363">
            <v>0</v>
          </cell>
        </row>
        <row r="3364">
          <cell r="E3364">
            <v>10140001</v>
          </cell>
          <cell r="F3364" t="str">
            <v>0002</v>
          </cell>
          <cell r="G3364">
            <v>12</v>
          </cell>
          <cell r="H3364">
            <v>52.800000000000004</v>
          </cell>
          <cell r="I3364">
            <v>2354.2022838305602</v>
          </cell>
          <cell r="J3364">
            <v>1287</v>
          </cell>
        </row>
        <row r="3365">
          <cell r="E3365">
            <v>10140001</v>
          </cell>
          <cell r="F3365" t="str">
            <v>0014</v>
          </cell>
          <cell r="G3365">
            <v>1</v>
          </cell>
          <cell r="H3365">
            <v>1.4</v>
          </cell>
          <cell r="I3365">
            <v>52.85433384000001</v>
          </cell>
          <cell r="J3365">
            <v>0</v>
          </cell>
        </row>
        <row r="3366">
          <cell r="E3366">
            <v>10140001</v>
          </cell>
          <cell r="F3366" t="str">
            <v>0030</v>
          </cell>
          <cell r="G3366">
            <v>6</v>
          </cell>
          <cell r="H3366">
            <v>15.899999999999999</v>
          </cell>
          <cell r="I3366">
            <v>639.10882332000006</v>
          </cell>
          <cell r="J3366">
            <v>0</v>
          </cell>
        </row>
        <row r="3367">
          <cell r="E3367">
            <v>10140001</v>
          </cell>
          <cell r="F3367" t="str">
            <v>0038</v>
          </cell>
          <cell r="G3367">
            <v>6</v>
          </cell>
          <cell r="H3367">
            <v>50.2</v>
          </cell>
          <cell r="I3367">
            <v>1821.9179523600001</v>
          </cell>
          <cell r="J3367">
            <v>0</v>
          </cell>
        </row>
        <row r="3368">
          <cell r="E3368">
            <v>10140001</v>
          </cell>
          <cell r="F3368" t="str">
            <v>0059</v>
          </cell>
          <cell r="G3368">
            <v>7</v>
          </cell>
          <cell r="H3368">
            <v>13.300000000000002</v>
          </cell>
          <cell r="I3368">
            <v>804.10308265180004</v>
          </cell>
          <cell r="J3368">
            <v>0</v>
          </cell>
        </row>
        <row r="3369">
          <cell r="E3369">
            <v>10140001</v>
          </cell>
          <cell r="F3369" t="str">
            <v>0088</v>
          </cell>
          <cell r="G3369">
            <v>12</v>
          </cell>
          <cell r="H3369">
            <v>115.4</v>
          </cell>
          <cell r="I3369">
            <v>5784.4863156637302</v>
          </cell>
          <cell r="J3369">
            <v>0</v>
          </cell>
        </row>
        <row r="3370">
          <cell r="E3370">
            <v>10140001</v>
          </cell>
          <cell r="F3370" t="str">
            <v>0118</v>
          </cell>
          <cell r="G3370">
            <v>8</v>
          </cell>
          <cell r="H3370">
            <v>21</v>
          </cell>
          <cell r="I3370">
            <v>820.97161215520009</v>
          </cell>
          <cell r="J3370">
            <v>0</v>
          </cell>
        </row>
        <row r="3371">
          <cell r="E3371">
            <v>10140001</v>
          </cell>
          <cell r="F3371" t="str">
            <v>0119</v>
          </cell>
          <cell r="G3371">
            <v>4</v>
          </cell>
          <cell r="H3371">
            <v>27.799999999999997</v>
          </cell>
          <cell r="I3371">
            <v>1413.9388431372001</v>
          </cell>
          <cell r="J3371">
            <v>0</v>
          </cell>
        </row>
        <row r="3372">
          <cell r="E3372">
            <v>10140001</v>
          </cell>
          <cell r="F3372" t="str">
            <v>0121</v>
          </cell>
          <cell r="G3372">
            <v>1</v>
          </cell>
          <cell r="H3372">
            <v>4</v>
          </cell>
          <cell r="I3372">
            <v>135.1723824</v>
          </cell>
          <cell r="J3372">
            <v>0</v>
          </cell>
        </row>
        <row r="3373">
          <cell r="E3373">
            <v>10140002</v>
          </cell>
          <cell r="F3373" t="str">
            <v>0002</v>
          </cell>
          <cell r="G3373">
            <v>13</v>
          </cell>
          <cell r="H3373">
            <v>357.83</v>
          </cell>
          <cell r="I3373">
            <v>13460.251015728003</v>
          </cell>
          <cell r="J3373">
            <v>0</v>
          </cell>
        </row>
        <row r="3374">
          <cell r="E3374">
            <v>10140002</v>
          </cell>
          <cell r="F3374" t="str">
            <v>0028</v>
          </cell>
          <cell r="G3374">
            <v>1</v>
          </cell>
          <cell r="H3374">
            <v>3.67</v>
          </cell>
          <cell r="I3374">
            <v>162.77590929600001</v>
          </cell>
          <cell r="J3374">
            <v>0</v>
          </cell>
        </row>
        <row r="3375">
          <cell r="E3375">
            <v>10140002</v>
          </cell>
          <cell r="F3375" t="str">
            <v>0032</v>
          </cell>
          <cell r="G3375">
            <v>13</v>
          </cell>
          <cell r="H3375">
            <v>92.65</v>
          </cell>
          <cell r="I3375">
            <v>3303.393042312</v>
          </cell>
          <cell r="J3375">
            <v>0</v>
          </cell>
        </row>
        <row r="3376">
          <cell r="E3376">
            <v>10140002</v>
          </cell>
          <cell r="F3376" t="str">
            <v>0040</v>
          </cell>
          <cell r="G3376">
            <v>10</v>
          </cell>
          <cell r="H3376">
            <v>37.450000000000003</v>
          </cell>
          <cell r="I3376">
            <v>1348.9119111600003</v>
          </cell>
          <cell r="J3376">
            <v>0</v>
          </cell>
        </row>
        <row r="3377">
          <cell r="E3377">
            <v>10140002</v>
          </cell>
          <cell r="F3377" t="str">
            <v>0047</v>
          </cell>
          <cell r="G3377">
            <v>12</v>
          </cell>
          <cell r="H3377">
            <v>34.54</v>
          </cell>
          <cell r="I3377">
            <v>1401.4239556680002</v>
          </cell>
          <cell r="J3377">
            <v>0</v>
          </cell>
        </row>
        <row r="3378">
          <cell r="E3378">
            <v>10140002</v>
          </cell>
          <cell r="F3378" t="str">
            <v>0048</v>
          </cell>
          <cell r="G3378">
            <v>5</v>
          </cell>
          <cell r="H3378">
            <v>12.189999999999998</v>
          </cell>
          <cell r="I3378">
            <v>597.68738215854</v>
          </cell>
          <cell r="J3378">
            <v>0</v>
          </cell>
        </row>
        <row r="3379">
          <cell r="E3379">
            <v>10140002</v>
          </cell>
          <cell r="F3379" t="str">
            <v>0061</v>
          </cell>
          <cell r="G3379">
            <v>13</v>
          </cell>
          <cell r="H3379">
            <v>134.57</v>
          </cell>
          <cell r="I3379">
            <v>4828.1158981439994</v>
          </cell>
          <cell r="J3379">
            <v>0</v>
          </cell>
        </row>
        <row r="3380">
          <cell r="E3380">
            <v>10140002</v>
          </cell>
          <cell r="F3380" t="str">
            <v>0072</v>
          </cell>
          <cell r="G3380">
            <v>13</v>
          </cell>
          <cell r="H3380">
            <v>34.059999999999995</v>
          </cell>
          <cell r="I3380">
            <v>1267.5533808960004</v>
          </cell>
          <cell r="J3380">
            <v>0</v>
          </cell>
        </row>
        <row r="3381">
          <cell r="E3381">
            <v>10140002</v>
          </cell>
          <cell r="F3381" t="str">
            <v>0074</v>
          </cell>
          <cell r="G3381">
            <v>12</v>
          </cell>
          <cell r="H3381">
            <v>82.39</v>
          </cell>
          <cell r="I3381">
            <v>2819.7567715680002</v>
          </cell>
          <cell r="J3381">
            <v>0</v>
          </cell>
        </row>
        <row r="3382">
          <cell r="E3382">
            <v>10140002</v>
          </cell>
          <cell r="F3382" t="str">
            <v>0075</v>
          </cell>
          <cell r="G3382">
            <v>11</v>
          </cell>
          <cell r="H3382">
            <v>63.48</v>
          </cell>
          <cell r="I3382">
            <v>2272.9590742320001</v>
          </cell>
          <cell r="J3382">
            <v>0</v>
          </cell>
        </row>
        <row r="3383">
          <cell r="E3383">
            <v>10140002</v>
          </cell>
          <cell r="F3383" t="str">
            <v>0076</v>
          </cell>
          <cell r="G3383">
            <v>12</v>
          </cell>
          <cell r="H3383">
            <v>34.880000000000003</v>
          </cell>
          <cell r="I3383">
            <v>1254.7370020680003</v>
          </cell>
          <cell r="J3383">
            <v>0</v>
          </cell>
        </row>
        <row r="3384">
          <cell r="E3384">
            <v>10140002</v>
          </cell>
          <cell r="F3384" t="str">
            <v>0080</v>
          </cell>
          <cell r="G3384">
            <v>11</v>
          </cell>
          <cell r="H3384">
            <v>227.57</v>
          </cell>
          <cell r="I3384">
            <v>8651.0754772200016</v>
          </cell>
          <cell r="J3384">
            <v>0</v>
          </cell>
        </row>
        <row r="3385">
          <cell r="E3385">
            <v>10140002</v>
          </cell>
          <cell r="F3385" t="str">
            <v>0083</v>
          </cell>
          <cell r="G3385">
            <v>9</v>
          </cell>
          <cell r="H3385">
            <v>24.939999999999998</v>
          </cell>
          <cell r="I3385">
            <v>872.11910610000018</v>
          </cell>
          <cell r="J3385">
            <v>0</v>
          </cell>
        </row>
        <row r="3386">
          <cell r="E3386">
            <v>10140002</v>
          </cell>
          <cell r="F3386" t="str">
            <v>0093</v>
          </cell>
          <cell r="G3386">
            <v>7</v>
          </cell>
          <cell r="H3386">
            <v>36.270000000000003</v>
          </cell>
          <cell r="I3386">
            <v>1296.45637704</v>
          </cell>
          <cell r="J3386">
            <v>0</v>
          </cell>
        </row>
        <row r="3387">
          <cell r="E3387">
            <v>10140002</v>
          </cell>
          <cell r="F3387" t="str">
            <v>0097</v>
          </cell>
          <cell r="G3387">
            <v>13</v>
          </cell>
          <cell r="H3387">
            <v>51.58</v>
          </cell>
          <cell r="I3387">
            <v>1792.8775188720001</v>
          </cell>
          <cell r="J3387">
            <v>0</v>
          </cell>
        </row>
        <row r="3388">
          <cell r="E3388">
            <v>10140003</v>
          </cell>
          <cell r="F3388" t="str">
            <v>0001</v>
          </cell>
          <cell r="G3388">
            <v>12</v>
          </cell>
          <cell r="H3388">
            <v>32.099999999999994</v>
          </cell>
          <cell r="I3388">
            <v>1237.5488386800002</v>
          </cell>
          <cell r="J3388">
            <v>0</v>
          </cell>
        </row>
        <row r="3389">
          <cell r="E3389">
            <v>10140003</v>
          </cell>
          <cell r="F3389" t="str">
            <v>0002</v>
          </cell>
          <cell r="G3389">
            <v>8</v>
          </cell>
          <cell r="H3389">
            <v>172.5</v>
          </cell>
          <cell r="I3389">
            <v>7244.3438999972404</v>
          </cell>
          <cell r="J3389">
            <v>165.2</v>
          </cell>
        </row>
        <row r="3390">
          <cell r="E3390">
            <v>10140003</v>
          </cell>
          <cell r="F3390" t="str">
            <v>0008</v>
          </cell>
          <cell r="G3390">
            <v>9</v>
          </cell>
          <cell r="H3390">
            <v>18.5</v>
          </cell>
          <cell r="I3390">
            <v>652.57490232000009</v>
          </cell>
          <cell r="J3390">
            <v>0</v>
          </cell>
        </row>
        <row r="3391">
          <cell r="E3391">
            <v>10140003</v>
          </cell>
          <cell r="F3391" t="str">
            <v>0013</v>
          </cell>
          <cell r="G3391">
            <v>13</v>
          </cell>
          <cell r="H3391">
            <v>34.699999999999996</v>
          </cell>
          <cell r="I3391">
            <v>1242.2365164</v>
          </cell>
          <cell r="J3391">
            <v>0</v>
          </cell>
        </row>
        <row r="3392">
          <cell r="E3392">
            <v>10140003</v>
          </cell>
          <cell r="F3392" t="str">
            <v>0016</v>
          </cell>
          <cell r="G3392">
            <v>14</v>
          </cell>
          <cell r="H3392">
            <v>77.499999999999986</v>
          </cell>
          <cell r="I3392">
            <v>2767.7816575199995</v>
          </cell>
          <cell r="J3392">
            <v>0</v>
          </cell>
        </row>
        <row r="3393">
          <cell r="E3393">
            <v>10140003</v>
          </cell>
          <cell r="F3393" t="str">
            <v>0017</v>
          </cell>
          <cell r="G3393">
            <v>7</v>
          </cell>
          <cell r="H3393">
            <v>33.5</v>
          </cell>
          <cell r="I3393">
            <v>1228.44075948</v>
          </cell>
          <cell r="J3393">
            <v>0</v>
          </cell>
        </row>
        <row r="3394">
          <cell r="E3394">
            <v>10140003</v>
          </cell>
          <cell r="F3394" t="str">
            <v>0019</v>
          </cell>
          <cell r="G3394">
            <v>3</v>
          </cell>
          <cell r="H3394">
            <v>6.9</v>
          </cell>
          <cell r="I3394">
            <v>252.04831344000004</v>
          </cell>
          <cell r="J3394">
            <v>0</v>
          </cell>
        </row>
        <row r="3395">
          <cell r="E3395">
            <v>10140003</v>
          </cell>
          <cell r="F3395" t="str">
            <v>0022</v>
          </cell>
          <cell r="G3395">
            <v>14</v>
          </cell>
          <cell r="H3395">
            <v>22.2</v>
          </cell>
          <cell r="I3395">
            <v>833.82901272000004</v>
          </cell>
          <cell r="J3395">
            <v>0</v>
          </cell>
        </row>
        <row r="3396">
          <cell r="E3396">
            <v>10140003</v>
          </cell>
          <cell r="F3396" t="str">
            <v>0024</v>
          </cell>
          <cell r="G3396">
            <v>4</v>
          </cell>
          <cell r="H3396">
            <v>121.4</v>
          </cell>
          <cell r="I3396">
            <v>5071.5755771356007</v>
          </cell>
          <cell r="J3396">
            <v>0</v>
          </cell>
        </row>
        <row r="3397">
          <cell r="E3397">
            <v>10140003</v>
          </cell>
          <cell r="F3397" t="str">
            <v>0027</v>
          </cell>
          <cell r="G3397">
            <v>5</v>
          </cell>
          <cell r="H3397">
            <v>8.1</v>
          </cell>
          <cell r="I3397">
            <v>297.27280044000003</v>
          </cell>
          <cell r="J3397">
            <v>0</v>
          </cell>
        </row>
        <row r="3398">
          <cell r="E3398">
            <v>10140003</v>
          </cell>
          <cell r="F3398" t="str">
            <v>0035</v>
          </cell>
          <cell r="G3398">
            <v>7</v>
          </cell>
          <cell r="H3398">
            <v>20.3</v>
          </cell>
          <cell r="I3398">
            <v>764.19717660000015</v>
          </cell>
          <cell r="J3398">
            <v>0</v>
          </cell>
        </row>
        <row r="3399">
          <cell r="E3399">
            <v>10140003</v>
          </cell>
          <cell r="F3399" t="str">
            <v>0050</v>
          </cell>
          <cell r="G3399">
            <v>12</v>
          </cell>
          <cell r="H3399">
            <v>24.9</v>
          </cell>
          <cell r="I3399">
            <v>879.47708508000028</v>
          </cell>
          <cell r="J3399">
            <v>0</v>
          </cell>
        </row>
        <row r="3400">
          <cell r="E3400">
            <v>10140003</v>
          </cell>
          <cell r="F3400" t="str">
            <v>0054</v>
          </cell>
          <cell r="G3400">
            <v>8</v>
          </cell>
          <cell r="H3400">
            <v>19.8</v>
          </cell>
          <cell r="I3400">
            <v>716.10786720000021</v>
          </cell>
          <cell r="J3400">
            <v>0</v>
          </cell>
        </row>
        <row r="3401">
          <cell r="E3401">
            <v>10140003</v>
          </cell>
          <cell r="F3401" t="str">
            <v>0056</v>
          </cell>
          <cell r="G3401">
            <v>14</v>
          </cell>
          <cell r="H3401">
            <v>20.6</v>
          </cell>
          <cell r="I3401">
            <v>1159.6901913187999</v>
          </cell>
          <cell r="J3401">
            <v>0</v>
          </cell>
        </row>
        <row r="3402">
          <cell r="E3402">
            <v>10140003</v>
          </cell>
          <cell r="F3402" t="str">
            <v>0069</v>
          </cell>
          <cell r="G3402">
            <v>14</v>
          </cell>
          <cell r="H3402">
            <v>104.29999999999998</v>
          </cell>
          <cell r="I3402">
            <v>3821.4906246000005</v>
          </cell>
          <cell r="J3402">
            <v>0</v>
          </cell>
        </row>
        <row r="3403">
          <cell r="E3403">
            <v>10140003</v>
          </cell>
          <cell r="F3403" t="str">
            <v>0119</v>
          </cell>
          <cell r="G3403">
            <v>7</v>
          </cell>
          <cell r="H3403">
            <v>11.999999999999998</v>
          </cell>
          <cell r="I3403">
            <v>498.91954464000003</v>
          </cell>
          <cell r="J3403">
            <v>0</v>
          </cell>
        </row>
        <row r="3404">
          <cell r="E3404">
            <v>10140003</v>
          </cell>
          <cell r="F3404" t="str">
            <v>0137</v>
          </cell>
          <cell r="G3404">
            <v>13</v>
          </cell>
          <cell r="H3404">
            <v>140.30000000000001</v>
          </cell>
          <cell r="I3404">
            <v>5849.2431727170015</v>
          </cell>
          <cell r="J3404">
            <v>0</v>
          </cell>
        </row>
        <row r="3405">
          <cell r="E3405">
            <v>10140003</v>
          </cell>
          <cell r="F3405" t="str">
            <v>0143</v>
          </cell>
          <cell r="G3405">
            <v>6</v>
          </cell>
          <cell r="H3405">
            <v>27.500000000000004</v>
          </cell>
          <cell r="I3405">
            <v>1029.7758992400002</v>
          </cell>
          <cell r="J3405">
            <v>0</v>
          </cell>
        </row>
        <row r="3406">
          <cell r="E3406">
            <v>10140003</v>
          </cell>
          <cell r="F3406" t="str">
            <v>0153</v>
          </cell>
          <cell r="G3406">
            <v>1</v>
          </cell>
          <cell r="H3406">
            <v>1.2</v>
          </cell>
          <cell r="I3406">
            <v>68.255015500799999</v>
          </cell>
          <cell r="J3406">
            <v>0</v>
          </cell>
        </row>
        <row r="3407">
          <cell r="E3407">
            <v>10140003</v>
          </cell>
          <cell r="F3407" t="str">
            <v>0155</v>
          </cell>
          <cell r="G3407">
            <v>4</v>
          </cell>
          <cell r="H3407">
            <v>6.5</v>
          </cell>
          <cell r="I3407">
            <v>245.870361</v>
          </cell>
          <cell r="J3407">
            <v>0</v>
          </cell>
        </row>
        <row r="3408">
          <cell r="E3408">
            <v>10140003</v>
          </cell>
          <cell r="F3408" t="str">
            <v>0175</v>
          </cell>
          <cell r="G3408">
            <v>2</v>
          </cell>
          <cell r="H3408">
            <v>1.7</v>
          </cell>
          <cell r="I3408">
            <v>107.538827329</v>
          </cell>
          <cell r="J3408">
            <v>0</v>
          </cell>
        </row>
        <row r="3409">
          <cell r="E3409">
            <v>10140003</v>
          </cell>
          <cell r="F3409" t="str">
            <v>0176</v>
          </cell>
          <cell r="G3409">
            <v>6</v>
          </cell>
          <cell r="H3409">
            <v>14.3</v>
          </cell>
          <cell r="I3409">
            <v>1007.6317135029999</v>
          </cell>
          <cell r="J3409">
            <v>0</v>
          </cell>
        </row>
        <row r="3410">
          <cell r="E3410">
            <v>10140003</v>
          </cell>
          <cell r="F3410" t="str">
            <v>0185</v>
          </cell>
          <cell r="G3410">
            <v>14</v>
          </cell>
          <cell r="H3410">
            <v>83.5</v>
          </cell>
          <cell r="I3410">
            <v>4115.8238970580005</v>
          </cell>
          <cell r="J3410">
            <v>0</v>
          </cell>
        </row>
        <row r="3411">
          <cell r="E3411">
            <v>10140003</v>
          </cell>
          <cell r="F3411" t="str">
            <v>0197</v>
          </cell>
          <cell r="G3411">
            <v>9</v>
          </cell>
          <cell r="H3411">
            <v>30.4</v>
          </cell>
          <cell r="I3411">
            <v>1880.7566378322001</v>
          </cell>
          <cell r="J3411">
            <v>0</v>
          </cell>
        </row>
        <row r="3412">
          <cell r="E3412">
            <v>10140003</v>
          </cell>
          <cell r="F3412" t="str">
            <v>0200</v>
          </cell>
          <cell r="G3412">
            <v>7</v>
          </cell>
          <cell r="H3412">
            <v>13.599999999999998</v>
          </cell>
          <cell r="I3412">
            <v>681.20158307300017</v>
          </cell>
          <cell r="J3412">
            <v>0</v>
          </cell>
        </row>
        <row r="3413">
          <cell r="E3413">
            <v>10140003</v>
          </cell>
          <cell r="F3413" t="str">
            <v>0205</v>
          </cell>
          <cell r="G3413">
            <v>4</v>
          </cell>
          <cell r="H3413">
            <v>7.6999999999999993</v>
          </cell>
          <cell r="I3413">
            <v>276.64082028000001</v>
          </cell>
          <cell r="J3413">
            <v>0</v>
          </cell>
        </row>
        <row r="3414">
          <cell r="E3414">
            <v>10140003</v>
          </cell>
          <cell r="F3414" t="str">
            <v>0209</v>
          </cell>
          <cell r="G3414">
            <v>3</v>
          </cell>
          <cell r="H3414">
            <v>120</v>
          </cell>
          <cell r="I3414">
            <v>4973.8946400000004</v>
          </cell>
          <cell r="J3414">
            <v>0</v>
          </cell>
        </row>
        <row r="3415">
          <cell r="E3415">
            <v>10140003</v>
          </cell>
          <cell r="F3415" t="str">
            <v>0213</v>
          </cell>
          <cell r="G3415">
            <v>7</v>
          </cell>
          <cell r="H3415">
            <v>22.400000000000002</v>
          </cell>
          <cell r="I3415">
            <v>803.31061932000011</v>
          </cell>
          <cell r="J3415">
            <v>0</v>
          </cell>
        </row>
        <row r="3416">
          <cell r="E3416">
            <v>10140003</v>
          </cell>
          <cell r="F3416" t="str">
            <v>0214</v>
          </cell>
          <cell r="G3416">
            <v>13</v>
          </cell>
          <cell r="H3416">
            <v>21.300000000000008</v>
          </cell>
          <cell r="I3416">
            <v>985.31837283340008</v>
          </cell>
          <cell r="J3416">
            <v>0</v>
          </cell>
        </row>
        <row r="3417">
          <cell r="E3417">
            <v>10140003</v>
          </cell>
          <cell r="F3417" t="str">
            <v>0230</v>
          </cell>
          <cell r="G3417">
            <v>9</v>
          </cell>
          <cell r="H3417">
            <v>21.4</v>
          </cell>
          <cell r="I3417">
            <v>820.95753960000025</v>
          </cell>
          <cell r="J3417">
            <v>0</v>
          </cell>
        </row>
        <row r="3418">
          <cell r="E3418">
            <v>10140003</v>
          </cell>
          <cell r="F3418" t="str">
            <v>0232</v>
          </cell>
          <cell r="G3418">
            <v>1</v>
          </cell>
          <cell r="H3418">
            <v>2.4</v>
          </cell>
          <cell r="I3418">
            <v>111.83318784000001</v>
          </cell>
          <cell r="J3418">
            <v>0</v>
          </cell>
        </row>
        <row r="3419">
          <cell r="E3419">
            <v>10140003</v>
          </cell>
          <cell r="F3419" t="str">
            <v>0240</v>
          </cell>
          <cell r="G3419">
            <v>13</v>
          </cell>
          <cell r="H3419">
            <v>52.7</v>
          </cell>
          <cell r="I3419">
            <v>1985.4571572</v>
          </cell>
          <cell r="J3419">
            <v>0</v>
          </cell>
        </row>
        <row r="3420">
          <cell r="E3420">
            <v>10140003</v>
          </cell>
          <cell r="F3420" t="str">
            <v>0248</v>
          </cell>
          <cell r="G3420">
            <v>7</v>
          </cell>
          <cell r="H3420">
            <v>15</v>
          </cell>
          <cell r="I3420">
            <v>827.45603128920015</v>
          </cell>
          <cell r="J3420">
            <v>0</v>
          </cell>
        </row>
        <row r="3421">
          <cell r="E3421">
            <v>10140003</v>
          </cell>
          <cell r="F3421" t="str">
            <v>0251</v>
          </cell>
          <cell r="G3421">
            <v>12</v>
          </cell>
          <cell r="H3421">
            <v>39.900000000000006</v>
          </cell>
          <cell r="I3421">
            <v>1737.1127035279005</v>
          </cell>
          <cell r="J3421">
            <v>0</v>
          </cell>
        </row>
        <row r="3422">
          <cell r="E3422">
            <v>10140003</v>
          </cell>
          <cell r="F3422" t="str">
            <v>0254</v>
          </cell>
          <cell r="G3422">
            <v>7</v>
          </cell>
          <cell r="H3422">
            <v>22.799999999999997</v>
          </cell>
          <cell r="I3422">
            <v>892.38513671999999</v>
          </cell>
          <cell r="J3422">
            <v>0</v>
          </cell>
        </row>
        <row r="3423">
          <cell r="E3423">
            <v>10140003</v>
          </cell>
          <cell r="F3423" t="str">
            <v>0258</v>
          </cell>
          <cell r="G3423">
            <v>4</v>
          </cell>
          <cell r="H3423">
            <v>4.6999999999999993</v>
          </cell>
          <cell r="I3423">
            <v>174.39021072000003</v>
          </cell>
          <cell r="J3423">
            <v>0</v>
          </cell>
        </row>
        <row r="3424">
          <cell r="E3424">
            <v>10140003</v>
          </cell>
          <cell r="F3424" t="str">
            <v>0288</v>
          </cell>
          <cell r="G3424">
            <v>4</v>
          </cell>
          <cell r="H3424">
            <v>7.3</v>
          </cell>
          <cell r="I3424">
            <v>291.4113906</v>
          </cell>
          <cell r="J3424">
            <v>0</v>
          </cell>
        </row>
        <row r="3425">
          <cell r="E3425">
            <v>10140003</v>
          </cell>
          <cell r="F3425" t="str">
            <v>0289</v>
          </cell>
          <cell r="G3425">
            <v>9</v>
          </cell>
          <cell r="H3425">
            <v>29.199999999999996</v>
          </cell>
          <cell r="I3425">
            <v>1052.1894952800001</v>
          </cell>
          <cell r="J3425">
            <v>0</v>
          </cell>
        </row>
        <row r="3426">
          <cell r="E3426">
            <v>10140003</v>
          </cell>
          <cell r="F3426" t="str">
            <v>0290</v>
          </cell>
          <cell r="G3426">
            <v>7</v>
          </cell>
          <cell r="H3426">
            <v>17.100000000000001</v>
          </cell>
          <cell r="I3426">
            <v>857.49046067460006</v>
          </cell>
          <cell r="J3426">
            <v>0</v>
          </cell>
        </row>
        <row r="3427">
          <cell r="E3427">
            <v>10140003</v>
          </cell>
          <cell r="F3427" t="str">
            <v>0292</v>
          </cell>
          <cell r="G3427">
            <v>4</v>
          </cell>
          <cell r="H3427">
            <v>7.8999999999999995</v>
          </cell>
          <cell r="I3427">
            <v>358.85111328000005</v>
          </cell>
          <cell r="J3427">
            <v>0</v>
          </cell>
        </row>
        <row r="3428">
          <cell r="E3428">
            <v>10140007</v>
          </cell>
          <cell r="F3428" t="str">
            <v>0001</v>
          </cell>
          <cell r="G3428">
            <v>13</v>
          </cell>
          <cell r="H3428">
            <v>26.379999999999992</v>
          </cell>
          <cell r="I3428">
            <v>1492.0001812417702</v>
          </cell>
          <cell r="J3428">
            <v>0</v>
          </cell>
        </row>
        <row r="3429">
          <cell r="E3429">
            <v>10140007</v>
          </cell>
          <cell r="F3429" t="str">
            <v>0006</v>
          </cell>
          <cell r="G3429">
            <v>6</v>
          </cell>
          <cell r="H3429">
            <v>6.46</v>
          </cell>
          <cell r="I3429">
            <v>462.17049441745991</v>
          </cell>
          <cell r="J3429">
            <v>0</v>
          </cell>
        </row>
        <row r="3430">
          <cell r="E3430">
            <v>10140007</v>
          </cell>
          <cell r="F3430" t="str">
            <v>0011</v>
          </cell>
          <cell r="G3430">
            <v>6</v>
          </cell>
          <cell r="H3430">
            <v>8.879999999999999</v>
          </cell>
          <cell r="I3430">
            <v>335.69211178800003</v>
          </cell>
          <cell r="J3430">
            <v>0</v>
          </cell>
        </row>
        <row r="3431">
          <cell r="E3431">
            <v>10140007</v>
          </cell>
          <cell r="F3431" t="str">
            <v>0014</v>
          </cell>
          <cell r="G3431">
            <v>12</v>
          </cell>
          <cell r="H3431">
            <v>28.380000000000003</v>
          </cell>
          <cell r="I3431">
            <v>1060.1341387560001</v>
          </cell>
          <cell r="J3431">
            <v>0</v>
          </cell>
        </row>
        <row r="3432">
          <cell r="E3432">
            <v>10140007</v>
          </cell>
          <cell r="F3432" t="str">
            <v>0036</v>
          </cell>
          <cell r="G3432">
            <v>13</v>
          </cell>
          <cell r="H3432">
            <v>354.06000000000006</v>
          </cell>
          <cell r="I3432">
            <v>13546.741590755999</v>
          </cell>
          <cell r="J3432">
            <v>0</v>
          </cell>
        </row>
        <row r="3433">
          <cell r="E3433">
            <v>10140007</v>
          </cell>
          <cell r="F3433" t="str">
            <v>0040</v>
          </cell>
          <cell r="G3433">
            <v>6</v>
          </cell>
          <cell r="H3433">
            <v>127.16</v>
          </cell>
          <cell r="I3433">
            <v>4636.3160048039999</v>
          </cell>
          <cell r="J3433">
            <v>0</v>
          </cell>
        </row>
        <row r="3434">
          <cell r="E3434">
            <v>10140007</v>
          </cell>
          <cell r="F3434" t="str">
            <v>0043</v>
          </cell>
          <cell r="G3434">
            <v>13</v>
          </cell>
          <cell r="H3434">
            <v>35.139999999999993</v>
          </cell>
          <cell r="I3434">
            <v>1848.8980333657</v>
          </cell>
          <cell r="J3434">
            <v>0</v>
          </cell>
        </row>
        <row r="3435">
          <cell r="E3435">
            <v>10140007</v>
          </cell>
          <cell r="F3435" t="str">
            <v>0047</v>
          </cell>
          <cell r="G3435">
            <v>7</v>
          </cell>
          <cell r="H3435">
            <v>9.27</v>
          </cell>
          <cell r="I3435">
            <v>366.95172808800004</v>
          </cell>
          <cell r="J3435">
            <v>0</v>
          </cell>
        </row>
        <row r="3436">
          <cell r="E3436">
            <v>10140007</v>
          </cell>
          <cell r="F3436" t="str">
            <v>0048</v>
          </cell>
          <cell r="G3436">
            <v>13</v>
          </cell>
          <cell r="H3436">
            <v>49.52</v>
          </cell>
          <cell r="I3436">
            <v>1892.8361770559998</v>
          </cell>
          <cell r="J3436">
            <v>0</v>
          </cell>
        </row>
        <row r="3437">
          <cell r="E3437">
            <v>10140007</v>
          </cell>
          <cell r="F3437" t="str">
            <v>0058</v>
          </cell>
          <cell r="G3437">
            <v>12</v>
          </cell>
          <cell r="H3437">
            <v>30.080000000000002</v>
          </cell>
          <cell r="I3437">
            <v>1209.4730309540698</v>
          </cell>
          <cell r="J3437">
            <v>0</v>
          </cell>
        </row>
        <row r="3438">
          <cell r="E3438">
            <v>10140007</v>
          </cell>
          <cell r="F3438" t="str">
            <v>0063</v>
          </cell>
          <cell r="G3438">
            <v>13</v>
          </cell>
          <cell r="H3438">
            <v>289.06999999999994</v>
          </cell>
          <cell r="I3438">
            <v>11297.469195686501</v>
          </cell>
          <cell r="J3438">
            <v>0</v>
          </cell>
        </row>
        <row r="3439">
          <cell r="E3439">
            <v>10140008</v>
          </cell>
          <cell r="F3439" t="str">
            <v>0001</v>
          </cell>
          <cell r="G3439">
            <v>12</v>
          </cell>
          <cell r="H3439">
            <v>13.200000000000001</v>
          </cell>
          <cell r="I3439">
            <v>557.18277912000008</v>
          </cell>
          <cell r="J3439">
            <v>0</v>
          </cell>
        </row>
        <row r="3440">
          <cell r="E3440">
            <v>10140008</v>
          </cell>
          <cell r="F3440" t="str">
            <v>0002</v>
          </cell>
          <cell r="G3440">
            <v>14</v>
          </cell>
          <cell r="H3440">
            <v>140.19</v>
          </cell>
          <cell r="I3440">
            <v>4641.2489791800008</v>
          </cell>
          <cell r="J3440">
            <v>82.6</v>
          </cell>
        </row>
        <row r="3441">
          <cell r="E3441">
            <v>10140008</v>
          </cell>
          <cell r="F3441" t="str">
            <v>0004</v>
          </cell>
          <cell r="G3441">
            <v>7</v>
          </cell>
          <cell r="H3441">
            <v>222.04000000000002</v>
          </cell>
          <cell r="I3441">
            <v>8053.7950072800013</v>
          </cell>
          <cell r="J3441">
            <v>0</v>
          </cell>
        </row>
        <row r="3442">
          <cell r="E3442">
            <v>10140008</v>
          </cell>
          <cell r="F3442" t="str">
            <v>0005</v>
          </cell>
          <cell r="G3442">
            <v>14</v>
          </cell>
          <cell r="H3442">
            <v>74.660000000000011</v>
          </cell>
          <cell r="I3442">
            <v>2569.8950287560001</v>
          </cell>
          <cell r="J3442">
            <v>0</v>
          </cell>
        </row>
        <row r="3443">
          <cell r="E3443">
            <v>10140008</v>
          </cell>
          <cell r="F3443" t="str">
            <v>0007</v>
          </cell>
          <cell r="G3443">
            <v>7</v>
          </cell>
          <cell r="H3443">
            <v>36.15</v>
          </cell>
          <cell r="I3443">
            <v>1385.3671638840001</v>
          </cell>
          <cell r="J3443">
            <v>0</v>
          </cell>
        </row>
        <row r="3444">
          <cell r="E3444">
            <v>10140008</v>
          </cell>
          <cell r="F3444" t="str">
            <v>0008</v>
          </cell>
          <cell r="G3444">
            <v>13</v>
          </cell>
          <cell r="H3444">
            <v>50.510000000000005</v>
          </cell>
          <cell r="I3444">
            <v>2067.8735757240001</v>
          </cell>
          <cell r="J3444">
            <v>0</v>
          </cell>
        </row>
        <row r="3445">
          <cell r="E3445">
            <v>10140008</v>
          </cell>
          <cell r="F3445" t="str">
            <v>0011</v>
          </cell>
          <cell r="G3445">
            <v>4</v>
          </cell>
          <cell r="H3445">
            <v>47.149999999999991</v>
          </cell>
          <cell r="I3445">
            <v>1765.5796703159999</v>
          </cell>
          <cell r="J3445">
            <v>0</v>
          </cell>
        </row>
        <row r="3446">
          <cell r="E3446">
            <v>10140008</v>
          </cell>
          <cell r="F3446" t="str">
            <v>0022</v>
          </cell>
          <cell r="G3446">
            <v>7</v>
          </cell>
          <cell r="H3446">
            <v>16.919999999999998</v>
          </cell>
          <cell r="I3446">
            <v>603.30026029680005</v>
          </cell>
          <cell r="J3446">
            <v>0</v>
          </cell>
        </row>
        <row r="3447">
          <cell r="E3447">
            <v>10140008</v>
          </cell>
          <cell r="F3447" t="str">
            <v>0027</v>
          </cell>
          <cell r="G3447">
            <v>8</v>
          </cell>
          <cell r="H3447">
            <v>19.2</v>
          </cell>
          <cell r="I3447">
            <v>639.19458147600017</v>
          </cell>
          <cell r="J3447">
            <v>0</v>
          </cell>
        </row>
        <row r="3448">
          <cell r="E3448">
            <v>10140008</v>
          </cell>
          <cell r="F3448" t="str">
            <v>0045</v>
          </cell>
          <cell r="G3448">
            <v>14</v>
          </cell>
          <cell r="H3448">
            <v>782.71999999999991</v>
          </cell>
          <cell r="I3448">
            <v>31346.167927851053</v>
          </cell>
          <cell r="J3448">
            <v>0</v>
          </cell>
        </row>
        <row r="3449">
          <cell r="E3449">
            <v>10140008</v>
          </cell>
          <cell r="F3449" t="str">
            <v>0079</v>
          </cell>
          <cell r="G3449">
            <v>7</v>
          </cell>
          <cell r="H3449">
            <v>33.56</v>
          </cell>
          <cell r="I3449">
            <v>1124.294093208</v>
          </cell>
          <cell r="J3449">
            <v>0</v>
          </cell>
        </row>
        <row r="3450">
          <cell r="E3450">
            <v>10140008</v>
          </cell>
          <cell r="F3450" t="str">
            <v>0098</v>
          </cell>
          <cell r="G3450">
            <v>7</v>
          </cell>
          <cell r="H3450">
            <v>12.170000000000002</v>
          </cell>
          <cell r="I3450">
            <v>482.21067641400003</v>
          </cell>
          <cell r="J3450">
            <v>0</v>
          </cell>
        </row>
        <row r="3451">
          <cell r="E3451">
            <v>10140008</v>
          </cell>
          <cell r="F3451" t="str">
            <v>0114</v>
          </cell>
          <cell r="G3451">
            <v>14</v>
          </cell>
          <cell r="H3451">
            <v>133.69999999999999</v>
          </cell>
          <cell r="I3451">
            <v>4559.8695310080002</v>
          </cell>
          <cell r="J3451">
            <v>0</v>
          </cell>
        </row>
        <row r="3452">
          <cell r="E3452">
            <v>10140008</v>
          </cell>
          <cell r="F3452" t="str">
            <v>0120</v>
          </cell>
          <cell r="G3452">
            <v>8</v>
          </cell>
          <cell r="H3452">
            <v>31.210000000000004</v>
          </cell>
          <cell r="I3452">
            <v>1193.706652248</v>
          </cell>
          <cell r="J3452">
            <v>0</v>
          </cell>
        </row>
        <row r="3453">
          <cell r="E3453">
            <v>10140008</v>
          </cell>
          <cell r="F3453" t="str">
            <v>0121</v>
          </cell>
          <cell r="G3453">
            <v>6</v>
          </cell>
          <cell r="H3453">
            <v>17.019999999999996</v>
          </cell>
          <cell r="I3453">
            <v>594.63804549600002</v>
          </cell>
          <cell r="J3453">
            <v>0</v>
          </cell>
        </row>
        <row r="3454">
          <cell r="E3454">
            <v>10140008</v>
          </cell>
          <cell r="F3454" t="str">
            <v>0129</v>
          </cell>
          <cell r="G3454">
            <v>14</v>
          </cell>
          <cell r="H3454">
            <v>54.010000000000005</v>
          </cell>
          <cell r="I3454">
            <v>1992.8294032680008</v>
          </cell>
          <cell r="J3454">
            <v>0</v>
          </cell>
        </row>
        <row r="3455">
          <cell r="E3455">
            <v>10140008</v>
          </cell>
          <cell r="F3455" t="str">
            <v>0154</v>
          </cell>
          <cell r="G3455">
            <v>7</v>
          </cell>
          <cell r="H3455">
            <v>24.9</v>
          </cell>
          <cell r="I3455">
            <v>934.43074876800017</v>
          </cell>
          <cell r="J3455">
            <v>0</v>
          </cell>
        </row>
        <row r="3456">
          <cell r="E3456">
            <v>10140008</v>
          </cell>
          <cell r="F3456" t="str">
            <v>0162</v>
          </cell>
          <cell r="G3456">
            <v>14</v>
          </cell>
          <cell r="H3456">
            <v>58.86999999999999</v>
          </cell>
          <cell r="I3456">
            <v>2072.8116284040002</v>
          </cell>
          <cell r="J3456">
            <v>0</v>
          </cell>
        </row>
        <row r="3457">
          <cell r="E3457">
            <v>10140008</v>
          </cell>
          <cell r="F3457" t="str">
            <v>0163</v>
          </cell>
          <cell r="G3457">
            <v>2</v>
          </cell>
          <cell r="H3457">
            <v>4.5600000000000005</v>
          </cell>
          <cell r="I3457">
            <v>153.14198565600003</v>
          </cell>
          <cell r="J3457">
            <v>0</v>
          </cell>
        </row>
        <row r="3458">
          <cell r="E3458">
            <v>10140009</v>
          </cell>
          <cell r="F3458" t="str">
            <v>0002</v>
          </cell>
          <cell r="G3458">
            <v>14</v>
          </cell>
          <cell r="H3458">
            <v>405.45</v>
          </cell>
          <cell r="I3458">
            <v>19042.926692332796</v>
          </cell>
          <cell r="J3458">
            <v>0</v>
          </cell>
        </row>
        <row r="3459">
          <cell r="E3459">
            <v>10140009</v>
          </cell>
          <cell r="F3459" t="str">
            <v>0015</v>
          </cell>
          <cell r="G3459">
            <v>14</v>
          </cell>
          <cell r="H3459">
            <v>48.22</v>
          </cell>
          <cell r="I3459">
            <v>1968.2044628399999</v>
          </cell>
          <cell r="J3459">
            <v>0</v>
          </cell>
        </row>
        <row r="3460">
          <cell r="E3460">
            <v>10140009</v>
          </cell>
          <cell r="F3460" t="str">
            <v>0016</v>
          </cell>
          <cell r="G3460">
            <v>13</v>
          </cell>
          <cell r="H3460">
            <v>75.62</v>
          </cell>
          <cell r="I3460">
            <v>2541.4579345320008</v>
          </cell>
          <cell r="J3460">
            <v>0</v>
          </cell>
        </row>
        <row r="3461">
          <cell r="E3461">
            <v>10140009</v>
          </cell>
          <cell r="F3461" t="str">
            <v>0021</v>
          </cell>
          <cell r="G3461">
            <v>7</v>
          </cell>
          <cell r="H3461">
            <v>23.39</v>
          </cell>
          <cell r="I3461">
            <v>998.66924789247014</v>
          </cell>
          <cell r="J3461">
            <v>0</v>
          </cell>
        </row>
        <row r="3462">
          <cell r="E3462">
            <v>10140009</v>
          </cell>
          <cell r="F3462" t="str">
            <v>0031</v>
          </cell>
          <cell r="G3462">
            <v>11</v>
          </cell>
          <cell r="H3462">
            <v>194.45999999999998</v>
          </cell>
          <cell r="I3462">
            <v>7453.2286477440011</v>
          </cell>
          <cell r="J3462">
            <v>0</v>
          </cell>
        </row>
        <row r="3463">
          <cell r="E3463">
            <v>10140009</v>
          </cell>
          <cell r="F3463" t="str">
            <v>0041</v>
          </cell>
          <cell r="G3463">
            <v>6</v>
          </cell>
          <cell r="H3463">
            <v>16.62</v>
          </cell>
          <cell r="I3463">
            <v>620.67245407200016</v>
          </cell>
          <cell r="J3463">
            <v>0</v>
          </cell>
        </row>
        <row r="3464">
          <cell r="E3464">
            <v>10140012</v>
          </cell>
          <cell r="F3464" t="str">
            <v>0001</v>
          </cell>
          <cell r="G3464">
            <v>11</v>
          </cell>
          <cell r="H3464">
            <v>12.299999999999999</v>
          </cell>
          <cell r="I3464">
            <v>576.87287628000001</v>
          </cell>
          <cell r="J3464">
            <v>0</v>
          </cell>
        </row>
        <row r="3465">
          <cell r="E3465">
            <v>10140012</v>
          </cell>
          <cell r="F3465" t="str">
            <v>0002</v>
          </cell>
          <cell r="G3465">
            <v>4</v>
          </cell>
          <cell r="H3465">
            <v>160.5</v>
          </cell>
          <cell r="I3465">
            <v>5743.5521734800004</v>
          </cell>
          <cell r="J3465">
            <v>3304</v>
          </cell>
        </row>
        <row r="3466">
          <cell r="E3466">
            <v>10140012</v>
          </cell>
          <cell r="F3466" t="str">
            <v>0004</v>
          </cell>
          <cell r="G3466">
            <v>12</v>
          </cell>
          <cell r="H3466">
            <v>26.200000000000003</v>
          </cell>
          <cell r="I3466">
            <v>926.41826772000013</v>
          </cell>
          <cell r="J3466">
            <v>0</v>
          </cell>
        </row>
        <row r="3467">
          <cell r="E3467">
            <v>10140012</v>
          </cell>
          <cell r="F3467" t="str">
            <v>0008</v>
          </cell>
          <cell r="G3467">
            <v>7</v>
          </cell>
          <cell r="H3467">
            <v>7.6999999999999993</v>
          </cell>
          <cell r="I3467">
            <v>310.78940904000007</v>
          </cell>
          <cell r="J3467">
            <v>0</v>
          </cell>
        </row>
        <row r="3468">
          <cell r="E3468">
            <v>10140012</v>
          </cell>
          <cell r="F3468" t="str">
            <v>0009</v>
          </cell>
          <cell r="G3468">
            <v>5</v>
          </cell>
          <cell r="H3468">
            <v>7.4</v>
          </cell>
          <cell r="I3468">
            <v>308.67417028800003</v>
          </cell>
          <cell r="J3468">
            <v>0</v>
          </cell>
        </row>
        <row r="3469">
          <cell r="E3469">
            <v>10140012</v>
          </cell>
          <cell r="F3469" t="str">
            <v>0017</v>
          </cell>
          <cell r="G3469">
            <v>14</v>
          </cell>
          <cell r="H3469">
            <v>345.90000000000003</v>
          </cell>
          <cell r="I3469">
            <v>12953.167029</v>
          </cell>
          <cell r="J3469">
            <v>0</v>
          </cell>
        </row>
        <row r="3470">
          <cell r="E3470">
            <v>10140012</v>
          </cell>
          <cell r="F3470" t="str">
            <v>0020</v>
          </cell>
          <cell r="G3470">
            <v>7</v>
          </cell>
          <cell r="H3470">
            <v>22.5</v>
          </cell>
          <cell r="I3470">
            <v>1132.97184014247</v>
          </cell>
          <cell r="J3470">
            <v>0</v>
          </cell>
        </row>
        <row r="3471">
          <cell r="E3471">
            <v>10140012</v>
          </cell>
          <cell r="F3471" t="str">
            <v>0029</v>
          </cell>
          <cell r="G3471">
            <v>13</v>
          </cell>
          <cell r="H3471">
            <v>46.4</v>
          </cell>
          <cell r="I3471">
            <v>1638.7649704800001</v>
          </cell>
          <cell r="J3471">
            <v>0</v>
          </cell>
        </row>
        <row r="3472">
          <cell r="E3472">
            <v>10140012</v>
          </cell>
          <cell r="F3472" t="str">
            <v>0038</v>
          </cell>
          <cell r="G3472">
            <v>14</v>
          </cell>
          <cell r="H3472">
            <v>30.9</v>
          </cell>
          <cell r="I3472">
            <v>1537.0371054472553</v>
          </cell>
          <cell r="J3472">
            <v>0</v>
          </cell>
        </row>
        <row r="3473">
          <cell r="E3473">
            <v>10140012</v>
          </cell>
          <cell r="F3473" t="str">
            <v>0051</v>
          </cell>
          <cell r="G3473">
            <v>7</v>
          </cell>
          <cell r="H3473">
            <v>19.400000000000002</v>
          </cell>
          <cell r="I3473">
            <v>709.04569032000018</v>
          </cell>
          <cell r="J3473">
            <v>0</v>
          </cell>
        </row>
        <row r="3474">
          <cell r="E3474">
            <v>10140012</v>
          </cell>
          <cell r="F3474" t="str">
            <v>0052</v>
          </cell>
          <cell r="G3474">
            <v>8</v>
          </cell>
          <cell r="H3474">
            <v>40.199999999999996</v>
          </cell>
          <cell r="I3474">
            <v>1396.08779112</v>
          </cell>
          <cell r="J3474">
            <v>0</v>
          </cell>
        </row>
        <row r="3475">
          <cell r="E3475">
            <v>10140012</v>
          </cell>
          <cell r="F3475" t="str">
            <v>0054</v>
          </cell>
          <cell r="G3475">
            <v>8</v>
          </cell>
          <cell r="H3475">
            <v>19.7</v>
          </cell>
          <cell r="I3475">
            <v>679.39858404000006</v>
          </cell>
          <cell r="J3475">
            <v>0</v>
          </cell>
        </row>
        <row r="3476">
          <cell r="E3476">
            <v>10140012</v>
          </cell>
          <cell r="F3476" t="str">
            <v>0056</v>
          </cell>
          <cell r="G3476">
            <v>7</v>
          </cell>
          <cell r="H3476">
            <v>11.7</v>
          </cell>
          <cell r="I3476">
            <v>453.76277364000009</v>
          </cell>
          <cell r="J3476">
            <v>0</v>
          </cell>
        </row>
        <row r="3477">
          <cell r="E3477">
            <v>10140012</v>
          </cell>
          <cell r="F3477" t="str">
            <v>0061</v>
          </cell>
          <cell r="G3477">
            <v>8</v>
          </cell>
          <cell r="H3477">
            <v>16.7</v>
          </cell>
          <cell r="I3477">
            <v>658.06470180000008</v>
          </cell>
          <cell r="J3477">
            <v>0</v>
          </cell>
        </row>
        <row r="3478">
          <cell r="E3478">
            <v>10140012</v>
          </cell>
          <cell r="F3478" t="str">
            <v>0080</v>
          </cell>
          <cell r="G3478">
            <v>7</v>
          </cell>
          <cell r="H3478">
            <v>18.399999999999999</v>
          </cell>
          <cell r="I3478">
            <v>720.48936168</v>
          </cell>
          <cell r="J3478">
            <v>0</v>
          </cell>
        </row>
        <row r="3479">
          <cell r="E3479">
            <v>10140012</v>
          </cell>
          <cell r="F3479" t="str">
            <v>0085</v>
          </cell>
          <cell r="G3479">
            <v>13</v>
          </cell>
          <cell r="H3479">
            <v>62.599999999999987</v>
          </cell>
          <cell r="I3479">
            <v>3718.8904435021805</v>
          </cell>
          <cell r="J3479">
            <v>0</v>
          </cell>
        </row>
        <row r="3480">
          <cell r="E3480">
            <v>10140012</v>
          </cell>
          <cell r="F3480" t="str">
            <v>0089</v>
          </cell>
          <cell r="G3480">
            <v>14</v>
          </cell>
          <cell r="H3480">
            <v>38.000000000000007</v>
          </cell>
          <cell r="I3480">
            <v>1793.4088498867104</v>
          </cell>
          <cell r="J3480">
            <v>0</v>
          </cell>
        </row>
        <row r="3481">
          <cell r="E3481">
            <v>10140012</v>
          </cell>
          <cell r="F3481" t="str">
            <v>0100</v>
          </cell>
          <cell r="G3481">
            <v>7</v>
          </cell>
          <cell r="H3481">
            <v>13.2</v>
          </cell>
          <cell r="I3481">
            <v>561.06761040000004</v>
          </cell>
          <cell r="J3481">
            <v>0</v>
          </cell>
        </row>
        <row r="3482">
          <cell r="E3482">
            <v>10140012</v>
          </cell>
          <cell r="F3482" t="str">
            <v>0101</v>
          </cell>
          <cell r="G3482">
            <v>7</v>
          </cell>
          <cell r="H3482">
            <v>20.400000000000002</v>
          </cell>
          <cell r="I3482">
            <v>700.21667232000004</v>
          </cell>
          <cell r="J3482">
            <v>0</v>
          </cell>
        </row>
        <row r="3483">
          <cell r="E3483">
            <v>10140012</v>
          </cell>
          <cell r="F3483" t="str">
            <v>0109</v>
          </cell>
          <cell r="G3483">
            <v>7</v>
          </cell>
          <cell r="H3483">
            <v>6.1</v>
          </cell>
          <cell r="I3483">
            <v>394.64590132400002</v>
          </cell>
          <cell r="J3483">
            <v>0</v>
          </cell>
        </row>
        <row r="3484">
          <cell r="E3484">
            <v>10140012</v>
          </cell>
          <cell r="F3484" t="str">
            <v>0117</v>
          </cell>
          <cell r="G3484">
            <v>3</v>
          </cell>
          <cell r="H3484">
            <v>4</v>
          </cell>
          <cell r="I3484">
            <v>165.08365236000003</v>
          </cell>
          <cell r="J3484">
            <v>0</v>
          </cell>
        </row>
        <row r="3485">
          <cell r="E3485">
            <v>10140012</v>
          </cell>
          <cell r="F3485" t="str">
            <v>0121</v>
          </cell>
          <cell r="G3485">
            <v>1</v>
          </cell>
          <cell r="H3485">
            <v>53.3</v>
          </cell>
          <cell r="I3485">
            <v>2296.5206273640001</v>
          </cell>
          <cell r="J3485">
            <v>0</v>
          </cell>
        </row>
        <row r="3486">
          <cell r="E3486">
            <v>10140012</v>
          </cell>
          <cell r="F3486" t="str">
            <v>0127</v>
          </cell>
          <cell r="G3486">
            <v>7</v>
          </cell>
          <cell r="H3486">
            <v>8.9</v>
          </cell>
          <cell r="I3486">
            <v>616.84171506500002</v>
          </cell>
          <cell r="J3486">
            <v>0</v>
          </cell>
        </row>
        <row r="3487">
          <cell r="E3487">
            <v>10140012</v>
          </cell>
          <cell r="F3487" t="str">
            <v>0129</v>
          </cell>
          <cell r="G3487">
            <v>3</v>
          </cell>
          <cell r="H3487">
            <v>7.6999999999999993</v>
          </cell>
          <cell r="I3487">
            <v>376.70106497440003</v>
          </cell>
          <cell r="J3487">
            <v>0</v>
          </cell>
        </row>
        <row r="3488">
          <cell r="E3488">
            <v>10140013</v>
          </cell>
          <cell r="F3488" t="str">
            <v>0001</v>
          </cell>
          <cell r="G3488">
            <v>1</v>
          </cell>
          <cell r="H3488">
            <v>3</v>
          </cell>
          <cell r="I3488">
            <v>102.96336600000001</v>
          </cell>
          <cell r="J3488">
            <v>0</v>
          </cell>
        </row>
        <row r="3489">
          <cell r="E3489">
            <v>10140013</v>
          </cell>
          <cell r="F3489" t="str">
            <v>0011</v>
          </cell>
          <cell r="G3489">
            <v>1</v>
          </cell>
          <cell r="H3489">
            <v>10</v>
          </cell>
          <cell r="I3489">
            <v>505.06212119999998</v>
          </cell>
          <cell r="J3489">
            <v>0</v>
          </cell>
        </row>
        <row r="3490">
          <cell r="E3490">
            <v>10140013</v>
          </cell>
          <cell r="F3490" t="str">
            <v>0019</v>
          </cell>
          <cell r="G3490">
            <v>2</v>
          </cell>
          <cell r="H3490">
            <v>2.6</v>
          </cell>
          <cell r="I3490">
            <v>143.96374658600001</v>
          </cell>
          <cell r="J3490">
            <v>0</v>
          </cell>
        </row>
        <row r="3491">
          <cell r="E3491">
            <v>10140013</v>
          </cell>
          <cell r="F3491" t="str">
            <v>0024</v>
          </cell>
          <cell r="G3491">
            <v>14</v>
          </cell>
          <cell r="H3491">
            <v>203</v>
          </cell>
          <cell r="I3491">
            <v>7327.2803155200017</v>
          </cell>
          <cell r="J3491">
            <v>0</v>
          </cell>
        </row>
        <row r="3492">
          <cell r="E3492">
            <v>10140013</v>
          </cell>
          <cell r="F3492" t="str">
            <v>0038</v>
          </cell>
          <cell r="G3492">
            <v>6</v>
          </cell>
          <cell r="H3492">
            <v>372.4</v>
          </cell>
          <cell r="I3492">
            <v>14611.807084896001</v>
          </cell>
          <cell r="J3492">
            <v>0</v>
          </cell>
        </row>
        <row r="3493">
          <cell r="E3493">
            <v>10140018</v>
          </cell>
          <cell r="F3493" t="str">
            <v>0002</v>
          </cell>
          <cell r="G3493">
            <v>6</v>
          </cell>
          <cell r="H3493">
            <v>284.49999999999994</v>
          </cell>
          <cell r="I3493">
            <v>13346.194369238801</v>
          </cell>
          <cell r="J3493">
            <v>2065</v>
          </cell>
        </row>
        <row r="3494">
          <cell r="E3494">
            <v>10140018</v>
          </cell>
          <cell r="F3494" t="str">
            <v>0025</v>
          </cell>
          <cell r="G3494">
            <v>10</v>
          </cell>
          <cell r="H3494">
            <v>40.800000000000004</v>
          </cell>
          <cell r="I3494">
            <v>2262.7624056709601</v>
          </cell>
          <cell r="J3494">
            <v>0</v>
          </cell>
        </row>
        <row r="3495">
          <cell r="E3495">
            <v>10140018</v>
          </cell>
          <cell r="F3495" t="str">
            <v>0048</v>
          </cell>
          <cell r="G3495">
            <v>3</v>
          </cell>
          <cell r="H3495">
            <v>6.6</v>
          </cell>
          <cell r="I3495">
            <v>249.34039218000001</v>
          </cell>
          <cell r="J3495">
            <v>0</v>
          </cell>
        </row>
        <row r="3496">
          <cell r="E3496">
            <v>10140018</v>
          </cell>
          <cell r="F3496" t="str">
            <v>0055</v>
          </cell>
          <cell r="G3496">
            <v>9</v>
          </cell>
          <cell r="H3496">
            <v>16.900000000000002</v>
          </cell>
          <cell r="I3496">
            <v>994.0628853454001</v>
          </cell>
          <cell r="J3496">
            <v>0</v>
          </cell>
        </row>
        <row r="3497">
          <cell r="E3497">
            <v>10140018</v>
          </cell>
          <cell r="F3497" t="str">
            <v>0057</v>
          </cell>
          <cell r="G3497">
            <v>9</v>
          </cell>
          <cell r="H3497">
            <v>20.7</v>
          </cell>
          <cell r="I3497">
            <v>1296.1858718733799</v>
          </cell>
          <cell r="J3497">
            <v>0</v>
          </cell>
        </row>
        <row r="3498">
          <cell r="E3498">
            <v>10140018</v>
          </cell>
          <cell r="F3498" t="str">
            <v>0058</v>
          </cell>
          <cell r="G3498">
            <v>7</v>
          </cell>
          <cell r="H3498">
            <v>15.099999999999998</v>
          </cell>
          <cell r="I3498">
            <v>975.3301713738</v>
          </cell>
          <cell r="J3498">
            <v>0</v>
          </cell>
        </row>
        <row r="3499">
          <cell r="E3499">
            <v>10140018</v>
          </cell>
          <cell r="F3499" t="str">
            <v>0059</v>
          </cell>
          <cell r="G3499">
            <v>8</v>
          </cell>
          <cell r="H3499">
            <v>17.899999999999999</v>
          </cell>
          <cell r="I3499">
            <v>1071.6528385729998</v>
          </cell>
          <cell r="J3499">
            <v>0</v>
          </cell>
        </row>
        <row r="3500">
          <cell r="E3500">
            <v>10140018</v>
          </cell>
          <cell r="F3500" t="str">
            <v>0060</v>
          </cell>
          <cell r="G3500">
            <v>9</v>
          </cell>
          <cell r="H3500">
            <v>15.999999999999998</v>
          </cell>
          <cell r="I3500">
            <v>988.14562376960021</v>
          </cell>
          <cell r="J3500">
            <v>0</v>
          </cell>
        </row>
        <row r="3501">
          <cell r="E3501">
            <v>10140018</v>
          </cell>
          <cell r="F3501" t="str">
            <v>0061</v>
          </cell>
          <cell r="G3501">
            <v>5</v>
          </cell>
          <cell r="H3501">
            <v>8.7999999999999989</v>
          </cell>
          <cell r="I3501">
            <v>488.53414324270005</v>
          </cell>
          <cell r="J3501">
            <v>0</v>
          </cell>
        </row>
        <row r="3502">
          <cell r="E3502">
            <v>10140018</v>
          </cell>
          <cell r="F3502" t="str">
            <v>0062</v>
          </cell>
          <cell r="G3502">
            <v>4</v>
          </cell>
          <cell r="H3502">
            <v>6.6</v>
          </cell>
          <cell r="I3502">
            <v>386.50800336930001</v>
          </cell>
          <cell r="J3502">
            <v>0</v>
          </cell>
        </row>
        <row r="3503">
          <cell r="E3503">
            <v>10140018</v>
          </cell>
          <cell r="F3503" t="str">
            <v>0063</v>
          </cell>
          <cell r="G3503">
            <v>4</v>
          </cell>
          <cell r="H3503">
            <v>9.5</v>
          </cell>
          <cell r="I3503">
            <v>534.81982136680006</v>
          </cell>
          <cell r="J3503">
            <v>0</v>
          </cell>
        </row>
        <row r="3504">
          <cell r="E3504">
            <v>10140018</v>
          </cell>
          <cell r="F3504" t="str">
            <v>0064</v>
          </cell>
          <cell r="G3504">
            <v>1</v>
          </cell>
          <cell r="H3504">
            <v>9.4</v>
          </cell>
          <cell r="I3504">
            <v>426.84574680000003</v>
          </cell>
          <cell r="J3504">
            <v>0</v>
          </cell>
        </row>
        <row r="3505">
          <cell r="E3505">
            <v>10140018</v>
          </cell>
          <cell r="F3505" t="str">
            <v>0065</v>
          </cell>
          <cell r="G3505">
            <v>1</v>
          </cell>
          <cell r="H3505">
            <v>1.7</v>
          </cell>
          <cell r="I3505">
            <v>95.10736948200001</v>
          </cell>
          <cell r="J3505">
            <v>0</v>
          </cell>
        </row>
        <row r="3506">
          <cell r="E3506">
            <v>10140018</v>
          </cell>
          <cell r="F3506" t="str">
            <v>0066</v>
          </cell>
          <cell r="G3506">
            <v>1</v>
          </cell>
          <cell r="H3506">
            <v>2.5</v>
          </cell>
          <cell r="I3506">
            <v>115.23079961249999</v>
          </cell>
          <cell r="J3506">
            <v>0</v>
          </cell>
        </row>
        <row r="3507">
          <cell r="E3507">
            <v>10140020</v>
          </cell>
          <cell r="F3507" t="str">
            <v>0002</v>
          </cell>
          <cell r="G3507">
            <v>1</v>
          </cell>
          <cell r="H3507">
            <v>192</v>
          </cell>
          <cell r="I3507">
            <v>6184.1387520000007</v>
          </cell>
          <cell r="J3507">
            <v>0</v>
          </cell>
        </row>
        <row r="3508">
          <cell r="E3508">
            <v>10140022</v>
          </cell>
          <cell r="F3508" t="str">
            <v>0001</v>
          </cell>
          <cell r="G3508">
            <v>2</v>
          </cell>
          <cell r="H3508">
            <v>1.2</v>
          </cell>
          <cell r="I3508">
            <v>42.373267200000001</v>
          </cell>
          <cell r="J3508">
            <v>0</v>
          </cell>
        </row>
        <row r="3509">
          <cell r="E3509">
            <v>10140022</v>
          </cell>
          <cell r="F3509" t="str">
            <v>0002</v>
          </cell>
          <cell r="G3509">
            <v>12</v>
          </cell>
          <cell r="H3509">
            <v>70.300000000000011</v>
          </cell>
          <cell r="I3509">
            <v>2636.9220873600007</v>
          </cell>
          <cell r="J3509">
            <v>0</v>
          </cell>
        </row>
        <row r="3510">
          <cell r="E3510">
            <v>10140022</v>
          </cell>
          <cell r="F3510" t="str">
            <v>0022</v>
          </cell>
          <cell r="G3510">
            <v>12</v>
          </cell>
          <cell r="H3510">
            <v>201</v>
          </cell>
          <cell r="I3510">
            <v>7520.3913312000013</v>
          </cell>
          <cell r="J3510">
            <v>0</v>
          </cell>
        </row>
        <row r="3511">
          <cell r="E3511">
            <v>10140022</v>
          </cell>
          <cell r="F3511" t="str">
            <v>0062</v>
          </cell>
          <cell r="G3511">
            <v>12</v>
          </cell>
          <cell r="H3511">
            <v>149</v>
          </cell>
          <cell r="I3511">
            <v>5547.4621884000007</v>
          </cell>
          <cell r="J3511">
            <v>0</v>
          </cell>
        </row>
        <row r="3512">
          <cell r="E3512">
            <v>10140032</v>
          </cell>
          <cell r="F3512" t="str">
            <v>0002</v>
          </cell>
          <cell r="G3512">
            <v>1</v>
          </cell>
          <cell r="H3512">
            <v>183</v>
          </cell>
          <cell r="I3512">
            <v>6039.1932480000014</v>
          </cell>
          <cell r="J3512">
            <v>3971.88</v>
          </cell>
        </row>
        <row r="3513">
          <cell r="E3513">
            <v>10140033</v>
          </cell>
          <cell r="F3513" t="str">
            <v>0002</v>
          </cell>
          <cell r="G3513">
            <v>2</v>
          </cell>
          <cell r="H3513">
            <v>582</v>
          </cell>
          <cell r="I3513">
            <v>18569.846592000002</v>
          </cell>
          <cell r="J3513">
            <v>2360</v>
          </cell>
        </row>
        <row r="3514">
          <cell r="E3514">
            <v>10140034</v>
          </cell>
          <cell r="F3514" t="str">
            <v>0001</v>
          </cell>
          <cell r="G3514">
            <v>14</v>
          </cell>
          <cell r="H3514">
            <v>14.5</v>
          </cell>
          <cell r="I3514">
            <v>550.99745058600013</v>
          </cell>
          <cell r="J3514">
            <v>0</v>
          </cell>
        </row>
        <row r="3515">
          <cell r="E3515">
            <v>10140034</v>
          </cell>
          <cell r="F3515" t="str">
            <v>0002</v>
          </cell>
          <cell r="G3515">
            <v>14</v>
          </cell>
          <cell r="H3515">
            <v>292.40000000000003</v>
          </cell>
          <cell r="I3515">
            <v>12474.457439470762</v>
          </cell>
          <cell r="J3515">
            <v>82.6</v>
          </cell>
        </row>
        <row r="3516">
          <cell r="E3516">
            <v>10140034</v>
          </cell>
          <cell r="F3516" t="str">
            <v>0008</v>
          </cell>
          <cell r="G3516">
            <v>13</v>
          </cell>
          <cell r="H3516">
            <v>179.6</v>
          </cell>
          <cell r="I3516">
            <v>6618.4214049000011</v>
          </cell>
          <cell r="J3516">
            <v>0</v>
          </cell>
        </row>
        <row r="3517">
          <cell r="E3517">
            <v>10140034</v>
          </cell>
          <cell r="F3517" t="str">
            <v>0030</v>
          </cell>
          <cell r="G3517">
            <v>14</v>
          </cell>
          <cell r="H3517">
            <v>146.80000000000001</v>
          </cell>
          <cell r="I3517">
            <v>5746.2182336464593</v>
          </cell>
          <cell r="J3517">
            <v>0</v>
          </cell>
        </row>
        <row r="3518">
          <cell r="E3518">
            <v>10140039</v>
          </cell>
          <cell r="F3518" t="str">
            <v>0001</v>
          </cell>
          <cell r="G3518">
            <v>14</v>
          </cell>
          <cell r="H3518">
            <v>7.3</v>
          </cell>
          <cell r="I3518">
            <v>273.02347512000006</v>
          </cell>
          <cell r="J3518">
            <v>0</v>
          </cell>
        </row>
        <row r="3519">
          <cell r="E3519">
            <v>10140039</v>
          </cell>
          <cell r="F3519" t="str">
            <v>0002</v>
          </cell>
          <cell r="G3519">
            <v>1</v>
          </cell>
          <cell r="H3519">
            <v>10.9</v>
          </cell>
          <cell r="I3519">
            <v>359.71151040000007</v>
          </cell>
          <cell r="J3519">
            <v>0</v>
          </cell>
        </row>
        <row r="3520">
          <cell r="E3520">
            <v>10140039</v>
          </cell>
          <cell r="F3520" t="str">
            <v>0012</v>
          </cell>
          <cell r="G3520">
            <v>12</v>
          </cell>
          <cell r="H3520">
            <v>28.400000000000002</v>
          </cell>
          <cell r="I3520">
            <v>972.71098848000031</v>
          </cell>
          <cell r="J3520">
            <v>0</v>
          </cell>
        </row>
        <row r="3521">
          <cell r="E3521">
            <v>10140039</v>
          </cell>
          <cell r="F3521" t="str">
            <v>0014</v>
          </cell>
          <cell r="G3521">
            <v>14</v>
          </cell>
          <cell r="H3521">
            <v>50.8</v>
          </cell>
          <cell r="I3521">
            <v>2664.4173725528003</v>
          </cell>
          <cell r="J3521">
            <v>0</v>
          </cell>
        </row>
        <row r="3522">
          <cell r="E3522">
            <v>10140039</v>
          </cell>
          <cell r="F3522" t="str">
            <v>0020</v>
          </cell>
          <cell r="G3522">
            <v>10</v>
          </cell>
          <cell r="H3522">
            <v>23.500000000000004</v>
          </cell>
          <cell r="I3522">
            <v>798.83651232</v>
          </cell>
          <cell r="J3522">
            <v>0</v>
          </cell>
        </row>
        <row r="3523">
          <cell r="E3523">
            <v>10140039</v>
          </cell>
          <cell r="F3523" t="str">
            <v>0033</v>
          </cell>
          <cell r="G3523">
            <v>7</v>
          </cell>
          <cell r="H3523">
            <v>9.7999999999999989</v>
          </cell>
          <cell r="I3523">
            <v>306.52894087200002</v>
          </cell>
          <cell r="J3523">
            <v>0</v>
          </cell>
        </row>
        <row r="3524">
          <cell r="E3524">
            <v>10140039</v>
          </cell>
          <cell r="F3524" t="str">
            <v>0057</v>
          </cell>
          <cell r="G3524">
            <v>9</v>
          </cell>
          <cell r="H3524">
            <v>14.499999999999998</v>
          </cell>
          <cell r="I3524">
            <v>540.6611086800001</v>
          </cell>
          <cell r="J3524">
            <v>0</v>
          </cell>
        </row>
        <row r="3525">
          <cell r="E3525">
            <v>10140039</v>
          </cell>
          <cell r="F3525" t="str">
            <v>0059</v>
          </cell>
          <cell r="G3525">
            <v>14</v>
          </cell>
          <cell r="H3525">
            <v>174.10000000000002</v>
          </cell>
          <cell r="I3525">
            <v>6053.2056921600006</v>
          </cell>
          <cell r="J3525">
            <v>0</v>
          </cell>
        </row>
        <row r="3526">
          <cell r="E3526">
            <v>10140039</v>
          </cell>
          <cell r="F3526" t="str">
            <v>0080</v>
          </cell>
          <cell r="G3526">
            <v>6</v>
          </cell>
          <cell r="H3526">
            <v>34.6</v>
          </cell>
          <cell r="I3526">
            <v>1156.36344912</v>
          </cell>
          <cell r="J3526">
            <v>0</v>
          </cell>
        </row>
        <row r="3527">
          <cell r="E3527">
            <v>10140039</v>
          </cell>
          <cell r="F3527" t="str">
            <v>0081</v>
          </cell>
          <cell r="G3527">
            <v>4</v>
          </cell>
          <cell r="H3527">
            <v>6.4</v>
          </cell>
          <cell r="I3527">
            <v>247.05794520000001</v>
          </cell>
          <cell r="J3527">
            <v>0</v>
          </cell>
        </row>
        <row r="3528">
          <cell r="E3528">
            <v>10140039</v>
          </cell>
          <cell r="F3528" t="str">
            <v>0082</v>
          </cell>
          <cell r="G3528">
            <v>8</v>
          </cell>
          <cell r="H3528">
            <v>11</v>
          </cell>
          <cell r="I3528">
            <v>409.72663116000001</v>
          </cell>
          <cell r="J3528">
            <v>0</v>
          </cell>
        </row>
        <row r="3529">
          <cell r="E3529">
            <v>10140039</v>
          </cell>
          <cell r="F3529" t="str">
            <v>0091</v>
          </cell>
          <cell r="G3529">
            <v>6</v>
          </cell>
          <cell r="H3529">
            <v>21.5</v>
          </cell>
          <cell r="I3529">
            <v>792.08891784000002</v>
          </cell>
          <cell r="J3529">
            <v>0</v>
          </cell>
        </row>
        <row r="3530">
          <cell r="E3530">
            <v>10140039</v>
          </cell>
          <cell r="F3530" t="str">
            <v>0093</v>
          </cell>
          <cell r="G3530">
            <v>6</v>
          </cell>
          <cell r="H3530">
            <v>7.3</v>
          </cell>
          <cell r="I3530">
            <v>293.23299060000005</v>
          </cell>
          <cell r="J3530">
            <v>0</v>
          </cell>
        </row>
        <row r="3531">
          <cell r="E3531">
            <v>10140039</v>
          </cell>
          <cell r="F3531" t="str">
            <v>0094</v>
          </cell>
          <cell r="G3531">
            <v>7</v>
          </cell>
          <cell r="H3531">
            <v>10.700000000000001</v>
          </cell>
          <cell r="I3531">
            <v>512.53902232440009</v>
          </cell>
          <cell r="J3531">
            <v>0</v>
          </cell>
        </row>
        <row r="3532">
          <cell r="E3532">
            <v>10140039</v>
          </cell>
          <cell r="F3532" t="str">
            <v>0109</v>
          </cell>
          <cell r="G3532">
            <v>14</v>
          </cell>
          <cell r="H3532">
            <v>66.399999999999991</v>
          </cell>
          <cell r="I3532">
            <v>2374.0672942800002</v>
          </cell>
          <cell r="J3532">
            <v>0</v>
          </cell>
        </row>
        <row r="3533">
          <cell r="E3533">
            <v>10140039</v>
          </cell>
          <cell r="F3533" t="str">
            <v>0110</v>
          </cell>
          <cell r="G3533">
            <v>14</v>
          </cell>
          <cell r="H3533">
            <v>49.5</v>
          </cell>
          <cell r="I3533">
            <v>2191.4662436560802</v>
          </cell>
          <cell r="J3533">
            <v>0</v>
          </cell>
        </row>
        <row r="3534">
          <cell r="E3534">
            <v>10140039</v>
          </cell>
          <cell r="F3534" t="str">
            <v>0112</v>
          </cell>
          <cell r="G3534">
            <v>13</v>
          </cell>
          <cell r="H3534">
            <v>24.5</v>
          </cell>
          <cell r="I3534">
            <v>933.71387076000008</v>
          </cell>
          <cell r="J3534">
            <v>0</v>
          </cell>
        </row>
        <row r="3535">
          <cell r="E3535">
            <v>10140039</v>
          </cell>
          <cell r="F3535" t="str">
            <v>0115</v>
          </cell>
          <cell r="G3535">
            <v>8</v>
          </cell>
          <cell r="H3535">
            <v>17.899999999999999</v>
          </cell>
          <cell r="I3535">
            <v>696.14964619200009</v>
          </cell>
          <cell r="J3535">
            <v>0</v>
          </cell>
        </row>
        <row r="3536">
          <cell r="E3536">
            <v>10140041</v>
          </cell>
          <cell r="F3536" t="str">
            <v>0002</v>
          </cell>
          <cell r="G3536">
            <v>1</v>
          </cell>
          <cell r="H3536">
            <v>568</v>
          </cell>
          <cell r="I3536">
            <v>22043.573798400001</v>
          </cell>
          <cell r="J3536">
            <v>413</v>
          </cell>
        </row>
        <row r="3537">
          <cell r="E3537">
            <v>10140043</v>
          </cell>
          <cell r="F3537" t="str">
            <v>0013</v>
          </cell>
          <cell r="G3537">
            <v>1</v>
          </cell>
          <cell r="H3537">
            <v>71.099999999999994</v>
          </cell>
          <cell r="I3537">
            <v>2862.5657741999999</v>
          </cell>
          <cell r="J3537">
            <v>0</v>
          </cell>
        </row>
        <row r="3538">
          <cell r="E3538">
            <v>10140045</v>
          </cell>
          <cell r="F3538" t="str">
            <v>0001</v>
          </cell>
          <cell r="G3538">
            <v>3</v>
          </cell>
          <cell r="H3538">
            <v>2.04</v>
          </cell>
          <cell r="I3538">
            <v>74.391736320000007</v>
          </cell>
          <cell r="J3538">
            <v>0</v>
          </cell>
        </row>
        <row r="3539">
          <cell r="E3539">
            <v>10140045</v>
          </cell>
          <cell r="F3539" t="str">
            <v>0002</v>
          </cell>
          <cell r="G3539">
            <v>4</v>
          </cell>
          <cell r="H3539">
            <v>108.35</v>
          </cell>
          <cell r="I3539">
            <v>4304.6732757600003</v>
          </cell>
          <cell r="J3539">
            <v>0</v>
          </cell>
        </row>
        <row r="3540">
          <cell r="E3540">
            <v>10140045</v>
          </cell>
          <cell r="F3540" t="str">
            <v>0003</v>
          </cell>
          <cell r="G3540">
            <v>3</v>
          </cell>
          <cell r="H3540">
            <v>37.349999999999994</v>
          </cell>
          <cell r="I3540">
            <v>1389.9016137600001</v>
          </cell>
          <cell r="J3540">
            <v>0</v>
          </cell>
        </row>
        <row r="3541">
          <cell r="E3541">
            <v>10140045</v>
          </cell>
          <cell r="F3541" t="str">
            <v>0005</v>
          </cell>
          <cell r="G3541">
            <v>3</v>
          </cell>
          <cell r="H3541">
            <v>37.349999999999994</v>
          </cell>
          <cell r="I3541">
            <v>1389.9016137600001</v>
          </cell>
          <cell r="J3541">
            <v>0</v>
          </cell>
        </row>
        <row r="3542">
          <cell r="E3542">
            <v>10140045</v>
          </cell>
          <cell r="F3542" t="str">
            <v>0006</v>
          </cell>
          <cell r="G3542">
            <v>3</v>
          </cell>
          <cell r="H3542">
            <v>37.349999999999994</v>
          </cell>
          <cell r="I3542">
            <v>1389.9016137600001</v>
          </cell>
          <cell r="J3542">
            <v>0</v>
          </cell>
        </row>
        <row r="3543">
          <cell r="E3543">
            <v>10140047</v>
          </cell>
          <cell r="F3543" t="str">
            <v>0001</v>
          </cell>
          <cell r="G3543">
            <v>6</v>
          </cell>
          <cell r="H3543">
            <v>1.07</v>
          </cell>
          <cell r="I3543">
            <v>51.852109683599998</v>
          </cell>
          <cell r="J3543">
            <v>0</v>
          </cell>
        </row>
        <row r="3544">
          <cell r="E3544">
            <v>10140047</v>
          </cell>
          <cell r="F3544" t="str">
            <v>0002</v>
          </cell>
          <cell r="G3544">
            <v>6</v>
          </cell>
          <cell r="H3544">
            <v>187.60999999999999</v>
          </cell>
          <cell r="I3544">
            <v>9806.2223487864412</v>
          </cell>
          <cell r="J3544">
            <v>3304</v>
          </cell>
        </row>
        <row r="3545">
          <cell r="E3545">
            <v>10140047</v>
          </cell>
          <cell r="F3545" t="str">
            <v>0011</v>
          </cell>
          <cell r="G3545">
            <v>6</v>
          </cell>
          <cell r="H3545">
            <v>154.85999999999999</v>
          </cell>
          <cell r="I3545">
            <v>7493.7097146839797</v>
          </cell>
          <cell r="J3545">
            <v>0</v>
          </cell>
        </row>
        <row r="3546">
          <cell r="E3546">
            <v>10140048</v>
          </cell>
          <cell r="F3546" t="str">
            <v>0001</v>
          </cell>
          <cell r="G3546">
            <v>2</v>
          </cell>
          <cell r="H3546">
            <v>0.31</v>
          </cell>
          <cell r="I3546">
            <v>11.474560314000001</v>
          </cell>
          <cell r="J3546">
            <v>0</v>
          </cell>
        </row>
        <row r="3547">
          <cell r="E3547">
            <v>10140048</v>
          </cell>
          <cell r="F3547" t="str">
            <v>0002</v>
          </cell>
          <cell r="G3547">
            <v>3</v>
          </cell>
          <cell r="H3547">
            <v>29.189999999999998</v>
          </cell>
          <cell r="I3547">
            <v>1059.8027663044802</v>
          </cell>
          <cell r="J3547">
            <v>0</v>
          </cell>
        </row>
        <row r="3548">
          <cell r="E3548">
            <v>10140048</v>
          </cell>
          <cell r="F3548" t="str">
            <v>0005</v>
          </cell>
          <cell r="G3548">
            <v>3</v>
          </cell>
          <cell r="H3548">
            <v>12.379999999999999</v>
          </cell>
          <cell r="I3548">
            <v>611.79580949075</v>
          </cell>
          <cell r="J3548">
            <v>0</v>
          </cell>
        </row>
        <row r="3549">
          <cell r="E3549">
            <v>10140054</v>
          </cell>
          <cell r="F3549" t="str">
            <v>0001</v>
          </cell>
          <cell r="G3549">
            <v>14</v>
          </cell>
          <cell r="H3549">
            <v>5.54</v>
          </cell>
          <cell r="I3549">
            <v>224.64008911850402</v>
          </cell>
          <cell r="J3549">
            <v>0</v>
          </cell>
        </row>
        <row r="3550">
          <cell r="E3550">
            <v>10140054</v>
          </cell>
          <cell r="F3550" t="str">
            <v>0002</v>
          </cell>
          <cell r="G3550">
            <v>14</v>
          </cell>
          <cell r="H3550">
            <v>225.58</v>
          </cell>
          <cell r="I3550">
            <v>8859.9845612371355</v>
          </cell>
          <cell r="J3550">
            <v>0</v>
          </cell>
        </row>
        <row r="3551">
          <cell r="E3551">
            <v>10140054</v>
          </cell>
          <cell r="F3551" t="str">
            <v>0006</v>
          </cell>
          <cell r="G3551">
            <v>14</v>
          </cell>
          <cell r="H3551">
            <v>40.059999999999995</v>
          </cell>
          <cell r="I3551">
            <v>1640.5753192372799</v>
          </cell>
          <cell r="J3551">
            <v>0</v>
          </cell>
        </row>
        <row r="3552">
          <cell r="E3552">
            <v>10140054</v>
          </cell>
          <cell r="F3552" t="str">
            <v>0012</v>
          </cell>
          <cell r="G3552">
            <v>14</v>
          </cell>
          <cell r="H3552">
            <v>247.75</v>
          </cell>
          <cell r="I3552">
            <v>9774.3312946318183</v>
          </cell>
          <cell r="J3552">
            <v>0</v>
          </cell>
        </row>
        <row r="3553">
          <cell r="E3553">
            <v>10140054</v>
          </cell>
          <cell r="F3553" t="str">
            <v>0013</v>
          </cell>
          <cell r="G3553">
            <v>14</v>
          </cell>
          <cell r="H3553">
            <v>282.45999999999998</v>
          </cell>
          <cell r="I3553">
            <v>11199.353690396392</v>
          </cell>
          <cell r="J3553">
            <v>0</v>
          </cell>
        </row>
        <row r="3554">
          <cell r="E3554">
            <v>10140054</v>
          </cell>
          <cell r="F3554" t="str">
            <v>0021</v>
          </cell>
          <cell r="G3554">
            <v>6</v>
          </cell>
          <cell r="H3554">
            <v>18.97</v>
          </cell>
          <cell r="I3554">
            <v>899.64283518636</v>
          </cell>
          <cell r="J3554">
            <v>0</v>
          </cell>
        </row>
        <row r="3555">
          <cell r="E3555">
            <v>10140055</v>
          </cell>
          <cell r="F3555" t="str">
            <v>0002</v>
          </cell>
          <cell r="G3555">
            <v>2</v>
          </cell>
          <cell r="H3555">
            <v>935.8</v>
          </cell>
          <cell r="I3555">
            <v>37580.050767599998</v>
          </cell>
          <cell r="J3555">
            <v>0</v>
          </cell>
        </row>
        <row r="3556">
          <cell r="E3556">
            <v>10140058</v>
          </cell>
          <cell r="F3556" t="str">
            <v>0002</v>
          </cell>
          <cell r="G3556">
            <v>1</v>
          </cell>
          <cell r="H3556">
            <v>108</v>
          </cell>
          <cell r="I3556">
            <v>3621.1408992000001</v>
          </cell>
          <cell r="J3556">
            <v>2124</v>
          </cell>
        </row>
        <row r="3557">
          <cell r="E3557">
            <v>10140066</v>
          </cell>
          <cell r="F3557" t="str">
            <v>0001</v>
          </cell>
          <cell r="G3557">
            <v>9</v>
          </cell>
          <cell r="H3557">
            <v>2.1</v>
          </cell>
          <cell r="I3557">
            <v>114.38658573605001</v>
          </cell>
          <cell r="J3557">
            <v>0</v>
          </cell>
        </row>
        <row r="3558">
          <cell r="E3558">
            <v>10140066</v>
          </cell>
          <cell r="F3558" t="str">
            <v>0002</v>
          </cell>
          <cell r="G3558">
            <v>12</v>
          </cell>
          <cell r="H3558">
            <v>102.3</v>
          </cell>
          <cell r="I3558">
            <v>6214.3323790286158</v>
          </cell>
          <cell r="J3558">
            <v>3425</v>
          </cell>
        </row>
        <row r="3559">
          <cell r="E3559">
            <v>10140066</v>
          </cell>
          <cell r="F3559" t="str">
            <v>0003</v>
          </cell>
          <cell r="G3559">
            <v>8</v>
          </cell>
          <cell r="H3559">
            <v>62.8</v>
          </cell>
          <cell r="I3559">
            <v>3432.6890456584006</v>
          </cell>
          <cell r="J3559">
            <v>0</v>
          </cell>
        </row>
        <row r="3560">
          <cell r="E3560">
            <v>10140066</v>
          </cell>
          <cell r="F3560" t="str">
            <v>0041</v>
          </cell>
          <cell r="G3560">
            <v>10</v>
          </cell>
          <cell r="H3560">
            <v>61.099999999999994</v>
          </cell>
          <cell r="I3560">
            <v>3574.9232867640003</v>
          </cell>
          <cell r="J3560">
            <v>0</v>
          </cell>
        </row>
        <row r="3561">
          <cell r="E3561">
            <v>10140066</v>
          </cell>
          <cell r="F3561" t="str">
            <v>0042</v>
          </cell>
          <cell r="G3561">
            <v>5</v>
          </cell>
          <cell r="H3561">
            <v>38</v>
          </cell>
          <cell r="I3561">
            <v>2172.0912247063002</v>
          </cell>
          <cell r="J3561">
            <v>0</v>
          </cell>
        </row>
        <row r="3562">
          <cell r="E3562">
            <v>10140068</v>
          </cell>
          <cell r="F3562" t="str">
            <v>0002</v>
          </cell>
          <cell r="G3562">
            <v>12</v>
          </cell>
          <cell r="H3562">
            <v>388.99999999999994</v>
          </cell>
          <cell r="I3562">
            <v>15214.366206484003</v>
          </cell>
          <cell r="J3562">
            <v>0</v>
          </cell>
        </row>
        <row r="3563">
          <cell r="E3563">
            <v>10140068</v>
          </cell>
          <cell r="F3563" t="str">
            <v>0004</v>
          </cell>
          <cell r="G3563">
            <v>7</v>
          </cell>
          <cell r="H3563">
            <v>23.939999999999998</v>
          </cell>
          <cell r="I3563">
            <v>975.34057579199998</v>
          </cell>
          <cell r="J3563">
            <v>0</v>
          </cell>
        </row>
        <row r="3564">
          <cell r="E3564">
            <v>10140068</v>
          </cell>
          <cell r="F3564" t="str">
            <v>0015</v>
          </cell>
          <cell r="G3564">
            <v>14</v>
          </cell>
          <cell r="H3564">
            <v>54.06</v>
          </cell>
          <cell r="I3564">
            <v>2015.1364471920001</v>
          </cell>
          <cell r="J3564">
            <v>0</v>
          </cell>
        </row>
        <row r="3565">
          <cell r="E3565">
            <v>10140069</v>
          </cell>
          <cell r="F3565" t="str">
            <v>0001</v>
          </cell>
          <cell r="G3565">
            <v>13</v>
          </cell>
          <cell r="H3565">
            <v>6.5</v>
          </cell>
          <cell r="I3565">
            <v>242.49129300000007</v>
          </cell>
          <cell r="J3565">
            <v>0</v>
          </cell>
        </row>
        <row r="3566">
          <cell r="E3566">
            <v>10140069</v>
          </cell>
          <cell r="F3566" t="str">
            <v>0046</v>
          </cell>
          <cell r="G3566">
            <v>14</v>
          </cell>
          <cell r="H3566">
            <v>448.20000000000005</v>
          </cell>
          <cell r="I3566">
            <v>17804.058378136804</v>
          </cell>
          <cell r="J3566">
            <v>0</v>
          </cell>
        </row>
        <row r="3567">
          <cell r="E3567">
            <v>10140069</v>
          </cell>
          <cell r="F3567" t="str">
            <v>0106</v>
          </cell>
          <cell r="G3567">
            <v>14</v>
          </cell>
          <cell r="H3567">
            <v>74.5</v>
          </cell>
          <cell r="I3567">
            <v>3095.2857513600002</v>
          </cell>
          <cell r="J3567">
            <v>0</v>
          </cell>
        </row>
        <row r="3568">
          <cell r="E3568">
            <v>10140083</v>
          </cell>
          <cell r="F3568" t="str">
            <v>0001</v>
          </cell>
          <cell r="G3568">
            <v>13</v>
          </cell>
          <cell r="H3568">
            <v>6.7</v>
          </cell>
          <cell r="I3568">
            <v>295.17421775872003</v>
          </cell>
          <cell r="J3568">
            <v>0</v>
          </cell>
        </row>
        <row r="3569">
          <cell r="E3569">
            <v>10140083</v>
          </cell>
          <cell r="F3569" t="str">
            <v>0002</v>
          </cell>
          <cell r="G3569">
            <v>12</v>
          </cell>
          <cell r="H3569">
            <v>120.19999999999999</v>
          </cell>
          <cell r="I3569">
            <v>5170.4676775156004</v>
          </cell>
          <cell r="J3569">
            <v>0</v>
          </cell>
        </row>
        <row r="3570">
          <cell r="E3570">
            <v>10140083</v>
          </cell>
          <cell r="F3570" t="str">
            <v>0007</v>
          </cell>
          <cell r="G3570">
            <v>6</v>
          </cell>
          <cell r="H3570">
            <v>39.5</v>
          </cell>
          <cell r="I3570">
            <v>1290.9252731760002</v>
          </cell>
          <cell r="J3570">
            <v>0</v>
          </cell>
        </row>
        <row r="3571">
          <cell r="E3571">
            <v>10140083</v>
          </cell>
          <cell r="F3571" t="str">
            <v>0008</v>
          </cell>
          <cell r="G3571">
            <v>3</v>
          </cell>
          <cell r="H3571">
            <v>16.3</v>
          </cell>
          <cell r="I3571">
            <v>575.86651056000005</v>
          </cell>
          <cell r="J3571">
            <v>0</v>
          </cell>
        </row>
        <row r="3572">
          <cell r="E3572">
            <v>10140083</v>
          </cell>
          <cell r="F3572" t="str">
            <v>0009</v>
          </cell>
          <cell r="G3572">
            <v>2</v>
          </cell>
          <cell r="H3572">
            <v>10.5</v>
          </cell>
          <cell r="I3572">
            <v>433.89708090176009</v>
          </cell>
          <cell r="J3572">
            <v>0</v>
          </cell>
        </row>
        <row r="3573">
          <cell r="E3573">
            <v>10140083</v>
          </cell>
          <cell r="F3573" t="str">
            <v>0010</v>
          </cell>
          <cell r="G3573">
            <v>9</v>
          </cell>
          <cell r="H3573">
            <v>54.900000000000006</v>
          </cell>
          <cell r="I3573">
            <v>1807.5639090960003</v>
          </cell>
          <cell r="J3573">
            <v>0</v>
          </cell>
        </row>
        <row r="3574">
          <cell r="E3574">
            <v>10140083</v>
          </cell>
          <cell r="F3574" t="str">
            <v>0013</v>
          </cell>
          <cell r="G3574">
            <v>6</v>
          </cell>
          <cell r="H3574">
            <v>19</v>
          </cell>
          <cell r="I3574">
            <v>1376.1370586288999</v>
          </cell>
          <cell r="J3574">
            <v>0</v>
          </cell>
        </row>
        <row r="3575">
          <cell r="E3575">
            <v>10140083</v>
          </cell>
          <cell r="F3575" t="str">
            <v>0014</v>
          </cell>
          <cell r="G3575">
            <v>6</v>
          </cell>
          <cell r="H3575">
            <v>36.799999999999997</v>
          </cell>
          <cell r="I3575">
            <v>1802.3745997620304</v>
          </cell>
          <cell r="J3575">
            <v>0</v>
          </cell>
        </row>
        <row r="3576">
          <cell r="E3576">
            <v>10140083</v>
          </cell>
          <cell r="F3576" t="str">
            <v>0015</v>
          </cell>
          <cell r="G3576">
            <v>4</v>
          </cell>
          <cell r="H3576">
            <v>21.6</v>
          </cell>
          <cell r="I3576">
            <v>1145.07107674042</v>
          </cell>
          <cell r="J3576">
            <v>0</v>
          </cell>
        </row>
        <row r="3577">
          <cell r="E3577">
            <v>10140083</v>
          </cell>
          <cell r="F3577" t="str">
            <v>0016</v>
          </cell>
          <cell r="G3577">
            <v>3</v>
          </cell>
          <cell r="H3577">
            <v>18</v>
          </cell>
          <cell r="I3577">
            <v>719.48523636000004</v>
          </cell>
          <cell r="J3577">
            <v>0</v>
          </cell>
        </row>
        <row r="3578">
          <cell r="E3578">
            <v>10140083</v>
          </cell>
          <cell r="F3578" t="str">
            <v>0018</v>
          </cell>
          <cell r="G3578">
            <v>12</v>
          </cell>
          <cell r="H3578">
            <v>81.600000000000009</v>
          </cell>
          <cell r="I3578">
            <v>2762.0909276400002</v>
          </cell>
          <cell r="J3578">
            <v>0</v>
          </cell>
        </row>
        <row r="3579">
          <cell r="E3579">
            <v>10140083</v>
          </cell>
          <cell r="F3579" t="str">
            <v>0019</v>
          </cell>
          <cell r="G3579">
            <v>1</v>
          </cell>
          <cell r="H3579">
            <v>5.7</v>
          </cell>
          <cell r="I3579">
            <v>182.98854050400001</v>
          </cell>
          <cell r="J3579">
            <v>0</v>
          </cell>
        </row>
        <row r="3580">
          <cell r="E3580">
            <v>10140083</v>
          </cell>
          <cell r="F3580" t="str">
            <v>0020</v>
          </cell>
          <cell r="G3580">
            <v>10</v>
          </cell>
          <cell r="H3580">
            <v>72</v>
          </cell>
          <cell r="I3580">
            <v>2358.1537372800003</v>
          </cell>
          <cell r="J3580">
            <v>0</v>
          </cell>
        </row>
        <row r="3581">
          <cell r="E3581">
            <v>10140083</v>
          </cell>
          <cell r="F3581" t="str">
            <v>0021</v>
          </cell>
          <cell r="G3581">
            <v>5</v>
          </cell>
          <cell r="H3581">
            <v>34.799999999999997</v>
          </cell>
          <cell r="I3581">
            <v>1173.5645834880002</v>
          </cell>
          <cell r="J3581">
            <v>0</v>
          </cell>
        </row>
        <row r="3582">
          <cell r="E3582">
            <v>10140083</v>
          </cell>
          <cell r="F3582" t="str">
            <v>0022</v>
          </cell>
          <cell r="G3582">
            <v>6</v>
          </cell>
          <cell r="H3582">
            <v>48.8</v>
          </cell>
          <cell r="I3582">
            <v>2113.7420563342002</v>
          </cell>
          <cell r="J3582">
            <v>0</v>
          </cell>
        </row>
        <row r="3583">
          <cell r="E3583">
            <v>10140083</v>
          </cell>
          <cell r="F3583" t="str">
            <v>0023</v>
          </cell>
          <cell r="G3583">
            <v>4</v>
          </cell>
          <cell r="H3583">
            <v>23.9</v>
          </cell>
          <cell r="I3583">
            <v>1430.3823451989001</v>
          </cell>
          <cell r="J3583">
            <v>0</v>
          </cell>
        </row>
        <row r="3584">
          <cell r="E3584">
            <v>10140083</v>
          </cell>
          <cell r="F3584" t="str">
            <v>0024</v>
          </cell>
          <cell r="G3584">
            <v>1</v>
          </cell>
          <cell r="H3584">
            <v>7.2</v>
          </cell>
          <cell r="I3584">
            <v>304.51525948800003</v>
          </cell>
          <cell r="J3584">
            <v>0</v>
          </cell>
        </row>
        <row r="3585">
          <cell r="E3585">
            <v>10140083</v>
          </cell>
          <cell r="F3585" t="str">
            <v>0026</v>
          </cell>
          <cell r="G3585">
            <v>8</v>
          </cell>
          <cell r="H3585">
            <v>45.499999999999993</v>
          </cell>
          <cell r="I3585">
            <v>2046.5022767511603</v>
          </cell>
          <cell r="J3585">
            <v>0</v>
          </cell>
        </row>
        <row r="3586">
          <cell r="E3586">
            <v>10140083</v>
          </cell>
          <cell r="F3586" t="str">
            <v>0028</v>
          </cell>
          <cell r="G3586">
            <v>12</v>
          </cell>
          <cell r="H3586">
            <v>74.40000000000002</v>
          </cell>
          <cell r="I3586">
            <v>3399.4116743074801</v>
          </cell>
          <cell r="J3586">
            <v>0</v>
          </cell>
        </row>
        <row r="3587">
          <cell r="E3587">
            <v>10140083</v>
          </cell>
          <cell r="F3587" t="str">
            <v>0029</v>
          </cell>
          <cell r="G3587">
            <v>12</v>
          </cell>
          <cell r="H3587">
            <v>74.3</v>
          </cell>
          <cell r="I3587">
            <v>3570.1194639648756</v>
          </cell>
          <cell r="J3587">
            <v>0</v>
          </cell>
        </row>
        <row r="3588">
          <cell r="E3588">
            <v>10140083</v>
          </cell>
          <cell r="F3588" t="str">
            <v>0030</v>
          </cell>
          <cell r="G3588">
            <v>6</v>
          </cell>
          <cell r="H3588">
            <v>38.299999999999997</v>
          </cell>
          <cell r="I3588">
            <v>1901.3206138869998</v>
          </cell>
          <cell r="J3588">
            <v>0</v>
          </cell>
        </row>
        <row r="3589">
          <cell r="E3589">
            <v>10140087</v>
          </cell>
          <cell r="F3589" t="str">
            <v>0002</v>
          </cell>
          <cell r="G3589">
            <v>6</v>
          </cell>
          <cell r="H3589">
            <v>20.689999999999998</v>
          </cell>
          <cell r="I3589">
            <v>745.61252158800016</v>
          </cell>
          <cell r="J3589">
            <v>0</v>
          </cell>
        </row>
        <row r="3590">
          <cell r="E3590">
            <v>10140087</v>
          </cell>
          <cell r="F3590" t="str">
            <v>0007</v>
          </cell>
          <cell r="G3590">
            <v>14</v>
          </cell>
          <cell r="H3590">
            <v>240.27999999999997</v>
          </cell>
          <cell r="I3590">
            <v>8834.5750414680024</v>
          </cell>
          <cell r="J3590">
            <v>0</v>
          </cell>
        </row>
        <row r="3591">
          <cell r="E3591">
            <v>10140087</v>
          </cell>
          <cell r="F3591" t="str">
            <v>0010</v>
          </cell>
          <cell r="G3591">
            <v>3</v>
          </cell>
          <cell r="H3591">
            <v>5.9700000000000006</v>
          </cell>
          <cell r="I3591">
            <v>225.16036765200005</v>
          </cell>
          <cell r="J3591">
            <v>0</v>
          </cell>
        </row>
        <row r="3592">
          <cell r="E3592">
            <v>10140087</v>
          </cell>
          <cell r="F3592" t="str">
            <v>0023</v>
          </cell>
          <cell r="G3592">
            <v>7</v>
          </cell>
          <cell r="H3592">
            <v>23.18</v>
          </cell>
          <cell r="I3592">
            <v>729.1923826968</v>
          </cell>
          <cell r="J3592">
            <v>0</v>
          </cell>
        </row>
        <row r="3593">
          <cell r="E3593">
            <v>10140087</v>
          </cell>
          <cell r="F3593" t="str">
            <v>0025</v>
          </cell>
          <cell r="G3593">
            <v>4</v>
          </cell>
          <cell r="H3593">
            <v>13.95</v>
          </cell>
          <cell r="I3593">
            <v>489.51406944000007</v>
          </cell>
          <cell r="J3593">
            <v>0</v>
          </cell>
        </row>
        <row r="3594">
          <cell r="E3594">
            <v>10140087</v>
          </cell>
          <cell r="F3594" t="str">
            <v>0026</v>
          </cell>
          <cell r="G3594">
            <v>7</v>
          </cell>
          <cell r="H3594">
            <v>20.83</v>
          </cell>
          <cell r="I3594">
            <v>1143.8119814539002</v>
          </cell>
          <cell r="J3594">
            <v>0</v>
          </cell>
        </row>
        <row r="3595">
          <cell r="E3595">
            <v>10140087</v>
          </cell>
          <cell r="F3595" t="str">
            <v>0027</v>
          </cell>
          <cell r="G3595">
            <v>11</v>
          </cell>
          <cell r="H3595">
            <v>37.159999999999997</v>
          </cell>
          <cell r="I3595">
            <v>1792.4398877299502</v>
          </cell>
          <cell r="J3595">
            <v>0</v>
          </cell>
        </row>
        <row r="3596">
          <cell r="E3596">
            <v>10140095</v>
          </cell>
          <cell r="F3596" t="str">
            <v>0002</v>
          </cell>
          <cell r="G3596">
            <v>1</v>
          </cell>
          <cell r="H3596">
            <v>58.8</v>
          </cell>
          <cell r="I3596">
            <v>2367.3539735999998</v>
          </cell>
          <cell r="J3596">
            <v>0</v>
          </cell>
        </row>
        <row r="3597">
          <cell r="E3597">
            <v>10140095</v>
          </cell>
          <cell r="F3597" t="str">
            <v>0004</v>
          </cell>
          <cell r="G3597">
            <v>2</v>
          </cell>
          <cell r="H3597">
            <v>7</v>
          </cell>
          <cell r="I3597">
            <v>258.38437679999998</v>
          </cell>
          <cell r="J3597">
            <v>0</v>
          </cell>
        </row>
        <row r="3598">
          <cell r="E3598">
            <v>10140098</v>
          </cell>
          <cell r="F3598" t="str">
            <v>0001</v>
          </cell>
          <cell r="G3598">
            <v>12</v>
          </cell>
          <cell r="H3598">
            <v>15.540000000000001</v>
          </cell>
          <cell r="I3598">
            <v>624.21343300800015</v>
          </cell>
          <cell r="J3598">
            <v>0</v>
          </cell>
        </row>
        <row r="3599">
          <cell r="E3599">
            <v>10140098</v>
          </cell>
          <cell r="F3599" t="str">
            <v>0007</v>
          </cell>
          <cell r="G3599">
            <v>14</v>
          </cell>
          <cell r="H3599">
            <v>877.79</v>
          </cell>
          <cell r="I3599">
            <v>37344.88440522438</v>
          </cell>
          <cell r="J3599">
            <v>0</v>
          </cell>
        </row>
        <row r="3600">
          <cell r="E3600">
            <v>10140098</v>
          </cell>
          <cell r="F3600" t="str">
            <v>0013</v>
          </cell>
          <cell r="G3600">
            <v>14</v>
          </cell>
          <cell r="H3600">
            <v>742.7</v>
          </cell>
          <cell r="I3600">
            <v>30879.67230098302</v>
          </cell>
          <cell r="J3600">
            <v>0</v>
          </cell>
        </row>
        <row r="3601">
          <cell r="E3601">
            <v>10140098</v>
          </cell>
          <cell r="F3601" t="str">
            <v>0021</v>
          </cell>
          <cell r="G3601">
            <v>7</v>
          </cell>
          <cell r="H3601">
            <v>132.04999999999998</v>
          </cell>
          <cell r="I3601">
            <v>5196.0832063069811</v>
          </cell>
          <cell r="J3601">
            <v>0</v>
          </cell>
        </row>
        <row r="3602">
          <cell r="E3602">
            <v>10140098</v>
          </cell>
          <cell r="F3602" t="str">
            <v>0026</v>
          </cell>
          <cell r="G3602">
            <v>12</v>
          </cell>
          <cell r="H3602">
            <v>416.80000000000007</v>
          </cell>
          <cell r="I3602">
            <v>17831.937977943933</v>
          </cell>
          <cell r="J3602">
            <v>0</v>
          </cell>
        </row>
        <row r="3603">
          <cell r="E3603">
            <v>10140099</v>
          </cell>
          <cell r="F3603" t="str">
            <v>0002</v>
          </cell>
          <cell r="G3603">
            <v>13</v>
          </cell>
          <cell r="H3603">
            <v>119.18999999999998</v>
          </cell>
          <cell r="I3603">
            <v>4597.429041482872</v>
          </cell>
          <cell r="J3603">
            <v>0</v>
          </cell>
        </row>
        <row r="3604">
          <cell r="E3604">
            <v>10140099</v>
          </cell>
          <cell r="F3604" t="str">
            <v>0003</v>
          </cell>
          <cell r="G3604">
            <v>14</v>
          </cell>
          <cell r="H3604">
            <v>78.14</v>
          </cell>
          <cell r="I3604">
            <v>2654.0539664760004</v>
          </cell>
          <cell r="J3604">
            <v>0</v>
          </cell>
        </row>
        <row r="3605">
          <cell r="E3605">
            <v>10140099</v>
          </cell>
          <cell r="F3605" t="str">
            <v>0007</v>
          </cell>
          <cell r="G3605">
            <v>14</v>
          </cell>
          <cell r="H3605">
            <v>46.03</v>
          </cell>
          <cell r="I3605">
            <v>1937.3578579564967</v>
          </cell>
          <cell r="J3605">
            <v>0</v>
          </cell>
        </row>
        <row r="3606">
          <cell r="E3606">
            <v>10140099</v>
          </cell>
          <cell r="F3606" t="str">
            <v>0008</v>
          </cell>
          <cell r="G3606">
            <v>1</v>
          </cell>
          <cell r="H3606">
            <v>2.66</v>
          </cell>
          <cell r="I3606">
            <v>88.485084072000006</v>
          </cell>
          <cell r="J3606">
            <v>0</v>
          </cell>
        </row>
        <row r="3607">
          <cell r="E3607">
            <v>10140099</v>
          </cell>
          <cell r="F3607" t="str">
            <v>0012</v>
          </cell>
          <cell r="G3607">
            <v>14</v>
          </cell>
          <cell r="H3607">
            <v>80.489999999999995</v>
          </cell>
          <cell r="I3607">
            <v>2775.2208612479999</v>
          </cell>
          <cell r="J3607">
            <v>0</v>
          </cell>
        </row>
        <row r="3608">
          <cell r="E3608">
            <v>10140099</v>
          </cell>
          <cell r="F3608" t="str">
            <v>0016</v>
          </cell>
          <cell r="G3608">
            <v>7</v>
          </cell>
          <cell r="H3608">
            <v>22.57</v>
          </cell>
          <cell r="I3608">
            <v>896.34342599999991</v>
          </cell>
          <cell r="J3608">
            <v>0</v>
          </cell>
        </row>
        <row r="3609">
          <cell r="E3609">
            <v>10140107</v>
          </cell>
          <cell r="F3609" t="str">
            <v>0001</v>
          </cell>
          <cell r="G3609">
            <v>13</v>
          </cell>
          <cell r="H3609">
            <v>28.06</v>
          </cell>
          <cell r="I3609">
            <v>1230.6039402492001</v>
          </cell>
          <cell r="J3609">
            <v>0</v>
          </cell>
        </row>
        <row r="3610">
          <cell r="E3610">
            <v>10140107</v>
          </cell>
          <cell r="F3610" t="str">
            <v>0002</v>
          </cell>
          <cell r="G3610">
            <v>11</v>
          </cell>
          <cell r="H3610">
            <v>33.33</v>
          </cell>
          <cell r="I3610">
            <v>1348.9213327919999</v>
          </cell>
          <cell r="J3610">
            <v>0</v>
          </cell>
        </row>
        <row r="3611">
          <cell r="E3611">
            <v>10140107</v>
          </cell>
          <cell r="F3611" t="str">
            <v>0003</v>
          </cell>
          <cell r="G3611">
            <v>13</v>
          </cell>
          <cell r="H3611">
            <v>37</v>
          </cell>
          <cell r="I3611">
            <v>1307.7903409560001</v>
          </cell>
          <cell r="J3611">
            <v>0</v>
          </cell>
        </row>
        <row r="3612">
          <cell r="E3612">
            <v>10140107</v>
          </cell>
          <cell r="F3612" t="str">
            <v>0004</v>
          </cell>
          <cell r="G3612">
            <v>13</v>
          </cell>
          <cell r="H3612">
            <v>28.47</v>
          </cell>
          <cell r="I3612">
            <v>1005.9638965199999</v>
          </cell>
          <cell r="J3612">
            <v>0</v>
          </cell>
        </row>
        <row r="3613">
          <cell r="E3613">
            <v>10140107</v>
          </cell>
          <cell r="F3613" t="str">
            <v>0005</v>
          </cell>
          <cell r="G3613">
            <v>13</v>
          </cell>
          <cell r="H3613">
            <v>26.029999999999994</v>
          </cell>
          <cell r="I3613">
            <v>1094.9480011800001</v>
          </cell>
          <cell r="J3613">
            <v>0</v>
          </cell>
        </row>
        <row r="3614">
          <cell r="E3614">
            <v>10140107</v>
          </cell>
          <cell r="F3614" t="str">
            <v>0006</v>
          </cell>
          <cell r="G3614">
            <v>9</v>
          </cell>
          <cell r="H3614">
            <v>21.67</v>
          </cell>
          <cell r="I3614">
            <v>841.59427374000006</v>
          </cell>
          <cell r="J3614">
            <v>0</v>
          </cell>
        </row>
        <row r="3615">
          <cell r="E3615">
            <v>10140107</v>
          </cell>
          <cell r="F3615" t="str">
            <v>0008</v>
          </cell>
          <cell r="G3615">
            <v>4</v>
          </cell>
          <cell r="H3615">
            <v>3.6</v>
          </cell>
          <cell r="I3615">
            <v>134.26809485760003</v>
          </cell>
          <cell r="J3615">
            <v>0</v>
          </cell>
        </row>
        <row r="3616">
          <cell r="E3616">
            <v>10140107</v>
          </cell>
          <cell r="F3616" t="str">
            <v>0010</v>
          </cell>
          <cell r="G3616">
            <v>13</v>
          </cell>
          <cell r="H3616">
            <v>59.039999999999992</v>
          </cell>
          <cell r="I3616">
            <v>2400.9408454680001</v>
          </cell>
          <cell r="J3616">
            <v>0</v>
          </cell>
        </row>
        <row r="3617">
          <cell r="E3617">
            <v>10140107</v>
          </cell>
          <cell r="F3617" t="str">
            <v>0013</v>
          </cell>
          <cell r="G3617">
            <v>13</v>
          </cell>
          <cell r="H3617">
            <v>45.26</v>
          </cell>
          <cell r="I3617">
            <v>2532.7586558273001</v>
          </cell>
          <cell r="J3617">
            <v>0</v>
          </cell>
        </row>
        <row r="3618">
          <cell r="E3618">
            <v>10140107</v>
          </cell>
          <cell r="F3618" t="str">
            <v>0014</v>
          </cell>
          <cell r="G3618">
            <v>11</v>
          </cell>
          <cell r="H3618">
            <v>37.670000000000009</v>
          </cell>
          <cell r="I3618">
            <v>1341.4215153240002</v>
          </cell>
          <cell r="J3618">
            <v>0</v>
          </cell>
        </row>
        <row r="3619">
          <cell r="E3619">
            <v>10140107</v>
          </cell>
          <cell r="F3619" t="str">
            <v>0015</v>
          </cell>
          <cell r="G3619">
            <v>6</v>
          </cell>
          <cell r="H3619">
            <v>17.55</v>
          </cell>
          <cell r="I3619">
            <v>573.81022005119996</v>
          </cell>
          <cell r="J3619">
            <v>0</v>
          </cell>
        </row>
        <row r="3620">
          <cell r="E3620">
            <v>10140107</v>
          </cell>
          <cell r="F3620" t="str">
            <v>0016</v>
          </cell>
          <cell r="G3620">
            <v>12</v>
          </cell>
          <cell r="H3620">
            <v>28.68</v>
          </cell>
          <cell r="I3620">
            <v>1044.8114280120001</v>
          </cell>
          <cell r="J3620">
            <v>0</v>
          </cell>
        </row>
        <row r="3621">
          <cell r="E3621">
            <v>10140107</v>
          </cell>
          <cell r="F3621" t="str">
            <v>0017</v>
          </cell>
          <cell r="G3621">
            <v>13</v>
          </cell>
          <cell r="H3621">
            <v>24.64</v>
          </cell>
          <cell r="I3621">
            <v>1182.4683746536</v>
          </cell>
          <cell r="J3621">
            <v>0</v>
          </cell>
        </row>
        <row r="3622">
          <cell r="E3622">
            <v>10140107</v>
          </cell>
          <cell r="F3622" t="str">
            <v>0018</v>
          </cell>
          <cell r="G3622">
            <v>13</v>
          </cell>
          <cell r="H3622">
            <v>28.74</v>
          </cell>
          <cell r="I3622">
            <v>1170.8707023684001</v>
          </cell>
          <cell r="J3622">
            <v>0</v>
          </cell>
        </row>
        <row r="3623">
          <cell r="E3623">
            <v>10140107</v>
          </cell>
          <cell r="F3623" t="str">
            <v>0019</v>
          </cell>
          <cell r="G3623">
            <v>2</v>
          </cell>
          <cell r="H3623">
            <v>8.879999999999999</v>
          </cell>
          <cell r="I3623">
            <v>328.63670294400004</v>
          </cell>
          <cell r="J3623">
            <v>0</v>
          </cell>
        </row>
        <row r="3624">
          <cell r="E3624">
            <v>10140107</v>
          </cell>
          <cell r="F3624" t="str">
            <v>0021</v>
          </cell>
          <cell r="G3624">
            <v>13</v>
          </cell>
          <cell r="H3624">
            <v>23.240000000000002</v>
          </cell>
          <cell r="I3624">
            <v>1053.7728732172802</v>
          </cell>
          <cell r="J3624">
            <v>0</v>
          </cell>
        </row>
        <row r="3625">
          <cell r="E3625">
            <v>10140107</v>
          </cell>
          <cell r="F3625" t="str">
            <v>0022</v>
          </cell>
          <cell r="G3625">
            <v>8</v>
          </cell>
          <cell r="H3625">
            <v>10.75</v>
          </cell>
          <cell r="I3625">
            <v>846.83830922649997</v>
          </cell>
          <cell r="J3625">
            <v>0</v>
          </cell>
        </row>
        <row r="3626">
          <cell r="E3626">
            <v>10140107</v>
          </cell>
          <cell r="F3626" t="str">
            <v>0023</v>
          </cell>
          <cell r="G3626">
            <v>6</v>
          </cell>
          <cell r="H3626">
            <v>17.18</v>
          </cell>
          <cell r="I3626">
            <v>910.76211383880025</v>
          </cell>
          <cell r="J3626">
            <v>0</v>
          </cell>
        </row>
        <row r="3627">
          <cell r="E3627">
            <v>10140107</v>
          </cell>
          <cell r="F3627" t="str">
            <v>0025</v>
          </cell>
          <cell r="G3627">
            <v>6</v>
          </cell>
          <cell r="H3627">
            <v>10.120000000000001</v>
          </cell>
          <cell r="I3627">
            <v>462.92672714541004</v>
          </cell>
          <cell r="J3627">
            <v>0</v>
          </cell>
        </row>
        <row r="3628">
          <cell r="E3628">
            <v>10140107</v>
          </cell>
          <cell r="F3628" t="str">
            <v>0026</v>
          </cell>
          <cell r="G3628">
            <v>13</v>
          </cell>
          <cell r="H3628">
            <v>17.41</v>
          </cell>
          <cell r="I3628">
            <v>808.16859703868795</v>
          </cell>
          <cell r="J3628">
            <v>0</v>
          </cell>
        </row>
        <row r="3629">
          <cell r="E3629">
            <v>10140107</v>
          </cell>
          <cell r="F3629" t="str">
            <v>0027</v>
          </cell>
          <cell r="G3629">
            <v>7</v>
          </cell>
          <cell r="H3629">
            <v>16.18</v>
          </cell>
          <cell r="I3629">
            <v>749.15206688719604</v>
          </cell>
          <cell r="J3629">
            <v>0</v>
          </cell>
        </row>
        <row r="3630">
          <cell r="E3630">
            <v>10140107</v>
          </cell>
          <cell r="F3630" t="str">
            <v>0028</v>
          </cell>
          <cell r="G3630">
            <v>8</v>
          </cell>
          <cell r="H3630">
            <v>15.099999999999998</v>
          </cell>
          <cell r="I3630">
            <v>1187.1178748587399</v>
          </cell>
          <cell r="J3630">
            <v>0</v>
          </cell>
        </row>
        <row r="3631">
          <cell r="E3631">
            <v>10140107</v>
          </cell>
          <cell r="F3631" t="str">
            <v>0029</v>
          </cell>
          <cell r="G3631">
            <v>11</v>
          </cell>
          <cell r="H3631">
            <v>20.419999999999995</v>
          </cell>
          <cell r="I3631">
            <v>1087.2972383812303</v>
          </cell>
          <cell r="J3631">
            <v>0</v>
          </cell>
        </row>
        <row r="3632">
          <cell r="E3632">
            <v>10140107</v>
          </cell>
          <cell r="F3632" t="str">
            <v>0032</v>
          </cell>
          <cell r="G3632">
            <v>13</v>
          </cell>
          <cell r="H3632">
            <v>57.480000000000004</v>
          </cell>
          <cell r="I3632">
            <v>2572.6035893006297</v>
          </cell>
          <cell r="J3632">
            <v>0</v>
          </cell>
        </row>
        <row r="3633">
          <cell r="E3633">
            <v>10140107</v>
          </cell>
          <cell r="F3633" t="str">
            <v>0036</v>
          </cell>
          <cell r="G3633">
            <v>13</v>
          </cell>
          <cell r="H3633">
            <v>24.69</v>
          </cell>
          <cell r="I3633">
            <v>847.35494830800008</v>
          </cell>
          <cell r="J3633">
            <v>0</v>
          </cell>
        </row>
        <row r="3634">
          <cell r="E3634">
            <v>10140107</v>
          </cell>
          <cell r="F3634" t="str">
            <v>0037</v>
          </cell>
          <cell r="G3634">
            <v>6</v>
          </cell>
          <cell r="H3634">
            <v>24.69</v>
          </cell>
          <cell r="I3634">
            <v>1017.7870772520002</v>
          </cell>
          <cell r="J3634">
            <v>0</v>
          </cell>
        </row>
        <row r="3635">
          <cell r="E3635">
            <v>10140107</v>
          </cell>
          <cell r="F3635" t="str">
            <v>0038</v>
          </cell>
          <cell r="G3635">
            <v>11</v>
          </cell>
          <cell r="H3635">
            <v>21.349999999999998</v>
          </cell>
          <cell r="I3635">
            <v>989.2386549493001</v>
          </cell>
          <cell r="J3635">
            <v>0</v>
          </cell>
        </row>
        <row r="3636">
          <cell r="E3636">
            <v>10140107</v>
          </cell>
          <cell r="F3636" t="str">
            <v>0043</v>
          </cell>
          <cell r="G3636">
            <v>10</v>
          </cell>
          <cell r="H3636">
            <v>26.410000000000004</v>
          </cell>
          <cell r="I3636">
            <v>1401.5581412463002</v>
          </cell>
          <cell r="J3636">
            <v>0</v>
          </cell>
        </row>
        <row r="3637">
          <cell r="E3637">
            <v>10140107</v>
          </cell>
          <cell r="F3637" t="str">
            <v>0049</v>
          </cell>
          <cell r="G3637">
            <v>11</v>
          </cell>
          <cell r="H3637">
            <v>49.400000000000006</v>
          </cell>
          <cell r="I3637">
            <v>2165.0018646298499</v>
          </cell>
          <cell r="J3637">
            <v>0</v>
          </cell>
        </row>
        <row r="3638">
          <cell r="E3638">
            <v>10140107</v>
          </cell>
          <cell r="F3638" t="str">
            <v>0050</v>
          </cell>
          <cell r="G3638">
            <v>2</v>
          </cell>
          <cell r="H3638">
            <v>4.7699999999999996</v>
          </cell>
          <cell r="I3638">
            <v>181.994732172</v>
          </cell>
          <cell r="J3638">
            <v>0</v>
          </cell>
        </row>
        <row r="3639">
          <cell r="E3639">
            <v>10140107</v>
          </cell>
          <cell r="F3639" t="str">
            <v>0055</v>
          </cell>
          <cell r="G3639">
            <v>5</v>
          </cell>
          <cell r="H3639">
            <v>4.0199999999999996</v>
          </cell>
          <cell r="I3639">
            <v>269.71583832010003</v>
          </cell>
          <cell r="J3639">
            <v>0</v>
          </cell>
        </row>
        <row r="3640">
          <cell r="E3640">
            <v>10140107</v>
          </cell>
          <cell r="F3640" t="str">
            <v>0057</v>
          </cell>
          <cell r="G3640">
            <v>12</v>
          </cell>
          <cell r="H3640">
            <v>28.36</v>
          </cell>
          <cell r="I3640">
            <v>1842.4267813509603</v>
          </cell>
          <cell r="J3640">
            <v>0</v>
          </cell>
        </row>
        <row r="3641">
          <cell r="E3641">
            <v>10140107</v>
          </cell>
          <cell r="F3641" t="str">
            <v>0058</v>
          </cell>
          <cell r="G3641">
            <v>6</v>
          </cell>
          <cell r="H3641">
            <v>23.62</v>
          </cell>
          <cell r="I3641">
            <v>942.6794216400001</v>
          </cell>
          <cell r="J3641">
            <v>0</v>
          </cell>
        </row>
        <row r="3642">
          <cell r="E3642">
            <v>10140107</v>
          </cell>
          <cell r="F3642" t="str">
            <v>0062</v>
          </cell>
          <cell r="G3642">
            <v>6</v>
          </cell>
          <cell r="H3642">
            <v>15.66</v>
          </cell>
          <cell r="I3642">
            <v>650.65481804880005</v>
          </cell>
          <cell r="J3642">
            <v>0</v>
          </cell>
        </row>
        <row r="3643">
          <cell r="E3643">
            <v>10140107</v>
          </cell>
          <cell r="F3643" t="str">
            <v>0063</v>
          </cell>
          <cell r="G3643">
            <v>6</v>
          </cell>
          <cell r="H3643">
            <v>13.54</v>
          </cell>
          <cell r="I3643">
            <v>472.99402877760002</v>
          </cell>
          <cell r="J3643">
            <v>0</v>
          </cell>
        </row>
        <row r="3644">
          <cell r="E3644">
            <v>10140107</v>
          </cell>
          <cell r="F3644" t="str">
            <v>0065</v>
          </cell>
          <cell r="G3644">
            <v>5</v>
          </cell>
          <cell r="H3644">
            <v>6.2200000000000006</v>
          </cell>
          <cell r="I3644">
            <v>439.80208438262002</v>
          </cell>
          <cell r="J3644">
            <v>0</v>
          </cell>
        </row>
        <row r="3645">
          <cell r="E3645">
            <v>10140107</v>
          </cell>
          <cell r="F3645" t="str">
            <v>0066</v>
          </cell>
          <cell r="G3645">
            <v>13</v>
          </cell>
          <cell r="H3645">
            <v>12.770000000000001</v>
          </cell>
          <cell r="I3645">
            <v>768.56979891790002</v>
          </cell>
          <cell r="J3645">
            <v>0</v>
          </cell>
        </row>
        <row r="3646">
          <cell r="E3646">
            <v>10140107</v>
          </cell>
          <cell r="F3646" t="str">
            <v>0067</v>
          </cell>
          <cell r="G3646">
            <v>7</v>
          </cell>
          <cell r="H3646">
            <v>10.1</v>
          </cell>
          <cell r="I3646">
            <v>620.81230544360005</v>
          </cell>
          <cell r="J3646">
            <v>0</v>
          </cell>
        </row>
        <row r="3647">
          <cell r="E3647">
            <v>10140107</v>
          </cell>
          <cell r="F3647" t="str">
            <v>0068</v>
          </cell>
          <cell r="G3647">
            <v>10</v>
          </cell>
          <cell r="H3647">
            <v>34.18</v>
          </cell>
          <cell r="I3647">
            <v>1200.4838742600002</v>
          </cell>
          <cell r="J3647">
            <v>0</v>
          </cell>
        </row>
        <row r="3648">
          <cell r="E3648">
            <v>10140107</v>
          </cell>
          <cell r="F3648" t="str">
            <v>0071</v>
          </cell>
          <cell r="G3648">
            <v>8</v>
          </cell>
          <cell r="H3648">
            <v>8.73</v>
          </cell>
          <cell r="I3648">
            <v>269.85198976560008</v>
          </cell>
          <cell r="J3648">
            <v>0</v>
          </cell>
        </row>
        <row r="3649">
          <cell r="E3649">
            <v>10140107</v>
          </cell>
          <cell r="F3649" t="str">
            <v>0072</v>
          </cell>
          <cell r="G3649">
            <v>1</v>
          </cell>
          <cell r="H3649">
            <v>3.08</v>
          </cell>
          <cell r="I3649">
            <v>103.269573792</v>
          </cell>
          <cell r="J3649">
            <v>0</v>
          </cell>
        </row>
        <row r="3650">
          <cell r="E3650">
            <v>10140107</v>
          </cell>
          <cell r="F3650" t="str">
            <v>0078</v>
          </cell>
          <cell r="G3650">
            <v>6</v>
          </cell>
          <cell r="H3650">
            <v>11.28</v>
          </cell>
          <cell r="I3650">
            <v>698.62977376875006</v>
          </cell>
          <cell r="J3650">
            <v>0</v>
          </cell>
        </row>
        <row r="3651">
          <cell r="E3651">
            <v>10140107</v>
          </cell>
          <cell r="F3651" t="str">
            <v>0079</v>
          </cell>
          <cell r="G3651">
            <v>5</v>
          </cell>
          <cell r="H3651">
            <v>5.32</v>
          </cell>
          <cell r="I3651">
            <v>413.32767796651001</v>
          </cell>
          <cell r="J3651">
            <v>0</v>
          </cell>
        </row>
        <row r="3652">
          <cell r="E3652">
            <v>10140107</v>
          </cell>
          <cell r="F3652" t="str">
            <v>0082</v>
          </cell>
          <cell r="G3652">
            <v>4</v>
          </cell>
          <cell r="H3652">
            <v>4.42</v>
          </cell>
          <cell r="I3652">
            <v>156.64143924000001</v>
          </cell>
          <cell r="J3652">
            <v>0</v>
          </cell>
        </row>
        <row r="3653">
          <cell r="E3653">
            <v>10140107</v>
          </cell>
          <cell r="F3653" t="str">
            <v>0088</v>
          </cell>
          <cell r="G3653">
            <v>7</v>
          </cell>
          <cell r="H3653">
            <v>14.339999999999998</v>
          </cell>
          <cell r="I3653">
            <v>620.68130229600013</v>
          </cell>
          <cell r="J3653">
            <v>0</v>
          </cell>
        </row>
        <row r="3654">
          <cell r="E3654">
            <v>10140107</v>
          </cell>
          <cell r="F3654" t="str">
            <v>0089</v>
          </cell>
          <cell r="G3654">
            <v>11</v>
          </cell>
          <cell r="H3654">
            <v>9.76</v>
          </cell>
          <cell r="I3654">
            <v>451.03600578935999</v>
          </cell>
          <cell r="J3654">
            <v>0</v>
          </cell>
        </row>
        <row r="3655">
          <cell r="E3655">
            <v>10140107</v>
          </cell>
          <cell r="F3655" t="str">
            <v>0090</v>
          </cell>
          <cell r="G3655">
            <v>3</v>
          </cell>
          <cell r="H3655">
            <v>2.5999999999999996</v>
          </cell>
          <cell r="I3655">
            <v>141.46752528625501</v>
          </cell>
          <cell r="J3655">
            <v>0</v>
          </cell>
        </row>
        <row r="3656">
          <cell r="E3656">
            <v>10140107</v>
          </cell>
          <cell r="F3656" t="str">
            <v>0092</v>
          </cell>
          <cell r="G3656">
            <v>13</v>
          </cell>
          <cell r="H3656">
            <v>30.099999999999998</v>
          </cell>
          <cell r="I3656">
            <v>1813.5544760171897</v>
          </cell>
          <cell r="J3656">
            <v>0</v>
          </cell>
        </row>
        <row r="3657">
          <cell r="E3657">
            <v>10140107</v>
          </cell>
          <cell r="F3657" t="str">
            <v>0093</v>
          </cell>
          <cell r="G3657">
            <v>13</v>
          </cell>
          <cell r="H3657">
            <v>20.77</v>
          </cell>
          <cell r="I3657">
            <v>1196.3546206266901</v>
          </cell>
          <cell r="J3657">
            <v>0</v>
          </cell>
        </row>
        <row r="3658">
          <cell r="E3658">
            <v>10140107</v>
          </cell>
          <cell r="F3658" t="str">
            <v>0095</v>
          </cell>
          <cell r="G3658">
            <v>5</v>
          </cell>
          <cell r="H3658">
            <v>6.74</v>
          </cell>
          <cell r="I3658">
            <v>385.05367100452003</v>
          </cell>
          <cell r="J3658">
            <v>0</v>
          </cell>
        </row>
        <row r="3659">
          <cell r="E3659">
            <v>10140107</v>
          </cell>
          <cell r="F3659" t="str">
            <v>0097</v>
          </cell>
          <cell r="G3659">
            <v>13</v>
          </cell>
          <cell r="H3659">
            <v>26.36</v>
          </cell>
          <cell r="I3659">
            <v>1506.8073047390499</v>
          </cell>
          <cell r="J3659">
            <v>0</v>
          </cell>
        </row>
        <row r="3660">
          <cell r="E3660">
            <v>10140107</v>
          </cell>
          <cell r="F3660" t="str">
            <v>0098</v>
          </cell>
          <cell r="G3660">
            <v>5</v>
          </cell>
          <cell r="H3660">
            <v>6.45</v>
          </cell>
          <cell r="I3660">
            <v>298.88064414780001</v>
          </cell>
          <cell r="J3660">
            <v>0</v>
          </cell>
        </row>
        <row r="3661">
          <cell r="E3661">
            <v>10140107</v>
          </cell>
          <cell r="F3661" t="str">
            <v>0099</v>
          </cell>
          <cell r="G3661">
            <v>13</v>
          </cell>
          <cell r="H3661">
            <v>140.03</v>
          </cell>
          <cell r="I3661">
            <v>5209.1564191920015</v>
          </cell>
          <cell r="J3661">
            <v>0</v>
          </cell>
        </row>
        <row r="3662">
          <cell r="E3662">
            <v>10140107</v>
          </cell>
          <cell r="F3662" t="str">
            <v>0100</v>
          </cell>
          <cell r="G3662">
            <v>12</v>
          </cell>
          <cell r="H3662">
            <v>25.29</v>
          </cell>
          <cell r="I3662">
            <v>893.13020953200009</v>
          </cell>
          <cell r="J3662">
            <v>0</v>
          </cell>
        </row>
        <row r="3663">
          <cell r="E3663">
            <v>10140107</v>
          </cell>
          <cell r="F3663" t="str">
            <v>0102</v>
          </cell>
          <cell r="G3663">
            <v>13</v>
          </cell>
          <cell r="H3663">
            <v>23.000000000000004</v>
          </cell>
          <cell r="I3663">
            <v>771.74094697920009</v>
          </cell>
          <cell r="J3663">
            <v>0</v>
          </cell>
        </row>
        <row r="3664">
          <cell r="E3664">
            <v>10140107</v>
          </cell>
          <cell r="F3664" t="str">
            <v>0103</v>
          </cell>
          <cell r="G3664">
            <v>13</v>
          </cell>
          <cell r="H3664">
            <v>29.340000000000003</v>
          </cell>
          <cell r="I3664">
            <v>1046.5194967920002</v>
          </cell>
          <cell r="J3664">
            <v>0</v>
          </cell>
        </row>
        <row r="3665">
          <cell r="E3665">
            <v>10140107</v>
          </cell>
          <cell r="F3665" t="str">
            <v>0104</v>
          </cell>
          <cell r="G3665">
            <v>6</v>
          </cell>
          <cell r="H3665">
            <v>11.760000000000002</v>
          </cell>
          <cell r="I3665">
            <v>583.99637442452013</v>
          </cell>
          <cell r="J3665">
            <v>0</v>
          </cell>
        </row>
        <row r="3666">
          <cell r="E3666">
            <v>10140107</v>
          </cell>
          <cell r="F3666" t="str">
            <v>0105</v>
          </cell>
          <cell r="G3666">
            <v>12</v>
          </cell>
          <cell r="H3666">
            <v>19.55</v>
          </cell>
          <cell r="I3666">
            <v>935.20391136479998</v>
          </cell>
          <cell r="J3666">
            <v>0</v>
          </cell>
        </row>
        <row r="3667">
          <cell r="E3667">
            <v>10140107</v>
          </cell>
          <cell r="F3667" t="str">
            <v>0106</v>
          </cell>
          <cell r="G3667">
            <v>13</v>
          </cell>
          <cell r="H3667">
            <v>32.28</v>
          </cell>
          <cell r="I3667">
            <v>1360.5282998353723</v>
          </cell>
          <cell r="J3667">
            <v>0</v>
          </cell>
        </row>
        <row r="3668">
          <cell r="E3668">
            <v>10140107</v>
          </cell>
          <cell r="F3668" t="str">
            <v>0107</v>
          </cell>
          <cell r="G3668">
            <v>11</v>
          </cell>
          <cell r="H3668">
            <v>34.120000000000005</v>
          </cell>
          <cell r="I3668">
            <v>1998.25725536966</v>
          </cell>
          <cell r="J3668">
            <v>0</v>
          </cell>
        </row>
        <row r="3669">
          <cell r="E3669">
            <v>10140119</v>
          </cell>
          <cell r="F3669" t="str">
            <v>0002</v>
          </cell>
          <cell r="G3669">
            <v>9</v>
          </cell>
          <cell r="H3669">
            <v>59.900000000000006</v>
          </cell>
          <cell r="I3669">
            <v>2459.8069670300497</v>
          </cell>
          <cell r="J3669">
            <v>0</v>
          </cell>
        </row>
        <row r="3670">
          <cell r="E3670">
            <v>10140119</v>
          </cell>
          <cell r="F3670" t="str">
            <v>0010</v>
          </cell>
          <cell r="G3670">
            <v>8</v>
          </cell>
          <cell r="H3670">
            <v>15.5</v>
          </cell>
          <cell r="I3670">
            <v>1064.3584615239999</v>
          </cell>
          <cell r="J3670">
            <v>0</v>
          </cell>
        </row>
        <row r="3671">
          <cell r="E3671">
            <v>10140119</v>
          </cell>
          <cell r="F3671" t="str">
            <v>0013</v>
          </cell>
          <cell r="G3671">
            <v>14</v>
          </cell>
          <cell r="H3671">
            <v>26.099999999999998</v>
          </cell>
          <cell r="I3671">
            <v>2002.5042785588998</v>
          </cell>
          <cell r="J3671">
            <v>0</v>
          </cell>
        </row>
        <row r="3672">
          <cell r="E3672">
            <v>10140119</v>
          </cell>
          <cell r="F3672" t="str">
            <v>0014</v>
          </cell>
          <cell r="G3672">
            <v>10</v>
          </cell>
          <cell r="H3672">
            <v>24.3</v>
          </cell>
          <cell r="I3672">
            <v>822.40257290400018</v>
          </cell>
          <cell r="J3672">
            <v>0</v>
          </cell>
        </row>
        <row r="3673">
          <cell r="E3673">
            <v>10140119</v>
          </cell>
          <cell r="F3673" t="str">
            <v>0024</v>
          </cell>
          <cell r="G3673">
            <v>14</v>
          </cell>
          <cell r="H3673">
            <v>18.899999999999999</v>
          </cell>
          <cell r="I3673">
            <v>1098.2161019404302</v>
          </cell>
          <cell r="J3673">
            <v>0</v>
          </cell>
        </row>
        <row r="3674">
          <cell r="E3674">
            <v>10140119</v>
          </cell>
          <cell r="F3674" t="str">
            <v>0033</v>
          </cell>
          <cell r="G3674">
            <v>7</v>
          </cell>
          <cell r="H3674">
            <v>22.3</v>
          </cell>
          <cell r="I3674">
            <v>967.69798709400004</v>
          </cell>
          <cell r="J3674">
            <v>0</v>
          </cell>
        </row>
        <row r="3675">
          <cell r="E3675">
            <v>10140119</v>
          </cell>
          <cell r="F3675" t="str">
            <v>0035</v>
          </cell>
          <cell r="G3675">
            <v>7</v>
          </cell>
          <cell r="H3675">
            <v>31.5</v>
          </cell>
          <cell r="I3675">
            <v>1763.2350629189</v>
          </cell>
          <cell r="J3675">
            <v>0</v>
          </cell>
        </row>
        <row r="3676">
          <cell r="E3676">
            <v>10140119</v>
          </cell>
          <cell r="F3676" t="str">
            <v>0037</v>
          </cell>
          <cell r="G3676">
            <v>14</v>
          </cell>
          <cell r="H3676">
            <v>42.400000000000006</v>
          </cell>
          <cell r="I3676">
            <v>1622.11217652</v>
          </cell>
          <cell r="J3676">
            <v>0</v>
          </cell>
        </row>
        <row r="3677">
          <cell r="E3677">
            <v>10140119</v>
          </cell>
          <cell r="F3677" t="str">
            <v>0039</v>
          </cell>
          <cell r="G3677">
            <v>9</v>
          </cell>
          <cell r="H3677">
            <v>33</v>
          </cell>
          <cell r="I3677">
            <v>1192.5880005600002</v>
          </cell>
          <cell r="J3677">
            <v>0</v>
          </cell>
        </row>
        <row r="3678">
          <cell r="E3678">
            <v>10140119</v>
          </cell>
          <cell r="F3678" t="str">
            <v>0052</v>
          </cell>
          <cell r="G3678">
            <v>7</v>
          </cell>
          <cell r="H3678">
            <v>47.6</v>
          </cell>
          <cell r="I3678">
            <v>2700.7195072643999</v>
          </cell>
          <cell r="J3678">
            <v>0</v>
          </cell>
        </row>
        <row r="3679">
          <cell r="E3679">
            <v>10140119</v>
          </cell>
          <cell r="F3679" t="str">
            <v>0054</v>
          </cell>
          <cell r="G3679">
            <v>12</v>
          </cell>
          <cell r="H3679">
            <v>20.000000000000004</v>
          </cell>
          <cell r="I3679">
            <v>971.6033692238102</v>
          </cell>
          <cell r="J3679">
            <v>0</v>
          </cell>
        </row>
        <row r="3680">
          <cell r="E3680">
            <v>10140119</v>
          </cell>
          <cell r="F3680" t="str">
            <v>0056</v>
          </cell>
          <cell r="G3680">
            <v>4</v>
          </cell>
          <cell r="H3680">
            <v>7</v>
          </cell>
          <cell r="I3680">
            <v>283.36448505750002</v>
          </cell>
          <cell r="J3680">
            <v>0</v>
          </cell>
        </row>
        <row r="3681">
          <cell r="E3681">
            <v>10140120</v>
          </cell>
          <cell r="F3681" t="str">
            <v>0002</v>
          </cell>
          <cell r="G3681">
            <v>2</v>
          </cell>
          <cell r="H3681">
            <v>467</v>
          </cell>
          <cell r="I3681">
            <v>18801.943974000002</v>
          </cell>
          <cell r="J3681">
            <v>1493.88</v>
          </cell>
        </row>
        <row r="3682">
          <cell r="E3682">
            <v>10140126</v>
          </cell>
          <cell r="F3682" t="str">
            <v>0001</v>
          </cell>
          <cell r="G3682">
            <v>9</v>
          </cell>
          <cell r="H3682">
            <v>2.9</v>
          </cell>
          <cell r="I3682">
            <v>108.62135328000001</v>
          </cell>
          <cell r="J3682">
            <v>0</v>
          </cell>
        </row>
        <row r="3683">
          <cell r="E3683">
            <v>10140126</v>
          </cell>
          <cell r="F3683" t="str">
            <v>0002</v>
          </cell>
          <cell r="G3683">
            <v>1</v>
          </cell>
          <cell r="H3683">
            <v>1.1599999999999999</v>
          </cell>
          <cell r="I3683">
            <v>62.191830288000013</v>
          </cell>
          <cell r="J3683">
            <v>0</v>
          </cell>
        </row>
        <row r="3684">
          <cell r="E3684">
            <v>10140126</v>
          </cell>
          <cell r="F3684" t="str">
            <v>0003</v>
          </cell>
          <cell r="G3684">
            <v>14</v>
          </cell>
          <cell r="H3684">
            <v>54.37</v>
          </cell>
          <cell r="I3684">
            <v>2017.7308854381786</v>
          </cell>
          <cell r="J3684">
            <v>0</v>
          </cell>
        </row>
        <row r="3685">
          <cell r="E3685">
            <v>10140126</v>
          </cell>
          <cell r="F3685" t="str">
            <v>0010</v>
          </cell>
          <cell r="G3685">
            <v>7</v>
          </cell>
          <cell r="H3685">
            <v>19.580000000000002</v>
          </cell>
          <cell r="I3685">
            <v>1122.9041641864255</v>
          </cell>
          <cell r="J3685">
            <v>0</v>
          </cell>
        </row>
        <row r="3686">
          <cell r="E3686">
            <v>10140126</v>
          </cell>
          <cell r="F3686" t="str">
            <v>0011</v>
          </cell>
          <cell r="G3686">
            <v>12</v>
          </cell>
          <cell r="H3686">
            <v>21.009999999999998</v>
          </cell>
          <cell r="I3686">
            <v>983.27794327748609</v>
          </cell>
          <cell r="J3686">
            <v>0</v>
          </cell>
        </row>
        <row r="3687">
          <cell r="E3687">
            <v>10140126</v>
          </cell>
          <cell r="F3687" t="str">
            <v>0027</v>
          </cell>
          <cell r="G3687">
            <v>9</v>
          </cell>
          <cell r="H3687">
            <v>54.480000000000004</v>
          </cell>
          <cell r="I3687">
            <v>1695.7099478088003</v>
          </cell>
          <cell r="J3687">
            <v>0</v>
          </cell>
        </row>
        <row r="3688">
          <cell r="E3688">
            <v>10140126</v>
          </cell>
          <cell r="F3688" t="str">
            <v>0032</v>
          </cell>
          <cell r="G3688">
            <v>5</v>
          </cell>
          <cell r="H3688">
            <v>8.49</v>
          </cell>
          <cell r="I3688">
            <v>298.10969852400001</v>
          </cell>
          <cell r="J3688">
            <v>0</v>
          </cell>
        </row>
        <row r="3689">
          <cell r="E3689">
            <v>10140126</v>
          </cell>
          <cell r="F3689" t="str">
            <v>0034</v>
          </cell>
          <cell r="G3689">
            <v>14</v>
          </cell>
          <cell r="H3689">
            <v>45.06</v>
          </cell>
          <cell r="I3689">
            <v>1516.7530818792004</v>
          </cell>
          <cell r="J3689">
            <v>0</v>
          </cell>
        </row>
        <row r="3690">
          <cell r="E3690">
            <v>10140126</v>
          </cell>
          <cell r="F3690" t="str">
            <v>0036</v>
          </cell>
          <cell r="G3690">
            <v>7</v>
          </cell>
          <cell r="H3690">
            <v>9.14</v>
          </cell>
          <cell r="I3690">
            <v>490.94227419906008</v>
          </cell>
          <cell r="J3690">
            <v>0</v>
          </cell>
        </row>
        <row r="3691">
          <cell r="E3691">
            <v>10140129</v>
          </cell>
          <cell r="F3691" t="str">
            <v>0002</v>
          </cell>
          <cell r="G3691">
            <v>2</v>
          </cell>
          <cell r="H3691">
            <v>677</v>
          </cell>
          <cell r="I3691">
            <v>27256.779594</v>
          </cell>
          <cell r="J3691">
            <v>7489.8</v>
          </cell>
        </row>
        <row r="3692">
          <cell r="E3692">
            <v>10140131</v>
          </cell>
          <cell r="F3692" t="str">
            <v>0002</v>
          </cell>
          <cell r="G3692">
            <v>14</v>
          </cell>
          <cell r="H3692">
            <v>716.6</v>
          </cell>
          <cell r="I3692">
            <v>29855.544772919999</v>
          </cell>
          <cell r="J3692">
            <v>5859.88</v>
          </cell>
        </row>
        <row r="3693">
          <cell r="E3693">
            <v>10140132</v>
          </cell>
          <cell r="F3693" t="str">
            <v>0001</v>
          </cell>
          <cell r="G3693">
            <v>14</v>
          </cell>
          <cell r="H3693">
            <v>6.3</v>
          </cell>
          <cell r="I3693">
            <v>226.32080328000004</v>
          </cell>
          <cell r="J3693">
            <v>0</v>
          </cell>
        </row>
        <row r="3694">
          <cell r="E3694">
            <v>10140132</v>
          </cell>
          <cell r="F3694" t="str">
            <v>0002</v>
          </cell>
          <cell r="G3694">
            <v>12</v>
          </cell>
          <cell r="H3694">
            <v>36.1</v>
          </cell>
          <cell r="I3694">
            <v>1249.483163292</v>
          </cell>
          <cell r="J3694">
            <v>0</v>
          </cell>
        </row>
        <row r="3695">
          <cell r="E3695">
            <v>10140132</v>
          </cell>
          <cell r="F3695" t="str">
            <v>0007</v>
          </cell>
          <cell r="G3695">
            <v>14</v>
          </cell>
          <cell r="H3695">
            <v>59</v>
          </cell>
          <cell r="I3695">
            <v>2064.73949748</v>
          </cell>
          <cell r="J3695">
            <v>0</v>
          </cell>
        </row>
        <row r="3696">
          <cell r="E3696">
            <v>10140132</v>
          </cell>
          <cell r="F3696" t="str">
            <v>0009</v>
          </cell>
          <cell r="G3696">
            <v>7</v>
          </cell>
          <cell r="H3696">
            <v>36.6</v>
          </cell>
          <cell r="I3696">
            <v>1333.3590705600002</v>
          </cell>
          <cell r="J3696">
            <v>0</v>
          </cell>
        </row>
        <row r="3697">
          <cell r="E3697">
            <v>10140132</v>
          </cell>
          <cell r="F3697" t="str">
            <v>0011</v>
          </cell>
          <cell r="G3697">
            <v>7</v>
          </cell>
          <cell r="H3697">
            <v>56.599999999999994</v>
          </cell>
          <cell r="I3697">
            <v>2012.7053232000001</v>
          </cell>
          <cell r="J3697">
            <v>0</v>
          </cell>
        </row>
        <row r="3698">
          <cell r="E3698">
            <v>10140132</v>
          </cell>
          <cell r="F3698" t="str">
            <v>0013</v>
          </cell>
          <cell r="G3698">
            <v>14</v>
          </cell>
          <cell r="H3698">
            <v>66.2</v>
          </cell>
          <cell r="I3698">
            <v>2133.7702689600001</v>
          </cell>
          <cell r="J3698">
            <v>0</v>
          </cell>
        </row>
        <row r="3699">
          <cell r="E3699">
            <v>10140132</v>
          </cell>
          <cell r="F3699" t="str">
            <v>0014</v>
          </cell>
          <cell r="G3699">
            <v>14</v>
          </cell>
          <cell r="H3699">
            <v>79.2</v>
          </cell>
          <cell r="I3699">
            <v>2780.83636776</v>
          </cell>
          <cell r="J3699">
            <v>0</v>
          </cell>
        </row>
        <row r="3700">
          <cell r="E3700">
            <v>10140132</v>
          </cell>
          <cell r="F3700" t="str">
            <v>0021</v>
          </cell>
          <cell r="G3700">
            <v>8</v>
          </cell>
          <cell r="H3700">
            <v>20.299999999999997</v>
          </cell>
          <cell r="I3700">
            <v>1027.458154982</v>
          </cell>
          <cell r="J3700">
            <v>0</v>
          </cell>
        </row>
        <row r="3701">
          <cell r="E3701">
            <v>10140135</v>
          </cell>
          <cell r="F3701" t="str">
            <v>0002</v>
          </cell>
          <cell r="G3701">
            <v>14</v>
          </cell>
          <cell r="H3701">
            <v>411.32</v>
          </cell>
          <cell r="I3701">
            <v>15000.574205196366</v>
          </cell>
          <cell r="J3701">
            <v>0</v>
          </cell>
        </row>
        <row r="3702">
          <cell r="E3702">
            <v>10140135</v>
          </cell>
          <cell r="F3702" t="str">
            <v>0010</v>
          </cell>
          <cell r="G3702">
            <v>11</v>
          </cell>
          <cell r="H3702">
            <v>47.800000000000004</v>
          </cell>
          <cell r="I3702">
            <v>2653.5482933484618</v>
          </cell>
          <cell r="J3702">
            <v>0</v>
          </cell>
        </row>
        <row r="3703">
          <cell r="E3703">
            <v>10140135</v>
          </cell>
          <cell r="F3703" t="str">
            <v>0011</v>
          </cell>
          <cell r="G3703">
            <v>4</v>
          </cell>
          <cell r="H3703">
            <v>120.71000000000001</v>
          </cell>
          <cell r="I3703">
            <v>4665.2478210360005</v>
          </cell>
          <cell r="J3703">
            <v>0</v>
          </cell>
        </row>
        <row r="3704">
          <cell r="E3704">
            <v>10140137</v>
          </cell>
          <cell r="F3704" t="str">
            <v>0002</v>
          </cell>
          <cell r="G3704">
            <v>13</v>
          </cell>
          <cell r="H3704">
            <v>1095.3000000000002</v>
          </cell>
          <cell r="I3704">
            <v>44720.23085054171</v>
          </cell>
          <cell r="J3704">
            <v>0</v>
          </cell>
        </row>
        <row r="3705">
          <cell r="E3705">
            <v>10140137</v>
          </cell>
          <cell r="F3705" t="str">
            <v>0003</v>
          </cell>
          <cell r="G3705">
            <v>1</v>
          </cell>
          <cell r="H3705">
            <v>19.5</v>
          </cell>
          <cell r="I3705">
            <v>759.35059200000001</v>
          </cell>
          <cell r="J3705">
            <v>0</v>
          </cell>
        </row>
        <row r="3706">
          <cell r="E3706">
            <v>10140137</v>
          </cell>
          <cell r="F3706" t="str">
            <v>0004</v>
          </cell>
          <cell r="G3706">
            <v>12</v>
          </cell>
          <cell r="H3706">
            <v>269.59999999999997</v>
          </cell>
          <cell r="I3706">
            <v>12382.012366503332</v>
          </cell>
          <cell r="J3706">
            <v>0</v>
          </cell>
        </row>
        <row r="3707">
          <cell r="E3707">
            <v>10140137</v>
          </cell>
          <cell r="F3707" t="str">
            <v>0005</v>
          </cell>
          <cell r="G3707">
            <v>8</v>
          </cell>
          <cell r="H3707">
            <v>158.30000000000001</v>
          </cell>
          <cell r="I3707">
            <v>6933.2326774715011</v>
          </cell>
          <cell r="J3707">
            <v>0</v>
          </cell>
        </row>
        <row r="3708">
          <cell r="E3708">
            <v>10140137</v>
          </cell>
          <cell r="F3708" t="str">
            <v>0006</v>
          </cell>
          <cell r="G3708">
            <v>9</v>
          </cell>
          <cell r="H3708">
            <v>209.5</v>
          </cell>
          <cell r="I3708">
            <v>8530.1055598017301</v>
          </cell>
          <cell r="J3708">
            <v>0</v>
          </cell>
        </row>
        <row r="3709">
          <cell r="E3709">
            <v>10140139</v>
          </cell>
          <cell r="F3709" t="str">
            <v>0001</v>
          </cell>
          <cell r="G3709">
            <v>8</v>
          </cell>
          <cell r="H3709">
            <v>40.9</v>
          </cell>
          <cell r="I3709">
            <v>1695.2690898000001</v>
          </cell>
          <cell r="J3709">
            <v>0</v>
          </cell>
        </row>
        <row r="3710">
          <cell r="E3710">
            <v>10140139</v>
          </cell>
          <cell r="F3710" t="str">
            <v>0002</v>
          </cell>
          <cell r="G3710">
            <v>8</v>
          </cell>
          <cell r="H3710">
            <v>170</v>
          </cell>
          <cell r="I3710">
            <v>7046.3507400000008</v>
          </cell>
          <cell r="J3710">
            <v>0</v>
          </cell>
        </row>
        <row r="3711">
          <cell r="E3711">
            <v>10140152</v>
          </cell>
          <cell r="F3711" t="str">
            <v>0001</v>
          </cell>
          <cell r="G3711">
            <v>4</v>
          </cell>
          <cell r="H3711">
            <v>0.90000000000000013</v>
          </cell>
          <cell r="I3711">
            <v>38.478987359999998</v>
          </cell>
          <cell r="J3711">
            <v>0</v>
          </cell>
        </row>
        <row r="3712">
          <cell r="E3712">
            <v>10140152</v>
          </cell>
          <cell r="F3712" t="str">
            <v>0002</v>
          </cell>
          <cell r="G3712">
            <v>6</v>
          </cell>
          <cell r="H3712">
            <v>295.39999999999998</v>
          </cell>
          <cell r="I3712">
            <v>12527.75302722792</v>
          </cell>
          <cell r="J3712">
            <v>0</v>
          </cell>
        </row>
        <row r="3713">
          <cell r="E3713">
            <v>10140152</v>
          </cell>
          <cell r="F3713" t="str">
            <v>0008</v>
          </cell>
          <cell r="G3713">
            <v>2</v>
          </cell>
          <cell r="H3713">
            <v>45</v>
          </cell>
          <cell r="I3713">
            <v>1942.4298960000001</v>
          </cell>
          <cell r="J3713">
            <v>0</v>
          </cell>
        </row>
        <row r="3714">
          <cell r="E3714">
            <v>10140153</v>
          </cell>
          <cell r="F3714" t="str">
            <v>0002</v>
          </cell>
          <cell r="G3714">
            <v>8</v>
          </cell>
          <cell r="H3714">
            <v>362.27</v>
          </cell>
          <cell r="I3714">
            <v>13163.428025312402</v>
          </cell>
          <cell r="J3714">
            <v>4630.32</v>
          </cell>
        </row>
        <row r="3715">
          <cell r="E3715">
            <v>10140153</v>
          </cell>
          <cell r="F3715" t="str">
            <v>0006</v>
          </cell>
          <cell r="G3715">
            <v>7</v>
          </cell>
          <cell r="H3715">
            <v>105.91</v>
          </cell>
          <cell r="I3715">
            <v>4168.7310097224008</v>
          </cell>
          <cell r="J3715">
            <v>0</v>
          </cell>
        </row>
        <row r="3716">
          <cell r="E3716">
            <v>10140155</v>
          </cell>
          <cell r="F3716" t="str">
            <v>0001</v>
          </cell>
          <cell r="G3716">
            <v>3</v>
          </cell>
          <cell r="H3716">
            <v>0.81</v>
          </cell>
          <cell r="I3716">
            <v>29.974101300000001</v>
          </cell>
          <cell r="J3716">
            <v>0</v>
          </cell>
        </row>
        <row r="3717">
          <cell r="E3717">
            <v>10140155</v>
          </cell>
          <cell r="F3717" t="str">
            <v>0002</v>
          </cell>
          <cell r="G3717">
            <v>5</v>
          </cell>
          <cell r="H3717">
            <v>187.57</v>
          </cell>
          <cell r="I3717">
            <v>6765.0070870800009</v>
          </cell>
          <cell r="J3717">
            <v>2360</v>
          </cell>
        </row>
        <row r="3718">
          <cell r="E3718">
            <v>10140156</v>
          </cell>
          <cell r="F3718" t="str">
            <v>0001</v>
          </cell>
          <cell r="G3718">
            <v>14</v>
          </cell>
          <cell r="H3718">
            <v>33.650000000000006</v>
          </cell>
          <cell r="I3718">
            <v>1368.2262021432241</v>
          </cell>
          <cell r="J3718">
            <v>0</v>
          </cell>
        </row>
        <row r="3719">
          <cell r="E3719">
            <v>10140156</v>
          </cell>
          <cell r="F3719" t="str">
            <v>0002</v>
          </cell>
          <cell r="G3719">
            <v>14</v>
          </cell>
          <cell r="H3719">
            <v>408.17999999999989</v>
          </cell>
          <cell r="I3719">
            <v>14418.327186019682</v>
          </cell>
          <cell r="J3719">
            <v>1062</v>
          </cell>
        </row>
        <row r="3720">
          <cell r="E3720">
            <v>10140156</v>
          </cell>
          <cell r="F3720" t="str">
            <v>0012</v>
          </cell>
          <cell r="G3720">
            <v>5</v>
          </cell>
          <cell r="H3720">
            <v>52.76</v>
          </cell>
          <cell r="I3720">
            <v>1855.8931212360003</v>
          </cell>
          <cell r="J3720">
            <v>0</v>
          </cell>
        </row>
        <row r="3721">
          <cell r="E3721">
            <v>10140156</v>
          </cell>
          <cell r="F3721" t="str">
            <v>0035</v>
          </cell>
          <cell r="G3721">
            <v>14</v>
          </cell>
          <cell r="H3721">
            <v>43.930000000000007</v>
          </cell>
          <cell r="I3721">
            <v>2670.4618105475902</v>
          </cell>
          <cell r="J3721">
            <v>0</v>
          </cell>
        </row>
        <row r="3722">
          <cell r="E3722">
            <v>10140166</v>
          </cell>
          <cell r="F3722" t="str">
            <v>0002</v>
          </cell>
          <cell r="G3722">
            <v>2</v>
          </cell>
          <cell r="H3722">
            <v>277.60000000000002</v>
          </cell>
          <cell r="I3722">
            <v>14020.524484512</v>
          </cell>
          <cell r="J3722">
            <v>0</v>
          </cell>
        </row>
        <row r="3723">
          <cell r="E3723">
            <v>10140170</v>
          </cell>
          <cell r="F3723" t="str">
            <v>0002</v>
          </cell>
          <cell r="G3723">
            <v>13</v>
          </cell>
          <cell r="H3723">
            <v>648.19999999999993</v>
          </cell>
          <cell r="I3723">
            <v>26231.683635313671</v>
          </cell>
          <cell r="J3723">
            <v>0</v>
          </cell>
        </row>
        <row r="3724">
          <cell r="E3724">
            <v>10140170</v>
          </cell>
          <cell r="F3724" t="str">
            <v>0005</v>
          </cell>
          <cell r="G3724">
            <v>4</v>
          </cell>
          <cell r="H3724">
            <v>74.680000000000007</v>
          </cell>
          <cell r="I3724">
            <v>3221.668211528965</v>
          </cell>
          <cell r="J3724">
            <v>0</v>
          </cell>
        </row>
        <row r="3725">
          <cell r="E3725">
            <v>10140173</v>
          </cell>
          <cell r="F3725" t="str">
            <v>0001</v>
          </cell>
          <cell r="G3725">
            <v>3</v>
          </cell>
          <cell r="H3725">
            <v>3.5999999999999996</v>
          </cell>
          <cell r="I3725">
            <v>122.34391250400002</v>
          </cell>
          <cell r="J3725">
            <v>0</v>
          </cell>
        </row>
        <row r="3726">
          <cell r="E3726">
            <v>10140173</v>
          </cell>
          <cell r="F3726" t="str">
            <v>0002</v>
          </cell>
          <cell r="G3726">
            <v>5</v>
          </cell>
          <cell r="H3726">
            <v>171.64999999999998</v>
          </cell>
          <cell r="I3726">
            <v>7179.7624238882399</v>
          </cell>
          <cell r="J3726">
            <v>0</v>
          </cell>
        </row>
        <row r="3727">
          <cell r="E3727">
            <v>10140173</v>
          </cell>
          <cell r="F3727" t="str">
            <v>0003</v>
          </cell>
          <cell r="G3727">
            <v>12</v>
          </cell>
          <cell r="H3727">
            <v>852.25</v>
          </cell>
          <cell r="I3727">
            <v>36030.845971613249</v>
          </cell>
          <cell r="J3727">
            <v>0</v>
          </cell>
        </row>
        <row r="3728">
          <cell r="E3728">
            <v>10140173</v>
          </cell>
          <cell r="F3728" t="str">
            <v>0008</v>
          </cell>
          <cell r="G3728">
            <v>2</v>
          </cell>
          <cell r="H3728">
            <v>39.47</v>
          </cell>
          <cell r="I3728">
            <v>1772.2604679120002</v>
          </cell>
          <cell r="J3728">
            <v>0</v>
          </cell>
        </row>
        <row r="3729">
          <cell r="E3729">
            <v>10140173</v>
          </cell>
          <cell r="F3729" t="str">
            <v>0009</v>
          </cell>
          <cell r="G3729">
            <v>2</v>
          </cell>
          <cell r="H3729">
            <v>40.22</v>
          </cell>
          <cell r="I3729">
            <v>1778.48672364</v>
          </cell>
          <cell r="J3729">
            <v>0</v>
          </cell>
        </row>
        <row r="3730">
          <cell r="E3730">
            <v>10140174</v>
          </cell>
          <cell r="F3730" t="str">
            <v>0002</v>
          </cell>
          <cell r="G3730">
            <v>1</v>
          </cell>
          <cell r="H3730">
            <v>153</v>
          </cell>
          <cell r="I3730">
            <v>5957.9876268000007</v>
          </cell>
          <cell r="J3730">
            <v>0</v>
          </cell>
        </row>
        <row r="3731">
          <cell r="E3731">
            <v>10140179</v>
          </cell>
          <cell r="F3731" t="str">
            <v>0001</v>
          </cell>
          <cell r="G3731">
            <v>14</v>
          </cell>
          <cell r="H3731">
            <v>16.04</v>
          </cell>
          <cell r="I3731">
            <v>621.24885187200016</v>
          </cell>
          <cell r="J3731">
            <v>0</v>
          </cell>
        </row>
        <row r="3732">
          <cell r="E3732">
            <v>10140179</v>
          </cell>
          <cell r="F3732" t="str">
            <v>0002</v>
          </cell>
          <cell r="G3732">
            <v>1</v>
          </cell>
          <cell r="H3732">
            <v>4</v>
          </cell>
          <cell r="I3732">
            <v>161.044488</v>
          </cell>
          <cell r="J3732">
            <v>161</v>
          </cell>
        </row>
        <row r="3733">
          <cell r="E3733">
            <v>10140179</v>
          </cell>
          <cell r="F3733" t="str">
            <v>0003</v>
          </cell>
          <cell r="G3733">
            <v>7</v>
          </cell>
          <cell r="H3733">
            <v>14.58</v>
          </cell>
          <cell r="I3733">
            <v>690.25497154202003</v>
          </cell>
          <cell r="J3733">
            <v>0</v>
          </cell>
        </row>
        <row r="3734">
          <cell r="E3734">
            <v>10140179</v>
          </cell>
          <cell r="F3734" t="str">
            <v>0005</v>
          </cell>
          <cell r="G3734">
            <v>14</v>
          </cell>
          <cell r="H3734">
            <v>77.94</v>
          </cell>
          <cell r="I3734">
            <v>2638.463153436001</v>
          </cell>
          <cell r="J3734">
            <v>0</v>
          </cell>
        </row>
        <row r="3735">
          <cell r="E3735">
            <v>10140179</v>
          </cell>
          <cell r="F3735" t="str">
            <v>0006</v>
          </cell>
          <cell r="G3735">
            <v>14</v>
          </cell>
          <cell r="H3735">
            <v>96.97999999999999</v>
          </cell>
          <cell r="I3735">
            <v>3541.8396408120002</v>
          </cell>
          <cell r="J3735">
            <v>0</v>
          </cell>
        </row>
        <row r="3736">
          <cell r="E3736">
            <v>10140179</v>
          </cell>
          <cell r="F3736" t="str">
            <v>0007</v>
          </cell>
          <cell r="G3736">
            <v>14</v>
          </cell>
          <cell r="H3736">
            <v>79.919999999999987</v>
          </cell>
          <cell r="I3736">
            <v>2940.1098364440004</v>
          </cell>
          <cell r="J3736">
            <v>0</v>
          </cell>
        </row>
        <row r="3737">
          <cell r="E3737">
            <v>10140179</v>
          </cell>
          <cell r="F3737" t="str">
            <v>0008</v>
          </cell>
          <cell r="G3737">
            <v>7</v>
          </cell>
          <cell r="H3737">
            <v>24.259999999999998</v>
          </cell>
          <cell r="I3737">
            <v>858.72675715200012</v>
          </cell>
          <cell r="J3737">
            <v>0</v>
          </cell>
        </row>
        <row r="3738">
          <cell r="E3738">
            <v>10140179</v>
          </cell>
          <cell r="F3738" t="str">
            <v>0010</v>
          </cell>
          <cell r="G3738">
            <v>3</v>
          </cell>
          <cell r="H3738">
            <v>3.2199999999999998</v>
          </cell>
          <cell r="I3738">
            <v>130.4325891</v>
          </cell>
          <cell r="J3738">
            <v>0</v>
          </cell>
        </row>
        <row r="3739">
          <cell r="E3739">
            <v>10140179</v>
          </cell>
          <cell r="F3739" t="str">
            <v>0012</v>
          </cell>
          <cell r="G3739">
            <v>14</v>
          </cell>
          <cell r="H3739">
            <v>22.65</v>
          </cell>
          <cell r="I3739">
            <v>1187.0539790615001</v>
          </cell>
          <cell r="J3739">
            <v>0</v>
          </cell>
        </row>
        <row r="3740">
          <cell r="E3740">
            <v>10140179</v>
          </cell>
          <cell r="F3740" t="str">
            <v>0017</v>
          </cell>
          <cell r="G3740">
            <v>9</v>
          </cell>
          <cell r="H3740">
            <v>37.130000000000003</v>
          </cell>
          <cell r="I3740">
            <v>1703.6761778441003</v>
          </cell>
          <cell r="J3740">
            <v>0</v>
          </cell>
        </row>
        <row r="3741">
          <cell r="E3741">
            <v>10140179</v>
          </cell>
          <cell r="F3741" t="str">
            <v>0019</v>
          </cell>
          <cell r="G3741">
            <v>14</v>
          </cell>
          <cell r="H3741">
            <v>78.359999999999985</v>
          </cell>
          <cell r="I3741">
            <v>3151.6935199200002</v>
          </cell>
          <cell r="J3741">
            <v>0</v>
          </cell>
        </row>
        <row r="3742">
          <cell r="E3742">
            <v>10140179</v>
          </cell>
          <cell r="F3742" t="str">
            <v>0020</v>
          </cell>
          <cell r="G3742">
            <v>12</v>
          </cell>
          <cell r="H3742">
            <v>41.690000000000005</v>
          </cell>
          <cell r="I3742">
            <v>1968.1630125244401</v>
          </cell>
          <cell r="J3742">
            <v>0</v>
          </cell>
        </row>
        <row r="3743">
          <cell r="E3743">
            <v>10140179</v>
          </cell>
          <cell r="F3743" t="str">
            <v>0022</v>
          </cell>
          <cell r="G3743">
            <v>13</v>
          </cell>
          <cell r="H3743">
            <v>65</v>
          </cell>
          <cell r="I3743">
            <v>2507.8043932920004</v>
          </cell>
          <cell r="J3743">
            <v>0</v>
          </cell>
        </row>
        <row r="3744">
          <cell r="E3744">
            <v>10140179</v>
          </cell>
          <cell r="F3744" t="str">
            <v>0023</v>
          </cell>
          <cell r="G3744">
            <v>14</v>
          </cell>
          <cell r="H3744">
            <v>72.460000000000008</v>
          </cell>
          <cell r="I3744">
            <v>2540.0337767639999</v>
          </cell>
          <cell r="J3744">
            <v>0</v>
          </cell>
        </row>
        <row r="3745">
          <cell r="E3745">
            <v>10140179</v>
          </cell>
          <cell r="F3745" t="str">
            <v>0024</v>
          </cell>
          <cell r="G3745">
            <v>12</v>
          </cell>
          <cell r="H3745">
            <v>31.419999999999995</v>
          </cell>
          <cell r="I3745">
            <v>1047.8086397064001</v>
          </cell>
          <cell r="J3745">
            <v>0</v>
          </cell>
        </row>
        <row r="3746">
          <cell r="E3746">
            <v>10140179</v>
          </cell>
          <cell r="F3746" t="str">
            <v>0025</v>
          </cell>
          <cell r="G3746">
            <v>14</v>
          </cell>
          <cell r="H3746">
            <v>55.519999999999996</v>
          </cell>
          <cell r="I3746">
            <v>2255.2615107000001</v>
          </cell>
          <cell r="J3746">
            <v>0</v>
          </cell>
        </row>
        <row r="3747">
          <cell r="E3747">
            <v>10140179</v>
          </cell>
          <cell r="F3747" t="str">
            <v>0028</v>
          </cell>
          <cell r="G3747">
            <v>14</v>
          </cell>
          <cell r="H3747">
            <v>82.710000000000008</v>
          </cell>
          <cell r="I3747">
            <v>2701.1060679240009</v>
          </cell>
          <cell r="J3747">
            <v>0</v>
          </cell>
        </row>
        <row r="3748">
          <cell r="E3748">
            <v>10140179</v>
          </cell>
          <cell r="F3748" t="str">
            <v>0029</v>
          </cell>
          <cell r="G3748">
            <v>7</v>
          </cell>
          <cell r="H3748">
            <v>9.06</v>
          </cell>
          <cell r="I3748">
            <v>384.98552531999997</v>
          </cell>
          <cell r="J3748">
            <v>0</v>
          </cell>
        </row>
        <row r="3749">
          <cell r="E3749">
            <v>10140179</v>
          </cell>
          <cell r="F3749" t="str">
            <v>0030</v>
          </cell>
          <cell r="G3749">
            <v>5</v>
          </cell>
          <cell r="H3749">
            <v>8.39</v>
          </cell>
          <cell r="I3749">
            <v>428.26370748120502</v>
          </cell>
          <cell r="J3749">
            <v>0</v>
          </cell>
        </row>
        <row r="3750">
          <cell r="E3750">
            <v>10140179</v>
          </cell>
          <cell r="F3750" t="str">
            <v>0032</v>
          </cell>
          <cell r="G3750">
            <v>14</v>
          </cell>
          <cell r="H3750">
            <v>56.59</v>
          </cell>
          <cell r="I3750">
            <v>2468.1649233882254</v>
          </cell>
          <cell r="J3750">
            <v>0</v>
          </cell>
        </row>
        <row r="3751">
          <cell r="E3751">
            <v>10140179</v>
          </cell>
          <cell r="F3751" t="str">
            <v>0033</v>
          </cell>
          <cell r="G3751">
            <v>14</v>
          </cell>
          <cell r="H3751">
            <v>49.31</v>
          </cell>
          <cell r="I3751">
            <v>2032.7564917440004</v>
          </cell>
          <cell r="J3751">
            <v>0</v>
          </cell>
        </row>
        <row r="3752">
          <cell r="E3752">
            <v>10140179</v>
          </cell>
          <cell r="F3752" t="str">
            <v>0034</v>
          </cell>
          <cell r="G3752">
            <v>7</v>
          </cell>
          <cell r="H3752">
            <v>17.36</v>
          </cell>
          <cell r="I3752">
            <v>1031.37108830838</v>
          </cell>
          <cell r="J3752">
            <v>0</v>
          </cell>
        </row>
        <row r="3753">
          <cell r="E3753">
            <v>10140179</v>
          </cell>
          <cell r="F3753" t="str">
            <v>0039</v>
          </cell>
          <cell r="G3753">
            <v>7</v>
          </cell>
          <cell r="H3753">
            <v>17.739999999999998</v>
          </cell>
          <cell r="I3753">
            <v>737.68410856800006</v>
          </cell>
          <cell r="J3753">
            <v>0</v>
          </cell>
        </row>
        <row r="3754">
          <cell r="E3754">
            <v>10140179</v>
          </cell>
          <cell r="F3754" t="str">
            <v>0040</v>
          </cell>
          <cell r="G3754">
            <v>4</v>
          </cell>
          <cell r="H3754">
            <v>4.08</v>
          </cell>
          <cell r="I3754">
            <v>155.76248102850002</v>
          </cell>
          <cell r="J3754">
            <v>0</v>
          </cell>
        </row>
        <row r="3755">
          <cell r="E3755">
            <v>10140179</v>
          </cell>
          <cell r="F3755" t="str">
            <v>0041</v>
          </cell>
          <cell r="G3755">
            <v>5</v>
          </cell>
          <cell r="H3755">
            <v>12.180000000000001</v>
          </cell>
          <cell r="I3755">
            <v>397.32866965440007</v>
          </cell>
          <cell r="J3755">
            <v>0</v>
          </cell>
        </row>
        <row r="3756">
          <cell r="E3756">
            <v>10140179</v>
          </cell>
          <cell r="F3756" t="str">
            <v>0043</v>
          </cell>
          <cell r="G3756">
            <v>7</v>
          </cell>
          <cell r="H3756">
            <v>13.739999999999998</v>
          </cell>
          <cell r="I3756">
            <v>560.27545470680502</v>
          </cell>
          <cell r="J3756">
            <v>0</v>
          </cell>
        </row>
        <row r="3757">
          <cell r="E3757">
            <v>10140179</v>
          </cell>
          <cell r="F3757" t="str">
            <v>0044</v>
          </cell>
          <cell r="G3757">
            <v>7</v>
          </cell>
          <cell r="H3757">
            <v>16.55</v>
          </cell>
          <cell r="I3757">
            <v>660.66103540800009</v>
          </cell>
          <cell r="J3757">
            <v>0</v>
          </cell>
        </row>
        <row r="3758">
          <cell r="E3758">
            <v>10140179</v>
          </cell>
          <cell r="F3758" t="str">
            <v>0048</v>
          </cell>
          <cell r="G3758">
            <v>13</v>
          </cell>
          <cell r="H3758">
            <v>29.91</v>
          </cell>
          <cell r="I3758">
            <v>990.78551454959995</v>
          </cell>
          <cell r="J3758">
            <v>0</v>
          </cell>
        </row>
        <row r="3759">
          <cell r="E3759">
            <v>10140179</v>
          </cell>
          <cell r="F3759" t="str">
            <v>0050</v>
          </cell>
          <cell r="G3759">
            <v>4</v>
          </cell>
          <cell r="H3759">
            <v>7.71</v>
          </cell>
          <cell r="I3759">
            <v>247.814801784</v>
          </cell>
          <cell r="J3759">
            <v>0</v>
          </cell>
        </row>
        <row r="3760">
          <cell r="E3760">
            <v>10140179</v>
          </cell>
          <cell r="F3760" t="str">
            <v>0051</v>
          </cell>
          <cell r="G3760">
            <v>13</v>
          </cell>
          <cell r="H3760">
            <v>17.300000000000004</v>
          </cell>
          <cell r="I3760">
            <v>519.5366784432</v>
          </cell>
          <cell r="J3760">
            <v>0</v>
          </cell>
        </row>
        <row r="3761">
          <cell r="E3761">
            <v>10140179</v>
          </cell>
          <cell r="F3761" t="str">
            <v>0052</v>
          </cell>
          <cell r="G3761">
            <v>14</v>
          </cell>
          <cell r="H3761">
            <v>45.64</v>
          </cell>
          <cell r="I3761">
            <v>1704.3417107640003</v>
          </cell>
          <cell r="J3761">
            <v>0</v>
          </cell>
        </row>
        <row r="3762">
          <cell r="E3762">
            <v>10140179</v>
          </cell>
          <cell r="F3762" t="str">
            <v>0053</v>
          </cell>
          <cell r="G3762">
            <v>5</v>
          </cell>
          <cell r="H3762">
            <v>11.219999999999999</v>
          </cell>
          <cell r="I3762">
            <v>341.63977161600002</v>
          </cell>
          <cell r="J3762">
            <v>0</v>
          </cell>
        </row>
        <row r="3763">
          <cell r="E3763">
            <v>10140179</v>
          </cell>
          <cell r="F3763" t="str">
            <v>0055</v>
          </cell>
          <cell r="G3763">
            <v>2</v>
          </cell>
          <cell r="H3763">
            <v>6.73</v>
          </cell>
          <cell r="I3763">
            <v>210.22814062800001</v>
          </cell>
          <cell r="J3763">
            <v>0</v>
          </cell>
        </row>
        <row r="3764">
          <cell r="E3764">
            <v>10140179</v>
          </cell>
          <cell r="F3764" t="str">
            <v>0056</v>
          </cell>
          <cell r="G3764">
            <v>5</v>
          </cell>
          <cell r="H3764">
            <v>9.82</v>
          </cell>
          <cell r="I3764">
            <v>451.20657752609998</v>
          </cell>
          <cell r="J3764">
            <v>0</v>
          </cell>
        </row>
        <row r="3765">
          <cell r="E3765">
            <v>10140179</v>
          </cell>
          <cell r="F3765" t="str">
            <v>0057</v>
          </cell>
          <cell r="G3765">
            <v>7</v>
          </cell>
          <cell r="H3765">
            <v>14.89</v>
          </cell>
          <cell r="I3765">
            <v>577.6135706880001</v>
          </cell>
          <cell r="J3765">
            <v>0</v>
          </cell>
        </row>
        <row r="3766">
          <cell r="E3766">
            <v>10140179</v>
          </cell>
          <cell r="F3766" t="str">
            <v>0058</v>
          </cell>
          <cell r="G3766">
            <v>7</v>
          </cell>
          <cell r="H3766">
            <v>17.560000000000002</v>
          </cell>
          <cell r="I3766">
            <v>607.00969256400003</v>
          </cell>
          <cell r="J3766">
            <v>0</v>
          </cell>
        </row>
        <row r="3767">
          <cell r="E3767">
            <v>10140179</v>
          </cell>
          <cell r="F3767" t="str">
            <v>0059</v>
          </cell>
          <cell r="G3767">
            <v>7</v>
          </cell>
          <cell r="H3767">
            <v>23.02</v>
          </cell>
          <cell r="I3767">
            <v>984.24971607600014</v>
          </cell>
          <cell r="J3767">
            <v>0</v>
          </cell>
        </row>
        <row r="3768">
          <cell r="E3768">
            <v>10140179</v>
          </cell>
          <cell r="F3768" t="str">
            <v>0060</v>
          </cell>
          <cell r="G3768">
            <v>2</v>
          </cell>
          <cell r="H3768">
            <v>2.4299999999999997</v>
          </cell>
          <cell r="I3768">
            <v>96.033837239999997</v>
          </cell>
          <cell r="J3768">
            <v>0</v>
          </cell>
        </row>
        <row r="3769">
          <cell r="E3769">
            <v>10140179</v>
          </cell>
          <cell r="F3769" t="str">
            <v>0061</v>
          </cell>
          <cell r="G3769">
            <v>14</v>
          </cell>
          <cell r="H3769">
            <v>45.54</v>
          </cell>
          <cell r="I3769">
            <v>1580.9143256280001</v>
          </cell>
          <cell r="J3769">
            <v>0</v>
          </cell>
        </row>
        <row r="3770">
          <cell r="E3770">
            <v>10140179</v>
          </cell>
          <cell r="F3770" t="str">
            <v>0062</v>
          </cell>
          <cell r="G3770">
            <v>7</v>
          </cell>
          <cell r="H3770">
            <v>32.92</v>
          </cell>
          <cell r="I3770">
            <v>1117.1254723200002</v>
          </cell>
          <cell r="J3770">
            <v>0</v>
          </cell>
        </row>
        <row r="3771">
          <cell r="E3771">
            <v>10140180</v>
          </cell>
          <cell r="F3771" t="str">
            <v>0001</v>
          </cell>
          <cell r="G3771">
            <v>14</v>
          </cell>
          <cell r="H3771">
            <v>2.9</v>
          </cell>
          <cell r="I3771">
            <v>111.64883004000002</v>
          </cell>
          <cell r="J3771">
            <v>0</v>
          </cell>
        </row>
        <row r="3772">
          <cell r="E3772">
            <v>10140180</v>
          </cell>
          <cell r="F3772" t="str">
            <v>0002</v>
          </cell>
          <cell r="G3772">
            <v>8</v>
          </cell>
          <cell r="H3772">
            <v>57.7</v>
          </cell>
          <cell r="I3772">
            <v>2091.18006504</v>
          </cell>
          <cell r="J3772">
            <v>0</v>
          </cell>
        </row>
        <row r="3773">
          <cell r="E3773">
            <v>10140180</v>
          </cell>
          <cell r="F3773" t="str">
            <v>0003</v>
          </cell>
          <cell r="G3773">
            <v>13</v>
          </cell>
          <cell r="H3773">
            <v>160.1</v>
          </cell>
          <cell r="I3773">
            <v>6234.2342370000006</v>
          </cell>
          <cell r="J3773">
            <v>0</v>
          </cell>
        </row>
        <row r="3774">
          <cell r="E3774">
            <v>10140180</v>
          </cell>
          <cell r="F3774" t="str">
            <v>0004</v>
          </cell>
          <cell r="G3774">
            <v>12</v>
          </cell>
          <cell r="H3774">
            <v>22.8</v>
          </cell>
          <cell r="I3774">
            <v>939.57524496000019</v>
          </cell>
          <cell r="J3774">
            <v>0</v>
          </cell>
        </row>
        <row r="3775">
          <cell r="E3775">
            <v>10140180</v>
          </cell>
          <cell r="F3775" t="str">
            <v>0007</v>
          </cell>
          <cell r="G3775">
            <v>11</v>
          </cell>
          <cell r="H3775">
            <v>34.5</v>
          </cell>
          <cell r="I3775">
            <v>1307.6834205600003</v>
          </cell>
          <cell r="J3775">
            <v>0</v>
          </cell>
        </row>
        <row r="3776">
          <cell r="E3776">
            <v>10140183</v>
          </cell>
          <cell r="F3776" t="str">
            <v>0002</v>
          </cell>
          <cell r="G3776">
            <v>2</v>
          </cell>
          <cell r="H3776">
            <v>14.309999999999999</v>
          </cell>
          <cell r="I3776">
            <v>474.11952073200007</v>
          </cell>
          <cell r="J3776">
            <v>0</v>
          </cell>
        </row>
        <row r="3777">
          <cell r="E3777">
            <v>10140183</v>
          </cell>
          <cell r="F3777" t="str">
            <v>0003</v>
          </cell>
          <cell r="G3777">
            <v>12</v>
          </cell>
          <cell r="H3777">
            <v>36.33</v>
          </cell>
          <cell r="I3777">
            <v>1634.8860306264701</v>
          </cell>
          <cell r="J3777">
            <v>0</v>
          </cell>
        </row>
        <row r="3778">
          <cell r="E3778">
            <v>10140183</v>
          </cell>
          <cell r="F3778" t="str">
            <v>0004</v>
          </cell>
          <cell r="G3778">
            <v>7</v>
          </cell>
          <cell r="H3778">
            <v>10.79</v>
          </cell>
          <cell r="I3778">
            <v>348.73208290800005</v>
          </cell>
          <cell r="J3778">
            <v>0</v>
          </cell>
        </row>
        <row r="3779">
          <cell r="E3779">
            <v>10140183</v>
          </cell>
          <cell r="F3779" t="str">
            <v>0005</v>
          </cell>
          <cell r="G3779">
            <v>10</v>
          </cell>
          <cell r="H3779">
            <v>24.419999999999995</v>
          </cell>
          <cell r="I3779">
            <v>935.98581667290023</v>
          </cell>
          <cell r="J3779">
            <v>0</v>
          </cell>
        </row>
        <row r="3780">
          <cell r="E3780">
            <v>10140183</v>
          </cell>
          <cell r="F3780" t="str">
            <v>0007</v>
          </cell>
          <cell r="G3780">
            <v>10</v>
          </cell>
          <cell r="H3780">
            <v>14.069999999999999</v>
          </cell>
          <cell r="I3780">
            <v>584.11394571730204</v>
          </cell>
          <cell r="J3780">
            <v>0</v>
          </cell>
        </row>
        <row r="3781">
          <cell r="E3781">
            <v>10140183</v>
          </cell>
          <cell r="F3781" t="str">
            <v>0008</v>
          </cell>
          <cell r="G3781">
            <v>12</v>
          </cell>
          <cell r="H3781">
            <v>25.88</v>
          </cell>
          <cell r="I3781">
            <v>1814.6921110734438</v>
          </cell>
          <cell r="J3781">
            <v>0</v>
          </cell>
        </row>
        <row r="3782">
          <cell r="E3782">
            <v>10140183</v>
          </cell>
          <cell r="F3782" t="str">
            <v>0009</v>
          </cell>
          <cell r="G3782">
            <v>7</v>
          </cell>
          <cell r="H3782">
            <v>10.170000000000002</v>
          </cell>
          <cell r="I3782">
            <v>503.35747843344001</v>
          </cell>
          <cell r="J3782">
            <v>0</v>
          </cell>
        </row>
        <row r="3783">
          <cell r="E3783">
            <v>10140183</v>
          </cell>
          <cell r="F3783" t="str">
            <v>0012</v>
          </cell>
          <cell r="G3783">
            <v>6</v>
          </cell>
          <cell r="H3783">
            <v>15.559999999999999</v>
          </cell>
          <cell r="I3783">
            <v>1269.2983538829596</v>
          </cell>
          <cell r="J3783">
            <v>0</v>
          </cell>
        </row>
        <row r="3784">
          <cell r="E3784">
            <v>10140183</v>
          </cell>
          <cell r="F3784" t="str">
            <v>0015</v>
          </cell>
          <cell r="G3784">
            <v>9</v>
          </cell>
          <cell r="H3784">
            <v>14.9</v>
          </cell>
          <cell r="I3784">
            <v>720.99041953153858</v>
          </cell>
          <cell r="J3784">
            <v>0</v>
          </cell>
        </row>
        <row r="3785">
          <cell r="E3785">
            <v>10140183</v>
          </cell>
          <cell r="F3785" t="str">
            <v>0016</v>
          </cell>
          <cell r="G3785">
            <v>7</v>
          </cell>
          <cell r="H3785">
            <v>14.389999999999999</v>
          </cell>
          <cell r="I3785">
            <v>570.97296958679999</v>
          </cell>
          <cell r="J3785">
            <v>0</v>
          </cell>
        </row>
        <row r="3786">
          <cell r="E3786">
            <v>10140183</v>
          </cell>
          <cell r="F3786" t="str">
            <v>0020</v>
          </cell>
          <cell r="G3786">
            <v>6</v>
          </cell>
          <cell r="H3786">
            <v>13.63</v>
          </cell>
          <cell r="I3786">
            <v>887.90057520148002</v>
          </cell>
          <cell r="J3786">
            <v>0</v>
          </cell>
        </row>
        <row r="3787">
          <cell r="E3787">
            <v>10140183</v>
          </cell>
          <cell r="F3787" t="str">
            <v>0027</v>
          </cell>
          <cell r="G3787">
            <v>12</v>
          </cell>
          <cell r="H3787">
            <v>48.92</v>
          </cell>
          <cell r="I3787">
            <v>1795.5145978703999</v>
          </cell>
          <cell r="J3787">
            <v>0</v>
          </cell>
        </row>
        <row r="3788">
          <cell r="E3788">
            <v>10140183</v>
          </cell>
          <cell r="F3788" t="str">
            <v>0028</v>
          </cell>
          <cell r="G3788">
            <v>12</v>
          </cell>
          <cell r="H3788">
            <v>16.97</v>
          </cell>
          <cell r="I3788">
            <v>950.16364202314412</v>
          </cell>
          <cell r="J3788">
            <v>0</v>
          </cell>
        </row>
        <row r="3789">
          <cell r="E3789">
            <v>10140183</v>
          </cell>
          <cell r="F3789" t="str">
            <v>0030</v>
          </cell>
          <cell r="G3789">
            <v>4</v>
          </cell>
          <cell r="H3789">
            <v>7.6499999999999995</v>
          </cell>
          <cell r="I3789">
            <v>311.69449792800003</v>
          </cell>
          <cell r="J3789">
            <v>0</v>
          </cell>
        </row>
        <row r="3790">
          <cell r="E3790">
            <v>10140185</v>
          </cell>
          <cell r="F3790" t="str">
            <v>0002</v>
          </cell>
          <cell r="G3790">
            <v>2</v>
          </cell>
          <cell r="H3790">
            <v>1693.9</v>
          </cell>
          <cell r="I3790">
            <v>83801.957098068</v>
          </cell>
          <cell r="J3790">
            <v>0</v>
          </cell>
        </row>
        <row r="3791">
          <cell r="E3791">
            <v>10140186</v>
          </cell>
          <cell r="F3791" t="str">
            <v>0002</v>
          </cell>
          <cell r="G3791">
            <v>14</v>
          </cell>
          <cell r="H3791">
            <v>278.91000000000008</v>
          </cell>
          <cell r="I3791">
            <v>11674.2188362948</v>
          </cell>
          <cell r="J3791">
            <v>0</v>
          </cell>
        </row>
        <row r="3792">
          <cell r="E3792">
            <v>10140194</v>
          </cell>
          <cell r="F3792" t="str">
            <v>0002</v>
          </cell>
          <cell r="G3792">
            <v>2</v>
          </cell>
          <cell r="H3792">
            <v>361</v>
          </cell>
          <cell r="I3792">
            <v>14534.265041999999</v>
          </cell>
          <cell r="J3792">
            <v>0</v>
          </cell>
        </row>
        <row r="3793">
          <cell r="E3793">
            <v>10140197</v>
          </cell>
          <cell r="F3793" t="str">
            <v>0002</v>
          </cell>
          <cell r="G3793">
            <v>14</v>
          </cell>
          <cell r="H3793">
            <v>296.52999999999997</v>
          </cell>
          <cell r="I3793">
            <v>12370.122961812001</v>
          </cell>
          <cell r="J3793">
            <v>0</v>
          </cell>
        </row>
        <row r="3794">
          <cell r="E3794">
            <v>10140205</v>
          </cell>
          <cell r="F3794" t="str">
            <v>0002</v>
          </cell>
          <cell r="G3794">
            <v>7</v>
          </cell>
          <cell r="H3794">
            <v>97.100000000000009</v>
          </cell>
          <cell r="I3794">
            <v>4272.7472185200004</v>
          </cell>
          <cell r="J3794">
            <v>0</v>
          </cell>
        </row>
        <row r="3795">
          <cell r="E3795">
            <v>10140206</v>
          </cell>
          <cell r="F3795" t="str">
            <v>0002</v>
          </cell>
          <cell r="G3795">
            <v>5</v>
          </cell>
          <cell r="H3795">
            <v>86.09</v>
          </cell>
          <cell r="I3795">
            <v>3809.7807382633505</v>
          </cell>
          <cell r="J3795">
            <v>0</v>
          </cell>
        </row>
        <row r="3796">
          <cell r="E3796">
            <v>10200001</v>
          </cell>
          <cell r="F3796" t="str">
            <v>0002</v>
          </cell>
          <cell r="G3796">
            <v>2</v>
          </cell>
          <cell r="H3796">
            <v>959</v>
          </cell>
          <cell r="I3796">
            <v>36680.921362800007</v>
          </cell>
          <cell r="J3796">
            <v>0</v>
          </cell>
        </row>
        <row r="3797">
          <cell r="E3797">
            <v>10220001</v>
          </cell>
          <cell r="F3797" t="str">
            <v>0001</v>
          </cell>
          <cell r="G3797">
            <v>13</v>
          </cell>
          <cell r="H3797">
            <v>6.0000000000000009</v>
          </cell>
          <cell r="I3797">
            <v>214.41400200000001</v>
          </cell>
          <cell r="J3797">
            <v>0</v>
          </cell>
        </row>
        <row r="3798">
          <cell r="E3798">
            <v>10220001</v>
          </cell>
          <cell r="F3798" t="str">
            <v>0002</v>
          </cell>
          <cell r="G3798">
            <v>13</v>
          </cell>
          <cell r="H3798">
            <v>45.5</v>
          </cell>
          <cell r="I3798">
            <v>1594.7062971840003</v>
          </cell>
          <cell r="J3798">
            <v>0</v>
          </cell>
        </row>
        <row r="3799">
          <cell r="E3799">
            <v>10220001</v>
          </cell>
          <cell r="F3799" t="str">
            <v>0003</v>
          </cell>
          <cell r="G3799">
            <v>12</v>
          </cell>
          <cell r="H3799">
            <v>42</v>
          </cell>
          <cell r="I3799">
            <v>1453.4743267440001</v>
          </cell>
          <cell r="J3799">
            <v>0</v>
          </cell>
        </row>
        <row r="3800">
          <cell r="E3800">
            <v>10220001</v>
          </cell>
          <cell r="F3800" t="str">
            <v>0004</v>
          </cell>
          <cell r="G3800">
            <v>1</v>
          </cell>
          <cell r="H3800">
            <v>3.6</v>
          </cell>
          <cell r="I3800">
            <v>116.04736123200003</v>
          </cell>
          <cell r="J3800">
            <v>0</v>
          </cell>
        </row>
        <row r="3801">
          <cell r="E3801">
            <v>10220001</v>
          </cell>
          <cell r="F3801" t="str">
            <v>0005</v>
          </cell>
          <cell r="G3801">
            <v>10</v>
          </cell>
          <cell r="H3801">
            <v>38.200000000000003</v>
          </cell>
          <cell r="I3801">
            <v>1307.96243622</v>
          </cell>
          <cell r="J3801">
            <v>0</v>
          </cell>
        </row>
        <row r="3802">
          <cell r="E3802">
            <v>10220001</v>
          </cell>
          <cell r="F3802" t="str">
            <v>0014</v>
          </cell>
          <cell r="G3802">
            <v>13</v>
          </cell>
          <cell r="H3802">
            <v>46</v>
          </cell>
          <cell r="I3802">
            <v>1612.5576190019999</v>
          </cell>
          <cell r="J3802">
            <v>0</v>
          </cell>
        </row>
        <row r="3803">
          <cell r="E3803">
            <v>10220001</v>
          </cell>
          <cell r="F3803" t="str">
            <v>0016</v>
          </cell>
          <cell r="G3803">
            <v>8</v>
          </cell>
          <cell r="H3803">
            <v>32.300000000000004</v>
          </cell>
          <cell r="I3803">
            <v>1132.1871172920003</v>
          </cell>
          <cell r="J3803">
            <v>0</v>
          </cell>
        </row>
        <row r="3804">
          <cell r="E3804">
            <v>10220001</v>
          </cell>
          <cell r="F3804" t="str">
            <v>0018</v>
          </cell>
          <cell r="G3804">
            <v>6</v>
          </cell>
          <cell r="H3804">
            <v>15.799999999999999</v>
          </cell>
          <cell r="I3804">
            <v>564.62037192000003</v>
          </cell>
          <cell r="J3804">
            <v>0</v>
          </cell>
        </row>
        <row r="3805">
          <cell r="E3805">
            <v>10220001</v>
          </cell>
          <cell r="F3805" t="str">
            <v>0025</v>
          </cell>
          <cell r="G3805">
            <v>4</v>
          </cell>
          <cell r="H3805">
            <v>8.6</v>
          </cell>
          <cell r="I3805">
            <v>313.96855762800004</v>
          </cell>
          <cell r="J3805">
            <v>0</v>
          </cell>
        </row>
        <row r="3806">
          <cell r="E3806">
            <v>10220001</v>
          </cell>
          <cell r="F3806" t="str">
            <v>0034</v>
          </cell>
          <cell r="G3806">
            <v>6</v>
          </cell>
          <cell r="H3806">
            <v>27.3</v>
          </cell>
          <cell r="I3806">
            <v>924.7967851320002</v>
          </cell>
          <cell r="J3806">
            <v>0</v>
          </cell>
        </row>
        <row r="3807">
          <cell r="E3807">
            <v>10220001</v>
          </cell>
          <cell r="F3807" t="str">
            <v>0047</v>
          </cell>
          <cell r="G3807">
            <v>11</v>
          </cell>
          <cell r="H3807">
            <v>41.5</v>
          </cell>
          <cell r="I3807">
            <v>1446.4455970140002</v>
          </cell>
          <cell r="J3807">
            <v>0</v>
          </cell>
        </row>
        <row r="3808">
          <cell r="E3808">
            <v>10220001</v>
          </cell>
          <cell r="F3808" t="str">
            <v>0051</v>
          </cell>
          <cell r="G3808">
            <v>6</v>
          </cell>
          <cell r="H3808">
            <v>8.4</v>
          </cell>
          <cell r="I3808">
            <v>287.87190022800007</v>
          </cell>
          <cell r="J3808">
            <v>0</v>
          </cell>
        </row>
        <row r="3809">
          <cell r="E3809">
            <v>10220001</v>
          </cell>
          <cell r="F3809" t="str">
            <v>0066</v>
          </cell>
          <cell r="G3809">
            <v>3</v>
          </cell>
          <cell r="H3809">
            <v>6.6</v>
          </cell>
          <cell r="I3809">
            <v>233.06622768000003</v>
          </cell>
          <cell r="J3809">
            <v>0</v>
          </cell>
        </row>
        <row r="3810">
          <cell r="E3810">
            <v>10220001</v>
          </cell>
          <cell r="F3810" t="str">
            <v>0088</v>
          </cell>
          <cell r="G3810">
            <v>5</v>
          </cell>
          <cell r="H3810">
            <v>16.2</v>
          </cell>
          <cell r="I3810">
            <v>576.44804448000014</v>
          </cell>
          <cell r="J3810">
            <v>0</v>
          </cell>
        </row>
        <row r="3811">
          <cell r="E3811">
            <v>10220001</v>
          </cell>
          <cell r="F3811" t="str">
            <v>0104</v>
          </cell>
          <cell r="G3811">
            <v>11</v>
          </cell>
          <cell r="H3811">
            <v>23.5</v>
          </cell>
          <cell r="I3811">
            <v>830.26503054000011</v>
          </cell>
          <cell r="J3811">
            <v>0</v>
          </cell>
        </row>
        <row r="3812">
          <cell r="E3812">
            <v>10220001</v>
          </cell>
          <cell r="F3812" t="str">
            <v>0108</v>
          </cell>
          <cell r="G3812">
            <v>12</v>
          </cell>
          <cell r="H3812">
            <v>46.20000000000001</v>
          </cell>
          <cell r="I3812">
            <v>1606.1023913220004</v>
          </cell>
          <cell r="J3812">
            <v>0</v>
          </cell>
        </row>
        <row r="3813">
          <cell r="E3813">
            <v>10230001</v>
          </cell>
          <cell r="F3813" t="str">
            <v>0001</v>
          </cell>
          <cell r="G3813">
            <v>12</v>
          </cell>
          <cell r="H3813">
            <v>2.4000000000000004</v>
          </cell>
          <cell r="I3813">
            <v>84.067710310980004</v>
          </cell>
          <cell r="J3813">
            <v>0</v>
          </cell>
        </row>
        <row r="3814">
          <cell r="E3814">
            <v>10230001</v>
          </cell>
          <cell r="F3814" t="str">
            <v>0005</v>
          </cell>
          <cell r="G3814">
            <v>12</v>
          </cell>
          <cell r="H3814">
            <v>34.1</v>
          </cell>
          <cell r="I3814">
            <v>1699.7567489516</v>
          </cell>
          <cell r="J3814">
            <v>0</v>
          </cell>
        </row>
        <row r="3815">
          <cell r="E3815">
            <v>10230001</v>
          </cell>
          <cell r="F3815" t="str">
            <v>0020</v>
          </cell>
          <cell r="G3815">
            <v>3</v>
          </cell>
          <cell r="H3815">
            <v>6.3</v>
          </cell>
          <cell r="I3815">
            <v>192.30273869400003</v>
          </cell>
          <cell r="J3815">
            <v>0</v>
          </cell>
        </row>
        <row r="3816">
          <cell r="E3816">
            <v>10230001</v>
          </cell>
          <cell r="F3816" t="str">
            <v>0060</v>
          </cell>
          <cell r="G3816">
            <v>6</v>
          </cell>
          <cell r="H3816">
            <v>13.8</v>
          </cell>
          <cell r="I3816">
            <v>392.85755982000006</v>
          </cell>
          <cell r="J3816">
            <v>0</v>
          </cell>
        </row>
        <row r="3817">
          <cell r="E3817">
            <v>10230001</v>
          </cell>
          <cell r="F3817" t="str">
            <v>0237</v>
          </cell>
          <cell r="G3817">
            <v>5</v>
          </cell>
          <cell r="H3817">
            <v>44</v>
          </cell>
          <cell r="I3817">
            <v>1743.3570094111999</v>
          </cell>
          <cell r="J3817">
            <v>0</v>
          </cell>
        </row>
        <row r="3818">
          <cell r="E3818">
            <v>10230001</v>
          </cell>
          <cell r="F3818" t="str">
            <v>0258</v>
          </cell>
          <cell r="G3818">
            <v>5</v>
          </cell>
          <cell r="H3818">
            <v>14.200000000000001</v>
          </cell>
          <cell r="I3818">
            <v>426.39798623400009</v>
          </cell>
          <cell r="J3818">
            <v>0</v>
          </cell>
        </row>
        <row r="3819">
          <cell r="E3819">
            <v>10230001</v>
          </cell>
          <cell r="F3819" t="str">
            <v>0262</v>
          </cell>
          <cell r="G3819">
            <v>7</v>
          </cell>
          <cell r="H3819">
            <v>11.3</v>
          </cell>
          <cell r="I3819">
            <v>366.87229959600006</v>
          </cell>
          <cell r="J3819">
            <v>0</v>
          </cell>
        </row>
        <row r="3820">
          <cell r="E3820">
            <v>10230001</v>
          </cell>
          <cell r="F3820" t="str">
            <v>0271</v>
          </cell>
          <cell r="G3820">
            <v>6</v>
          </cell>
          <cell r="H3820">
            <v>11.6</v>
          </cell>
          <cell r="I3820">
            <v>551.85421755896004</v>
          </cell>
          <cell r="J3820">
            <v>0</v>
          </cell>
        </row>
        <row r="3821">
          <cell r="E3821">
            <v>10240001</v>
          </cell>
          <cell r="F3821" t="str">
            <v>0001</v>
          </cell>
          <cell r="G3821">
            <v>14</v>
          </cell>
          <cell r="H3821">
            <v>21.5</v>
          </cell>
          <cell r="I3821">
            <v>1002.7154507756901</v>
          </cell>
          <cell r="J3821">
            <v>0</v>
          </cell>
        </row>
        <row r="3822">
          <cell r="E3822">
            <v>10240001</v>
          </cell>
          <cell r="F3822" t="str">
            <v>0010</v>
          </cell>
          <cell r="G3822">
            <v>6</v>
          </cell>
          <cell r="H3822">
            <v>15.900000000000002</v>
          </cell>
          <cell r="I3822">
            <v>498.52492925400014</v>
          </cell>
          <cell r="J3822">
            <v>0</v>
          </cell>
        </row>
        <row r="3823">
          <cell r="E3823">
            <v>10240001</v>
          </cell>
          <cell r="F3823" t="str">
            <v>0021</v>
          </cell>
          <cell r="G3823">
            <v>14</v>
          </cell>
          <cell r="H3823">
            <v>49.399999999999991</v>
          </cell>
          <cell r="I3823">
            <v>1769.5659255119999</v>
          </cell>
          <cell r="J3823">
            <v>0</v>
          </cell>
        </row>
        <row r="3824">
          <cell r="E3824">
            <v>10240001</v>
          </cell>
          <cell r="F3824" t="str">
            <v>0023</v>
          </cell>
          <cell r="G3824">
            <v>5</v>
          </cell>
          <cell r="H3824">
            <v>24.200000000000003</v>
          </cell>
          <cell r="I3824">
            <v>1123.7216535161999</v>
          </cell>
          <cell r="J3824">
            <v>0</v>
          </cell>
        </row>
        <row r="3825">
          <cell r="E3825">
            <v>10240001</v>
          </cell>
          <cell r="F3825" t="str">
            <v>0045</v>
          </cell>
          <cell r="G3825">
            <v>12</v>
          </cell>
          <cell r="H3825">
            <v>34.4</v>
          </cell>
          <cell r="I3825">
            <v>1135.1532547080003</v>
          </cell>
          <cell r="J3825">
            <v>0</v>
          </cell>
        </row>
        <row r="3826">
          <cell r="E3826">
            <v>10240001</v>
          </cell>
          <cell r="F3826" t="str">
            <v>0050</v>
          </cell>
          <cell r="G3826">
            <v>6</v>
          </cell>
          <cell r="H3826">
            <v>26.099999999999998</v>
          </cell>
          <cell r="I3826">
            <v>876.92840334000016</v>
          </cell>
          <cell r="J3826">
            <v>0</v>
          </cell>
        </row>
        <row r="3827">
          <cell r="E3827">
            <v>10240001</v>
          </cell>
          <cell r="F3827" t="str">
            <v>0058</v>
          </cell>
          <cell r="G3827">
            <v>13</v>
          </cell>
          <cell r="H3827">
            <v>28.2</v>
          </cell>
          <cell r="I3827">
            <v>938.13209919000019</v>
          </cell>
          <cell r="J3827">
            <v>0</v>
          </cell>
        </row>
        <row r="3828">
          <cell r="E3828">
            <v>10240001</v>
          </cell>
          <cell r="F3828" t="str">
            <v>0062</v>
          </cell>
          <cell r="G3828">
            <v>11</v>
          </cell>
          <cell r="H3828">
            <v>29.3</v>
          </cell>
          <cell r="I3828">
            <v>973.173173346</v>
          </cell>
          <cell r="J3828">
            <v>0</v>
          </cell>
        </row>
        <row r="3829">
          <cell r="E3829">
            <v>10240001</v>
          </cell>
          <cell r="F3829" t="str">
            <v>0067</v>
          </cell>
          <cell r="G3829">
            <v>9</v>
          </cell>
          <cell r="H3829">
            <v>43.7</v>
          </cell>
          <cell r="I3829">
            <v>1433.1242605680002</v>
          </cell>
          <cell r="J3829">
            <v>0</v>
          </cell>
        </row>
        <row r="3830">
          <cell r="E3830">
            <v>10240001</v>
          </cell>
          <cell r="F3830" t="str">
            <v>0088</v>
          </cell>
          <cell r="G3830">
            <v>14</v>
          </cell>
          <cell r="H3830">
            <v>45.500000000000007</v>
          </cell>
          <cell r="I3830">
            <v>2121.7284338566801</v>
          </cell>
          <cell r="J3830">
            <v>0</v>
          </cell>
        </row>
        <row r="3831">
          <cell r="E3831">
            <v>10240001</v>
          </cell>
          <cell r="F3831" t="str">
            <v>0095</v>
          </cell>
          <cell r="G3831">
            <v>14</v>
          </cell>
          <cell r="H3831">
            <v>93.8</v>
          </cell>
          <cell r="I3831">
            <v>3280.3535122380003</v>
          </cell>
          <cell r="J3831">
            <v>0</v>
          </cell>
        </row>
        <row r="3832">
          <cell r="E3832">
            <v>10240001</v>
          </cell>
          <cell r="F3832" t="str">
            <v>0097</v>
          </cell>
          <cell r="G3832">
            <v>7</v>
          </cell>
          <cell r="H3832">
            <v>35.699999999999996</v>
          </cell>
          <cell r="I3832">
            <v>1148.9318026560002</v>
          </cell>
          <cell r="J3832">
            <v>0</v>
          </cell>
        </row>
        <row r="3833">
          <cell r="E3833">
            <v>10240001</v>
          </cell>
          <cell r="F3833" t="str">
            <v>0104</v>
          </cell>
          <cell r="G3833">
            <v>6</v>
          </cell>
          <cell r="H3833">
            <v>14.1</v>
          </cell>
          <cell r="I3833">
            <v>637.18339808466021</v>
          </cell>
          <cell r="J3833">
            <v>0</v>
          </cell>
        </row>
        <row r="3834">
          <cell r="E3834">
            <v>10240001</v>
          </cell>
          <cell r="F3834" t="str">
            <v>0107</v>
          </cell>
          <cell r="G3834">
            <v>9</v>
          </cell>
          <cell r="H3834">
            <v>30.599999999999998</v>
          </cell>
          <cell r="I3834">
            <v>1010.9162099520001</v>
          </cell>
          <cell r="J3834">
            <v>0</v>
          </cell>
        </row>
        <row r="3835">
          <cell r="E3835">
            <v>10240001</v>
          </cell>
          <cell r="F3835" t="str">
            <v>0108</v>
          </cell>
          <cell r="G3835">
            <v>1</v>
          </cell>
          <cell r="H3835">
            <v>0.9</v>
          </cell>
          <cell r="I3835">
            <v>28.073309022</v>
          </cell>
          <cell r="J3835">
            <v>0</v>
          </cell>
        </row>
        <row r="3836">
          <cell r="E3836">
            <v>10240001</v>
          </cell>
          <cell r="F3836" t="str">
            <v>0117</v>
          </cell>
          <cell r="G3836">
            <v>6</v>
          </cell>
          <cell r="H3836">
            <v>17.999999999999996</v>
          </cell>
          <cell r="I3836">
            <v>589.32072084600009</v>
          </cell>
          <cell r="J3836">
            <v>0</v>
          </cell>
        </row>
        <row r="3837">
          <cell r="E3837">
            <v>10240001</v>
          </cell>
          <cell r="F3837" t="str">
            <v>0130</v>
          </cell>
          <cell r="G3837">
            <v>13</v>
          </cell>
          <cell r="H3837">
            <v>69.3</v>
          </cell>
          <cell r="I3837">
            <v>2192.0758742520002</v>
          </cell>
          <cell r="J3837">
            <v>0</v>
          </cell>
        </row>
        <row r="3838">
          <cell r="E3838">
            <v>10240001</v>
          </cell>
          <cell r="F3838" t="str">
            <v>0142</v>
          </cell>
          <cell r="G3838">
            <v>7</v>
          </cell>
          <cell r="H3838">
            <v>19.7</v>
          </cell>
          <cell r="I3838">
            <v>649.83017820600003</v>
          </cell>
          <cell r="J3838">
            <v>0</v>
          </cell>
        </row>
        <row r="3839">
          <cell r="E3839">
            <v>10240001</v>
          </cell>
          <cell r="F3839" t="str">
            <v>0148</v>
          </cell>
          <cell r="G3839">
            <v>14</v>
          </cell>
          <cell r="H3839">
            <v>72.8</v>
          </cell>
          <cell r="I3839">
            <v>2601.0189897120003</v>
          </cell>
          <cell r="J3839">
            <v>0</v>
          </cell>
        </row>
        <row r="3840">
          <cell r="E3840">
            <v>10240001</v>
          </cell>
          <cell r="F3840" t="str">
            <v>0150</v>
          </cell>
          <cell r="G3840">
            <v>1</v>
          </cell>
          <cell r="H3840">
            <v>4.5</v>
          </cell>
          <cell r="I3840">
            <v>210.94100557200002</v>
          </cell>
          <cell r="J3840">
            <v>0</v>
          </cell>
        </row>
        <row r="3841">
          <cell r="E3841">
            <v>10240001</v>
          </cell>
          <cell r="F3841" t="str">
            <v>0151</v>
          </cell>
          <cell r="G3841">
            <v>3</v>
          </cell>
          <cell r="H3841">
            <v>15.8</v>
          </cell>
          <cell r="I3841">
            <v>882.77321297500021</v>
          </cell>
          <cell r="J3841">
            <v>0</v>
          </cell>
        </row>
        <row r="3842">
          <cell r="E3842">
            <v>10240001</v>
          </cell>
          <cell r="F3842" t="str">
            <v>0161</v>
          </cell>
          <cell r="G3842">
            <v>6</v>
          </cell>
          <cell r="H3842">
            <v>18.700000000000003</v>
          </cell>
          <cell r="I3842">
            <v>711.35623310400001</v>
          </cell>
          <cell r="J3842">
            <v>0</v>
          </cell>
        </row>
        <row r="3843">
          <cell r="E3843">
            <v>10240001</v>
          </cell>
          <cell r="F3843" t="str">
            <v>0178</v>
          </cell>
          <cell r="G3843">
            <v>13</v>
          </cell>
          <cell r="H3843">
            <v>41.4</v>
          </cell>
          <cell r="I3843">
            <v>1389.8448927000002</v>
          </cell>
          <cell r="J3843">
            <v>0</v>
          </cell>
        </row>
        <row r="3844">
          <cell r="E3844">
            <v>10240001</v>
          </cell>
          <cell r="F3844" t="str">
            <v>0180</v>
          </cell>
          <cell r="G3844">
            <v>3</v>
          </cell>
          <cell r="H3844">
            <v>19.399999999999999</v>
          </cell>
          <cell r="I3844">
            <v>670.50065807999999</v>
          </cell>
          <cell r="J3844">
            <v>0</v>
          </cell>
        </row>
        <row r="3845">
          <cell r="E3845">
            <v>10240001</v>
          </cell>
          <cell r="F3845" t="str">
            <v>0183</v>
          </cell>
          <cell r="G3845">
            <v>7</v>
          </cell>
          <cell r="H3845">
            <v>25.1</v>
          </cell>
          <cell r="I3845">
            <v>843.33767779800007</v>
          </cell>
          <cell r="J3845">
            <v>0</v>
          </cell>
        </row>
        <row r="3846">
          <cell r="E3846">
            <v>10240001</v>
          </cell>
          <cell r="F3846" t="str">
            <v>0205</v>
          </cell>
          <cell r="G3846">
            <v>4</v>
          </cell>
          <cell r="H3846">
            <v>8</v>
          </cell>
          <cell r="I3846">
            <v>323.36918460000004</v>
          </cell>
          <cell r="J3846">
            <v>0</v>
          </cell>
        </row>
        <row r="3847">
          <cell r="E3847">
            <v>10240001</v>
          </cell>
          <cell r="F3847" t="str">
            <v>0210</v>
          </cell>
          <cell r="G3847">
            <v>7</v>
          </cell>
          <cell r="H3847">
            <v>11.9</v>
          </cell>
          <cell r="I3847">
            <v>541.62288800246006</v>
          </cell>
          <cell r="J3847">
            <v>0</v>
          </cell>
        </row>
        <row r="3848">
          <cell r="E3848">
            <v>10240001</v>
          </cell>
          <cell r="F3848" t="str">
            <v>0217</v>
          </cell>
          <cell r="G3848">
            <v>13</v>
          </cell>
          <cell r="H3848">
            <v>46.9</v>
          </cell>
          <cell r="I3848">
            <v>1548.1248555960001</v>
          </cell>
          <cell r="J3848">
            <v>0</v>
          </cell>
        </row>
        <row r="3849">
          <cell r="E3849">
            <v>10240001</v>
          </cell>
          <cell r="F3849" t="str">
            <v>0225</v>
          </cell>
          <cell r="G3849">
            <v>7</v>
          </cell>
          <cell r="H3849">
            <v>22.000000000000004</v>
          </cell>
          <cell r="I3849">
            <v>756.34134503400014</v>
          </cell>
          <cell r="J3849">
            <v>0</v>
          </cell>
        </row>
        <row r="3850">
          <cell r="E3850">
            <v>10240001</v>
          </cell>
          <cell r="F3850" t="str">
            <v>0250</v>
          </cell>
          <cell r="G3850">
            <v>4</v>
          </cell>
          <cell r="H3850">
            <v>12</v>
          </cell>
          <cell r="I3850">
            <v>442.38434724000007</v>
          </cell>
          <cell r="J3850">
            <v>0</v>
          </cell>
        </row>
        <row r="3851">
          <cell r="E3851">
            <v>10240001</v>
          </cell>
          <cell r="F3851" t="str">
            <v>0254</v>
          </cell>
          <cell r="G3851">
            <v>13</v>
          </cell>
          <cell r="H3851">
            <v>40.400000000000006</v>
          </cell>
          <cell r="I3851">
            <v>1433.3747919480002</v>
          </cell>
          <cell r="J3851">
            <v>0</v>
          </cell>
        </row>
        <row r="3852">
          <cell r="E3852">
            <v>10240001</v>
          </cell>
          <cell r="F3852" t="str">
            <v>0255</v>
          </cell>
          <cell r="G3852">
            <v>4</v>
          </cell>
          <cell r="H3852">
            <v>6.3</v>
          </cell>
          <cell r="I3852">
            <v>210.16594447200004</v>
          </cell>
          <cell r="J3852">
            <v>0</v>
          </cell>
        </row>
        <row r="3853">
          <cell r="E3853">
            <v>10240001</v>
          </cell>
          <cell r="F3853" t="str">
            <v>0258</v>
          </cell>
          <cell r="G3853">
            <v>7</v>
          </cell>
          <cell r="H3853">
            <v>13.9</v>
          </cell>
          <cell r="I3853">
            <v>484.019802486</v>
          </cell>
          <cell r="J3853">
            <v>0</v>
          </cell>
        </row>
        <row r="3854">
          <cell r="E3854">
            <v>10240001</v>
          </cell>
          <cell r="F3854" t="str">
            <v>0261</v>
          </cell>
          <cell r="G3854">
            <v>1</v>
          </cell>
          <cell r="H3854">
            <v>4</v>
          </cell>
          <cell r="I3854">
            <v>133.58822400000003</v>
          </cell>
          <cell r="J3854">
            <v>0</v>
          </cell>
        </row>
        <row r="3855">
          <cell r="E3855">
            <v>10240001</v>
          </cell>
          <cell r="F3855" t="str">
            <v>0319</v>
          </cell>
          <cell r="G3855">
            <v>5</v>
          </cell>
          <cell r="H3855">
            <v>10.199999999999999</v>
          </cell>
          <cell r="I3855">
            <v>475.94128725400003</v>
          </cell>
          <cell r="J3855">
            <v>0</v>
          </cell>
        </row>
        <row r="3856">
          <cell r="E3856">
            <v>10240001</v>
          </cell>
          <cell r="F3856" t="str">
            <v>0338</v>
          </cell>
          <cell r="G3856">
            <v>7</v>
          </cell>
          <cell r="H3856">
            <v>22.300000000000004</v>
          </cell>
          <cell r="I3856">
            <v>784.72528992000014</v>
          </cell>
          <cell r="J3856">
            <v>0</v>
          </cell>
        </row>
        <row r="3857">
          <cell r="E3857">
            <v>10240001</v>
          </cell>
          <cell r="F3857" t="str">
            <v>0350</v>
          </cell>
          <cell r="G3857">
            <v>6</v>
          </cell>
          <cell r="H3857">
            <v>20.2</v>
          </cell>
          <cell r="I3857">
            <v>747.50229932399998</v>
          </cell>
          <cell r="J3857">
            <v>0</v>
          </cell>
        </row>
        <row r="3858">
          <cell r="E3858">
            <v>10240001</v>
          </cell>
          <cell r="F3858" t="str">
            <v>0356</v>
          </cell>
          <cell r="G3858">
            <v>14</v>
          </cell>
          <cell r="H3858">
            <v>49.4</v>
          </cell>
          <cell r="I3858">
            <v>2176.3192474277303</v>
          </cell>
          <cell r="J3858">
            <v>0</v>
          </cell>
        </row>
        <row r="3859">
          <cell r="E3859">
            <v>10240001</v>
          </cell>
          <cell r="F3859" t="str">
            <v>0357</v>
          </cell>
          <cell r="G3859">
            <v>6</v>
          </cell>
          <cell r="H3859">
            <v>16.799999999999997</v>
          </cell>
          <cell r="I3859">
            <v>725.8999492800001</v>
          </cell>
          <cell r="J3859">
            <v>0</v>
          </cell>
        </row>
        <row r="3860">
          <cell r="E3860">
            <v>10240001</v>
          </cell>
          <cell r="F3860" t="str">
            <v>0375</v>
          </cell>
          <cell r="G3860">
            <v>7</v>
          </cell>
          <cell r="H3860">
            <v>17.899999999999999</v>
          </cell>
          <cell r="I3860">
            <v>607.16667686400001</v>
          </cell>
          <cell r="J3860">
            <v>0</v>
          </cell>
        </row>
        <row r="3861">
          <cell r="E3861">
            <v>10240001</v>
          </cell>
          <cell r="F3861" t="str">
            <v>0387</v>
          </cell>
          <cell r="G3861">
            <v>5</v>
          </cell>
          <cell r="H3861">
            <v>24.7</v>
          </cell>
          <cell r="I3861">
            <v>774.56999644200005</v>
          </cell>
          <cell r="J3861">
            <v>0</v>
          </cell>
        </row>
        <row r="3862">
          <cell r="E3862">
            <v>10240001</v>
          </cell>
          <cell r="F3862" t="str">
            <v>0396</v>
          </cell>
          <cell r="G3862">
            <v>7</v>
          </cell>
          <cell r="H3862">
            <v>18.8</v>
          </cell>
          <cell r="I3862">
            <v>900.2649742927</v>
          </cell>
          <cell r="J3862">
            <v>0</v>
          </cell>
        </row>
        <row r="3863">
          <cell r="E3863">
            <v>10240001</v>
          </cell>
          <cell r="F3863" t="str">
            <v>0397</v>
          </cell>
          <cell r="G3863">
            <v>6</v>
          </cell>
          <cell r="H3863">
            <v>94.300000000000011</v>
          </cell>
          <cell r="I3863">
            <v>3381.5764394280004</v>
          </cell>
          <cell r="J3863">
            <v>0</v>
          </cell>
        </row>
        <row r="3864">
          <cell r="E3864">
            <v>10240001</v>
          </cell>
          <cell r="F3864" t="str">
            <v>0401</v>
          </cell>
          <cell r="G3864">
            <v>13</v>
          </cell>
          <cell r="H3864">
            <v>51.199999999999996</v>
          </cell>
          <cell r="I3864">
            <v>1685.0373582239999</v>
          </cell>
          <cell r="J3864">
            <v>0</v>
          </cell>
        </row>
        <row r="3865">
          <cell r="E3865">
            <v>10240001</v>
          </cell>
          <cell r="F3865" t="str">
            <v>0422</v>
          </cell>
          <cell r="G3865">
            <v>5</v>
          </cell>
          <cell r="H3865">
            <v>7.8000000000000007</v>
          </cell>
          <cell r="I3865">
            <v>275.04347904000002</v>
          </cell>
          <cell r="J3865">
            <v>0</v>
          </cell>
        </row>
        <row r="3866">
          <cell r="E3866">
            <v>10240001</v>
          </cell>
          <cell r="F3866" t="str">
            <v>0433</v>
          </cell>
          <cell r="G3866">
            <v>4</v>
          </cell>
          <cell r="H3866">
            <v>8.1999999999999993</v>
          </cell>
          <cell r="I3866">
            <v>266.37233574600009</v>
          </cell>
          <cell r="J3866">
            <v>0</v>
          </cell>
        </row>
        <row r="3867">
          <cell r="E3867">
            <v>10240001</v>
          </cell>
          <cell r="F3867" t="str">
            <v>0439</v>
          </cell>
          <cell r="G3867">
            <v>6</v>
          </cell>
          <cell r="H3867">
            <v>56.3</v>
          </cell>
          <cell r="I3867">
            <v>1886.3240366520001</v>
          </cell>
          <cell r="J3867">
            <v>0</v>
          </cell>
        </row>
        <row r="3868">
          <cell r="E3868">
            <v>10240001</v>
          </cell>
          <cell r="F3868" t="str">
            <v>0443</v>
          </cell>
          <cell r="G3868">
            <v>4</v>
          </cell>
          <cell r="H3868">
            <v>11.5</v>
          </cell>
          <cell r="I3868">
            <v>396.8435136600001</v>
          </cell>
          <cell r="J3868">
            <v>0</v>
          </cell>
        </row>
        <row r="3869">
          <cell r="E3869">
            <v>10240001</v>
          </cell>
          <cell r="F3869" t="str">
            <v>0452</v>
          </cell>
          <cell r="G3869">
            <v>12</v>
          </cell>
          <cell r="H3869">
            <v>66.2</v>
          </cell>
          <cell r="I3869">
            <v>2257.9702451460003</v>
          </cell>
          <cell r="J3869">
            <v>0</v>
          </cell>
        </row>
        <row r="3870">
          <cell r="E3870">
            <v>10240001</v>
          </cell>
          <cell r="F3870" t="str">
            <v>0462</v>
          </cell>
          <cell r="G3870">
            <v>7</v>
          </cell>
          <cell r="H3870">
            <v>35</v>
          </cell>
          <cell r="I3870">
            <v>1256.299374528</v>
          </cell>
          <cell r="J3870">
            <v>0</v>
          </cell>
        </row>
        <row r="3871">
          <cell r="E3871">
            <v>10240001</v>
          </cell>
          <cell r="F3871" t="str">
            <v>0467</v>
          </cell>
          <cell r="G3871">
            <v>6</v>
          </cell>
          <cell r="H3871">
            <v>7.0000000000000009</v>
          </cell>
          <cell r="I3871">
            <v>354.66848514790001</v>
          </cell>
          <cell r="J3871">
            <v>0</v>
          </cell>
        </row>
        <row r="3872">
          <cell r="E3872">
            <v>10240001</v>
          </cell>
          <cell r="F3872" t="str">
            <v>0468</v>
          </cell>
          <cell r="G3872">
            <v>10</v>
          </cell>
          <cell r="H3872">
            <v>145.00000000000003</v>
          </cell>
          <cell r="I3872">
            <v>5084.4565324079995</v>
          </cell>
          <cell r="J3872">
            <v>0</v>
          </cell>
        </row>
        <row r="3873">
          <cell r="E3873">
            <v>10240001</v>
          </cell>
          <cell r="F3873" t="str">
            <v>0470</v>
          </cell>
          <cell r="G3873">
            <v>3</v>
          </cell>
          <cell r="H3873">
            <v>7.6999999999999993</v>
          </cell>
          <cell r="I3873">
            <v>265.61883744000005</v>
          </cell>
          <cell r="J3873">
            <v>0</v>
          </cell>
        </row>
        <row r="3874">
          <cell r="E3874">
            <v>10240001</v>
          </cell>
          <cell r="F3874" t="str">
            <v>0471</v>
          </cell>
          <cell r="G3874">
            <v>9</v>
          </cell>
          <cell r="H3874">
            <v>28.799999999999997</v>
          </cell>
          <cell r="I3874">
            <v>1025.445949506</v>
          </cell>
          <cell r="J3874">
            <v>0</v>
          </cell>
        </row>
        <row r="3875">
          <cell r="E3875">
            <v>10240001</v>
          </cell>
          <cell r="F3875" t="str">
            <v>0472</v>
          </cell>
          <cell r="G3875">
            <v>7</v>
          </cell>
          <cell r="H3875">
            <v>26.3</v>
          </cell>
          <cell r="I3875">
            <v>933.65945422200014</v>
          </cell>
          <cell r="J3875">
            <v>0</v>
          </cell>
        </row>
        <row r="3876">
          <cell r="E3876">
            <v>10240001</v>
          </cell>
          <cell r="F3876" t="str">
            <v>0473</v>
          </cell>
          <cell r="G3876">
            <v>1</v>
          </cell>
          <cell r="H3876">
            <v>5.8</v>
          </cell>
          <cell r="I3876">
            <v>186.12310582800001</v>
          </cell>
          <cell r="J3876">
            <v>0</v>
          </cell>
        </row>
        <row r="3877">
          <cell r="E3877">
            <v>10240001</v>
          </cell>
          <cell r="F3877" t="str">
            <v>0474</v>
          </cell>
          <cell r="G3877">
            <v>6</v>
          </cell>
          <cell r="H3877">
            <v>54.599999999999994</v>
          </cell>
          <cell r="I3877">
            <v>1848.1247254800003</v>
          </cell>
          <cell r="J3877">
            <v>0</v>
          </cell>
        </row>
        <row r="3878">
          <cell r="E3878">
            <v>10250001</v>
          </cell>
          <cell r="F3878" t="str">
            <v>0001</v>
          </cell>
          <cell r="G3878">
            <v>6</v>
          </cell>
          <cell r="H3878">
            <v>6</v>
          </cell>
          <cell r="I3878">
            <v>162.84001536</v>
          </cell>
          <cell r="J3878">
            <v>0</v>
          </cell>
        </row>
        <row r="3879">
          <cell r="E3879">
            <v>10250001</v>
          </cell>
          <cell r="F3879" t="str">
            <v>0002</v>
          </cell>
          <cell r="G3879">
            <v>8</v>
          </cell>
          <cell r="H3879">
            <v>111</v>
          </cell>
          <cell r="I3879">
            <v>3161.4413529599988</v>
          </cell>
          <cell r="J3879">
            <v>82.6</v>
          </cell>
        </row>
        <row r="3880">
          <cell r="E3880">
            <v>10250001</v>
          </cell>
          <cell r="F3880" t="str">
            <v>0006</v>
          </cell>
          <cell r="G3880">
            <v>6</v>
          </cell>
          <cell r="H3880">
            <v>20.2</v>
          </cell>
          <cell r="I3880">
            <v>1098.8446625266999</v>
          </cell>
          <cell r="J3880">
            <v>0</v>
          </cell>
        </row>
        <row r="3881">
          <cell r="E3881">
            <v>10250001</v>
          </cell>
          <cell r="F3881" t="str">
            <v>0026</v>
          </cell>
          <cell r="G3881">
            <v>6</v>
          </cell>
          <cell r="H3881">
            <v>13.000000000000002</v>
          </cell>
          <cell r="I3881">
            <v>712.11665669330011</v>
          </cell>
          <cell r="J3881">
            <v>0</v>
          </cell>
        </row>
        <row r="3882">
          <cell r="E3882">
            <v>10250001</v>
          </cell>
          <cell r="F3882" t="str">
            <v>0027</v>
          </cell>
          <cell r="G3882">
            <v>8</v>
          </cell>
          <cell r="H3882">
            <v>117</v>
          </cell>
          <cell r="I3882">
            <v>3175.3802995199994</v>
          </cell>
          <cell r="J3882">
            <v>0</v>
          </cell>
        </row>
        <row r="3883">
          <cell r="E3883">
            <v>10250001</v>
          </cell>
          <cell r="F3883" t="str">
            <v>0032</v>
          </cell>
          <cell r="G3883">
            <v>8</v>
          </cell>
          <cell r="H3883">
            <v>104</v>
          </cell>
          <cell r="I3883">
            <v>2822.5602662399997</v>
          </cell>
          <cell r="J3883">
            <v>0</v>
          </cell>
        </row>
        <row r="3884">
          <cell r="E3884">
            <v>10250001</v>
          </cell>
          <cell r="F3884" t="str">
            <v>0055</v>
          </cell>
          <cell r="G3884">
            <v>6</v>
          </cell>
          <cell r="H3884">
            <v>15.600000000000001</v>
          </cell>
          <cell r="I3884">
            <v>817.24962603560016</v>
          </cell>
          <cell r="J3884">
            <v>0</v>
          </cell>
        </row>
        <row r="3885">
          <cell r="E3885">
            <v>10250001</v>
          </cell>
          <cell r="F3885" t="str">
            <v>0098</v>
          </cell>
          <cell r="G3885">
            <v>6</v>
          </cell>
          <cell r="H3885">
            <v>24.599999999999998</v>
          </cell>
          <cell r="I3885">
            <v>1516.6589115269999</v>
          </cell>
          <cell r="J3885">
            <v>0</v>
          </cell>
        </row>
        <row r="3886">
          <cell r="E3886">
            <v>10250001</v>
          </cell>
          <cell r="F3886" t="str">
            <v>0123</v>
          </cell>
          <cell r="G3886">
            <v>3</v>
          </cell>
          <cell r="H3886">
            <v>18.2</v>
          </cell>
          <cell r="I3886">
            <v>560.77135507800006</v>
          </cell>
          <cell r="J3886">
            <v>0</v>
          </cell>
        </row>
        <row r="3887">
          <cell r="E3887">
            <v>10250001</v>
          </cell>
          <cell r="F3887" t="str">
            <v>0124</v>
          </cell>
          <cell r="G3887">
            <v>5</v>
          </cell>
          <cell r="H3887">
            <v>12.100000000000001</v>
          </cell>
          <cell r="I3887">
            <v>698.10365777300001</v>
          </cell>
          <cell r="J3887">
            <v>0</v>
          </cell>
        </row>
        <row r="3888">
          <cell r="E3888">
            <v>10250001</v>
          </cell>
          <cell r="F3888" t="str">
            <v>0197</v>
          </cell>
          <cell r="G3888">
            <v>8</v>
          </cell>
          <cell r="H3888">
            <v>104</v>
          </cell>
          <cell r="I3888">
            <v>2822.5602662399997</v>
          </cell>
          <cell r="J3888">
            <v>0</v>
          </cell>
        </row>
        <row r="3889">
          <cell r="E3889">
            <v>10250001</v>
          </cell>
          <cell r="F3889" t="str">
            <v>0198</v>
          </cell>
          <cell r="G3889">
            <v>8</v>
          </cell>
          <cell r="H3889">
            <v>104</v>
          </cell>
          <cell r="I3889">
            <v>2822.5602662399997</v>
          </cell>
          <cell r="J3889">
            <v>0</v>
          </cell>
        </row>
        <row r="3890">
          <cell r="E3890">
            <v>10250001</v>
          </cell>
          <cell r="F3890" t="str">
            <v>0201</v>
          </cell>
          <cell r="G3890">
            <v>6</v>
          </cell>
          <cell r="H3890">
            <v>15.4</v>
          </cell>
          <cell r="I3890">
            <v>812.10382328360015</v>
          </cell>
          <cell r="J3890">
            <v>0</v>
          </cell>
        </row>
        <row r="3891">
          <cell r="E3891">
            <v>10250001</v>
          </cell>
          <cell r="F3891" t="str">
            <v>0209</v>
          </cell>
          <cell r="G3891">
            <v>6</v>
          </cell>
          <cell r="H3891">
            <v>25.400000000000002</v>
          </cell>
          <cell r="I3891">
            <v>1510.51908901</v>
          </cell>
          <cell r="J3891">
            <v>0</v>
          </cell>
        </row>
        <row r="3892">
          <cell r="E3892">
            <v>10250001</v>
          </cell>
          <cell r="F3892" t="str">
            <v>0210</v>
          </cell>
          <cell r="G3892">
            <v>6</v>
          </cell>
          <cell r="H3892">
            <v>21.1</v>
          </cell>
          <cell r="I3892">
            <v>813.85545780000018</v>
          </cell>
          <cell r="J3892">
            <v>0</v>
          </cell>
        </row>
        <row r="3893">
          <cell r="E3893">
            <v>10250001</v>
          </cell>
          <cell r="F3893" t="str">
            <v>0212</v>
          </cell>
          <cell r="G3893">
            <v>8</v>
          </cell>
          <cell r="H3893">
            <v>104</v>
          </cell>
          <cell r="I3893">
            <v>2822.5602662399997</v>
          </cell>
          <cell r="J3893">
            <v>0</v>
          </cell>
        </row>
        <row r="3894">
          <cell r="E3894">
            <v>10250001</v>
          </cell>
          <cell r="F3894" t="str">
            <v>0221</v>
          </cell>
          <cell r="G3894">
            <v>5</v>
          </cell>
          <cell r="H3894">
            <v>15</v>
          </cell>
          <cell r="I3894">
            <v>628.67856744000005</v>
          </cell>
          <cell r="J3894">
            <v>0</v>
          </cell>
        </row>
        <row r="3895">
          <cell r="E3895">
            <v>10250001</v>
          </cell>
          <cell r="F3895" t="str">
            <v>0231</v>
          </cell>
          <cell r="G3895">
            <v>8</v>
          </cell>
          <cell r="H3895">
            <v>41.199999999999996</v>
          </cell>
          <cell r="I3895">
            <v>2624.3774544750004</v>
          </cell>
          <cell r="J3895">
            <v>0</v>
          </cell>
        </row>
        <row r="3896">
          <cell r="E3896">
            <v>10250001</v>
          </cell>
          <cell r="F3896" t="str">
            <v>0233</v>
          </cell>
          <cell r="G3896">
            <v>3</v>
          </cell>
          <cell r="H3896">
            <v>3.5999999999999996</v>
          </cell>
          <cell r="I3896">
            <v>140.31235606300004</v>
          </cell>
          <cell r="J3896">
            <v>0</v>
          </cell>
        </row>
        <row r="3897">
          <cell r="E3897">
            <v>10250001</v>
          </cell>
          <cell r="F3897" t="str">
            <v>0234</v>
          </cell>
          <cell r="G3897">
            <v>13</v>
          </cell>
          <cell r="H3897">
            <v>57.5</v>
          </cell>
          <cell r="I3897">
            <v>3209.0159261685999</v>
          </cell>
          <cell r="J3897">
            <v>0</v>
          </cell>
        </row>
        <row r="3898">
          <cell r="E3898">
            <v>10260001</v>
          </cell>
          <cell r="F3898" t="str">
            <v>0001</v>
          </cell>
          <cell r="G3898">
            <v>14</v>
          </cell>
          <cell r="H3898">
            <v>9.1999999999999993</v>
          </cell>
          <cell r="I3898">
            <v>418.13265590906008</v>
          </cell>
          <cell r="J3898">
            <v>0</v>
          </cell>
        </row>
        <row r="3899">
          <cell r="E3899">
            <v>10260001</v>
          </cell>
          <cell r="F3899" t="str">
            <v>0003</v>
          </cell>
          <cell r="G3899">
            <v>1</v>
          </cell>
          <cell r="H3899">
            <v>10.6</v>
          </cell>
          <cell r="I3899">
            <v>362.40399360000009</v>
          </cell>
          <cell r="J3899">
            <v>0</v>
          </cell>
        </row>
        <row r="3900">
          <cell r="E3900">
            <v>10260001</v>
          </cell>
          <cell r="F3900" t="str">
            <v>0004</v>
          </cell>
          <cell r="G3900">
            <v>11</v>
          </cell>
          <cell r="H3900">
            <v>118.60000000000002</v>
          </cell>
          <cell r="I3900">
            <v>4272.8129848800008</v>
          </cell>
          <cell r="J3900">
            <v>0</v>
          </cell>
        </row>
        <row r="3901">
          <cell r="E3901">
            <v>10260001</v>
          </cell>
          <cell r="F3901" t="str">
            <v>0008</v>
          </cell>
          <cell r="G3901">
            <v>8</v>
          </cell>
          <cell r="H3901">
            <v>119.1</v>
          </cell>
          <cell r="I3901">
            <v>4597.7523712560005</v>
          </cell>
          <cell r="J3901">
            <v>0</v>
          </cell>
        </row>
        <row r="3902">
          <cell r="E3902">
            <v>10260001</v>
          </cell>
          <cell r="F3902" t="str">
            <v>0022</v>
          </cell>
          <cell r="G3902">
            <v>14</v>
          </cell>
          <cell r="H3902">
            <v>231.9</v>
          </cell>
          <cell r="I3902">
            <v>8736.4208428991988</v>
          </cell>
          <cell r="J3902">
            <v>0</v>
          </cell>
        </row>
        <row r="3903">
          <cell r="E3903">
            <v>10260001</v>
          </cell>
          <cell r="F3903" t="str">
            <v>0033</v>
          </cell>
          <cell r="G3903">
            <v>9</v>
          </cell>
          <cell r="H3903">
            <v>101.39999999999999</v>
          </cell>
          <cell r="I3903">
            <v>4517.7456620862004</v>
          </cell>
          <cell r="J3903">
            <v>0</v>
          </cell>
        </row>
        <row r="3904">
          <cell r="E3904">
            <v>10260001</v>
          </cell>
          <cell r="F3904" t="str">
            <v>0048</v>
          </cell>
          <cell r="G3904">
            <v>11</v>
          </cell>
          <cell r="H3904">
            <v>124</v>
          </cell>
          <cell r="I3904">
            <v>5517.6187940653999</v>
          </cell>
          <cell r="J3904">
            <v>0</v>
          </cell>
        </row>
        <row r="3905">
          <cell r="E3905">
            <v>10260001</v>
          </cell>
          <cell r="F3905" t="str">
            <v>0068</v>
          </cell>
          <cell r="G3905">
            <v>11</v>
          </cell>
          <cell r="H3905">
            <v>123.3</v>
          </cell>
          <cell r="I3905">
            <v>5500.7909195420007</v>
          </cell>
          <cell r="J3905">
            <v>0</v>
          </cell>
        </row>
        <row r="3906">
          <cell r="E3906">
            <v>10260001</v>
          </cell>
          <cell r="F3906" t="str">
            <v>0128</v>
          </cell>
          <cell r="G3906">
            <v>8</v>
          </cell>
          <cell r="H3906">
            <v>94.1</v>
          </cell>
          <cell r="I3906">
            <v>4471.1506367604006</v>
          </cell>
          <cell r="J3906">
            <v>0</v>
          </cell>
        </row>
        <row r="3907">
          <cell r="E3907">
            <v>10260001</v>
          </cell>
          <cell r="F3907" t="str">
            <v>0158</v>
          </cell>
          <cell r="G3907">
            <v>10</v>
          </cell>
          <cell r="H3907">
            <v>110.19999999999999</v>
          </cell>
          <cell r="I3907">
            <v>4872.9312007199997</v>
          </cell>
          <cell r="J3907">
            <v>0</v>
          </cell>
        </row>
        <row r="3908">
          <cell r="E3908">
            <v>10260001</v>
          </cell>
          <cell r="F3908" t="str">
            <v>0162</v>
          </cell>
          <cell r="G3908">
            <v>10</v>
          </cell>
          <cell r="H3908">
            <v>110.39999999999999</v>
          </cell>
          <cell r="I3908">
            <v>5011.3602730786006</v>
          </cell>
          <cell r="J3908">
            <v>0</v>
          </cell>
        </row>
        <row r="3909">
          <cell r="E3909">
            <v>10260001</v>
          </cell>
          <cell r="F3909" t="str">
            <v>0168</v>
          </cell>
          <cell r="G3909">
            <v>8</v>
          </cell>
          <cell r="H3909">
            <v>88.899999999999991</v>
          </cell>
          <cell r="I3909">
            <v>3901.9868298615606</v>
          </cell>
          <cell r="J3909">
            <v>0</v>
          </cell>
        </row>
        <row r="3910">
          <cell r="E3910">
            <v>10260001</v>
          </cell>
          <cell r="F3910" t="str">
            <v>0170</v>
          </cell>
          <cell r="G3910">
            <v>9</v>
          </cell>
          <cell r="H3910">
            <v>111.2</v>
          </cell>
          <cell r="I3910">
            <v>4726.3527336030002</v>
          </cell>
          <cell r="J3910">
            <v>0</v>
          </cell>
        </row>
        <row r="3911">
          <cell r="E3911">
            <v>10260001</v>
          </cell>
          <cell r="F3911" t="str">
            <v>0172</v>
          </cell>
          <cell r="G3911">
            <v>12</v>
          </cell>
          <cell r="H3911">
            <v>148.79999999999998</v>
          </cell>
          <cell r="I3911">
            <v>6347.8428374064015</v>
          </cell>
          <cell r="J3911">
            <v>0</v>
          </cell>
        </row>
        <row r="3912">
          <cell r="E3912">
            <v>10260001</v>
          </cell>
          <cell r="F3912" t="str">
            <v>0175</v>
          </cell>
          <cell r="G3912">
            <v>9</v>
          </cell>
          <cell r="H3912">
            <v>103.89999999999999</v>
          </cell>
          <cell r="I3912">
            <v>4655.3088605191006</v>
          </cell>
          <cell r="J3912">
            <v>0</v>
          </cell>
        </row>
        <row r="3913">
          <cell r="E3913">
            <v>10290001</v>
          </cell>
          <cell r="F3913" t="str">
            <v>0001</v>
          </cell>
          <cell r="G3913">
            <v>14</v>
          </cell>
          <cell r="H3913">
            <v>7.8</v>
          </cell>
          <cell r="I3913">
            <v>259.39348934399999</v>
          </cell>
          <cell r="J3913">
            <v>0</v>
          </cell>
        </row>
        <row r="3914">
          <cell r="E3914">
            <v>10290001</v>
          </cell>
          <cell r="F3914" t="str">
            <v>0002</v>
          </cell>
          <cell r="G3914">
            <v>14</v>
          </cell>
          <cell r="H3914">
            <v>493.6</v>
          </cell>
          <cell r="I3914">
            <v>16656.066963162</v>
          </cell>
          <cell r="J3914">
            <v>0</v>
          </cell>
        </row>
        <row r="3915">
          <cell r="E3915">
            <v>10290001</v>
          </cell>
          <cell r="F3915" t="str">
            <v>0007</v>
          </cell>
          <cell r="G3915">
            <v>12</v>
          </cell>
          <cell r="H3915">
            <v>192.70000000000002</v>
          </cell>
          <cell r="I3915">
            <v>6568.3660838400001</v>
          </cell>
          <cell r="J3915">
            <v>0</v>
          </cell>
        </row>
        <row r="3916">
          <cell r="E3916">
            <v>10290001</v>
          </cell>
          <cell r="F3916" t="str">
            <v>0021</v>
          </cell>
          <cell r="G3916">
            <v>12</v>
          </cell>
          <cell r="H3916">
            <v>443.90000000000009</v>
          </cell>
          <cell r="I3916">
            <v>14893.80856524</v>
          </cell>
          <cell r="J3916">
            <v>0</v>
          </cell>
        </row>
        <row r="3917">
          <cell r="E3917">
            <v>10290001</v>
          </cell>
          <cell r="F3917" t="str">
            <v>0022</v>
          </cell>
          <cell r="G3917">
            <v>10</v>
          </cell>
          <cell r="H3917">
            <v>248.5</v>
          </cell>
          <cell r="I3917">
            <v>8529.8291575200019</v>
          </cell>
          <cell r="J3917">
            <v>0</v>
          </cell>
        </row>
        <row r="3918">
          <cell r="E3918">
            <v>10290001</v>
          </cell>
          <cell r="F3918" t="str">
            <v>0023</v>
          </cell>
          <cell r="G3918">
            <v>11</v>
          </cell>
          <cell r="H3918">
            <v>272.3</v>
          </cell>
          <cell r="I3918">
            <v>9352.9819350000016</v>
          </cell>
          <cell r="J3918">
            <v>0</v>
          </cell>
        </row>
        <row r="3919">
          <cell r="E3919">
            <v>10290001</v>
          </cell>
          <cell r="F3919" t="str">
            <v>0024</v>
          </cell>
          <cell r="G3919">
            <v>11</v>
          </cell>
          <cell r="H3919">
            <v>266.3</v>
          </cell>
          <cell r="I3919">
            <v>9190.681861680001</v>
          </cell>
          <cell r="J3919">
            <v>0</v>
          </cell>
        </row>
        <row r="3920">
          <cell r="E3920">
            <v>10290001</v>
          </cell>
          <cell r="F3920" t="str">
            <v>0025</v>
          </cell>
          <cell r="G3920">
            <v>10</v>
          </cell>
          <cell r="H3920">
            <v>235.60000000000002</v>
          </cell>
          <cell r="I3920">
            <v>8063.5001396400021</v>
          </cell>
          <cell r="J3920">
            <v>0</v>
          </cell>
        </row>
        <row r="3921">
          <cell r="E3921">
            <v>10290001</v>
          </cell>
          <cell r="F3921" t="str">
            <v>0026</v>
          </cell>
          <cell r="G3921">
            <v>8</v>
          </cell>
          <cell r="H3921">
            <v>186.4</v>
          </cell>
          <cell r="I3921">
            <v>6415.427106000001</v>
          </cell>
          <cell r="J3921">
            <v>0</v>
          </cell>
        </row>
        <row r="3922">
          <cell r="E3922">
            <v>10290001</v>
          </cell>
          <cell r="F3922" t="str">
            <v>0027</v>
          </cell>
          <cell r="G3922">
            <v>7</v>
          </cell>
          <cell r="H3922">
            <v>174.4</v>
          </cell>
          <cell r="I3922">
            <v>6010.4377713600006</v>
          </cell>
          <cell r="J3922">
            <v>0</v>
          </cell>
        </row>
        <row r="3923">
          <cell r="E3923">
            <v>10290001</v>
          </cell>
          <cell r="F3923" t="str">
            <v>0028</v>
          </cell>
          <cell r="G3923">
            <v>6</v>
          </cell>
          <cell r="H3923">
            <v>156</v>
          </cell>
          <cell r="I3923">
            <v>5372.0926102800004</v>
          </cell>
          <cell r="J3923">
            <v>0</v>
          </cell>
        </row>
        <row r="3924">
          <cell r="E3924">
            <v>10290001</v>
          </cell>
          <cell r="F3924" t="str">
            <v>0029</v>
          </cell>
          <cell r="G3924">
            <v>4</v>
          </cell>
          <cell r="H3924">
            <v>71.899999999999991</v>
          </cell>
          <cell r="I3924">
            <v>2418.3161442000001</v>
          </cell>
          <cell r="J3924">
            <v>0</v>
          </cell>
        </row>
        <row r="3925">
          <cell r="E3925">
            <v>10290001</v>
          </cell>
          <cell r="F3925" t="str">
            <v>0030</v>
          </cell>
          <cell r="G3925">
            <v>3</v>
          </cell>
          <cell r="H3925">
            <v>78.199999999999989</v>
          </cell>
          <cell r="I3925">
            <v>2652.5180286</v>
          </cell>
          <cell r="J3925">
            <v>0</v>
          </cell>
        </row>
        <row r="3926">
          <cell r="E3926">
            <v>10290001</v>
          </cell>
          <cell r="F3926" t="str">
            <v>0031</v>
          </cell>
          <cell r="G3926">
            <v>2</v>
          </cell>
          <cell r="H3926">
            <v>51.3</v>
          </cell>
          <cell r="I3926">
            <v>1686.7772618400002</v>
          </cell>
          <cell r="J3926">
            <v>0</v>
          </cell>
        </row>
        <row r="3927">
          <cell r="E3927">
            <v>10310001</v>
          </cell>
          <cell r="F3927" t="str">
            <v>0001</v>
          </cell>
          <cell r="G3927">
            <v>14</v>
          </cell>
          <cell r="H3927">
            <v>8.3999999999999986</v>
          </cell>
          <cell r="I3927">
            <v>312.98760801000003</v>
          </cell>
          <cell r="J3927">
            <v>0</v>
          </cell>
        </row>
        <row r="3928">
          <cell r="E3928">
            <v>10310001</v>
          </cell>
          <cell r="F3928" t="str">
            <v>0100</v>
          </cell>
          <cell r="G3928">
            <v>14</v>
          </cell>
          <cell r="H3928">
            <v>126</v>
          </cell>
          <cell r="I3928">
            <v>4689.289643940001</v>
          </cell>
          <cell r="J3928">
            <v>0</v>
          </cell>
        </row>
        <row r="3929">
          <cell r="E3929">
            <v>10310001</v>
          </cell>
          <cell r="F3929" t="str">
            <v>0103</v>
          </cell>
          <cell r="G3929">
            <v>14</v>
          </cell>
          <cell r="H3929">
            <v>126</v>
          </cell>
          <cell r="I3929">
            <v>4691.6657627400009</v>
          </cell>
          <cell r="J3929">
            <v>0</v>
          </cell>
        </row>
        <row r="3930">
          <cell r="E3930">
            <v>10310001</v>
          </cell>
          <cell r="F3930" t="str">
            <v>0104</v>
          </cell>
          <cell r="G3930">
            <v>14</v>
          </cell>
          <cell r="H3930">
            <v>126</v>
          </cell>
          <cell r="I3930">
            <v>4691.6657627400009</v>
          </cell>
          <cell r="J3930">
            <v>0</v>
          </cell>
        </row>
        <row r="3931">
          <cell r="E3931">
            <v>10310001</v>
          </cell>
          <cell r="F3931" t="str">
            <v>0105</v>
          </cell>
          <cell r="G3931">
            <v>14</v>
          </cell>
          <cell r="H3931">
            <v>126</v>
          </cell>
          <cell r="I3931">
            <v>4691.6657627400009</v>
          </cell>
          <cell r="J3931">
            <v>0</v>
          </cell>
        </row>
        <row r="3932">
          <cell r="E3932">
            <v>10310001</v>
          </cell>
          <cell r="F3932" t="str">
            <v>0106</v>
          </cell>
          <cell r="G3932">
            <v>14</v>
          </cell>
          <cell r="H3932">
            <v>126</v>
          </cell>
          <cell r="I3932">
            <v>4702.35776274</v>
          </cell>
          <cell r="J3932">
            <v>0</v>
          </cell>
        </row>
        <row r="3933">
          <cell r="E3933">
            <v>10310001</v>
          </cell>
          <cell r="F3933" t="str">
            <v>0107</v>
          </cell>
          <cell r="G3933">
            <v>14</v>
          </cell>
          <cell r="H3933">
            <v>126</v>
          </cell>
          <cell r="I3933">
            <v>4702.35776274</v>
          </cell>
          <cell r="J3933">
            <v>0</v>
          </cell>
        </row>
        <row r="3934">
          <cell r="E3934">
            <v>10310001</v>
          </cell>
          <cell r="F3934" t="str">
            <v>0108</v>
          </cell>
          <cell r="G3934">
            <v>14</v>
          </cell>
          <cell r="H3934">
            <v>126</v>
          </cell>
          <cell r="I3934">
            <v>4691.6657627400009</v>
          </cell>
          <cell r="J3934">
            <v>0</v>
          </cell>
        </row>
        <row r="3935">
          <cell r="E3935">
            <v>10310001</v>
          </cell>
          <cell r="F3935" t="str">
            <v>0109</v>
          </cell>
          <cell r="G3935">
            <v>14</v>
          </cell>
          <cell r="H3935">
            <v>126</v>
          </cell>
          <cell r="I3935">
            <v>4691.6657627400009</v>
          </cell>
          <cell r="J3935">
            <v>0</v>
          </cell>
        </row>
        <row r="3936">
          <cell r="E3936">
            <v>10310001</v>
          </cell>
          <cell r="F3936" t="str">
            <v>0110</v>
          </cell>
          <cell r="G3936">
            <v>12</v>
          </cell>
          <cell r="H3936">
            <v>108</v>
          </cell>
          <cell r="I3936">
            <v>4015.6743983400011</v>
          </cell>
          <cell r="J3936">
            <v>0</v>
          </cell>
        </row>
        <row r="3937">
          <cell r="E3937">
            <v>10310001</v>
          </cell>
          <cell r="F3937" t="str">
            <v>0111</v>
          </cell>
          <cell r="G3937">
            <v>13</v>
          </cell>
          <cell r="H3937">
            <v>117</v>
          </cell>
          <cell r="I3937">
            <v>4362.5802587400012</v>
          </cell>
          <cell r="J3937">
            <v>0</v>
          </cell>
        </row>
        <row r="3938">
          <cell r="E3938">
            <v>10310001</v>
          </cell>
          <cell r="F3938" t="str">
            <v>0112</v>
          </cell>
          <cell r="G3938">
            <v>11</v>
          </cell>
          <cell r="H3938">
            <v>99</v>
          </cell>
          <cell r="I3938">
            <v>3723.2990388000007</v>
          </cell>
          <cell r="J3938">
            <v>0</v>
          </cell>
        </row>
        <row r="3939">
          <cell r="E3939">
            <v>10310001</v>
          </cell>
          <cell r="F3939" t="str">
            <v>0113</v>
          </cell>
          <cell r="G3939">
            <v>10</v>
          </cell>
          <cell r="H3939">
            <v>90</v>
          </cell>
          <cell r="I3939">
            <v>3361.0673903400002</v>
          </cell>
          <cell r="J3939">
            <v>0</v>
          </cell>
        </row>
        <row r="3940">
          <cell r="E3940">
            <v>10310001</v>
          </cell>
          <cell r="F3940" t="str">
            <v>0114</v>
          </cell>
          <cell r="G3940">
            <v>4</v>
          </cell>
          <cell r="H3940">
            <v>36</v>
          </cell>
          <cell r="I3940">
            <v>1311.70858434</v>
          </cell>
          <cell r="J3940">
            <v>0</v>
          </cell>
        </row>
        <row r="3941">
          <cell r="E3941">
            <v>10310001</v>
          </cell>
          <cell r="F3941" t="str">
            <v>0115</v>
          </cell>
          <cell r="G3941">
            <v>1</v>
          </cell>
          <cell r="H3941">
            <v>9</v>
          </cell>
          <cell r="I3941">
            <v>318.39350400000001</v>
          </cell>
          <cell r="J3941">
            <v>0</v>
          </cell>
        </row>
        <row r="3942">
          <cell r="E3942">
            <v>10310001</v>
          </cell>
          <cell r="F3942" t="str">
            <v>0116</v>
          </cell>
          <cell r="G3942">
            <v>1</v>
          </cell>
          <cell r="H3942">
            <v>9</v>
          </cell>
          <cell r="I3942">
            <v>318.39350400000001</v>
          </cell>
          <cell r="J3942">
            <v>0</v>
          </cell>
        </row>
        <row r="3943">
          <cell r="E3943">
            <v>10310001</v>
          </cell>
          <cell r="F3943" t="str">
            <v>0117</v>
          </cell>
          <cell r="G3943">
            <v>1</v>
          </cell>
          <cell r="H3943">
            <v>9</v>
          </cell>
          <cell r="I3943">
            <v>318.39350400000001</v>
          </cell>
          <cell r="J3943">
            <v>0</v>
          </cell>
        </row>
        <row r="3944">
          <cell r="E3944">
            <v>10350001</v>
          </cell>
          <cell r="F3944" t="str">
            <v>0001</v>
          </cell>
          <cell r="G3944">
            <v>7</v>
          </cell>
          <cell r="H3944">
            <v>21</v>
          </cell>
          <cell r="I3944">
            <v>884.76639767999995</v>
          </cell>
          <cell r="J3944">
            <v>0</v>
          </cell>
        </row>
        <row r="3945">
          <cell r="E3945">
            <v>10350001</v>
          </cell>
          <cell r="F3945" t="str">
            <v>0002</v>
          </cell>
          <cell r="G3945">
            <v>12</v>
          </cell>
          <cell r="H3945">
            <v>304</v>
          </cell>
          <cell r="I3945">
            <v>13756.103866903499</v>
          </cell>
          <cell r="J3945">
            <v>0</v>
          </cell>
        </row>
        <row r="3946">
          <cell r="E3946">
            <v>10350001</v>
          </cell>
          <cell r="F3946" t="str">
            <v>0008</v>
          </cell>
          <cell r="G3946">
            <v>14</v>
          </cell>
          <cell r="H3946">
            <v>187.89999999999998</v>
          </cell>
          <cell r="I3946">
            <v>7187.7496460220009</v>
          </cell>
          <cell r="J3946">
            <v>0</v>
          </cell>
        </row>
        <row r="3947">
          <cell r="E3947">
            <v>10350001</v>
          </cell>
          <cell r="F3947" t="str">
            <v>0023</v>
          </cell>
          <cell r="G3947">
            <v>6</v>
          </cell>
          <cell r="H3947">
            <v>17.799999999999997</v>
          </cell>
          <cell r="I3947">
            <v>587.11676443200008</v>
          </cell>
          <cell r="J3947">
            <v>0</v>
          </cell>
        </row>
        <row r="3948">
          <cell r="E3948">
            <v>10350001</v>
          </cell>
          <cell r="F3948" t="str">
            <v>0027</v>
          </cell>
          <cell r="G3948">
            <v>10</v>
          </cell>
          <cell r="H3948">
            <v>44.2</v>
          </cell>
          <cell r="I3948">
            <v>1769.2059924000002</v>
          </cell>
          <cell r="J3948">
            <v>0</v>
          </cell>
        </row>
        <row r="3949">
          <cell r="E3949">
            <v>10350001</v>
          </cell>
          <cell r="F3949" t="str">
            <v>0028</v>
          </cell>
          <cell r="G3949">
            <v>1</v>
          </cell>
          <cell r="H3949">
            <v>2.7</v>
          </cell>
          <cell r="I3949">
            <v>87.035520924000025</v>
          </cell>
          <cell r="J3949">
            <v>0</v>
          </cell>
        </row>
        <row r="3950">
          <cell r="E3950">
            <v>10350001</v>
          </cell>
          <cell r="F3950" t="str">
            <v>0036</v>
          </cell>
          <cell r="G3950">
            <v>1</v>
          </cell>
          <cell r="H3950">
            <v>5.5</v>
          </cell>
          <cell r="I3950">
            <v>223.614171</v>
          </cell>
          <cell r="J3950">
            <v>0</v>
          </cell>
        </row>
        <row r="3951">
          <cell r="E3951">
            <v>10350001</v>
          </cell>
          <cell r="F3951" t="str">
            <v>0051</v>
          </cell>
          <cell r="G3951">
            <v>11</v>
          </cell>
          <cell r="H3951">
            <v>87.999999999999986</v>
          </cell>
          <cell r="I3951">
            <v>4802.2148595490007</v>
          </cell>
          <cell r="J3951">
            <v>0</v>
          </cell>
        </row>
        <row r="3952">
          <cell r="E3952">
            <v>10350001</v>
          </cell>
          <cell r="F3952" t="str">
            <v>0061</v>
          </cell>
          <cell r="G3952">
            <v>5</v>
          </cell>
          <cell r="H3952">
            <v>61.8</v>
          </cell>
          <cell r="I3952">
            <v>3209.2655334185001</v>
          </cell>
          <cell r="J3952">
            <v>0</v>
          </cell>
        </row>
        <row r="3953">
          <cell r="E3953">
            <v>10350001</v>
          </cell>
          <cell r="F3953" t="str">
            <v>0093</v>
          </cell>
          <cell r="G3953">
            <v>3</v>
          </cell>
          <cell r="H3953">
            <v>144.4</v>
          </cell>
          <cell r="I3953">
            <v>6198.275449707</v>
          </cell>
          <cell r="J3953">
            <v>0</v>
          </cell>
        </row>
        <row r="3954">
          <cell r="E3954">
            <v>10350001</v>
          </cell>
          <cell r="F3954" t="str">
            <v>0098</v>
          </cell>
          <cell r="G3954">
            <v>12</v>
          </cell>
          <cell r="H3954">
            <v>110.3</v>
          </cell>
          <cell r="I3954">
            <v>3714.832947672</v>
          </cell>
          <cell r="J3954">
            <v>0</v>
          </cell>
        </row>
        <row r="3955">
          <cell r="E3955">
            <v>10350001</v>
          </cell>
          <cell r="F3955" t="str">
            <v>0100</v>
          </cell>
          <cell r="G3955">
            <v>14</v>
          </cell>
          <cell r="H3955">
            <v>729.9</v>
          </cell>
          <cell r="I3955">
            <v>25962.904831446001</v>
          </cell>
          <cell r="J3955">
            <v>0</v>
          </cell>
        </row>
        <row r="3956">
          <cell r="E3956">
            <v>10350001</v>
          </cell>
          <cell r="F3956" t="str">
            <v>0105</v>
          </cell>
          <cell r="G3956">
            <v>14</v>
          </cell>
          <cell r="H3956">
            <v>567.29999999999995</v>
          </cell>
          <cell r="I3956">
            <v>22243.37460345</v>
          </cell>
          <cell r="J3956">
            <v>0</v>
          </cell>
        </row>
        <row r="3957">
          <cell r="E3957">
            <v>10350001</v>
          </cell>
          <cell r="F3957" t="str">
            <v>0110</v>
          </cell>
          <cell r="G3957">
            <v>1</v>
          </cell>
          <cell r="H3957">
            <v>19.399999999999999</v>
          </cell>
          <cell r="I3957">
            <v>701.68045464000011</v>
          </cell>
          <cell r="J3957">
            <v>0</v>
          </cell>
        </row>
        <row r="3958">
          <cell r="E3958">
            <v>10350001</v>
          </cell>
          <cell r="F3958" t="str">
            <v>0128</v>
          </cell>
          <cell r="G3958">
            <v>7</v>
          </cell>
          <cell r="H3958">
            <v>90.1</v>
          </cell>
          <cell r="I3958">
            <v>3211.3558738800007</v>
          </cell>
          <cell r="J3958">
            <v>0</v>
          </cell>
        </row>
        <row r="3959">
          <cell r="E3959">
            <v>10350001</v>
          </cell>
          <cell r="F3959" t="str">
            <v>0139</v>
          </cell>
          <cell r="G3959">
            <v>2</v>
          </cell>
          <cell r="H3959">
            <v>90.6</v>
          </cell>
          <cell r="I3959">
            <v>4243.4630884799999</v>
          </cell>
          <cell r="J3959">
            <v>0</v>
          </cell>
        </row>
        <row r="3960">
          <cell r="E3960">
            <v>10350001</v>
          </cell>
          <cell r="F3960" t="str">
            <v>0159</v>
          </cell>
          <cell r="G3960">
            <v>14</v>
          </cell>
          <cell r="H3960">
            <v>37.999999999999993</v>
          </cell>
          <cell r="I3960">
            <v>1461.8494043999999</v>
          </cell>
          <cell r="J3960">
            <v>0</v>
          </cell>
        </row>
        <row r="3961">
          <cell r="E3961">
            <v>10350001</v>
          </cell>
          <cell r="F3961" t="str">
            <v>0160</v>
          </cell>
          <cell r="G3961">
            <v>14</v>
          </cell>
          <cell r="H3961">
            <v>106.80000000000001</v>
          </cell>
          <cell r="I3961">
            <v>3685.6066896000002</v>
          </cell>
          <cell r="J3961">
            <v>0</v>
          </cell>
        </row>
        <row r="3962">
          <cell r="E3962">
            <v>10350001</v>
          </cell>
          <cell r="F3962" t="str">
            <v>0162</v>
          </cell>
          <cell r="G3962">
            <v>14</v>
          </cell>
          <cell r="H3962">
            <v>98.1</v>
          </cell>
          <cell r="I3962">
            <v>3468.3337099620007</v>
          </cell>
          <cell r="J3962">
            <v>0</v>
          </cell>
        </row>
        <row r="3963">
          <cell r="E3963">
            <v>10350001</v>
          </cell>
          <cell r="F3963" t="str">
            <v>0165</v>
          </cell>
          <cell r="G3963">
            <v>14</v>
          </cell>
          <cell r="H3963">
            <v>158.5</v>
          </cell>
          <cell r="I3963">
            <v>5543.0115840000017</v>
          </cell>
          <cell r="J3963">
            <v>0</v>
          </cell>
        </row>
        <row r="3964">
          <cell r="E3964">
            <v>10350001</v>
          </cell>
          <cell r="F3964" t="str">
            <v>0166</v>
          </cell>
          <cell r="G3964">
            <v>7</v>
          </cell>
          <cell r="H3964">
            <v>32.4</v>
          </cell>
          <cell r="I3964">
            <v>1176.2475516000002</v>
          </cell>
          <cell r="J3964">
            <v>0</v>
          </cell>
        </row>
        <row r="3965">
          <cell r="E3965">
            <v>10350001</v>
          </cell>
          <cell r="F3965" t="str">
            <v>0171</v>
          </cell>
          <cell r="G3965">
            <v>7</v>
          </cell>
          <cell r="H3965">
            <v>23.299999999999997</v>
          </cell>
          <cell r="I3965">
            <v>855.90307519199996</v>
          </cell>
          <cell r="J3965">
            <v>0</v>
          </cell>
        </row>
        <row r="3966">
          <cell r="E3966">
            <v>10350001</v>
          </cell>
          <cell r="F3966" t="str">
            <v>0191</v>
          </cell>
          <cell r="G3966">
            <v>6</v>
          </cell>
          <cell r="H3966">
            <v>35.700000000000003</v>
          </cell>
          <cell r="I3966">
            <v>1297.624295286</v>
          </cell>
          <cell r="J3966">
            <v>0</v>
          </cell>
        </row>
        <row r="3967">
          <cell r="E3967">
            <v>10350001</v>
          </cell>
          <cell r="F3967" t="str">
            <v>0193</v>
          </cell>
          <cell r="G3967">
            <v>7</v>
          </cell>
          <cell r="H3967">
            <v>60.099999999999994</v>
          </cell>
          <cell r="I3967">
            <v>2042.1270401400002</v>
          </cell>
          <cell r="J3967">
            <v>0</v>
          </cell>
        </row>
        <row r="3968">
          <cell r="E3968">
            <v>10350001</v>
          </cell>
          <cell r="F3968" t="str">
            <v>0195</v>
          </cell>
          <cell r="G3968">
            <v>5</v>
          </cell>
          <cell r="H3968">
            <v>3.6</v>
          </cell>
          <cell r="I3968">
            <v>168.94324095729999</v>
          </cell>
          <cell r="J3968">
            <v>0</v>
          </cell>
        </row>
        <row r="3969">
          <cell r="E3969">
            <v>10360001</v>
          </cell>
          <cell r="F3969" t="str">
            <v>0001</v>
          </cell>
          <cell r="G3969">
            <v>10</v>
          </cell>
          <cell r="H3969">
            <v>45.600000000000009</v>
          </cell>
          <cell r="I3969">
            <v>1794.1941190800001</v>
          </cell>
          <cell r="J3969">
            <v>0</v>
          </cell>
        </row>
        <row r="3970">
          <cell r="E3970">
            <v>10360001</v>
          </cell>
          <cell r="F3970" t="str">
            <v>0002</v>
          </cell>
          <cell r="G3970">
            <v>14</v>
          </cell>
          <cell r="H3970">
            <v>704.49999999999989</v>
          </cell>
          <cell r="I3970">
            <v>30463.998182524403</v>
          </cell>
          <cell r="J3970">
            <v>1498.6</v>
          </cell>
        </row>
        <row r="3971">
          <cell r="E3971">
            <v>10360001</v>
          </cell>
          <cell r="F3971" t="str">
            <v>0003</v>
          </cell>
          <cell r="G3971">
            <v>14</v>
          </cell>
          <cell r="H3971">
            <v>459.29999999999995</v>
          </cell>
          <cell r="I3971">
            <v>17510.7671046</v>
          </cell>
          <cell r="J3971">
            <v>0</v>
          </cell>
        </row>
        <row r="3972">
          <cell r="E3972">
            <v>10360001</v>
          </cell>
          <cell r="F3972" t="str">
            <v>0029</v>
          </cell>
          <cell r="G3972">
            <v>13</v>
          </cell>
          <cell r="H3972">
            <v>153.69999999999999</v>
          </cell>
          <cell r="I3972">
            <v>5395.6092742200008</v>
          </cell>
          <cell r="J3972">
            <v>0</v>
          </cell>
        </row>
        <row r="3973">
          <cell r="E3973">
            <v>10360001</v>
          </cell>
          <cell r="F3973" t="str">
            <v>0034</v>
          </cell>
          <cell r="G3973">
            <v>14</v>
          </cell>
          <cell r="H3973">
            <v>158.9</v>
          </cell>
          <cell r="I3973">
            <v>5567.6633734260013</v>
          </cell>
          <cell r="J3973">
            <v>0</v>
          </cell>
        </row>
        <row r="3974">
          <cell r="E3974">
            <v>10360001</v>
          </cell>
          <cell r="F3974" t="str">
            <v>0035</v>
          </cell>
          <cell r="G3974">
            <v>14</v>
          </cell>
          <cell r="H3974">
            <v>286.80000000000007</v>
          </cell>
          <cell r="I3974">
            <v>10396.050776892003</v>
          </cell>
          <cell r="J3974">
            <v>0</v>
          </cell>
        </row>
        <row r="3975">
          <cell r="E3975">
            <v>10360001</v>
          </cell>
          <cell r="F3975" t="str">
            <v>0041</v>
          </cell>
          <cell r="G3975">
            <v>14</v>
          </cell>
          <cell r="H3975">
            <v>186.3</v>
          </cell>
          <cell r="I3975">
            <v>6679.6360309799993</v>
          </cell>
          <cell r="J3975">
            <v>0</v>
          </cell>
        </row>
        <row r="3976">
          <cell r="E3976">
            <v>10360001</v>
          </cell>
          <cell r="F3976" t="str">
            <v>0043</v>
          </cell>
          <cell r="G3976">
            <v>14</v>
          </cell>
          <cell r="H3976">
            <v>196</v>
          </cell>
          <cell r="I3976">
            <v>7148.2043639159992</v>
          </cell>
          <cell r="J3976">
            <v>0</v>
          </cell>
        </row>
        <row r="3977">
          <cell r="E3977">
            <v>10360001</v>
          </cell>
          <cell r="F3977" t="str">
            <v>0052</v>
          </cell>
          <cell r="G3977">
            <v>13</v>
          </cell>
          <cell r="H3977">
            <v>154.99999999999997</v>
          </cell>
          <cell r="I3977">
            <v>5658.2425013399998</v>
          </cell>
          <cell r="J3977">
            <v>0</v>
          </cell>
        </row>
        <row r="3978">
          <cell r="E3978">
            <v>10360001</v>
          </cell>
          <cell r="F3978" t="str">
            <v>0070</v>
          </cell>
          <cell r="G3978">
            <v>13</v>
          </cell>
          <cell r="H3978">
            <v>236.4</v>
          </cell>
          <cell r="I3978">
            <v>9888.4313671572017</v>
          </cell>
          <cell r="J3978">
            <v>0</v>
          </cell>
        </row>
        <row r="3979">
          <cell r="E3979">
            <v>10370001</v>
          </cell>
          <cell r="F3979" t="str">
            <v>0002</v>
          </cell>
          <cell r="G3979">
            <v>1</v>
          </cell>
          <cell r="H3979">
            <v>271</v>
          </cell>
          <cell r="I3979">
            <v>9372.5501760000006</v>
          </cell>
          <cell r="J3979">
            <v>0</v>
          </cell>
        </row>
        <row r="3980">
          <cell r="E3980">
            <v>10370001</v>
          </cell>
          <cell r="F3980" t="str">
            <v>0003</v>
          </cell>
          <cell r="G3980">
            <v>1</v>
          </cell>
          <cell r="H3980">
            <v>100</v>
          </cell>
          <cell r="I3980">
            <v>3458.5056</v>
          </cell>
          <cell r="J3980">
            <v>0</v>
          </cell>
        </row>
        <row r="3981">
          <cell r="E3981">
            <v>10370001</v>
          </cell>
          <cell r="F3981" t="str">
            <v>0043</v>
          </cell>
          <cell r="G3981">
            <v>1</v>
          </cell>
          <cell r="H3981">
            <v>100</v>
          </cell>
          <cell r="I3981">
            <v>3458.5056</v>
          </cell>
          <cell r="J3981">
            <v>0</v>
          </cell>
        </row>
        <row r="3982">
          <cell r="E3982">
            <v>10380001</v>
          </cell>
          <cell r="F3982" t="str">
            <v>0001</v>
          </cell>
          <cell r="G3982">
            <v>1</v>
          </cell>
          <cell r="H3982">
            <v>5</v>
          </cell>
          <cell r="I3982">
            <v>176.88528000000002</v>
          </cell>
          <cell r="J3982">
            <v>0</v>
          </cell>
        </row>
        <row r="3983">
          <cell r="E3983">
            <v>10380001</v>
          </cell>
          <cell r="F3983" t="str">
            <v>0002</v>
          </cell>
          <cell r="G3983">
            <v>1</v>
          </cell>
          <cell r="H3983">
            <v>50</v>
          </cell>
          <cell r="I3983">
            <v>1768.8528000000001</v>
          </cell>
          <cell r="J3983">
            <v>0</v>
          </cell>
        </row>
        <row r="3984">
          <cell r="E3984">
            <v>10380001</v>
          </cell>
          <cell r="F3984" t="str">
            <v>0004</v>
          </cell>
          <cell r="G3984">
            <v>1</v>
          </cell>
          <cell r="H3984">
            <v>50</v>
          </cell>
          <cell r="I3984">
            <v>1768.8528000000001</v>
          </cell>
          <cell r="J3984">
            <v>0</v>
          </cell>
        </row>
        <row r="3985">
          <cell r="E3985">
            <v>10380001</v>
          </cell>
          <cell r="F3985" t="str">
            <v>0006</v>
          </cell>
          <cell r="G3985">
            <v>1</v>
          </cell>
          <cell r="H3985">
            <v>50</v>
          </cell>
          <cell r="I3985">
            <v>1768.8528000000001</v>
          </cell>
          <cell r="J3985">
            <v>0</v>
          </cell>
        </row>
        <row r="3986">
          <cell r="E3986">
            <v>10380001</v>
          </cell>
          <cell r="F3986" t="str">
            <v>0007</v>
          </cell>
          <cell r="G3986">
            <v>1</v>
          </cell>
          <cell r="H3986">
            <v>50</v>
          </cell>
          <cell r="I3986">
            <v>1768.8528000000001</v>
          </cell>
          <cell r="J3986">
            <v>0</v>
          </cell>
        </row>
        <row r="3987">
          <cell r="E3987">
            <v>10380001</v>
          </cell>
          <cell r="F3987" t="str">
            <v>0023</v>
          </cell>
          <cell r="G3987">
            <v>1</v>
          </cell>
          <cell r="H3987">
            <v>50</v>
          </cell>
          <cell r="I3987">
            <v>1768.8528000000001</v>
          </cell>
          <cell r="J3987">
            <v>0</v>
          </cell>
        </row>
        <row r="3988">
          <cell r="E3988">
            <v>10380001</v>
          </cell>
          <cell r="F3988" t="str">
            <v>0024</v>
          </cell>
          <cell r="G3988">
            <v>1</v>
          </cell>
          <cell r="H3988">
            <v>50</v>
          </cell>
          <cell r="I3988">
            <v>1768.8528000000001</v>
          </cell>
          <cell r="J3988">
            <v>0</v>
          </cell>
        </row>
        <row r="3989">
          <cell r="E3989">
            <v>10380001</v>
          </cell>
          <cell r="F3989" t="str">
            <v>0028</v>
          </cell>
          <cell r="G3989">
            <v>1</v>
          </cell>
          <cell r="H3989">
            <v>50</v>
          </cell>
          <cell r="I3989">
            <v>1768.8528000000001</v>
          </cell>
          <cell r="J3989">
            <v>0</v>
          </cell>
        </row>
        <row r="3990">
          <cell r="E3990">
            <v>10390001</v>
          </cell>
          <cell r="F3990" t="str">
            <v>0001</v>
          </cell>
          <cell r="G3990">
            <v>2</v>
          </cell>
          <cell r="H3990">
            <v>0.8</v>
          </cell>
          <cell r="I3990">
            <v>28.776844800000003</v>
          </cell>
          <cell r="J3990">
            <v>0</v>
          </cell>
        </row>
        <row r="3991">
          <cell r="E3991">
            <v>10390001</v>
          </cell>
          <cell r="F3991" t="str">
            <v>0004</v>
          </cell>
          <cell r="G3991">
            <v>2</v>
          </cell>
          <cell r="H3991">
            <v>150</v>
          </cell>
          <cell r="I3991">
            <v>5346.1584000000003</v>
          </cell>
          <cell r="J3991">
            <v>0</v>
          </cell>
        </row>
        <row r="3992">
          <cell r="E3992">
            <v>10390001</v>
          </cell>
          <cell r="F3992" t="str">
            <v>0009</v>
          </cell>
          <cell r="G3992">
            <v>2</v>
          </cell>
          <cell r="H3992">
            <v>70</v>
          </cell>
          <cell r="I3992">
            <v>2488.2739200000001</v>
          </cell>
          <cell r="J3992">
            <v>0</v>
          </cell>
        </row>
        <row r="3993">
          <cell r="E3993">
            <v>10390001</v>
          </cell>
          <cell r="F3993" t="str">
            <v>0085</v>
          </cell>
          <cell r="G3993">
            <v>2</v>
          </cell>
          <cell r="H3993">
            <v>23.2</v>
          </cell>
          <cell r="I3993">
            <v>830.56849920000002</v>
          </cell>
          <cell r="J3993">
            <v>0</v>
          </cell>
        </row>
        <row r="3994">
          <cell r="E3994">
            <v>10390001</v>
          </cell>
          <cell r="F3994" t="str">
            <v>0266</v>
          </cell>
          <cell r="G3994">
            <v>2</v>
          </cell>
          <cell r="H3994">
            <v>25</v>
          </cell>
          <cell r="I3994">
            <v>894.32640000000004</v>
          </cell>
          <cell r="J3994">
            <v>0</v>
          </cell>
        </row>
        <row r="3995">
          <cell r="E3995">
            <v>10400001</v>
          </cell>
          <cell r="F3995" t="str">
            <v>0001</v>
          </cell>
          <cell r="G3995">
            <v>3</v>
          </cell>
          <cell r="H3995">
            <v>7</v>
          </cell>
          <cell r="I3995">
            <v>248.03539200000003</v>
          </cell>
          <cell r="J3995">
            <v>0</v>
          </cell>
        </row>
        <row r="3996">
          <cell r="E3996">
            <v>10400001</v>
          </cell>
          <cell r="F3996" t="str">
            <v>0002</v>
          </cell>
          <cell r="G3996">
            <v>3</v>
          </cell>
          <cell r="H3996">
            <v>400</v>
          </cell>
          <cell r="I3996">
            <v>14190.422400000001</v>
          </cell>
          <cell r="J3996">
            <v>8893.66</v>
          </cell>
        </row>
        <row r="3997">
          <cell r="E3997">
            <v>10400001</v>
          </cell>
          <cell r="F3997" t="str">
            <v>0003</v>
          </cell>
          <cell r="G3997">
            <v>2</v>
          </cell>
          <cell r="H3997">
            <v>150</v>
          </cell>
          <cell r="I3997">
            <v>5346.1584000000003</v>
          </cell>
          <cell r="J3997">
            <v>0</v>
          </cell>
        </row>
        <row r="3998">
          <cell r="E3998">
            <v>10400001</v>
          </cell>
          <cell r="F3998" t="str">
            <v>0007</v>
          </cell>
          <cell r="G3998">
            <v>3</v>
          </cell>
          <cell r="H3998">
            <v>210</v>
          </cell>
          <cell r="I3998">
            <v>7536.1017600000014</v>
          </cell>
          <cell r="J3998">
            <v>0</v>
          </cell>
        </row>
        <row r="3999">
          <cell r="E3999">
            <v>10400001</v>
          </cell>
          <cell r="F3999" t="str">
            <v>0008</v>
          </cell>
          <cell r="G3999">
            <v>3</v>
          </cell>
          <cell r="H3999">
            <v>200</v>
          </cell>
          <cell r="I3999">
            <v>7075.4112000000005</v>
          </cell>
          <cell r="J3999">
            <v>0</v>
          </cell>
        </row>
        <row r="4000">
          <cell r="E4000">
            <v>10400001</v>
          </cell>
          <cell r="F4000" t="str">
            <v>0124</v>
          </cell>
          <cell r="G4000">
            <v>3</v>
          </cell>
          <cell r="H4000">
            <v>541</v>
          </cell>
          <cell r="I4000">
            <v>19054.243296000001</v>
          </cell>
          <cell r="J4000">
            <v>0</v>
          </cell>
        </row>
        <row r="4001">
          <cell r="E4001">
            <v>10400001</v>
          </cell>
          <cell r="F4001" t="str">
            <v>0131</v>
          </cell>
          <cell r="G4001">
            <v>2</v>
          </cell>
          <cell r="H4001">
            <v>210</v>
          </cell>
          <cell r="I4001">
            <v>7516.3017600000003</v>
          </cell>
          <cell r="J4001">
            <v>0</v>
          </cell>
        </row>
        <row r="4002">
          <cell r="E4002">
            <v>10400001</v>
          </cell>
          <cell r="F4002" t="str">
            <v>0133</v>
          </cell>
          <cell r="G4002">
            <v>2</v>
          </cell>
          <cell r="H4002">
            <v>211</v>
          </cell>
          <cell r="I4002">
            <v>7424.9588160000003</v>
          </cell>
          <cell r="J4002">
            <v>0</v>
          </cell>
        </row>
        <row r="4003">
          <cell r="E4003">
            <v>10410001</v>
          </cell>
          <cell r="F4003" t="str">
            <v>0001</v>
          </cell>
          <cell r="G4003">
            <v>3</v>
          </cell>
          <cell r="H4003">
            <v>6</v>
          </cell>
          <cell r="I4003">
            <v>214.11038880000001</v>
          </cell>
          <cell r="J4003">
            <v>0</v>
          </cell>
        </row>
        <row r="4004">
          <cell r="E4004">
            <v>10410001</v>
          </cell>
          <cell r="F4004" t="str">
            <v>0002</v>
          </cell>
          <cell r="G4004">
            <v>3</v>
          </cell>
          <cell r="H4004">
            <v>300</v>
          </cell>
          <cell r="I4004">
            <v>10705.519440000002</v>
          </cell>
          <cell r="J4004">
            <v>424.8</v>
          </cell>
        </row>
        <row r="4005">
          <cell r="E4005">
            <v>10410001</v>
          </cell>
          <cell r="F4005" t="str">
            <v>0003</v>
          </cell>
          <cell r="G4005">
            <v>3</v>
          </cell>
          <cell r="H4005">
            <v>272</v>
          </cell>
          <cell r="I4005">
            <v>9633.6491328000011</v>
          </cell>
          <cell r="J4005">
            <v>0</v>
          </cell>
        </row>
        <row r="4006">
          <cell r="E4006">
            <v>10410001</v>
          </cell>
          <cell r="F4006" t="str">
            <v>0007</v>
          </cell>
          <cell r="G4006">
            <v>2</v>
          </cell>
          <cell r="H4006">
            <v>200</v>
          </cell>
          <cell r="I4006">
            <v>6877.4112000000005</v>
          </cell>
          <cell r="J4006">
            <v>0</v>
          </cell>
        </row>
        <row r="4007">
          <cell r="E4007">
            <v>10410001</v>
          </cell>
          <cell r="F4007" t="str">
            <v>0030</v>
          </cell>
          <cell r="G4007">
            <v>2</v>
          </cell>
          <cell r="H4007">
            <v>200</v>
          </cell>
          <cell r="I4007">
            <v>6877.4112000000005</v>
          </cell>
          <cell r="J4007">
            <v>0</v>
          </cell>
        </row>
        <row r="4008">
          <cell r="E4008">
            <v>10410001</v>
          </cell>
          <cell r="F4008" t="str">
            <v>0031</v>
          </cell>
          <cell r="G4008">
            <v>1</v>
          </cell>
          <cell r="H4008">
            <v>100</v>
          </cell>
          <cell r="I4008">
            <v>3379.3056000000006</v>
          </cell>
          <cell r="J4008">
            <v>0</v>
          </cell>
        </row>
        <row r="4009">
          <cell r="E4009">
            <v>10410001</v>
          </cell>
          <cell r="F4009" t="str">
            <v>0032</v>
          </cell>
          <cell r="G4009">
            <v>1</v>
          </cell>
          <cell r="H4009">
            <v>100</v>
          </cell>
          <cell r="I4009">
            <v>3379.3056000000006</v>
          </cell>
          <cell r="J4009">
            <v>0</v>
          </cell>
        </row>
        <row r="4010">
          <cell r="E4010">
            <v>10410001</v>
          </cell>
          <cell r="F4010" t="str">
            <v>0033</v>
          </cell>
          <cell r="G4010">
            <v>1</v>
          </cell>
          <cell r="H4010">
            <v>100</v>
          </cell>
          <cell r="I4010">
            <v>3379.3056000000006</v>
          </cell>
          <cell r="J4010">
            <v>0</v>
          </cell>
        </row>
        <row r="4011">
          <cell r="E4011">
            <v>10410001</v>
          </cell>
          <cell r="F4011" t="str">
            <v>0034</v>
          </cell>
          <cell r="G4011">
            <v>1</v>
          </cell>
          <cell r="H4011">
            <v>100</v>
          </cell>
          <cell r="I4011">
            <v>3379.3056000000006</v>
          </cell>
          <cell r="J4011">
            <v>0</v>
          </cell>
        </row>
        <row r="4012">
          <cell r="E4012">
            <v>10410001</v>
          </cell>
          <cell r="F4012" t="str">
            <v>0035</v>
          </cell>
          <cell r="G4012">
            <v>1</v>
          </cell>
          <cell r="H4012">
            <v>140</v>
          </cell>
          <cell r="I4012">
            <v>4731.0278400000007</v>
          </cell>
          <cell r="J4012">
            <v>0</v>
          </cell>
        </row>
        <row r="4013">
          <cell r="E4013">
            <v>10430001</v>
          </cell>
          <cell r="F4013" t="str">
            <v>0002</v>
          </cell>
          <cell r="G4013">
            <v>2</v>
          </cell>
          <cell r="H4013">
            <v>595</v>
          </cell>
          <cell r="I4013">
            <v>20813.728320000002</v>
          </cell>
          <cell r="J4013">
            <v>0</v>
          </cell>
        </row>
        <row r="4014">
          <cell r="E4014">
            <v>10440001</v>
          </cell>
          <cell r="F4014" t="str">
            <v>0027</v>
          </cell>
          <cell r="G4014">
            <v>8</v>
          </cell>
          <cell r="H4014">
            <v>200</v>
          </cell>
          <cell r="I4014">
            <v>7110.1573606800011</v>
          </cell>
          <cell r="J4014">
            <v>0</v>
          </cell>
        </row>
        <row r="4015">
          <cell r="E4015">
            <v>10460001</v>
          </cell>
          <cell r="F4015" t="str">
            <v>0001</v>
          </cell>
          <cell r="G4015">
            <v>8</v>
          </cell>
          <cell r="H4015">
            <v>2.2999999999999998</v>
          </cell>
          <cell r="I4015">
            <v>85.241213329499999</v>
          </cell>
          <cell r="J4015">
            <v>0</v>
          </cell>
        </row>
        <row r="4016">
          <cell r="E4016">
            <v>10460001</v>
          </cell>
          <cell r="F4016" t="str">
            <v>0002</v>
          </cell>
          <cell r="G4016">
            <v>10</v>
          </cell>
          <cell r="H4016">
            <v>63.300000000000004</v>
          </cell>
          <cell r="I4016">
            <v>2342.9968048080004</v>
          </cell>
          <cell r="J4016">
            <v>1062</v>
          </cell>
        </row>
        <row r="4017">
          <cell r="E4017">
            <v>10460001</v>
          </cell>
          <cell r="F4017" t="str">
            <v>0008</v>
          </cell>
          <cell r="G4017">
            <v>8</v>
          </cell>
          <cell r="H4017">
            <v>54.20000000000001</v>
          </cell>
          <cell r="I4017">
            <v>1932.6414266280003</v>
          </cell>
          <cell r="J4017">
            <v>0</v>
          </cell>
        </row>
        <row r="4018">
          <cell r="E4018">
            <v>10460001</v>
          </cell>
          <cell r="F4018" t="str">
            <v>0011</v>
          </cell>
          <cell r="G4018">
            <v>2</v>
          </cell>
          <cell r="H4018">
            <v>6.1</v>
          </cell>
          <cell r="I4018">
            <v>211.29892344000001</v>
          </cell>
          <cell r="J4018">
            <v>0</v>
          </cell>
        </row>
        <row r="4019">
          <cell r="E4019">
            <v>10460001</v>
          </cell>
          <cell r="F4019" t="str">
            <v>0027</v>
          </cell>
          <cell r="G4019">
            <v>6</v>
          </cell>
          <cell r="H4019">
            <v>6.9</v>
          </cell>
          <cell r="I4019">
            <v>279.76849164000004</v>
          </cell>
          <cell r="J4019">
            <v>0</v>
          </cell>
        </row>
        <row r="4020">
          <cell r="E4020">
            <v>10460001</v>
          </cell>
          <cell r="F4020" t="str">
            <v>0043</v>
          </cell>
          <cell r="G4020">
            <v>6</v>
          </cell>
          <cell r="H4020">
            <v>13.8</v>
          </cell>
          <cell r="I4020">
            <v>557.80723547999992</v>
          </cell>
          <cell r="J4020">
            <v>0</v>
          </cell>
        </row>
        <row r="4021">
          <cell r="E4021">
            <v>10460001</v>
          </cell>
          <cell r="F4021" t="str">
            <v>0074</v>
          </cell>
          <cell r="G4021">
            <v>6</v>
          </cell>
          <cell r="H4021">
            <v>15.100000000000001</v>
          </cell>
          <cell r="I4021">
            <v>520.55890345800003</v>
          </cell>
          <cell r="J4021">
            <v>0</v>
          </cell>
        </row>
        <row r="4022">
          <cell r="E4022">
            <v>10460001</v>
          </cell>
          <cell r="F4022" t="str">
            <v>0133</v>
          </cell>
          <cell r="G4022">
            <v>14</v>
          </cell>
          <cell r="H4022">
            <v>35.700000000000003</v>
          </cell>
          <cell r="I4022">
            <v>1458.5051977560004</v>
          </cell>
          <cell r="J4022">
            <v>0</v>
          </cell>
        </row>
        <row r="4023">
          <cell r="E4023">
            <v>10460001</v>
          </cell>
          <cell r="F4023" t="str">
            <v>0175</v>
          </cell>
          <cell r="G4023">
            <v>6</v>
          </cell>
          <cell r="H4023">
            <v>24.9</v>
          </cell>
          <cell r="I4023">
            <v>913.48569932400005</v>
          </cell>
          <cell r="J4023">
            <v>0</v>
          </cell>
        </row>
        <row r="4024">
          <cell r="E4024">
            <v>10460002</v>
          </cell>
          <cell r="F4024" t="str">
            <v>0001</v>
          </cell>
          <cell r="G4024">
            <v>11</v>
          </cell>
          <cell r="H4024">
            <v>1.2999999999999998</v>
          </cell>
          <cell r="I4024">
            <v>44.485376760000023</v>
          </cell>
          <cell r="J4024">
            <v>0</v>
          </cell>
        </row>
        <row r="4025">
          <cell r="E4025">
            <v>10460002</v>
          </cell>
          <cell r="F4025" t="str">
            <v>0002</v>
          </cell>
          <cell r="G4025">
            <v>7</v>
          </cell>
          <cell r="H4025">
            <v>215.2</v>
          </cell>
          <cell r="I4025">
            <v>7436.7076710960009</v>
          </cell>
          <cell r="J4025">
            <v>0</v>
          </cell>
        </row>
        <row r="4026">
          <cell r="E4026">
            <v>10460002</v>
          </cell>
          <cell r="F4026" t="str">
            <v>0003</v>
          </cell>
          <cell r="G4026">
            <v>7</v>
          </cell>
          <cell r="H4026">
            <v>213.7</v>
          </cell>
          <cell r="I4026">
            <v>7351.2665792280004</v>
          </cell>
          <cell r="J4026">
            <v>0</v>
          </cell>
        </row>
        <row r="4027">
          <cell r="E4027">
            <v>10460002</v>
          </cell>
          <cell r="F4027" t="str">
            <v>0004</v>
          </cell>
          <cell r="G4027">
            <v>3</v>
          </cell>
          <cell r="H4027">
            <v>40.4</v>
          </cell>
          <cell r="I4027">
            <v>1343.8395067680001</v>
          </cell>
          <cell r="J4027">
            <v>0</v>
          </cell>
        </row>
        <row r="4028">
          <cell r="E4028">
            <v>10480001</v>
          </cell>
          <cell r="F4028" t="str">
            <v>0001</v>
          </cell>
          <cell r="G4028">
            <v>14</v>
          </cell>
          <cell r="H4028">
            <v>3.8999999999999995</v>
          </cell>
          <cell r="I4028">
            <v>135.24454251000003</v>
          </cell>
          <cell r="J4028">
            <v>0</v>
          </cell>
        </row>
        <row r="4029">
          <cell r="E4029">
            <v>10480001</v>
          </cell>
          <cell r="F4029" t="str">
            <v>0002</v>
          </cell>
          <cell r="G4029">
            <v>14</v>
          </cell>
          <cell r="H4029">
            <v>129.79999999999998</v>
          </cell>
          <cell r="I4029">
            <v>4412.4236216280005</v>
          </cell>
          <cell r="J4029">
            <v>2454.4</v>
          </cell>
        </row>
        <row r="4030">
          <cell r="E4030">
            <v>10480001</v>
          </cell>
          <cell r="F4030" t="str">
            <v>0003</v>
          </cell>
          <cell r="G4030">
            <v>14</v>
          </cell>
          <cell r="H4030">
            <v>274.35000000000002</v>
          </cell>
          <cell r="I4030">
            <v>9406.481555196</v>
          </cell>
          <cell r="J4030">
            <v>0</v>
          </cell>
        </row>
        <row r="4031">
          <cell r="E4031">
            <v>10480002</v>
          </cell>
          <cell r="F4031" t="str">
            <v>0002</v>
          </cell>
          <cell r="G4031">
            <v>14</v>
          </cell>
          <cell r="H4031">
            <v>394.19999999999993</v>
          </cell>
          <cell r="I4031">
            <v>13679.578037664</v>
          </cell>
          <cell r="J4031">
            <v>0</v>
          </cell>
        </row>
        <row r="4032">
          <cell r="E4032">
            <v>10480005</v>
          </cell>
          <cell r="F4032" t="str">
            <v>0001</v>
          </cell>
          <cell r="G4032">
            <v>14</v>
          </cell>
          <cell r="H4032">
            <v>1.4000000000000001</v>
          </cell>
          <cell r="I4032">
            <v>53.369110080000006</v>
          </cell>
          <cell r="J4032">
            <v>0</v>
          </cell>
        </row>
        <row r="4033">
          <cell r="E4033">
            <v>10480005</v>
          </cell>
          <cell r="F4033" t="str">
            <v>0002</v>
          </cell>
          <cell r="G4033">
            <v>9</v>
          </cell>
          <cell r="H4033">
            <v>127.49999999999997</v>
          </cell>
          <cell r="I4033">
            <v>4939.0630344000001</v>
          </cell>
          <cell r="J4033">
            <v>413</v>
          </cell>
        </row>
        <row r="4034">
          <cell r="E4034">
            <v>10480005</v>
          </cell>
          <cell r="F4034" t="str">
            <v>0005</v>
          </cell>
          <cell r="G4034">
            <v>4</v>
          </cell>
          <cell r="H4034">
            <v>55</v>
          </cell>
          <cell r="I4034">
            <v>2039.8023320400002</v>
          </cell>
          <cell r="J4034">
            <v>0</v>
          </cell>
        </row>
        <row r="4035">
          <cell r="E4035">
            <v>10480005</v>
          </cell>
          <cell r="F4035" t="str">
            <v>0032</v>
          </cell>
          <cell r="G4035">
            <v>2</v>
          </cell>
          <cell r="H4035">
            <v>18.899999999999999</v>
          </cell>
          <cell r="I4035">
            <v>726.83902368000008</v>
          </cell>
          <cell r="J4035">
            <v>0</v>
          </cell>
        </row>
        <row r="4036">
          <cell r="E4036">
            <v>10480005</v>
          </cell>
          <cell r="F4036" t="str">
            <v>0035</v>
          </cell>
          <cell r="G4036">
            <v>2</v>
          </cell>
          <cell r="H4036">
            <v>25.3</v>
          </cell>
          <cell r="I4036">
            <v>935.27345340000022</v>
          </cell>
          <cell r="J4036">
            <v>0</v>
          </cell>
        </row>
        <row r="4037">
          <cell r="E4037">
            <v>10480008</v>
          </cell>
          <cell r="F4037" t="str">
            <v>0001</v>
          </cell>
          <cell r="G4037">
            <v>14</v>
          </cell>
          <cell r="H4037">
            <v>4.5200000000000005</v>
          </cell>
          <cell r="I4037">
            <v>173.98620914400001</v>
          </cell>
          <cell r="J4037">
            <v>0</v>
          </cell>
        </row>
        <row r="4038">
          <cell r="E4038">
            <v>10480008</v>
          </cell>
          <cell r="F4038" t="str">
            <v>0002</v>
          </cell>
          <cell r="G4038">
            <v>13</v>
          </cell>
          <cell r="H4038">
            <v>93.199999999999989</v>
          </cell>
          <cell r="I4038">
            <v>3593.9663697960009</v>
          </cell>
          <cell r="J4038">
            <v>1493.88</v>
          </cell>
        </row>
        <row r="4039">
          <cell r="E4039">
            <v>10480008</v>
          </cell>
          <cell r="F4039" t="str">
            <v>0010</v>
          </cell>
          <cell r="G4039">
            <v>14</v>
          </cell>
          <cell r="H4039">
            <v>93.78</v>
          </cell>
          <cell r="I4039">
            <v>3610.7799488640003</v>
          </cell>
          <cell r="J4039">
            <v>0</v>
          </cell>
        </row>
        <row r="4040">
          <cell r="E4040">
            <v>10480008</v>
          </cell>
          <cell r="F4040" t="str">
            <v>0023</v>
          </cell>
          <cell r="G4040">
            <v>14</v>
          </cell>
          <cell r="H4040">
            <v>108.54999999999997</v>
          </cell>
          <cell r="I4040">
            <v>4258.5946916040011</v>
          </cell>
          <cell r="J4040">
            <v>0</v>
          </cell>
        </row>
        <row r="4041">
          <cell r="E4041">
            <v>10480008</v>
          </cell>
          <cell r="F4041" t="str">
            <v>0054</v>
          </cell>
          <cell r="G4041">
            <v>13</v>
          </cell>
          <cell r="H4041">
            <v>78.790000000000006</v>
          </cell>
          <cell r="I4041">
            <v>3045.2853031920004</v>
          </cell>
          <cell r="J4041">
            <v>0</v>
          </cell>
        </row>
        <row r="4042">
          <cell r="E4042">
            <v>10480008</v>
          </cell>
          <cell r="F4042" t="str">
            <v>0055</v>
          </cell>
          <cell r="G4042">
            <v>11</v>
          </cell>
          <cell r="H4042">
            <v>70.550000000000011</v>
          </cell>
          <cell r="I4042">
            <v>2704.4314205040005</v>
          </cell>
          <cell r="J4042">
            <v>0</v>
          </cell>
        </row>
        <row r="4043">
          <cell r="E4043">
            <v>10480008</v>
          </cell>
          <cell r="F4043" t="str">
            <v>0056</v>
          </cell>
          <cell r="G4043">
            <v>5</v>
          </cell>
          <cell r="H4043">
            <v>33.61</v>
          </cell>
          <cell r="I4043">
            <v>1270.6617310199999</v>
          </cell>
          <cell r="J4043">
            <v>0</v>
          </cell>
        </row>
        <row r="4044">
          <cell r="E4044">
            <v>10480008</v>
          </cell>
          <cell r="F4044" t="str">
            <v>0058</v>
          </cell>
          <cell r="G4044">
            <v>4</v>
          </cell>
          <cell r="H4044">
            <v>28.290000000000003</v>
          </cell>
          <cell r="I4044">
            <v>1175.981902128</v>
          </cell>
          <cell r="J4044">
            <v>0</v>
          </cell>
        </row>
        <row r="4045">
          <cell r="E4045">
            <v>10480012</v>
          </cell>
          <cell r="F4045" t="str">
            <v>0002</v>
          </cell>
          <cell r="G4045">
            <v>8</v>
          </cell>
          <cell r="H4045">
            <v>108.47999999999999</v>
          </cell>
          <cell r="I4045">
            <v>4326.2004238200007</v>
          </cell>
          <cell r="J4045">
            <v>0</v>
          </cell>
        </row>
        <row r="4046">
          <cell r="E4046">
            <v>10480012</v>
          </cell>
          <cell r="F4046" t="str">
            <v>0004</v>
          </cell>
          <cell r="G4046">
            <v>5</v>
          </cell>
          <cell r="H4046">
            <v>28.09</v>
          </cell>
          <cell r="I4046">
            <v>912.70537825500014</v>
          </cell>
          <cell r="J4046">
            <v>0</v>
          </cell>
        </row>
        <row r="4047">
          <cell r="E4047">
            <v>10480012</v>
          </cell>
          <cell r="F4047" t="str">
            <v>0006</v>
          </cell>
          <cell r="G4047">
            <v>5</v>
          </cell>
          <cell r="H4047">
            <v>46.400000000000006</v>
          </cell>
          <cell r="I4047">
            <v>1904.6464592760001</v>
          </cell>
          <cell r="J4047">
            <v>0</v>
          </cell>
        </row>
        <row r="4048">
          <cell r="E4048">
            <v>10480012</v>
          </cell>
          <cell r="F4048" t="str">
            <v>0010</v>
          </cell>
          <cell r="G4048">
            <v>4</v>
          </cell>
          <cell r="H4048">
            <v>105.58</v>
          </cell>
          <cell r="I4048">
            <v>4228.5050256240002</v>
          </cell>
          <cell r="J4048">
            <v>0</v>
          </cell>
        </row>
        <row r="4049">
          <cell r="E4049">
            <v>10480012</v>
          </cell>
          <cell r="F4049" t="str">
            <v>0028</v>
          </cell>
          <cell r="G4049">
            <v>6</v>
          </cell>
          <cell r="H4049">
            <v>25.35</v>
          </cell>
          <cell r="I4049">
            <v>1139.739658596</v>
          </cell>
          <cell r="J4049">
            <v>0</v>
          </cell>
        </row>
        <row r="4050">
          <cell r="E4050">
            <v>10480012</v>
          </cell>
          <cell r="F4050" t="str">
            <v>0039</v>
          </cell>
          <cell r="G4050">
            <v>5</v>
          </cell>
          <cell r="H4050">
            <v>43.400000000000006</v>
          </cell>
          <cell r="I4050">
            <v>1478.7400291686001</v>
          </cell>
          <cell r="J4050">
            <v>0</v>
          </cell>
        </row>
        <row r="4051">
          <cell r="E4051">
            <v>10480012</v>
          </cell>
          <cell r="F4051" t="str">
            <v>0041</v>
          </cell>
          <cell r="G4051">
            <v>4</v>
          </cell>
          <cell r="H4051">
            <v>7.5400000000000009</v>
          </cell>
          <cell r="I4051">
            <v>282.29253782400002</v>
          </cell>
          <cell r="J4051">
            <v>0</v>
          </cell>
        </row>
        <row r="4052">
          <cell r="E4052">
            <v>10480012</v>
          </cell>
          <cell r="F4052" t="str">
            <v>0044</v>
          </cell>
          <cell r="G4052">
            <v>10</v>
          </cell>
          <cell r="H4052">
            <v>54.080000000000005</v>
          </cell>
          <cell r="I4052">
            <v>2005.3608411276</v>
          </cell>
          <cell r="J4052">
            <v>0</v>
          </cell>
        </row>
        <row r="4053">
          <cell r="E4053">
            <v>10480012</v>
          </cell>
          <cell r="F4053" t="str">
            <v>0045</v>
          </cell>
          <cell r="G4053">
            <v>7</v>
          </cell>
          <cell r="H4053">
            <v>35.059999999999995</v>
          </cell>
          <cell r="I4053">
            <v>1982.8198103698001</v>
          </cell>
          <cell r="J4053">
            <v>0</v>
          </cell>
        </row>
        <row r="4054">
          <cell r="E4054">
            <v>10480012</v>
          </cell>
          <cell r="F4054" t="str">
            <v>0050</v>
          </cell>
          <cell r="G4054">
            <v>6</v>
          </cell>
          <cell r="H4054">
            <v>16.599999999999998</v>
          </cell>
          <cell r="I4054">
            <v>1110.4678681932003</v>
          </cell>
          <cell r="J4054">
            <v>0</v>
          </cell>
        </row>
        <row r="4055">
          <cell r="E4055">
            <v>10480012</v>
          </cell>
          <cell r="F4055" t="str">
            <v>0052</v>
          </cell>
          <cell r="G4055">
            <v>5</v>
          </cell>
          <cell r="H4055">
            <v>29.299999999999997</v>
          </cell>
          <cell r="I4055">
            <v>1113.7795177212001</v>
          </cell>
          <cell r="J4055">
            <v>0</v>
          </cell>
        </row>
        <row r="4056">
          <cell r="E4056">
            <v>10480016</v>
          </cell>
          <cell r="F4056" t="str">
            <v>0002</v>
          </cell>
          <cell r="G4056">
            <v>12</v>
          </cell>
          <cell r="H4056">
            <v>177.3</v>
          </cell>
          <cell r="I4056">
            <v>5761.578182184001</v>
          </cell>
          <cell r="J4056">
            <v>0</v>
          </cell>
        </row>
        <row r="4057">
          <cell r="E4057">
            <v>10480022</v>
          </cell>
          <cell r="F4057" t="str">
            <v>0001</v>
          </cell>
          <cell r="G4057">
            <v>14</v>
          </cell>
          <cell r="H4057">
            <v>1.4000000000000001</v>
          </cell>
          <cell r="I4057">
            <v>56.1279708</v>
          </cell>
          <cell r="J4057">
            <v>0</v>
          </cell>
        </row>
        <row r="4058">
          <cell r="E4058">
            <v>10480022</v>
          </cell>
          <cell r="F4058" t="str">
            <v>0002</v>
          </cell>
          <cell r="G4058">
            <v>14</v>
          </cell>
          <cell r="H4058">
            <v>278.20000000000005</v>
          </cell>
          <cell r="I4058">
            <v>11343.164540400003</v>
          </cell>
          <cell r="J4058">
            <v>3446</v>
          </cell>
        </row>
        <row r="4059">
          <cell r="E4059">
            <v>10480022</v>
          </cell>
          <cell r="F4059" t="str">
            <v>0016</v>
          </cell>
          <cell r="G4059">
            <v>1</v>
          </cell>
          <cell r="H4059">
            <v>28.5</v>
          </cell>
          <cell r="I4059">
            <v>1181.2999770000001</v>
          </cell>
          <cell r="J4059">
            <v>0</v>
          </cell>
        </row>
        <row r="4060">
          <cell r="E4060">
            <v>10480022</v>
          </cell>
          <cell r="F4060" t="str">
            <v>0019</v>
          </cell>
          <cell r="G4060">
            <v>13</v>
          </cell>
          <cell r="H4060">
            <v>258.80000000000007</v>
          </cell>
          <cell r="I4060">
            <v>10540.912773600003</v>
          </cell>
          <cell r="J4060">
            <v>0</v>
          </cell>
        </row>
        <row r="4061">
          <cell r="E4061">
            <v>10480023</v>
          </cell>
          <cell r="F4061" t="str">
            <v>0001</v>
          </cell>
          <cell r="G4061">
            <v>14</v>
          </cell>
          <cell r="H4061">
            <v>23.79</v>
          </cell>
          <cell r="I4061">
            <v>953.54948032401012</v>
          </cell>
          <cell r="J4061">
            <v>0</v>
          </cell>
        </row>
        <row r="4062">
          <cell r="E4062">
            <v>10480023</v>
          </cell>
          <cell r="F4062" t="str">
            <v>0002</v>
          </cell>
          <cell r="G4062">
            <v>14</v>
          </cell>
          <cell r="H4062">
            <v>268.51</v>
          </cell>
          <cell r="I4062">
            <v>10414.300967724001</v>
          </cell>
          <cell r="J4062">
            <v>0</v>
          </cell>
        </row>
        <row r="4063">
          <cell r="E4063">
            <v>10480023</v>
          </cell>
          <cell r="F4063" t="str">
            <v>0004</v>
          </cell>
          <cell r="G4063">
            <v>1</v>
          </cell>
          <cell r="H4063">
            <v>10.34</v>
          </cell>
          <cell r="I4063">
            <v>389.00185552800002</v>
          </cell>
          <cell r="J4063">
            <v>0</v>
          </cell>
        </row>
        <row r="4064">
          <cell r="E4064">
            <v>10480023</v>
          </cell>
          <cell r="F4064" t="str">
            <v>0005</v>
          </cell>
          <cell r="G4064">
            <v>14</v>
          </cell>
          <cell r="H4064">
            <v>316.91000000000003</v>
          </cell>
          <cell r="I4064">
            <v>12760.632746316885</v>
          </cell>
          <cell r="J4064">
            <v>0</v>
          </cell>
        </row>
        <row r="4065">
          <cell r="E4065">
            <v>10480023</v>
          </cell>
          <cell r="F4065" t="str">
            <v>0006</v>
          </cell>
          <cell r="G4065">
            <v>8</v>
          </cell>
          <cell r="H4065">
            <v>89.88</v>
          </cell>
          <cell r="I4065">
            <v>3598.4901688560003</v>
          </cell>
          <cell r="J4065">
            <v>0</v>
          </cell>
        </row>
        <row r="4066">
          <cell r="E4066">
            <v>10480023</v>
          </cell>
          <cell r="F4066" t="str">
            <v>0009</v>
          </cell>
          <cell r="G4066">
            <v>14</v>
          </cell>
          <cell r="H4066">
            <v>335.96000000000004</v>
          </cell>
          <cell r="I4066">
            <v>13678.117950126103</v>
          </cell>
          <cell r="J4066">
            <v>0</v>
          </cell>
        </row>
        <row r="4067">
          <cell r="E4067">
            <v>10480023</v>
          </cell>
          <cell r="F4067" t="str">
            <v>0012</v>
          </cell>
          <cell r="G4067">
            <v>3</v>
          </cell>
          <cell r="H4067">
            <v>32.58</v>
          </cell>
          <cell r="I4067">
            <v>1242.8805795120002</v>
          </cell>
          <cell r="J4067">
            <v>0</v>
          </cell>
        </row>
        <row r="4068">
          <cell r="E4068">
            <v>10500001</v>
          </cell>
          <cell r="F4068" t="str">
            <v>0001</v>
          </cell>
          <cell r="G4068">
            <v>6</v>
          </cell>
          <cell r="H4068">
            <v>5.6</v>
          </cell>
          <cell r="I4068">
            <v>215.06031360000003</v>
          </cell>
          <cell r="J4068">
            <v>0</v>
          </cell>
        </row>
        <row r="4069">
          <cell r="E4069">
            <v>10500001</v>
          </cell>
          <cell r="F4069" t="str">
            <v>0002</v>
          </cell>
          <cell r="G4069">
            <v>7</v>
          </cell>
          <cell r="H4069">
            <v>163.09999999999997</v>
          </cell>
          <cell r="I4069">
            <v>5982.2538336000007</v>
          </cell>
          <cell r="J4069">
            <v>0</v>
          </cell>
        </row>
        <row r="4070">
          <cell r="E4070">
            <v>10500001</v>
          </cell>
          <cell r="F4070" t="str">
            <v>0011</v>
          </cell>
          <cell r="G4070">
            <v>5</v>
          </cell>
          <cell r="H4070">
            <v>87</v>
          </cell>
          <cell r="I4070">
            <v>3104.3358720000006</v>
          </cell>
          <cell r="J4070">
            <v>0</v>
          </cell>
        </row>
        <row r="4071">
          <cell r="E4071">
            <v>10500001</v>
          </cell>
          <cell r="F4071" t="str">
            <v>0013</v>
          </cell>
          <cell r="G4071">
            <v>9</v>
          </cell>
          <cell r="H4071">
            <v>299.90000000000003</v>
          </cell>
          <cell r="I4071">
            <v>11367.760694400002</v>
          </cell>
          <cell r="J4071">
            <v>0</v>
          </cell>
        </row>
        <row r="4072">
          <cell r="E4072">
            <v>10500001</v>
          </cell>
          <cell r="F4072" t="str">
            <v>0020</v>
          </cell>
          <cell r="G4072">
            <v>9</v>
          </cell>
          <cell r="H4072">
            <v>275.60000000000002</v>
          </cell>
          <cell r="I4072">
            <v>10198.426233599999</v>
          </cell>
          <cell r="J4072">
            <v>0</v>
          </cell>
        </row>
        <row r="4073">
          <cell r="E4073">
            <v>10500001</v>
          </cell>
          <cell r="F4073" t="str">
            <v>0079</v>
          </cell>
          <cell r="G4073">
            <v>9</v>
          </cell>
          <cell r="H4073">
            <v>205</v>
          </cell>
          <cell r="I4073">
            <v>7871.8780800000013</v>
          </cell>
          <cell r="J4073">
            <v>0</v>
          </cell>
        </row>
        <row r="4074">
          <cell r="E4074">
            <v>10500001</v>
          </cell>
          <cell r="F4074" t="str">
            <v>0102</v>
          </cell>
          <cell r="G4074">
            <v>9</v>
          </cell>
          <cell r="H4074">
            <v>100.59999999999998</v>
          </cell>
          <cell r="I4074">
            <v>3567.8418336000004</v>
          </cell>
          <cell r="J4074">
            <v>0</v>
          </cell>
        </row>
        <row r="4075">
          <cell r="E4075">
            <v>10500001</v>
          </cell>
          <cell r="F4075" t="str">
            <v>0103</v>
          </cell>
          <cell r="G4075">
            <v>7</v>
          </cell>
          <cell r="H4075">
            <v>22.200000000000003</v>
          </cell>
          <cell r="I4075">
            <v>804.53704320000008</v>
          </cell>
          <cell r="J4075">
            <v>0</v>
          </cell>
        </row>
        <row r="4076">
          <cell r="E4076">
            <v>10500001</v>
          </cell>
          <cell r="F4076" t="str">
            <v>0113</v>
          </cell>
          <cell r="G4076">
            <v>5</v>
          </cell>
          <cell r="H4076">
            <v>15.6</v>
          </cell>
          <cell r="I4076">
            <v>544.39767360000008</v>
          </cell>
          <cell r="J4076">
            <v>0</v>
          </cell>
        </row>
        <row r="4077">
          <cell r="E4077">
            <v>10500001</v>
          </cell>
          <cell r="F4077" t="str">
            <v>0123</v>
          </cell>
          <cell r="G4077">
            <v>8</v>
          </cell>
          <cell r="H4077">
            <v>13.8</v>
          </cell>
          <cell r="I4077">
            <v>489.43097280000006</v>
          </cell>
          <cell r="J4077">
            <v>0</v>
          </cell>
        </row>
        <row r="4078">
          <cell r="E4078">
            <v>10500001</v>
          </cell>
          <cell r="F4078" t="str">
            <v>0124</v>
          </cell>
          <cell r="G4078">
            <v>8</v>
          </cell>
          <cell r="H4078">
            <v>32</v>
          </cell>
          <cell r="I4078">
            <v>1126.9969920000001</v>
          </cell>
          <cell r="J4078">
            <v>0</v>
          </cell>
        </row>
        <row r="4079">
          <cell r="E4079">
            <v>10510001</v>
          </cell>
          <cell r="F4079" t="str">
            <v>0001</v>
          </cell>
          <cell r="G4079">
            <v>13</v>
          </cell>
          <cell r="H4079">
            <v>13.499999999999996</v>
          </cell>
          <cell r="I4079">
            <v>725.97803635840523</v>
          </cell>
          <cell r="J4079">
            <v>0</v>
          </cell>
        </row>
        <row r="4080">
          <cell r="E4080">
            <v>10510001</v>
          </cell>
          <cell r="F4080" t="str">
            <v>0002</v>
          </cell>
          <cell r="G4080">
            <v>14</v>
          </cell>
          <cell r="H4080">
            <v>775.80000000000007</v>
          </cell>
          <cell r="I4080">
            <v>29411.040681000002</v>
          </cell>
          <cell r="J4080">
            <v>1493.88</v>
          </cell>
        </row>
        <row r="4081">
          <cell r="E4081">
            <v>10510001</v>
          </cell>
          <cell r="F4081" t="str">
            <v>0005</v>
          </cell>
          <cell r="G4081">
            <v>12</v>
          </cell>
          <cell r="H4081">
            <v>27.299999999999997</v>
          </cell>
          <cell r="I4081">
            <v>1027.7534995200001</v>
          </cell>
          <cell r="J4081">
            <v>0</v>
          </cell>
        </row>
        <row r="4082">
          <cell r="E4082">
            <v>10510001</v>
          </cell>
          <cell r="F4082" t="str">
            <v>0010</v>
          </cell>
          <cell r="G4082">
            <v>7</v>
          </cell>
          <cell r="H4082">
            <v>27</v>
          </cell>
          <cell r="I4082">
            <v>967.41663084000015</v>
          </cell>
          <cell r="J4082">
            <v>0</v>
          </cell>
        </row>
        <row r="4083">
          <cell r="E4083">
            <v>10510001</v>
          </cell>
          <cell r="F4083" t="str">
            <v>0012</v>
          </cell>
          <cell r="G4083">
            <v>13</v>
          </cell>
          <cell r="H4083">
            <v>81.3</v>
          </cell>
          <cell r="I4083">
            <v>2920.2422634</v>
          </cell>
          <cell r="J4083">
            <v>0</v>
          </cell>
        </row>
        <row r="4084">
          <cell r="E4084">
            <v>10510001</v>
          </cell>
          <cell r="F4084" t="str">
            <v>0018</v>
          </cell>
          <cell r="G4084">
            <v>7</v>
          </cell>
          <cell r="H4084">
            <v>27.699999999999996</v>
          </cell>
          <cell r="I4084">
            <v>1183.3624238039999</v>
          </cell>
          <cell r="J4084">
            <v>0</v>
          </cell>
        </row>
        <row r="4085">
          <cell r="E4085">
            <v>10510001</v>
          </cell>
          <cell r="F4085" t="str">
            <v>0029</v>
          </cell>
          <cell r="G4085">
            <v>14</v>
          </cell>
          <cell r="H4085">
            <v>67</v>
          </cell>
          <cell r="I4085">
            <v>2446.57077192</v>
          </cell>
          <cell r="J4085">
            <v>0</v>
          </cell>
        </row>
        <row r="4086">
          <cell r="E4086">
            <v>10510001</v>
          </cell>
          <cell r="F4086" t="str">
            <v>0031</v>
          </cell>
          <cell r="G4086">
            <v>5</v>
          </cell>
          <cell r="H4086">
            <v>16.400000000000002</v>
          </cell>
          <cell r="I4086">
            <v>590.99421744000006</v>
          </cell>
          <cell r="J4086">
            <v>0</v>
          </cell>
        </row>
        <row r="4087">
          <cell r="E4087">
            <v>10510001</v>
          </cell>
          <cell r="F4087" t="str">
            <v>0033</v>
          </cell>
          <cell r="G4087">
            <v>11</v>
          </cell>
          <cell r="H4087">
            <v>19.200000000000003</v>
          </cell>
          <cell r="I4087">
            <v>764.68384475999994</v>
          </cell>
          <cell r="J4087">
            <v>0</v>
          </cell>
        </row>
        <row r="4088">
          <cell r="E4088">
            <v>10510001</v>
          </cell>
          <cell r="F4088" t="str">
            <v>0042</v>
          </cell>
          <cell r="G4088">
            <v>7</v>
          </cell>
          <cell r="H4088">
            <v>23.7</v>
          </cell>
          <cell r="I4088">
            <v>841.39271172000019</v>
          </cell>
          <cell r="J4088">
            <v>0</v>
          </cell>
        </row>
        <row r="4089">
          <cell r="E4089">
            <v>10510001</v>
          </cell>
          <cell r="F4089" t="str">
            <v>0045</v>
          </cell>
          <cell r="G4089">
            <v>4</v>
          </cell>
          <cell r="H4089">
            <v>9.1999999999999993</v>
          </cell>
          <cell r="I4089">
            <v>330.44544720000005</v>
          </cell>
          <cell r="J4089">
            <v>0</v>
          </cell>
        </row>
        <row r="4090">
          <cell r="E4090">
            <v>10510001</v>
          </cell>
          <cell r="F4090" t="str">
            <v>0062</v>
          </cell>
          <cell r="G4090">
            <v>14</v>
          </cell>
          <cell r="H4090">
            <v>113.1</v>
          </cell>
          <cell r="I4090">
            <v>4113.8720370000001</v>
          </cell>
          <cell r="J4090">
            <v>0</v>
          </cell>
        </row>
        <row r="4091">
          <cell r="E4091">
            <v>10510001</v>
          </cell>
          <cell r="F4091" t="str">
            <v>0068</v>
          </cell>
          <cell r="G4091">
            <v>13</v>
          </cell>
          <cell r="H4091">
            <v>68.800000000000011</v>
          </cell>
          <cell r="I4091">
            <v>2462.7034040400004</v>
          </cell>
          <cell r="J4091">
            <v>0</v>
          </cell>
        </row>
        <row r="4092">
          <cell r="E4092">
            <v>10510001</v>
          </cell>
          <cell r="F4092" t="str">
            <v>0071</v>
          </cell>
          <cell r="G4092">
            <v>11</v>
          </cell>
          <cell r="H4092">
            <v>21.8</v>
          </cell>
          <cell r="I4092">
            <v>1279.6412679227001</v>
          </cell>
          <cell r="J4092">
            <v>0</v>
          </cell>
        </row>
        <row r="4093">
          <cell r="E4093">
            <v>10510001</v>
          </cell>
          <cell r="F4093" t="str">
            <v>0075</v>
          </cell>
          <cell r="G4093">
            <v>14</v>
          </cell>
          <cell r="H4093">
            <v>39.4</v>
          </cell>
          <cell r="I4093">
            <v>1945.4554703795002</v>
          </cell>
          <cell r="J4093">
            <v>0</v>
          </cell>
        </row>
        <row r="4094">
          <cell r="E4094">
            <v>10510001</v>
          </cell>
          <cell r="F4094" t="str">
            <v>0076</v>
          </cell>
          <cell r="G4094">
            <v>11</v>
          </cell>
          <cell r="H4094">
            <v>40.599999999999994</v>
          </cell>
          <cell r="I4094">
            <v>1445.8389937200002</v>
          </cell>
          <cell r="J4094">
            <v>0</v>
          </cell>
        </row>
        <row r="4095">
          <cell r="E4095">
            <v>10510001</v>
          </cell>
          <cell r="F4095" t="str">
            <v>0081</v>
          </cell>
          <cell r="G4095">
            <v>11</v>
          </cell>
          <cell r="H4095">
            <v>30.8</v>
          </cell>
          <cell r="I4095">
            <v>1131.5183370479999</v>
          </cell>
          <cell r="J4095">
            <v>0</v>
          </cell>
        </row>
        <row r="4096">
          <cell r="E4096">
            <v>10510001</v>
          </cell>
          <cell r="F4096" t="str">
            <v>0086</v>
          </cell>
          <cell r="G4096">
            <v>14</v>
          </cell>
          <cell r="H4096">
            <v>40.700000000000003</v>
          </cell>
          <cell r="I4096">
            <v>1496.4089738400003</v>
          </cell>
          <cell r="J4096">
            <v>0</v>
          </cell>
        </row>
        <row r="4097">
          <cell r="E4097">
            <v>10510001</v>
          </cell>
          <cell r="F4097" t="str">
            <v>0088</v>
          </cell>
          <cell r="G4097">
            <v>9</v>
          </cell>
          <cell r="H4097">
            <v>63.599999999999994</v>
          </cell>
          <cell r="I4097">
            <v>2249.2931590800004</v>
          </cell>
          <cell r="J4097">
            <v>0</v>
          </cell>
        </row>
        <row r="4098">
          <cell r="E4098">
            <v>10510001</v>
          </cell>
          <cell r="F4098" t="str">
            <v>0090</v>
          </cell>
          <cell r="G4098">
            <v>10</v>
          </cell>
          <cell r="H4098">
            <v>54.000000000000007</v>
          </cell>
          <cell r="I4098">
            <v>1938.8589145200001</v>
          </cell>
          <cell r="J4098">
            <v>0</v>
          </cell>
        </row>
        <row r="4099">
          <cell r="E4099">
            <v>10510001</v>
          </cell>
          <cell r="F4099" t="str">
            <v>0091</v>
          </cell>
          <cell r="G4099">
            <v>10</v>
          </cell>
          <cell r="H4099">
            <v>19.5</v>
          </cell>
          <cell r="I4099">
            <v>712.78085736000003</v>
          </cell>
          <cell r="J4099">
            <v>0</v>
          </cell>
        </row>
        <row r="4100">
          <cell r="E4100">
            <v>10510001</v>
          </cell>
          <cell r="F4100" t="str">
            <v>0093</v>
          </cell>
          <cell r="G4100">
            <v>14</v>
          </cell>
          <cell r="H4100">
            <v>46.4</v>
          </cell>
          <cell r="I4100">
            <v>1643.3296981200001</v>
          </cell>
          <cell r="J4100">
            <v>0</v>
          </cell>
        </row>
        <row r="4101">
          <cell r="E4101">
            <v>10510001</v>
          </cell>
          <cell r="F4101" t="str">
            <v>0095</v>
          </cell>
          <cell r="G4101">
            <v>8</v>
          </cell>
          <cell r="H4101">
            <v>36.900000000000006</v>
          </cell>
          <cell r="I4101">
            <v>1299.1429321200001</v>
          </cell>
          <cell r="J4101">
            <v>0</v>
          </cell>
        </row>
        <row r="4102">
          <cell r="E4102">
            <v>10510001</v>
          </cell>
          <cell r="F4102" t="str">
            <v>0102</v>
          </cell>
          <cell r="G4102">
            <v>13</v>
          </cell>
          <cell r="H4102">
            <v>322.5</v>
          </cell>
          <cell r="I4102">
            <v>11075.031456984001</v>
          </cell>
          <cell r="J4102">
            <v>0</v>
          </cell>
        </row>
        <row r="4103">
          <cell r="E4103">
            <v>10510001</v>
          </cell>
          <cell r="F4103" t="str">
            <v>0109</v>
          </cell>
          <cell r="G4103">
            <v>5</v>
          </cell>
          <cell r="H4103">
            <v>6.4999999999999991</v>
          </cell>
          <cell r="I4103">
            <v>309.46392684567496</v>
          </cell>
          <cell r="J4103">
            <v>0</v>
          </cell>
        </row>
        <row r="4104">
          <cell r="E4104">
            <v>10510001</v>
          </cell>
          <cell r="F4104" t="str">
            <v>0110</v>
          </cell>
          <cell r="G4104">
            <v>7</v>
          </cell>
          <cell r="H4104">
            <v>32.1</v>
          </cell>
          <cell r="I4104">
            <v>1128.4091161200001</v>
          </cell>
          <cell r="J4104">
            <v>0</v>
          </cell>
        </row>
        <row r="4105">
          <cell r="E4105">
            <v>10510001</v>
          </cell>
          <cell r="F4105" t="str">
            <v>0116</v>
          </cell>
          <cell r="G4105">
            <v>13</v>
          </cell>
          <cell r="H4105">
            <v>85.5</v>
          </cell>
          <cell r="I4105">
            <v>3033.211131720001</v>
          </cell>
          <cell r="J4105">
            <v>0</v>
          </cell>
        </row>
        <row r="4106">
          <cell r="E4106">
            <v>10510001</v>
          </cell>
          <cell r="F4106" t="str">
            <v>0119</v>
          </cell>
          <cell r="G4106">
            <v>8</v>
          </cell>
          <cell r="H4106">
            <v>64.099999999999994</v>
          </cell>
          <cell r="I4106">
            <v>2345.4444736800006</v>
          </cell>
          <cell r="J4106">
            <v>0</v>
          </cell>
        </row>
        <row r="4107">
          <cell r="E4107">
            <v>10510001</v>
          </cell>
          <cell r="F4107" t="str">
            <v>0124</v>
          </cell>
          <cell r="G4107">
            <v>13</v>
          </cell>
          <cell r="H4107">
            <v>98.600000000000009</v>
          </cell>
          <cell r="I4107">
            <v>3511.6860121200007</v>
          </cell>
          <cell r="J4107">
            <v>0</v>
          </cell>
        </row>
        <row r="4108">
          <cell r="E4108">
            <v>10510001</v>
          </cell>
          <cell r="F4108" t="str">
            <v>0127</v>
          </cell>
          <cell r="G4108">
            <v>13</v>
          </cell>
          <cell r="H4108">
            <v>48.599999999999994</v>
          </cell>
          <cell r="I4108">
            <v>2581.4973025413956</v>
          </cell>
          <cell r="J4108">
            <v>0</v>
          </cell>
        </row>
        <row r="4109">
          <cell r="E4109">
            <v>10510001</v>
          </cell>
          <cell r="F4109" t="str">
            <v>0129</v>
          </cell>
          <cell r="G4109">
            <v>13</v>
          </cell>
          <cell r="H4109">
            <v>45.8</v>
          </cell>
          <cell r="I4109">
            <v>1643.2367608800005</v>
          </cell>
          <cell r="J4109">
            <v>0</v>
          </cell>
        </row>
        <row r="4110">
          <cell r="E4110">
            <v>10510001</v>
          </cell>
          <cell r="F4110" t="str">
            <v>0155</v>
          </cell>
          <cell r="G4110">
            <v>6</v>
          </cell>
          <cell r="H4110">
            <v>18.8</v>
          </cell>
          <cell r="I4110">
            <v>645.84243900000001</v>
          </cell>
          <cell r="J4110">
            <v>0</v>
          </cell>
        </row>
        <row r="4111">
          <cell r="E4111">
            <v>10510001</v>
          </cell>
          <cell r="F4111" t="str">
            <v>0159</v>
          </cell>
          <cell r="G4111">
            <v>14</v>
          </cell>
          <cell r="H4111">
            <v>34.200000000000003</v>
          </cell>
          <cell r="I4111">
            <v>1221.43179708</v>
          </cell>
          <cell r="J4111">
            <v>0</v>
          </cell>
        </row>
        <row r="4112">
          <cell r="E4112">
            <v>10510001</v>
          </cell>
          <cell r="F4112" t="str">
            <v>0176</v>
          </cell>
          <cell r="G4112">
            <v>14</v>
          </cell>
          <cell r="H4112">
            <v>51.4</v>
          </cell>
          <cell r="I4112">
            <v>2964.2908459993</v>
          </cell>
          <cell r="J4112">
            <v>0</v>
          </cell>
        </row>
        <row r="4113">
          <cell r="E4113">
            <v>10510001</v>
          </cell>
          <cell r="F4113" t="str">
            <v>0180</v>
          </cell>
          <cell r="G4113">
            <v>2</v>
          </cell>
          <cell r="H4113">
            <v>4</v>
          </cell>
          <cell r="I4113">
            <v>199.53120139927998</v>
          </cell>
          <cell r="J4113">
            <v>0</v>
          </cell>
        </row>
        <row r="4114">
          <cell r="E4114">
            <v>10510001</v>
          </cell>
          <cell r="F4114" t="str">
            <v>0188</v>
          </cell>
          <cell r="G4114">
            <v>7</v>
          </cell>
          <cell r="H4114">
            <v>24.7</v>
          </cell>
          <cell r="I4114">
            <v>873.78651755999999</v>
          </cell>
          <cell r="J4114">
            <v>0</v>
          </cell>
        </row>
        <row r="4115">
          <cell r="E4115">
            <v>10510001</v>
          </cell>
          <cell r="F4115" t="str">
            <v>0193</v>
          </cell>
          <cell r="G4115">
            <v>12</v>
          </cell>
          <cell r="H4115">
            <v>36.6</v>
          </cell>
          <cell r="I4115">
            <v>1336.1553849600002</v>
          </cell>
          <cell r="J4115">
            <v>0</v>
          </cell>
        </row>
        <row r="4116">
          <cell r="E4116">
            <v>10510001</v>
          </cell>
          <cell r="F4116" t="str">
            <v>0196</v>
          </cell>
          <cell r="G4116">
            <v>10</v>
          </cell>
          <cell r="H4116">
            <v>44.5</v>
          </cell>
          <cell r="I4116">
            <v>1509.7462475040004</v>
          </cell>
          <cell r="J4116">
            <v>0</v>
          </cell>
        </row>
        <row r="4117">
          <cell r="E4117">
            <v>10510001</v>
          </cell>
          <cell r="F4117" t="str">
            <v>0200</v>
          </cell>
          <cell r="G4117">
            <v>5</v>
          </cell>
          <cell r="H4117">
            <v>11.6</v>
          </cell>
          <cell r="I4117">
            <v>481.11627296000006</v>
          </cell>
          <cell r="J4117">
            <v>0</v>
          </cell>
        </row>
        <row r="4118">
          <cell r="E4118">
            <v>10510001</v>
          </cell>
          <cell r="F4118" t="str">
            <v>0203</v>
          </cell>
          <cell r="G4118">
            <v>2</v>
          </cell>
          <cell r="H4118">
            <v>2.7</v>
          </cell>
          <cell r="I4118">
            <v>92.418322392000022</v>
          </cell>
          <cell r="J4118">
            <v>0</v>
          </cell>
        </row>
        <row r="4119">
          <cell r="E4119">
            <v>10510001</v>
          </cell>
          <cell r="F4119" t="str">
            <v>0213</v>
          </cell>
          <cell r="G4119">
            <v>7</v>
          </cell>
          <cell r="H4119">
            <v>18.700000000000003</v>
          </cell>
          <cell r="I4119">
            <v>841.19303836800009</v>
          </cell>
          <cell r="J4119">
            <v>0</v>
          </cell>
        </row>
        <row r="4120">
          <cell r="E4120">
            <v>10510001</v>
          </cell>
          <cell r="F4120" t="str">
            <v>0216</v>
          </cell>
          <cell r="G4120">
            <v>5</v>
          </cell>
          <cell r="H4120">
            <v>9.5</v>
          </cell>
          <cell r="I4120">
            <v>315.10074657600006</v>
          </cell>
          <cell r="J4120">
            <v>0</v>
          </cell>
        </row>
        <row r="4121">
          <cell r="E4121">
            <v>10510001</v>
          </cell>
          <cell r="F4121" t="str">
            <v>0220</v>
          </cell>
          <cell r="G4121">
            <v>8</v>
          </cell>
          <cell r="H4121">
            <v>56.5</v>
          </cell>
          <cell r="I4121">
            <v>1983.2308190640001</v>
          </cell>
          <cell r="J4121">
            <v>0</v>
          </cell>
        </row>
        <row r="4122">
          <cell r="E4122">
            <v>10510001</v>
          </cell>
          <cell r="F4122" t="str">
            <v>0221</v>
          </cell>
          <cell r="G4122">
            <v>7</v>
          </cell>
          <cell r="H4122">
            <v>37</v>
          </cell>
          <cell r="I4122">
            <v>1292.3975473200003</v>
          </cell>
          <cell r="J4122">
            <v>0</v>
          </cell>
        </row>
        <row r="4123">
          <cell r="E4123">
            <v>10510002</v>
          </cell>
          <cell r="F4123" t="str">
            <v>0002</v>
          </cell>
          <cell r="G4123">
            <v>1</v>
          </cell>
          <cell r="H4123">
            <v>1577.5</v>
          </cell>
          <cell r="I4123">
            <v>61429.578309000004</v>
          </cell>
          <cell r="J4123">
            <v>0</v>
          </cell>
        </row>
        <row r="4124">
          <cell r="E4124">
            <v>10510004</v>
          </cell>
          <cell r="F4124" t="str">
            <v>0001</v>
          </cell>
          <cell r="G4124">
            <v>14</v>
          </cell>
          <cell r="H4124">
            <v>27.199999999999996</v>
          </cell>
          <cell r="I4124">
            <v>1613.3727260160001</v>
          </cell>
          <cell r="J4124">
            <v>0</v>
          </cell>
        </row>
        <row r="4125">
          <cell r="E4125">
            <v>10510004</v>
          </cell>
          <cell r="F4125" t="str">
            <v>0002</v>
          </cell>
          <cell r="G4125">
            <v>13</v>
          </cell>
          <cell r="H4125">
            <v>2837.5</v>
          </cell>
          <cell r="I4125">
            <v>118429.41133979999</v>
          </cell>
          <cell r="J4125">
            <v>377.6</v>
          </cell>
        </row>
        <row r="4126">
          <cell r="E4126">
            <v>10510004</v>
          </cell>
          <cell r="F4126" t="str">
            <v>0003</v>
          </cell>
          <cell r="G4126">
            <v>2</v>
          </cell>
          <cell r="H4126">
            <v>68.8</v>
          </cell>
          <cell r="I4126">
            <v>3285.5766157984995</v>
          </cell>
          <cell r="J4126">
            <v>0</v>
          </cell>
        </row>
        <row r="4127">
          <cell r="E4127">
            <v>10510004</v>
          </cell>
          <cell r="F4127" t="str">
            <v>0005</v>
          </cell>
          <cell r="G4127">
            <v>14</v>
          </cell>
          <cell r="H4127">
            <v>45.5</v>
          </cell>
          <cell r="I4127">
            <v>1546.0412291280002</v>
          </cell>
          <cell r="J4127">
            <v>0</v>
          </cell>
        </row>
        <row r="4128">
          <cell r="E4128">
            <v>10510004</v>
          </cell>
          <cell r="F4128" t="str">
            <v>0034</v>
          </cell>
          <cell r="G4128">
            <v>7</v>
          </cell>
          <cell r="H4128">
            <v>25.499999999999996</v>
          </cell>
          <cell r="I4128">
            <v>923.40514332000021</v>
          </cell>
          <cell r="J4128">
            <v>0</v>
          </cell>
        </row>
        <row r="4129">
          <cell r="E4129">
            <v>10510004</v>
          </cell>
          <cell r="F4129" t="str">
            <v>0052</v>
          </cell>
          <cell r="G4129">
            <v>1</v>
          </cell>
          <cell r="H4129">
            <v>164.8</v>
          </cell>
          <cell r="I4129">
            <v>6852.5667302400025</v>
          </cell>
          <cell r="J4129">
            <v>0</v>
          </cell>
        </row>
        <row r="4130">
          <cell r="E4130">
            <v>10510004</v>
          </cell>
          <cell r="F4130" t="str">
            <v>0055</v>
          </cell>
          <cell r="G4130">
            <v>14</v>
          </cell>
          <cell r="H4130">
            <v>60.999999999999993</v>
          </cell>
          <cell r="I4130">
            <v>2095.9741836000007</v>
          </cell>
          <cell r="J4130">
            <v>0</v>
          </cell>
        </row>
        <row r="4131">
          <cell r="E4131">
            <v>10510004</v>
          </cell>
          <cell r="F4131" t="str">
            <v>0058</v>
          </cell>
          <cell r="G4131">
            <v>5</v>
          </cell>
          <cell r="H4131">
            <v>10.5</v>
          </cell>
          <cell r="I4131">
            <v>391.49658504000001</v>
          </cell>
          <cell r="J4131">
            <v>0</v>
          </cell>
        </row>
        <row r="4132">
          <cell r="E4132">
            <v>10510004</v>
          </cell>
          <cell r="F4132" t="str">
            <v>0065</v>
          </cell>
          <cell r="G4132">
            <v>3</v>
          </cell>
          <cell r="H4132">
            <v>5.9</v>
          </cell>
          <cell r="I4132">
            <v>209.93862383999999</v>
          </cell>
          <cell r="J4132">
            <v>0</v>
          </cell>
        </row>
        <row r="4133">
          <cell r="E4133">
            <v>10530001</v>
          </cell>
          <cell r="F4133" t="str">
            <v>0001</v>
          </cell>
          <cell r="G4133">
            <v>14</v>
          </cell>
          <cell r="H4133">
            <v>21.979999999999997</v>
          </cell>
          <cell r="I4133">
            <v>923.17809204720015</v>
          </cell>
          <cell r="J4133">
            <v>0</v>
          </cell>
        </row>
        <row r="4134">
          <cell r="E4134">
            <v>10530001</v>
          </cell>
          <cell r="F4134" t="str">
            <v>0002</v>
          </cell>
          <cell r="G4134">
            <v>14</v>
          </cell>
          <cell r="H4134">
            <v>138.08000000000001</v>
          </cell>
          <cell r="I4134">
            <v>5455.6485456693599</v>
          </cell>
          <cell r="J4134">
            <v>0</v>
          </cell>
        </row>
        <row r="4135">
          <cell r="E4135">
            <v>10530001</v>
          </cell>
          <cell r="F4135" t="str">
            <v>0004</v>
          </cell>
          <cell r="G4135">
            <v>14</v>
          </cell>
          <cell r="H4135">
            <v>28.14</v>
          </cell>
          <cell r="I4135">
            <v>1365.3156788265101</v>
          </cell>
          <cell r="J4135">
            <v>0</v>
          </cell>
        </row>
        <row r="4136">
          <cell r="E4136">
            <v>10530001</v>
          </cell>
          <cell r="F4136" t="str">
            <v>0006</v>
          </cell>
          <cell r="G4136">
            <v>13</v>
          </cell>
          <cell r="H4136">
            <v>95.45</v>
          </cell>
          <cell r="I4136">
            <v>3665.1437608846509</v>
          </cell>
          <cell r="J4136">
            <v>0</v>
          </cell>
        </row>
        <row r="4137">
          <cell r="E4137">
            <v>10530001</v>
          </cell>
          <cell r="F4137" t="str">
            <v>0009</v>
          </cell>
          <cell r="G4137">
            <v>7</v>
          </cell>
          <cell r="H4137">
            <v>12.46</v>
          </cell>
          <cell r="I4137">
            <v>472.06791472500004</v>
          </cell>
          <cell r="J4137">
            <v>0</v>
          </cell>
        </row>
        <row r="4138">
          <cell r="E4138">
            <v>10530001</v>
          </cell>
          <cell r="F4138" t="str">
            <v>0010</v>
          </cell>
          <cell r="G4138">
            <v>8</v>
          </cell>
          <cell r="H4138">
            <v>33.760000000000005</v>
          </cell>
          <cell r="I4138">
            <v>2154.0283773297501</v>
          </cell>
          <cell r="J4138">
            <v>0</v>
          </cell>
        </row>
        <row r="4139">
          <cell r="E4139">
            <v>10530001</v>
          </cell>
          <cell r="F4139" t="str">
            <v>0014</v>
          </cell>
          <cell r="G4139">
            <v>6</v>
          </cell>
          <cell r="H4139">
            <v>8.06</v>
          </cell>
          <cell r="I4139">
            <v>304.894633032</v>
          </cell>
          <cell r="J4139">
            <v>0</v>
          </cell>
        </row>
        <row r="4140">
          <cell r="E4140">
            <v>10530001</v>
          </cell>
          <cell r="F4140" t="str">
            <v>0015</v>
          </cell>
          <cell r="G4140">
            <v>1</v>
          </cell>
          <cell r="H4140">
            <v>1.22</v>
          </cell>
          <cell r="I4140">
            <v>63.305334496800008</v>
          </cell>
          <cell r="J4140">
            <v>0</v>
          </cell>
        </row>
        <row r="4141">
          <cell r="E4141">
            <v>10530001</v>
          </cell>
          <cell r="F4141" t="str">
            <v>0017</v>
          </cell>
          <cell r="G4141">
            <v>13</v>
          </cell>
          <cell r="H4141">
            <v>19.100000000000001</v>
          </cell>
          <cell r="I4141">
            <v>940.04793509856813</v>
          </cell>
          <cell r="J4141">
            <v>0</v>
          </cell>
        </row>
        <row r="4142">
          <cell r="E4142">
            <v>10530001</v>
          </cell>
          <cell r="F4142" t="str">
            <v>0018</v>
          </cell>
          <cell r="G4142">
            <v>7</v>
          </cell>
          <cell r="H4142">
            <v>26.49</v>
          </cell>
          <cell r="I4142">
            <v>1351.5676694428503</v>
          </cell>
          <cell r="J4142">
            <v>0</v>
          </cell>
        </row>
        <row r="4143">
          <cell r="E4143">
            <v>10530001</v>
          </cell>
          <cell r="F4143" t="str">
            <v>0019</v>
          </cell>
          <cell r="G4143">
            <v>11</v>
          </cell>
          <cell r="H4143">
            <v>21.089999999999996</v>
          </cell>
          <cell r="I4143">
            <v>770.36822230500013</v>
          </cell>
          <cell r="J4143">
            <v>0</v>
          </cell>
        </row>
        <row r="4144">
          <cell r="E4144">
            <v>10530001</v>
          </cell>
          <cell r="F4144" t="str">
            <v>0022</v>
          </cell>
          <cell r="G4144">
            <v>13</v>
          </cell>
          <cell r="H4144">
            <v>17.990000000000002</v>
          </cell>
          <cell r="I4144">
            <v>649.4561301888001</v>
          </cell>
          <cell r="J4144">
            <v>0</v>
          </cell>
        </row>
        <row r="4145">
          <cell r="E4145">
            <v>10530001</v>
          </cell>
          <cell r="F4145" t="str">
            <v>0028</v>
          </cell>
          <cell r="G4145">
            <v>14</v>
          </cell>
          <cell r="H4145">
            <v>46.45</v>
          </cell>
          <cell r="I4145">
            <v>1642.8867769314004</v>
          </cell>
          <cell r="J4145">
            <v>0</v>
          </cell>
        </row>
        <row r="4146">
          <cell r="E4146">
            <v>10530001</v>
          </cell>
          <cell r="F4146" t="str">
            <v>0029</v>
          </cell>
          <cell r="G4146">
            <v>5</v>
          </cell>
          <cell r="H4146">
            <v>19.670000000000002</v>
          </cell>
          <cell r="I4146">
            <v>701.22039817500001</v>
          </cell>
          <cell r="J4146">
            <v>0</v>
          </cell>
        </row>
        <row r="4147">
          <cell r="E4147">
            <v>10530001</v>
          </cell>
          <cell r="F4147" t="str">
            <v>0030</v>
          </cell>
          <cell r="G4147">
            <v>12</v>
          </cell>
          <cell r="H4147">
            <v>36.510000000000005</v>
          </cell>
          <cell r="I4147">
            <v>1390.3678231542001</v>
          </cell>
          <cell r="J4147">
            <v>0</v>
          </cell>
        </row>
        <row r="4148">
          <cell r="E4148">
            <v>10530001</v>
          </cell>
          <cell r="F4148" t="str">
            <v>0031</v>
          </cell>
          <cell r="G4148">
            <v>14</v>
          </cell>
          <cell r="H4148">
            <v>48.02</v>
          </cell>
          <cell r="I4148">
            <v>2702.6222816645304</v>
          </cell>
          <cell r="J4148">
            <v>0</v>
          </cell>
        </row>
        <row r="4149">
          <cell r="E4149">
            <v>10530001</v>
          </cell>
          <cell r="F4149" t="str">
            <v>0034</v>
          </cell>
          <cell r="G4149">
            <v>4</v>
          </cell>
          <cell r="H4149">
            <v>17.75</v>
          </cell>
          <cell r="I4149">
            <v>889.30887805408008</v>
          </cell>
          <cell r="J4149">
            <v>0</v>
          </cell>
        </row>
        <row r="4150">
          <cell r="E4150">
            <v>10530001</v>
          </cell>
          <cell r="F4150" t="str">
            <v>0036</v>
          </cell>
          <cell r="G4150">
            <v>13</v>
          </cell>
          <cell r="H4150">
            <v>30.460000000000008</v>
          </cell>
          <cell r="I4150">
            <v>1614.2853788578359</v>
          </cell>
          <cell r="J4150">
            <v>0</v>
          </cell>
        </row>
        <row r="4151">
          <cell r="E4151">
            <v>10530001</v>
          </cell>
          <cell r="F4151" t="str">
            <v>0038</v>
          </cell>
          <cell r="G4151">
            <v>14</v>
          </cell>
          <cell r="H4151">
            <v>593.06999999999994</v>
          </cell>
          <cell r="I4151">
            <v>25092.257830627008</v>
          </cell>
          <cell r="J4151">
            <v>0</v>
          </cell>
        </row>
        <row r="4152">
          <cell r="E4152">
            <v>10530001</v>
          </cell>
          <cell r="F4152" t="str">
            <v>0039</v>
          </cell>
          <cell r="G4152">
            <v>10</v>
          </cell>
          <cell r="H4152">
            <v>22.950000000000003</v>
          </cell>
          <cell r="I4152">
            <v>1300.4279642029499</v>
          </cell>
          <cell r="J4152">
            <v>0</v>
          </cell>
        </row>
        <row r="4153">
          <cell r="E4153">
            <v>10530001</v>
          </cell>
          <cell r="F4153" t="str">
            <v>0040</v>
          </cell>
          <cell r="G4153">
            <v>8</v>
          </cell>
          <cell r="H4153">
            <v>13</v>
          </cell>
          <cell r="I4153">
            <v>503.41850974800002</v>
          </cell>
          <cell r="J4153">
            <v>0</v>
          </cell>
        </row>
        <row r="4154">
          <cell r="E4154">
            <v>10530001</v>
          </cell>
          <cell r="F4154" t="str">
            <v>0044</v>
          </cell>
          <cell r="G4154">
            <v>12</v>
          </cell>
          <cell r="H4154">
            <v>14.63</v>
          </cell>
          <cell r="I4154">
            <v>607.24022317200001</v>
          </cell>
          <cell r="J4154">
            <v>0</v>
          </cell>
        </row>
        <row r="4155">
          <cell r="E4155">
            <v>10530001</v>
          </cell>
          <cell r="F4155" t="str">
            <v>0045</v>
          </cell>
          <cell r="G4155">
            <v>14</v>
          </cell>
          <cell r="H4155">
            <v>28.650000000000006</v>
          </cell>
          <cell r="I4155">
            <v>1185.4657397880003</v>
          </cell>
          <cell r="J4155">
            <v>0</v>
          </cell>
        </row>
        <row r="4156">
          <cell r="E4156">
            <v>10530001</v>
          </cell>
          <cell r="F4156" t="str">
            <v>0047</v>
          </cell>
          <cell r="G4156">
            <v>14</v>
          </cell>
          <cell r="H4156">
            <v>69.089999999999989</v>
          </cell>
          <cell r="I4156">
            <v>4118.7350776065705</v>
          </cell>
          <cell r="J4156">
            <v>0</v>
          </cell>
        </row>
        <row r="4157">
          <cell r="E4157">
            <v>10530001</v>
          </cell>
          <cell r="F4157" t="str">
            <v>0050</v>
          </cell>
          <cell r="G4157">
            <v>10</v>
          </cell>
          <cell r="H4157">
            <v>25.269999999999996</v>
          </cell>
          <cell r="I4157">
            <v>1345.2983834968743</v>
          </cell>
          <cell r="J4157">
            <v>0</v>
          </cell>
        </row>
        <row r="4158">
          <cell r="E4158">
            <v>10530001</v>
          </cell>
          <cell r="F4158" t="str">
            <v>0052</v>
          </cell>
          <cell r="G4158">
            <v>14</v>
          </cell>
          <cell r="H4158">
            <v>69.219999999999985</v>
          </cell>
          <cell r="I4158">
            <v>2497.466873286</v>
          </cell>
          <cell r="J4158">
            <v>0</v>
          </cell>
        </row>
        <row r="4159">
          <cell r="E4159">
            <v>10530001</v>
          </cell>
          <cell r="F4159" t="str">
            <v>0053</v>
          </cell>
          <cell r="G4159">
            <v>12</v>
          </cell>
          <cell r="H4159">
            <v>35.9</v>
          </cell>
          <cell r="I4159">
            <v>1515.96546542688</v>
          </cell>
          <cell r="J4159">
            <v>0</v>
          </cell>
        </row>
        <row r="4160">
          <cell r="E4160">
            <v>10530001</v>
          </cell>
          <cell r="F4160" t="str">
            <v>0055</v>
          </cell>
          <cell r="G4160">
            <v>10</v>
          </cell>
          <cell r="H4160">
            <v>15.549999999999999</v>
          </cell>
          <cell r="I4160">
            <v>927.57637390651996</v>
          </cell>
          <cell r="J4160">
            <v>0</v>
          </cell>
        </row>
        <row r="4161">
          <cell r="E4161">
            <v>10530001</v>
          </cell>
          <cell r="F4161" t="str">
            <v>0056</v>
          </cell>
          <cell r="G4161">
            <v>14</v>
          </cell>
          <cell r="H4161">
            <v>28.369999999999997</v>
          </cell>
          <cell r="I4161">
            <v>1136.5483635000001</v>
          </cell>
          <cell r="J4161">
            <v>0</v>
          </cell>
        </row>
        <row r="4162">
          <cell r="E4162">
            <v>10530002</v>
          </cell>
          <cell r="F4162" t="str">
            <v>0001</v>
          </cell>
          <cell r="G4162">
            <v>14</v>
          </cell>
          <cell r="H4162">
            <v>23.950000000000003</v>
          </cell>
          <cell r="I4162">
            <v>1045.6677332640002</v>
          </cell>
          <cell r="J4162">
            <v>0</v>
          </cell>
        </row>
        <row r="4163">
          <cell r="E4163">
            <v>10530002</v>
          </cell>
          <cell r="F4163" t="str">
            <v>0002</v>
          </cell>
          <cell r="G4163">
            <v>5</v>
          </cell>
          <cell r="H4163">
            <v>62.900000000000006</v>
          </cell>
          <cell r="I4163">
            <v>2289.6905475114004</v>
          </cell>
          <cell r="J4163">
            <v>0</v>
          </cell>
        </row>
        <row r="4164">
          <cell r="E4164">
            <v>10530002</v>
          </cell>
          <cell r="F4164" t="str">
            <v>0004</v>
          </cell>
          <cell r="G4164">
            <v>14</v>
          </cell>
          <cell r="H4164">
            <v>115.00999999999999</v>
          </cell>
          <cell r="I4164">
            <v>4312.943942076</v>
          </cell>
          <cell r="J4164">
            <v>0</v>
          </cell>
        </row>
        <row r="4165">
          <cell r="E4165">
            <v>10530002</v>
          </cell>
          <cell r="F4165" t="str">
            <v>0006</v>
          </cell>
          <cell r="G4165">
            <v>12</v>
          </cell>
          <cell r="H4165">
            <v>31.65</v>
          </cell>
          <cell r="I4165">
            <v>1182.9662998560002</v>
          </cell>
          <cell r="J4165">
            <v>0</v>
          </cell>
        </row>
        <row r="4166">
          <cell r="E4166">
            <v>10530002</v>
          </cell>
          <cell r="F4166" t="str">
            <v>0012</v>
          </cell>
          <cell r="G4166">
            <v>6</v>
          </cell>
          <cell r="H4166">
            <v>7.6999999999999993</v>
          </cell>
          <cell r="I4166">
            <v>280.41726240000003</v>
          </cell>
          <cell r="J4166">
            <v>0</v>
          </cell>
        </row>
        <row r="4167">
          <cell r="E4167">
            <v>10530002</v>
          </cell>
          <cell r="F4167" t="str">
            <v>0013</v>
          </cell>
          <cell r="G4167">
            <v>11</v>
          </cell>
          <cell r="H4167">
            <v>15.680000000000001</v>
          </cell>
          <cell r="I4167">
            <v>606.58428593346002</v>
          </cell>
          <cell r="J4167">
            <v>0</v>
          </cell>
        </row>
        <row r="4168">
          <cell r="E4168">
            <v>10530002</v>
          </cell>
          <cell r="F4168" t="str">
            <v>0014</v>
          </cell>
          <cell r="G4168">
            <v>14</v>
          </cell>
          <cell r="H4168">
            <v>42.74</v>
          </cell>
          <cell r="I4168">
            <v>1924.1723468544001</v>
          </cell>
          <cell r="J4168">
            <v>0</v>
          </cell>
        </row>
        <row r="4169">
          <cell r="E4169">
            <v>10530002</v>
          </cell>
          <cell r="F4169" t="str">
            <v>0016</v>
          </cell>
          <cell r="G4169">
            <v>6</v>
          </cell>
          <cell r="H4169">
            <v>18.55</v>
          </cell>
          <cell r="I4169">
            <v>1361.3761574493999</v>
          </cell>
          <cell r="J4169">
            <v>0</v>
          </cell>
        </row>
        <row r="4170">
          <cell r="E4170">
            <v>10530002</v>
          </cell>
          <cell r="F4170" t="str">
            <v>0019</v>
          </cell>
          <cell r="G4170">
            <v>13</v>
          </cell>
          <cell r="H4170">
            <v>47.810000000000009</v>
          </cell>
          <cell r="I4170">
            <v>1718.9381705760002</v>
          </cell>
          <cell r="J4170">
            <v>0</v>
          </cell>
        </row>
        <row r="4171">
          <cell r="E4171">
            <v>10530002</v>
          </cell>
          <cell r="F4171" t="str">
            <v>0025</v>
          </cell>
          <cell r="G4171">
            <v>2</v>
          </cell>
          <cell r="H4171">
            <v>11.95</v>
          </cell>
          <cell r="I4171">
            <v>467.08578219600008</v>
          </cell>
          <cell r="J4171">
            <v>0</v>
          </cell>
        </row>
        <row r="4172">
          <cell r="E4172">
            <v>10530002</v>
          </cell>
          <cell r="F4172" t="str">
            <v>0028</v>
          </cell>
          <cell r="G4172">
            <v>14</v>
          </cell>
          <cell r="H4172">
            <v>77.399999999999977</v>
          </cell>
          <cell r="I4172">
            <v>3116.7058428000005</v>
          </cell>
          <cell r="J4172">
            <v>0</v>
          </cell>
        </row>
        <row r="4173">
          <cell r="E4173">
            <v>10530002</v>
          </cell>
          <cell r="F4173" t="str">
            <v>0030</v>
          </cell>
          <cell r="G4173">
            <v>2</v>
          </cell>
          <cell r="H4173">
            <v>2.96</v>
          </cell>
          <cell r="I4173">
            <v>104.38880958000001</v>
          </cell>
          <cell r="J4173">
            <v>0</v>
          </cell>
        </row>
        <row r="4174">
          <cell r="E4174">
            <v>10530002</v>
          </cell>
          <cell r="F4174" t="str">
            <v>0031</v>
          </cell>
          <cell r="G4174">
            <v>5</v>
          </cell>
          <cell r="H4174">
            <v>4.72</v>
          </cell>
          <cell r="I4174">
            <v>232.9508457867</v>
          </cell>
          <cell r="J4174">
            <v>0</v>
          </cell>
        </row>
        <row r="4175">
          <cell r="E4175">
            <v>10530002</v>
          </cell>
          <cell r="F4175" t="str">
            <v>0037</v>
          </cell>
          <cell r="G4175">
            <v>10</v>
          </cell>
          <cell r="H4175">
            <v>26.93</v>
          </cell>
          <cell r="I4175">
            <v>1042.3580207040002</v>
          </cell>
          <cell r="J4175">
            <v>0</v>
          </cell>
        </row>
        <row r="4176">
          <cell r="E4176">
            <v>10530002</v>
          </cell>
          <cell r="F4176" t="str">
            <v>0039</v>
          </cell>
          <cell r="G4176">
            <v>7</v>
          </cell>
          <cell r="H4176">
            <v>40.200000000000003</v>
          </cell>
          <cell r="I4176">
            <v>1403.0025814926005</v>
          </cell>
          <cell r="J4176">
            <v>0</v>
          </cell>
        </row>
        <row r="4177">
          <cell r="E4177">
            <v>10530002</v>
          </cell>
          <cell r="F4177" t="str">
            <v>0040</v>
          </cell>
          <cell r="G4177">
            <v>10</v>
          </cell>
          <cell r="H4177">
            <v>13.16</v>
          </cell>
          <cell r="I4177">
            <v>895.16003619770015</v>
          </cell>
          <cell r="J4177">
            <v>0</v>
          </cell>
        </row>
        <row r="4178">
          <cell r="E4178">
            <v>10530002</v>
          </cell>
          <cell r="F4178" t="str">
            <v>0041</v>
          </cell>
          <cell r="G4178">
            <v>13</v>
          </cell>
          <cell r="H4178">
            <v>35.419999999999995</v>
          </cell>
          <cell r="I4178">
            <v>1620.1018678261003</v>
          </cell>
          <cell r="J4178">
            <v>0</v>
          </cell>
        </row>
        <row r="4179">
          <cell r="E4179">
            <v>10530002</v>
          </cell>
          <cell r="F4179" t="str">
            <v>0042</v>
          </cell>
          <cell r="G4179">
            <v>10</v>
          </cell>
          <cell r="H4179">
            <v>181.73999999999998</v>
          </cell>
          <cell r="I4179">
            <v>7680.9453772440402</v>
          </cell>
          <cell r="J4179">
            <v>0</v>
          </cell>
        </row>
        <row r="4180">
          <cell r="E4180">
            <v>10530002</v>
          </cell>
          <cell r="F4180" t="str">
            <v>0043</v>
          </cell>
          <cell r="G4180">
            <v>6</v>
          </cell>
          <cell r="H4180">
            <v>13.319999999999999</v>
          </cell>
          <cell r="I4180">
            <v>716.75803102959003</v>
          </cell>
          <cell r="J4180">
            <v>0</v>
          </cell>
        </row>
        <row r="4181">
          <cell r="E4181">
            <v>10530002</v>
          </cell>
          <cell r="F4181" t="str">
            <v>0045</v>
          </cell>
          <cell r="G4181">
            <v>6</v>
          </cell>
          <cell r="H4181">
            <v>7.24</v>
          </cell>
          <cell r="I4181">
            <v>526.35700636190006</v>
          </cell>
          <cell r="J4181">
            <v>0</v>
          </cell>
        </row>
        <row r="4182">
          <cell r="E4182">
            <v>10530002</v>
          </cell>
          <cell r="F4182" t="str">
            <v>0046</v>
          </cell>
          <cell r="G4182">
            <v>4</v>
          </cell>
          <cell r="H4182">
            <v>8.09</v>
          </cell>
          <cell r="I4182">
            <v>488.31829666410005</v>
          </cell>
          <cell r="J4182">
            <v>0</v>
          </cell>
        </row>
        <row r="4183">
          <cell r="E4183">
            <v>10530002</v>
          </cell>
          <cell r="F4183" t="str">
            <v>0047</v>
          </cell>
          <cell r="G4183">
            <v>2</v>
          </cell>
          <cell r="H4183">
            <v>60.66</v>
          </cell>
          <cell r="I4183">
            <v>2262.8160740591998</v>
          </cell>
          <cell r="J4183">
            <v>0</v>
          </cell>
        </row>
        <row r="4184">
          <cell r="E4184">
            <v>10530002</v>
          </cell>
          <cell r="F4184" t="str">
            <v>0048</v>
          </cell>
          <cell r="G4184">
            <v>7</v>
          </cell>
          <cell r="H4184">
            <v>12.66</v>
          </cell>
          <cell r="I4184">
            <v>570.05479963343998</v>
          </cell>
          <cell r="J4184">
            <v>0</v>
          </cell>
        </row>
        <row r="4185">
          <cell r="E4185">
            <v>10530002</v>
          </cell>
          <cell r="F4185" t="str">
            <v>0049</v>
          </cell>
          <cell r="G4185">
            <v>3</v>
          </cell>
          <cell r="H4185">
            <v>6.9300000000000006</v>
          </cell>
          <cell r="I4185">
            <v>372.30756149724004</v>
          </cell>
          <cell r="J4185">
            <v>0</v>
          </cell>
        </row>
        <row r="4186">
          <cell r="E4186">
            <v>10530002</v>
          </cell>
          <cell r="F4186" t="str">
            <v>0052</v>
          </cell>
          <cell r="G4186">
            <v>14</v>
          </cell>
          <cell r="H4186">
            <v>30.02</v>
          </cell>
          <cell r="I4186">
            <v>999.33215421600005</v>
          </cell>
          <cell r="J4186">
            <v>0</v>
          </cell>
        </row>
        <row r="4187">
          <cell r="E4187">
            <v>10530002</v>
          </cell>
          <cell r="F4187" t="str">
            <v>0053</v>
          </cell>
          <cell r="G4187">
            <v>14</v>
          </cell>
          <cell r="H4187">
            <v>55.43</v>
          </cell>
          <cell r="I4187">
            <v>3377.5469675937502</v>
          </cell>
          <cell r="J4187">
            <v>0</v>
          </cell>
        </row>
        <row r="4188">
          <cell r="E4188">
            <v>10530002</v>
          </cell>
          <cell r="F4188" t="str">
            <v>0055</v>
          </cell>
          <cell r="G4188">
            <v>2</v>
          </cell>
          <cell r="H4188">
            <v>3.02</v>
          </cell>
          <cell r="I4188">
            <v>153.19103938309502</v>
          </cell>
          <cell r="J4188">
            <v>0</v>
          </cell>
        </row>
        <row r="4189">
          <cell r="E4189">
            <v>10530002</v>
          </cell>
          <cell r="F4189" t="str">
            <v>0056</v>
          </cell>
          <cell r="G4189">
            <v>14</v>
          </cell>
          <cell r="H4189">
            <v>29.379999999999995</v>
          </cell>
          <cell r="I4189">
            <v>1602.8067334053999</v>
          </cell>
          <cell r="J4189">
            <v>0</v>
          </cell>
        </row>
        <row r="4190">
          <cell r="E4190">
            <v>10530002</v>
          </cell>
          <cell r="F4190" t="str">
            <v>0057</v>
          </cell>
          <cell r="G4190">
            <v>14</v>
          </cell>
          <cell r="H4190">
            <v>19.72</v>
          </cell>
          <cell r="I4190">
            <v>1329.9153106808001</v>
          </cell>
          <cell r="J4190">
            <v>0</v>
          </cell>
        </row>
        <row r="4191">
          <cell r="E4191">
            <v>10530002</v>
          </cell>
          <cell r="F4191" t="str">
            <v>0059</v>
          </cell>
          <cell r="G4191">
            <v>13</v>
          </cell>
          <cell r="H4191">
            <v>30.259999999999998</v>
          </cell>
          <cell r="I4191">
            <v>1295.4051116730302</v>
          </cell>
          <cell r="J4191">
            <v>0</v>
          </cell>
        </row>
        <row r="4192">
          <cell r="E4192">
            <v>10530002</v>
          </cell>
          <cell r="F4192" t="str">
            <v>0060</v>
          </cell>
          <cell r="G4192">
            <v>13</v>
          </cell>
          <cell r="H4192">
            <v>37.1</v>
          </cell>
          <cell r="I4192">
            <v>1697.5077210233001</v>
          </cell>
          <cell r="J4192">
            <v>0</v>
          </cell>
        </row>
        <row r="4193">
          <cell r="E4193">
            <v>10530002</v>
          </cell>
          <cell r="F4193" t="str">
            <v>0062</v>
          </cell>
          <cell r="G4193">
            <v>14</v>
          </cell>
          <cell r="H4193">
            <v>45.07</v>
          </cell>
          <cell r="I4193">
            <v>1802.2398478920002</v>
          </cell>
          <cell r="J4193">
            <v>0</v>
          </cell>
        </row>
        <row r="4194">
          <cell r="E4194">
            <v>10530002</v>
          </cell>
          <cell r="F4194" t="str">
            <v>0063</v>
          </cell>
          <cell r="G4194">
            <v>7</v>
          </cell>
          <cell r="H4194">
            <v>18.64</v>
          </cell>
          <cell r="I4194">
            <v>1436.5710197055998</v>
          </cell>
          <cell r="J4194">
            <v>0</v>
          </cell>
        </row>
        <row r="4195">
          <cell r="E4195">
            <v>10530002</v>
          </cell>
          <cell r="F4195" t="str">
            <v>0066</v>
          </cell>
          <cell r="G4195">
            <v>13</v>
          </cell>
          <cell r="H4195">
            <v>205.23999999999998</v>
          </cell>
          <cell r="I4195">
            <v>8840.2671539372022</v>
          </cell>
          <cell r="J4195">
            <v>0</v>
          </cell>
        </row>
        <row r="4196">
          <cell r="E4196">
            <v>10530002</v>
          </cell>
          <cell r="F4196" t="str">
            <v>0067</v>
          </cell>
          <cell r="G4196">
            <v>14</v>
          </cell>
          <cell r="H4196">
            <v>85.28</v>
          </cell>
          <cell r="I4196">
            <v>3349.1983041000003</v>
          </cell>
          <cell r="J4196">
            <v>0</v>
          </cell>
        </row>
        <row r="4197">
          <cell r="E4197">
            <v>10530002</v>
          </cell>
          <cell r="F4197" t="str">
            <v>0068</v>
          </cell>
          <cell r="G4197">
            <v>14</v>
          </cell>
          <cell r="H4197">
            <v>69.22</v>
          </cell>
          <cell r="I4197">
            <v>2721.9704648399997</v>
          </cell>
          <cell r="J4197">
            <v>0</v>
          </cell>
        </row>
        <row r="4198">
          <cell r="E4198">
            <v>10530002</v>
          </cell>
          <cell r="F4198" t="str">
            <v>0069</v>
          </cell>
          <cell r="G4198">
            <v>14</v>
          </cell>
          <cell r="H4198">
            <v>39.209999999999994</v>
          </cell>
          <cell r="I4198">
            <v>1492.6932785160004</v>
          </cell>
          <cell r="J4198">
            <v>0</v>
          </cell>
        </row>
        <row r="4199">
          <cell r="E4199">
            <v>10530003</v>
          </cell>
          <cell r="F4199" t="str">
            <v>0001</v>
          </cell>
          <cell r="G4199">
            <v>5</v>
          </cell>
          <cell r="H4199">
            <v>6.0699999999999994</v>
          </cell>
          <cell r="I4199">
            <v>301.85149845438002</v>
          </cell>
          <cell r="J4199">
            <v>0</v>
          </cell>
        </row>
        <row r="4200">
          <cell r="E4200">
            <v>10530003</v>
          </cell>
          <cell r="F4200" t="str">
            <v>0002</v>
          </cell>
          <cell r="G4200">
            <v>13</v>
          </cell>
          <cell r="H4200">
            <v>204.52000000000007</v>
          </cell>
          <cell r="I4200">
            <v>13031.922823262461</v>
          </cell>
          <cell r="J4200">
            <v>0</v>
          </cell>
        </row>
        <row r="4201">
          <cell r="E4201">
            <v>10530003</v>
          </cell>
          <cell r="F4201" t="str">
            <v>0003</v>
          </cell>
          <cell r="G4201">
            <v>7</v>
          </cell>
          <cell r="H4201">
            <v>18.18</v>
          </cell>
          <cell r="I4201">
            <v>1519.7029583541198</v>
          </cell>
          <cell r="J4201">
            <v>0</v>
          </cell>
        </row>
        <row r="4202">
          <cell r="E4202">
            <v>10530003</v>
          </cell>
          <cell r="F4202" t="str">
            <v>0006</v>
          </cell>
          <cell r="G4202">
            <v>11</v>
          </cell>
          <cell r="H4202">
            <v>60.280000000000008</v>
          </cell>
          <cell r="I4202">
            <v>3365.2434563688003</v>
          </cell>
          <cell r="J4202">
            <v>0</v>
          </cell>
        </row>
        <row r="4203">
          <cell r="E4203">
            <v>10530003</v>
          </cell>
          <cell r="F4203" t="str">
            <v>0008</v>
          </cell>
          <cell r="G4203">
            <v>7</v>
          </cell>
          <cell r="H4203">
            <v>32.68</v>
          </cell>
          <cell r="I4203">
            <v>1185.6379455360002</v>
          </cell>
          <cell r="J4203">
            <v>0</v>
          </cell>
        </row>
        <row r="4204">
          <cell r="E4204">
            <v>10530003</v>
          </cell>
          <cell r="F4204" t="str">
            <v>0011</v>
          </cell>
          <cell r="G4204">
            <v>1</v>
          </cell>
          <cell r="H4204">
            <v>1.3</v>
          </cell>
          <cell r="I4204">
            <v>51.498447858000006</v>
          </cell>
          <cell r="J4204">
            <v>0</v>
          </cell>
        </row>
        <row r="4205">
          <cell r="E4205">
            <v>10530003</v>
          </cell>
          <cell r="F4205" t="str">
            <v>0015</v>
          </cell>
          <cell r="G4205">
            <v>9</v>
          </cell>
          <cell r="H4205">
            <v>14.639999999999999</v>
          </cell>
          <cell r="I4205">
            <v>636.67926731700004</v>
          </cell>
          <cell r="J4205">
            <v>0</v>
          </cell>
        </row>
        <row r="4206">
          <cell r="E4206">
            <v>10530003</v>
          </cell>
          <cell r="F4206" t="str">
            <v>0017</v>
          </cell>
          <cell r="G4206">
            <v>13</v>
          </cell>
          <cell r="H4206">
            <v>38.479999999999997</v>
          </cell>
          <cell r="I4206">
            <v>1392.4246564800001</v>
          </cell>
          <cell r="J4206">
            <v>0</v>
          </cell>
        </row>
        <row r="4207">
          <cell r="E4207">
            <v>10530003</v>
          </cell>
          <cell r="F4207" t="str">
            <v>0018</v>
          </cell>
          <cell r="G4207">
            <v>3</v>
          </cell>
          <cell r="H4207">
            <v>5.8800000000000008</v>
          </cell>
          <cell r="I4207">
            <v>314.85441103940002</v>
          </cell>
          <cell r="J4207">
            <v>0</v>
          </cell>
        </row>
        <row r="4208">
          <cell r="E4208">
            <v>10530003</v>
          </cell>
          <cell r="F4208" t="str">
            <v>0022</v>
          </cell>
          <cell r="G4208">
            <v>11</v>
          </cell>
          <cell r="H4208">
            <v>21.499999999999996</v>
          </cell>
          <cell r="I4208">
            <v>830.79897060569999</v>
          </cell>
          <cell r="J4208">
            <v>0</v>
          </cell>
        </row>
        <row r="4209">
          <cell r="E4209">
            <v>10530003</v>
          </cell>
          <cell r="F4209" t="str">
            <v>0025</v>
          </cell>
          <cell r="G4209">
            <v>13</v>
          </cell>
          <cell r="H4209">
            <v>37.200000000000003</v>
          </cell>
          <cell r="I4209">
            <v>1845.7789905250402</v>
          </cell>
          <cell r="J4209">
            <v>0</v>
          </cell>
        </row>
        <row r="4210">
          <cell r="E4210">
            <v>10530003</v>
          </cell>
          <cell r="F4210" t="str">
            <v>0034</v>
          </cell>
          <cell r="G4210">
            <v>8</v>
          </cell>
          <cell r="H4210">
            <v>11.879999999999999</v>
          </cell>
          <cell r="I4210">
            <v>615.98560837511218</v>
          </cell>
          <cell r="J4210">
            <v>0</v>
          </cell>
        </row>
        <row r="4211">
          <cell r="E4211">
            <v>10530003</v>
          </cell>
          <cell r="F4211" t="str">
            <v>0038</v>
          </cell>
          <cell r="G4211">
            <v>9</v>
          </cell>
          <cell r="H4211">
            <v>20.520000000000003</v>
          </cell>
          <cell r="I4211">
            <v>1272.55769556824</v>
          </cell>
          <cell r="J4211">
            <v>0</v>
          </cell>
        </row>
        <row r="4212">
          <cell r="E4212">
            <v>10530003</v>
          </cell>
          <cell r="F4212" t="str">
            <v>0039</v>
          </cell>
          <cell r="G4212">
            <v>6</v>
          </cell>
          <cell r="H4212">
            <v>60.11999999999999</v>
          </cell>
          <cell r="I4212">
            <v>3206.1143632636804</v>
          </cell>
          <cell r="J4212">
            <v>0</v>
          </cell>
        </row>
        <row r="4213">
          <cell r="E4213">
            <v>10530003</v>
          </cell>
          <cell r="F4213" t="str">
            <v>0044</v>
          </cell>
          <cell r="G4213">
            <v>12</v>
          </cell>
          <cell r="H4213">
            <v>31.9</v>
          </cell>
          <cell r="I4213">
            <v>1568.5308681779804</v>
          </cell>
          <cell r="J4213">
            <v>0</v>
          </cell>
        </row>
        <row r="4214">
          <cell r="E4214">
            <v>10530003</v>
          </cell>
          <cell r="F4214" t="str">
            <v>0045</v>
          </cell>
          <cell r="G4214">
            <v>10</v>
          </cell>
          <cell r="H4214">
            <v>15.34</v>
          </cell>
          <cell r="I4214">
            <v>875.35380609360004</v>
          </cell>
          <cell r="J4214">
            <v>0</v>
          </cell>
        </row>
        <row r="4215">
          <cell r="E4215">
            <v>10530003</v>
          </cell>
          <cell r="F4215" t="str">
            <v>0047</v>
          </cell>
          <cell r="G4215">
            <v>7</v>
          </cell>
          <cell r="H4215">
            <v>174.32</v>
          </cell>
          <cell r="I4215">
            <v>8762.959284111781</v>
          </cell>
          <cell r="J4215">
            <v>0</v>
          </cell>
        </row>
        <row r="4216">
          <cell r="E4216">
            <v>10530003</v>
          </cell>
          <cell r="F4216" t="str">
            <v>0050</v>
          </cell>
          <cell r="G4216">
            <v>5</v>
          </cell>
          <cell r="H4216">
            <v>7.24</v>
          </cell>
          <cell r="I4216">
            <v>220.48901558640003</v>
          </cell>
          <cell r="J4216">
            <v>0</v>
          </cell>
        </row>
        <row r="4217">
          <cell r="E4217">
            <v>10530003</v>
          </cell>
          <cell r="F4217" t="str">
            <v>0053</v>
          </cell>
          <cell r="G4217">
            <v>12</v>
          </cell>
          <cell r="H4217">
            <v>13.620000000000001</v>
          </cell>
          <cell r="I4217">
            <v>685.52899072922003</v>
          </cell>
          <cell r="J4217">
            <v>0</v>
          </cell>
        </row>
        <row r="4218">
          <cell r="E4218">
            <v>10530003</v>
          </cell>
          <cell r="F4218" t="str">
            <v>0055</v>
          </cell>
          <cell r="G4218">
            <v>5</v>
          </cell>
          <cell r="H4218">
            <v>7.3599999999999994</v>
          </cell>
          <cell r="I4218">
            <v>586.41345693839992</v>
          </cell>
          <cell r="J4218">
            <v>0</v>
          </cell>
        </row>
        <row r="4219">
          <cell r="E4219">
            <v>10530003</v>
          </cell>
          <cell r="F4219" t="str">
            <v>0059</v>
          </cell>
          <cell r="G4219">
            <v>5</v>
          </cell>
          <cell r="H4219">
            <v>92.14</v>
          </cell>
          <cell r="I4219">
            <v>3629.0920040696165</v>
          </cell>
          <cell r="J4219">
            <v>0</v>
          </cell>
        </row>
        <row r="4220">
          <cell r="E4220">
            <v>10530003</v>
          </cell>
          <cell r="F4220" t="str">
            <v>0072</v>
          </cell>
          <cell r="G4220">
            <v>6</v>
          </cell>
          <cell r="H4220">
            <v>18.84</v>
          </cell>
          <cell r="I4220">
            <v>1133.9764789678002</v>
          </cell>
          <cell r="J4220">
            <v>0</v>
          </cell>
        </row>
        <row r="4221">
          <cell r="E4221">
            <v>10530003</v>
          </cell>
          <cell r="F4221" t="str">
            <v>0079</v>
          </cell>
          <cell r="G4221">
            <v>5</v>
          </cell>
          <cell r="H4221">
            <v>13.08</v>
          </cell>
          <cell r="I4221">
            <v>1020.1141014656</v>
          </cell>
          <cell r="J4221">
            <v>0</v>
          </cell>
        </row>
        <row r="4222">
          <cell r="E4222">
            <v>10530003</v>
          </cell>
          <cell r="F4222" t="str">
            <v>0080</v>
          </cell>
          <cell r="G4222">
            <v>6</v>
          </cell>
          <cell r="H4222">
            <v>41.110000000000007</v>
          </cell>
          <cell r="I4222">
            <v>2335.0309362201001</v>
          </cell>
          <cell r="J4222">
            <v>0</v>
          </cell>
        </row>
        <row r="4223">
          <cell r="E4223">
            <v>10530003</v>
          </cell>
          <cell r="F4223" t="str">
            <v>0082</v>
          </cell>
          <cell r="G4223">
            <v>10</v>
          </cell>
          <cell r="H4223">
            <v>15.34</v>
          </cell>
          <cell r="I4223">
            <v>847.39776522540001</v>
          </cell>
          <cell r="J4223">
            <v>0</v>
          </cell>
        </row>
        <row r="4224">
          <cell r="E4224">
            <v>10530003</v>
          </cell>
          <cell r="F4224" t="str">
            <v>0083</v>
          </cell>
          <cell r="G4224">
            <v>11</v>
          </cell>
          <cell r="H4224">
            <v>20.98</v>
          </cell>
          <cell r="I4224">
            <v>810.2998024704001</v>
          </cell>
          <cell r="J4224">
            <v>0</v>
          </cell>
        </row>
        <row r="4225">
          <cell r="E4225">
            <v>10530003</v>
          </cell>
          <cell r="F4225" t="str">
            <v>0084</v>
          </cell>
          <cell r="G4225">
            <v>10</v>
          </cell>
          <cell r="H4225">
            <v>11.66</v>
          </cell>
          <cell r="I4225">
            <v>607.03864970754012</v>
          </cell>
          <cell r="J4225">
            <v>0</v>
          </cell>
        </row>
        <row r="4226">
          <cell r="E4226">
            <v>10530003</v>
          </cell>
          <cell r="F4226" t="str">
            <v>0086</v>
          </cell>
          <cell r="G4226">
            <v>12</v>
          </cell>
          <cell r="H4226">
            <v>39.139999999999993</v>
          </cell>
          <cell r="I4226">
            <v>1376.1321845040002</v>
          </cell>
          <cell r="J4226">
            <v>0</v>
          </cell>
        </row>
        <row r="4227">
          <cell r="E4227">
            <v>10530003</v>
          </cell>
          <cell r="F4227" t="str">
            <v>0087</v>
          </cell>
          <cell r="G4227">
            <v>2</v>
          </cell>
          <cell r="H4227">
            <v>1.9</v>
          </cell>
          <cell r="I4227">
            <v>107.010647488</v>
          </cell>
          <cell r="J4227">
            <v>0</v>
          </cell>
        </row>
        <row r="4228">
          <cell r="E4228">
            <v>10530003</v>
          </cell>
          <cell r="F4228" t="str">
            <v>0089</v>
          </cell>
          <cell r="G4228">
            <v>6</v>
          </cell>
          <cell r="H4228">
            <v>7.7</v>
          </cell>
          <cell r="I4228">
            <v>366.24792872984005</v>
          </cell>
          <cell r="J4228">
            <v>0</v>
          </cell>
        </row>
        <row r="4229">
          <cell r="E4229">
            <v>10530003</v>
          </cell>
          <cell r="F4229" t="str">
            <v>0090</v>
          </cell>
          <cell r="G4229">
            <v>10</v>
          </cell>
          <cell r="H4229">
            <v>9.379999999999999</v>
          </cell>
          <cell r="I4229">
            <v>728.54467676071999</v>
          </cell>
          <cell r="J4229">
            <v>0</v>
          </cell>
        </row>
        <row r="4230">
          <cell r="E4230">
            <v>10530003</v>
          </cell>
          <cell r="F4230" t="str">
            <v>0091</v>
          </cell>
          <cell r="G4230">
            <v>6</v>
          </cell>
          <cell r="H4230">
            <v>17.079999999999998</v>
          </cell>
          <cell r="I4230">
            <v>794.96816663502</v>
          </cell>
          <cell r="J4230">
            <v>0</v>
          </cell>
        </row>
        <row r="4231">
          <cell r="E4231">
            <v>10530003</v>
          </cell>
          <cell r="F4231" t="str">
            <v>0094</v>
          </cell>
          <cell r="G4231">
            <v>7</v>
          </cell>
          <cell r="H4231">
            <v>18.599999999999998</v>
          </cell>
          <cell r="I4231">
            <v>694.60391880000009</v>
          </cell>
          <cell r="J4231">
            <v>0</v>
          </cell>
        </row>
        <row r="4232">
          <cell r="E4232">
            <v>10530005</v>
          </cell>
          <cell r="F4232" t="str">
            <v>0001</v>
          </cell>
          <cell r="G4232">
            <v>14</v>
          </cell>
          <cell r="H4232">
            <v>13.920000000000002</v>
          </cell>
          <cell r="I4232">
            <v>588.03410904480006</v>
          </cell>
          <cell r="J4232">
            <v>0</v>
          </cell>
        </row>
        <row r="4233">
          <cell r="E4233">
            <v>10530005</v>
          </cell>
          <cell r="F4233" t="str">
            <v>0002</v>
          </cell>
          <cell r="G4233">
            <v>10</v>
          </cell>
          <cell r="H4233">
            <v>24.26</v>
          </cell>
          <cell r="I4233">
            <v>943.6294354608001</v>
          </cell>
          <cell r="J4233">
            <v>0</v>
          </cell>
        </row>
        <row r="4234">
          <cell r="E4234">
            <v>10530005</v>
          </cell>
          <cell r="F4234" t="str">
            <v>0006</v>
          </cell>
          <cell r="G4234">
            <v>13</v>
          </cell>
          <cell r="H4234">
            <v>36.15</v>
          </cell>
          <cell r="I4234">
            <v>1770.9016668508402</v>
          </cell>
          <cell r="J4234">
            <v>0</v>
          </cell>
        </row>
        <row r="4235">
          <cell r="E4235">
            <v>10530005</v>
          </cell>
          <cell r="F4235" t="str">
            <v>0008</v>
          </cell>
          <cell r="G4235">
            <v>14</v>
          </cell>
          <cell r="H4235">
            <v>45.489999999999995</v>
          </cell>
          <cell r="I4235">
            <v>1846.8205299126</v>
          </cell>
          <cell r="J4235">
            <v>0</v>
          </cell>
        </row>
        <row r="4236">
          <cell r="E4236">
            <v>10530005</v>
          </cell>
          <cell r="F4236" t="str">
            <v>0010</v>
          </cell>
          <cell r="G4236">
            <v>13</v>
          </cell>
          <cell r="H4236">
            <v>56.56</v>
          </cell>
          <cell r="I4236">
            <v>2741.9358122734702</v>
          </cell>
          <cell r="J4236">
            <v>0</v>
          </cell>
        </row>
        <row r="4237">
          <cell r="E4237">
            <v>10530005</v>
          </cell>
          <cell r="F4237" t="str">
            <v>0014</v>
          </cell>
          <cell r="G4237">
            <v>12</v>
          </cell>
          <cell r="H4237">
            <v>23.97</v>
          </cell>
          <cell r="I4237">
            <v>1165.00034240274</v>
          </cell>
          <cell r="J4237">
            <v>0</v>
          </cell>
        </row>
        <row r="4238">
          <cell r="E4238">
            <v>10530005</v>
          </cell>
          <cell r="F4238" t="str">
            <v>0015</v>
          </cell>
          <cell r="G4238">
            <v>6</v>
          </cell>
          <cell r="H4238">
            <v>6.79</v>
          </cell>
          <cell r="I4238">
            <v>354.70458770459305</v>
          </cell>
          <cell r="J4238">
            <v>0</v>
          </cell>
        </row>
        <row r="4239">
          <cell r="E4239">
            <v>10530005</v>
          </cell>
          <cell r="F4239" t="str">
            <v>0016</v>
          </cell>
          <cell r="G4239">
            <v>13</v>
          </cell>
          <cell r="H4239">
            <v>17.149999999999999</v>
          </cell>
          <cell r="I4239">
            <v>921.9379956554402</v>
          </cell>
          <cell r="J4239">
            <v>0</v>
          </cell>
        </row>
        <row r="4240">
          <cell r="E4240">
            <v>10530005</v>
          </cell>
          <cell r="F4240" t="str">
            <v>0020</v>
          </cell>
          <cell r="G4240">
            <v>12</v>
          </cell>
          <cell r="H4240">
            <v>32.64</v>
          </cell>
          <cell r="I4240">
            <v>1401.7223939400001</v>
          </cell>
          <cell r="J4240">
            <v>0</v>
          </cell>
        </row>
        <row r="4241">
          <cell r="E4241">
            <v>10530005</v>
          </cell>
          <cell r="F4241" t="str">
            <v>0022</v>
          </cell>
          <cell r="G4241">
            <v>6</v>
          </cell>
          <cell r="H4241">
            <v>25.08</v>
          </cell>
          <cell r="I4241">
            <v>842.88217068000006</v>
          </cell>
          <cell r="J4241">
            <v>0</v>
          </cell>
        </row>
        <row r="4242">
          <cell r="E4242">
            <v>10530005</v>
          </cell>
          <cell r="F4242" t="str">
            <v>0027</v>
          </cell>
          <cell r="G4242">
            <v>4</v>
          </cell>
          <cell r="H4242">
            <v>32.369999999999997</v>
          </cell>
          <cell r="I4242">
            <v>1745.3001338736392</v>
          </cell>
          <cell r="J4242">
            <v>0</v>
          </cell>
        </row>
        <row r="4243">
          <cell r="E4243">
            <v>10530005</v>
          </cell>
          <cell r="F4243" t="str">
            <v>0032</v>
          </cell>
          <cell r="G4243">
            <v>7</v>
          </cell>
          <cell r="H4243">
            <v>34.080000000000005</v>
          </cell>
          <cell r="I4243">
            <v>1229.4226545480003</v>
          </cell>
          <cell r="J4243">
            <v>0</v>
          </cell>
        </row>
        <row r="4244">
          <cell r="E4244">
            <v>10530005</v>
          </cell>
          <cell r="F4244" t="str">
            <v>0034</v>
          </cell>
          <cell r="G4244">
            <v>13</v>
          </cell>
          <cell r="H4244">
            <v>42.010000000000005</v>
          </cell>
          <cell r="I4244">
            <v>2117.6033478187101</v>
          </cell>
          <cell r="J4244">
            <v>0</v>
          </cell>
        </row>
        <row r="4245">
          <cell r="E4245">
            <v>10530005</v>
          </cell>
          <cell r="F4245" t="str">
            <v>0035</v>
          </cell>
          <cell r="G4245">
            <v>8</v>
          </cell>
          <cell r="H4245">
            <v>16.149999999999999</v>
          </cell>
          <cell r="I4245">
            <v>758.25671850515994</v>
          </cell>
          <cell r="J4245">
            <v>0</v>
          </cell>
        </row>
        <row r="4246">
          <cell r="E4246">
            <v>10530005</v>
          </cell>
          <cell r="F4246" t="str">
            <v>0036</v>
          </cell>
          <cell r="G4246">
            <v>13</v>
          </cell>
          <cell r="H4246">
            <v>47.019999999999996</v>
          </cell>
          <cell r="I4246">
            <v>2391.9103654369801</v>
          </cell>
          <cell r="J4246">
            <v>0</v>
          </cell>
        </row>
        <row r="4247">
          <cell r="E4247">
            <v>10530005</v>
          </cell>
          <cell r="F4247" t="str">
            <v>0038</v>
          </cell>
          <cell r="G4247">
            <v>14</v>
          </cell>
          <cell r="H4247">
            <v>40.080000000000005</v>
          </cell>
          <cell r="I4247">
            <v>1605.1032270504004</v>
          </cell>
          <cell r="J4247">
            <v>0</v>
          </cell>
        </row>
        <row r="4248">
          <cell r="E4248">
            <v>10530005</v>
          </cell>
          <cell r="F4248" t="str">
            <v>0040</v>
          </cell>
          <cell r="G4248">
            <v>3</v>
          </cell>
          <cell r="H4248">
            <v>3.09</v>
          </cell>
          <cell r="I4248">
            <v>222.00839635189999</v>
          </cell>
          <cell r="J4248">
            <v>0</v>
          </cell>
        </row>
        <row r="4249">
          <cell r="E4249">
            <v>10530005</v>
          </cell>
          <cell r="F4249" t="str">
            <v>0041</v>
          </cell>
          <cell r="G4249">
            <v>7</v>
          </cell>
          <cell r="H4249">
            <v>17.36</v>
          </cell>
          <cell r="I4249">
            <v>700.02816840000003</v>
          </cell>
          <cell r="J4249">
            <v>0</v>
          </cell>
        </row>
        <row r="4250">
          <cell r="E4250">
            <v>10530005</v>
          </cell>
          <cell r="F4250" t="str">
            <v>0042</v>
          </cell>
          <cell r="G4250">
            <v>14</v>
          </cell>
          <cell r="H4250">
            <v>39.639999999999993</v>
          </cell>
          <cell r="I4250">
            <v>1363.2497876447999</v>
          </cell>
          <cell r="J4250">
            <v>0</v>
          </cell>
        </row>
        <row r="4251">
          <cell r="E4251">
            <v>10530005</v>
          </cell>
          <cell r="F4251" t="str">
            <v>0043</v>
          </cell>
          <cell r="G4251">
            <v>14</v>
          </cell>
          <cell r="H4251">
            <v>30.159999999999997</v>
          </cell>
          <cell r="I4251">
            <v>1089.763670952</v>
          </cell>
          <cell r="J4251">
            <v>0</v>
          </cell>
        </row>
        <row r="4252">
          <cell r="E4252">
            <v>10530005</v>
          </cell>
          <cell r="F4252" t="str">
            <v>0044</v>
          </cell>
          <cell r="G4252">
            <v>11</v>
          </cell>
          <cell r="H4252">
            <v>25.860000000000007</v>
          </cell>
          <cell r="I4252">
            <v>1123.5082061561802</v>
          </cell>
          <cell r="J4252">
            <v>0</v>
          </cell>
        </row>
        <row r="4253">
          <cell r="E4253">
            <v>10530005</v>
          </cell>
          <cell r="F4253" t="str">
            <v>0045</v>
          </cell>
          <cell r="G4253">
            <v>7</v>
          </cell>
          <cell r="H4253">
            <v>38.6</v>
          </cell>
          <cell r="I4253">
            <v>1515.2185732860003</v>
          </cell>
          <cell r="J4253">
            <v>0</v>
          </cell>
        </row>
        <row r="4254">
          <cell r="E4254">
            <v>10530005</v>
          </cell>
          <cell r="F4254" t="str">
            <v>0046</v>
          </cell>
          <cell r="G4254">
            <v>7</v>
          </cell>
          <cell r="H4254">
            <v>16.119999999999997</v>
          </cell>
          <cell r="I4254">
            <v>708.20110275750017</v>
          </cell>
          <cell r="J4254">
            <v>0</v>
          </cell>
        </row>
        <row r="4255">
          <cell r="E4255">
            <v>10530005</v>
          </cell>
          <cell r="F4255" t="str">
            <v>0047</v>
          </cell>
          <cell r="G4255">
            <v>7</v>
          </cell>
          <cell r="H4255">
            <v>20.55</v>
          </cell>
          <cell r="I4255">
            <v>873.46444957199992</v>
          </cell>
          <cell r="J4255">
            <v>0</v>
          </cell>
        </row>
        <row r="4256">
          <cell r="E4256">
            <v>10530005</v>
          </cell>
          <cell r="F4256" t="str">
            <v>0048</v>
          </cell>
          <cell r="G4256">
            <v>14</v>
          </cell>
          <cell r="H4256">
            <v>48.379999999999995</v>
          </cell>
          <cell r="I4256">
            <v>2079.1090738440002</v>
          </cell>
          <cell r="J4256">
            <v>0</v>
          </cell>
        </row>
        <row r="4257">
          <cell r="E4257">
            <v>10530005</v>
          </cell>
          <cell r="F4257" t="str">
            <v>0049</v>
          </cell>
          <cell r="G4257">
            <v>6</v>
          </cell>
          <cell r="H4257">
            <v>10.7</v>
          </cell>
          <cell r="I4257">
            <v>474.67170437999999</v>
          </cell>
          <cell r="J4257">
            <v>0</v>
          </cell>
        </row>
        <row r="4258">
          <cell r="E4258">
            <v>10530006</v>
          </cell>
          <cell r="F4258" t="str">
            <v>0001</v>
          </cell>
          <cell r="G4258">
            <v>14</v>
          </cell>
          <cell r="H4258">
            <v>25.04</v>
          </cell>
          <cell r="I4258">
            <v>1155.8091681919802</v>
          </cell>
          <cell r="J4258">
            <v>0</v>
          </cell>
        </row>
        <row r="4259">
          <cell r="E4259">
            <v>10530006</v>
          </cell>
          <cell r="F4259" t="str">
            <v>0002</v>
          </cell>
          <cell r="G4259">
            <v>13</v>
          </cell>
          <cell r="H4259">
            <v>45.31</v>
          </cell>
          <cell r="I4259">
            <v>1820.1469798385099</v>
          </cell>
          <cell r="J4259">
            <v>0</v>
          </cell>
        </row>
        <row r="4260">
          <cell r="E4260">
            <v>10530006</v>
          </cell>
          <cell r="F4260" t="str">
            <v>0005</v>
          </cell>
          <cell r="G4260">
            <v>6</v>
          </cell>
          <cell r="H4260">
            <v>13.77</v>
          </cell>
          <cell r="I4260">
            <v>569.83655159700004</v>
          </cell>
          <cell r="J4260">
            <v>0</v>
          </cell>
        </row>
        <row r="4261">
          <cell r="E4261">
            <v>10530006</v>
          </cell>
          <cell r="F4261" t="str">
            <v>0006</v>
          </cell>
          <cell r="G4261">
            <v>8</v>
          </cell>
          <cell r="H4261">
            <v>26.05</v>
          </cell>
          <cell r="I4261">
            <v>1021.9145469450002</v>
          </cell>
          <cell r="J4261">
            <v>0</v>
          </cell>
        </row>
        <row r="4262">
          <cell r="E4262">
            <v>10530006</v>
          </cell>
          <cell r="F4262" t="str">
            <v>0014</v>
          </cell>
          <cell r="G4262">
            <v>13</v>
          </cell>
          <cell r="H4262">
            <v>62.800000000000011</v>
          </cell>
          <cell r="I4262">
            <v>2586.3002237159999</v>
          </cell>
          <cell r="J4262">
            <v>0</v>
          </cell>
        </row>
        <row r="4263">
          <cell r="E4263">
            <v>10530006</v>
          </cell>
          <cell r="F4263" t="str">
            <v>0015</v>
          </cell>
          <cell r="G4263">
            <v>4</v>
          </cell>
          <cell r="H4263">
            <v>11.540000000000001</v>
          </cell>
          <cell r="I4263">
            <v>408.02053089600003</v>
          </cell>
          <cell r="J4263">
            <v>0</v>
          </cell>
        </row>
        <row r="4264">
          <cell r="E4264">
            <v>10530006</v>
          </cell>
          <cell r="F4264" t="str">
            <v>0019</v>
          </cell>
          <cell r="G4264">
            <v>6</v>
          </cell>
          <cell r="H4264">
            <v>19.77</v>
          </cell>
          <cell r="I4264">
            <v>804.34174194000013</v>
          </cell>
          <cell r="J4264">
            <v>0</v>
          </cell>
        </row>
        <row r="4265">
          <cell r="E4265">
            <v>10530006</v>
          </cell>
          <cell r="F4265" t="str">
            <v>0020</v>
          </cell>
          <cell r="G4265">
            <v>10</v>
          </cell>
          <cell r="H4265">
            <v>49.690000000000012</v>
          </cell>
          <cell r="I4265">
            <v>1968.8461666673243</v>
          </cell>
          <cell r="J4265">
            <v>0</v>
          </cell>
        </row>
        <row r="4266">
          <cell r="E4266">
            <v>10530006</v>
          </cell>
          <cell r="F4266" t="str">
            <v>0021</v>
          </cell>
          <cell r="G4266">
            <v>3</v>
          </cell>
          <cell r="H4266">
            <v>14.73</v>
          </cell>
          <cell r="I4266">
            <v>584.10860706000005</v>
          </cell>
          <cell r="J4266">
            <v>0</v>
          </cell>
        </row>
        <row r="4267">
          <cell r="E4267">
            <v>10530006</v>
          </cell>
          <cell r="F4267" t="str">
            <v>0023</v>
          </cell>
          <cell r="G4267">
            <v>13</v>
          </cell>
          <cell r="H4267">
            <v>45.13</v>
          </cell>
          <cell r="I4267">
            <v>1598.97455586</v>
          </cell>
          <cell r="J4267">
            <v>0</v>
          </cell>
        </row>
        <row r="4268">
          <cell r="E4268">
            <v>10530006</v>
          </cell>
          <cell r="F4268" t="str">
            <v>0026</v>
          </cell>
          <cell r="G4268">
            <v>7</v>
          </cell>
          <cell r="H4268">
            <v>11.270000000000001</v>
          </cell>
          <cell r="I4268">
            <v>476.48257374960008</v>
          </cell>
          <cell r="J4268">
            <v>0</v>
          </cell>
        </row>
        <row r="4269">
          <cell r="E4269">
            <v>10530006</v>
          </cell>
          <cell r="F4269" t="str">
            <v>0027</v>
          </cell>
          <cell r="G4269">
            <v>7</v>
          </cell>
          <cell r="H4269">
            <v>12.89</v>
          </cell>
          <cell r="I4269">
            <v>560.2173112800001</v>
          </cell>
          <cell r="J4269">
            <v>0</v>
          </cell>
        </row>
        <row r="4270">
          <cell r="E4270">
            <v>10530006</v>
          </cell>
          <cell r="F4270" t="str">
            <v>0030</v>
          </cell>
          <cell r="G4270">
            <v>10</v>
          </cell>
          <cell r="H4270">
            <v>17.170000000000002</v>
          </cell>
          <cell r="I4270">
            <v>714.54427426799998</v>
          </cell>
          <cell r="J4270">
            <v>0</v>
          </cell>
        </row>
        <row r="4271">
          <cell r="E4271">
            <v>10530006</v>
          </cell>
          <cell r="F4271" t="str">
            <v>0032</v>
          </cell>
          <cell r="G4271">
            <v>5</v>
          </cell>
          <cell r="H4271">
            <v>19.079999999999998</v>
          </cell>
          <cell r="I4271">
            <v>836.79166642050006</v>
          </cell>
          <cell r="J4271">
            <v>0</v>
          </cell>
        </row>
        <row r="4272">
          <cell r="E4272">
            <v>10530006</v>
          </cell>
          <cell r="F4272" t="str">
            <v>0038</v>
          </cell>
          <cell r="G4272">
            <v>6</v>
          </cell>
          <cell r="H4272">
            <v>11.870000000000001</v>
          </cell>
          <cell r="I4272">
            <v>583.28904850950005</v>
          </cell>
          <cell r="J4272">
            <v>0</v>
          </cell>
        </row>
        <row r="4273">
          <cell r="E4273">
            <v>10530006</v>
          </cell>
          <cell r="F4273" t="str">
            <v>0039</v>
          </cell>
          <cell r="G4273">
            <v>6</v>
          </cell>
          <cell r="H4273">
            <v>13.68</v>
          </cell>
          <cell r="I4273">
            <v>524.940640884</v>
          </cell>
          <cell r="J4273">
            <v>0</v>
          </cell>
        </row>
        <row r="4274">
          <cell r="E4274">
            <v>10530006</v>
          </cell>
          <cell r="F4274" t="str">
            <v>0040</v>
          </cell>
          <cell r="G4274">
            <v>7</v>
          </cell>
          <cell r="H4274">
            <v>11.55</v>
          </cell>
          <cell r="I4274">
            <v>437.673371256</v>
          </cell>
          <cell r="J4274">
            <v>0</v>
          </cell>
        </row>
        <row r="4275">
          <cell r="E4275">
            <v>10530006</v>
          </cell>
          <cell r="F4275" t="str">
            <v>0042</v>
          </cell>
          <cell r="G4275">
            <v>7</v>
          </cell>
          <cell r="H4275">
            <v>40.72</v>
          </cell>
          <cell r="I4275">
            <v>1353.9572818200002</v>
          </cell>
          <cell r="J4275">
            <v>0</v>
          </cell>
        </row>
        <row r="4276">
          <cell r="E4276">
            <v>10530006</v>
          </cell>
          <cell r="F4276" t="str">
            <v>0045</v>
          </cell>
          <cell r="G4276">
            <v>9</v>
          </cell>
          <cell r="H4276">
            <v>48.49</v>
          </cell>
          <cell r="I4276">
            <v>1807.3969527240004</v>
          </cell>
          <cell r="J4276">
            <v>0</v>
          </cell>
        </row>
        <row r="4277">
          <cell r="E4277">
            <v>10530006</v>
          </cell>
          <cell r="F4277" t="str">
            <v>0048</v>
          </cell>
          <cell r="G4277">
            <v>11</v>
          </cell>
          <cell r="H4277">
            <v>27.32</v>
          </cell>
          <cell r="I4277">
            <v>1618.8475382499003</v>
          </cell>
          <cell r="J4277">
            <v>0</v>
          </cell>
        </row>
        <row r="4278">
          <cell r="E4278">
            <v>10530006</v>
          </cell>
          <cell r="F4278" t="str">
            <v>0049</v>
          </cell>
          <cell r="G4278">
            <v>12</v>
          </cell>
          <cell r="H4278">
            <v>20.059999999999999</v>
          </cell>
          <cell r="I4278">
            <v>859.49055041783993</v>
          </cell>
          <cell r="J4278">
            <v>0</v>
          </cell>
        </row>
        <row r="4279">
          <cell r="E4279">
            <v>10530006</v>
          </cell>
          <cell r="F4279" t="str">
            <v>0056</v>
          </cell>
          <cell r="G4279">
            <v>7</v>
          </cell>
          <cell r="H4279">
            <v>23.740000000000002</v>
          </cell>
          <cell r="I4279">
            <v>1293.3787766926002</v>
          </cell>
          <cell r="J4279">
            <v>0</v>
          </cell>
        </row>
        <row r="4280">
          <cell r="E4280">
            <v>10530006</v>
          </cell>
          <cell r="F4280" t="str">
            <v>0058</v>
          </cell>
          <cell r="G4280">
            <v>11</v>
          </cell>
          <cell r="H4280">
            <v>19.22</v>
          </cell>
          <cell r="I4280">
            <v>596.29644829260008</v>
          </cell>
          <cell r="J4280">
            <v>0</v>
          </cell>
        </row>
        <row r="4281">
          <cell r="E4281">
            <v>10530006</v>
          </cell>
          <cell r="F4281" t="str">
            <v>0060</v>
          </cell>
          <cell r="G4281">
            <v>3</v>
          </cell>
          <cell r="H4281">
            <v>7.9399999999999995</v>
          </cell>
          <cell r="I4281">
            <v>264.9154112352</v>
          </cell>
          <cell r="J4281">
            <v>0</v>
          </cell>
        </row>
        <row r="4282">
          <cell r="E4282">
            <v>10530006</v>
          </cell>
          <cell r="F4282" t="str">
            <v>0062</v>
          </cell>
          <cell r="G4282">
            <v>6</v>
          </cell>
          <cell r="H4282">
            <v>7.8299999999999992</v>
          </cell>
          <cell r="I4282">
            <v>333.88039832400005</v>
          </cell>
          <cell r="J4282">
            <v>0</v>
          </cell>
        </row>
        <row r="4283">
          <cell r="E4283">
            <v>10530006</v>
          </cell>
          <cell r="F4283" t="str">
            <v>0065</v>
          </cell>
          <cell r="G4283">
            <v>1</v>
          </cell>
          <cell r="H4283">
            <v>0.9</v>
          </cell>
          <cell r="I4283">
            <v>45.455590908000005</v>
          </cell>
          <cell r="J4283">
            <v>0</v>
          </cell>
        </row>
        <row r="4284">
          <cell r="E4284">
            <v>10530006</v>
          </cell>
          <cell r="F4284" t="str">
            <v>0066</v>
          </cell>
          <cell r="G4284">
            <v>7</v>
          </cell>
          <cell r="H4284">
            <v>18.5</v>
          </cell>
          <cell r="I4284">
            <v>693.88535700000011</v>
          </cell>
          <cell r="J4284">
            <v>0</v>
          </cell>
        </row>
        <row r="4285">
          <cell r="E4285">
            <v>10530006</v>
          </cell>
          <cell r="F4285" t="str">
            <v>0069</v>
          </cell>
          <cell r="G4285">
            <v>13</v>
          </cell>
          <cell r="H4285">
            <v>26.030000000000005</v>
          </cell>
          <cell r="I4285">
            <v>1585.8350887092001</v>
          </cell>
          <cell r="J4285">
            <v>0</v>
          </cell>
        </row>
        <row r="4286">
          <cell r="E4286">
            <v>10530006</v>
          </cell>
          <cell r="F4286" t="str">
            <v>0070</v>
          </cell>
          <cell r="G4286">
            <v>10</v>
          </cell>
          <cell r="H4286">
            <v>35.64</v>
          </cell>
          <cell r="I4286">
            <v>1904.2005883141001</v>
          </cell>
          <cell r="J4286">
            <v>0</v>
          </cell>
        </row>
        <row r="4287">
          <cell r="E4287">
            <v>10530006</v>
          </cell>
          <cell r="F4287" t="str">
            <v>0072</v>
          </cell>
          <cell r="G4287">
            <v>5</v>
          </cell>
          <cell r="H4287">
            <v>6.92</v>
          </cell>
          <cell r="I4287">
            <v>286.62992424000004</v>
          </cell>
          <cell r="J4287">
            <v>0</v>
          </cell>
        </row>
        <row r="4288">
          <cell r="E4288">
            <v>10530006</v>
          </cell>
          <cell r="F4288" t="str">
            <v>0075</v>
          </cell>
          <cell r="G4288">
            <v>3</v>
          </cell>
          <cell r="H4288">
            <v>4.4700000000000006</v>
          </cell>
          <cell r="I4288">
            <v>177.57652849200002</v>
          </cell>
          <cell r="J4288">
            <v>0</v>
          </cell>
        </row>
        <row r="4289">
          <cell r="E4289">
            <v>10530006</v>
          </cell>
          <cell r="F4289" t="str">
            <v>0079</v>
          </cell>
          <cell r="G4289">
            <v>5</v>
          </cell>
          <cell r="H4289">
            <v>7.58</v>
          </cell>
          <cell r="I4289">
            <v>510.31320705640002</v>
          </cell>
          <cell r="J4289">
            <v>0</v>
          </cell>
        </row>
        <row r="4290">
          <cell r="E4290">
            <v>10530006</v>
          </cell>
          <cell r="F4290" t="str">
            <v>0088</v>
          </cell>
          <cell r="G4290">
            <v>4</v>
          </cell>
          <cell r="H4290">
            <v>8.2299999999999986</v>
          </cell>
          <cell r="I4290">
            <v>564.02599276629996</v>
          </cell>
          <cell r="J4290">
            <v>0</v>
          </cell>
        </row>
        <row r="4291">
          <cell r="E4291">
            <v>10530006</v>
          </cell>
          <cell r="F4291" t="str">
            <v>0090</v>
          </cell>
          <cell r="G4291">
            <v>5</v>
          </cell>
          <cell r="H4291">
            <v>9.93</v>
          </cell>
          <cell r="I4291">
            <v>625.14030782219993</v>
          </cell>
          <cell r="J4291">
            <v>0</v>
          </cell>
        </row>
        <row r="4292">
          <cell r="E4292">
            <v>10530006</v>
          </cell>
          <cell r="F4292" t="str">
            <v>0092</v>
          </cell>
          <cell r="G4292">
            <v>5</v>
          </cell>
          <cell r="H4292">
            <v>20.79</v>
          </cell>
          <cell r="I4292">
            <v>1056.3576175550902</v>
          </cell>
          <cell r="J4292">
            <v>0</v>
          </cell>
        </row>
        <row r="4293">
          <cell r="E4293">
            <v>10530006</v>
          </cell>
          <cell r="F4293" t="str">
            <v>0097</v>
          </cell>
          <cell r="G4293">
            <v>5</v>
          </cell>
          <cell r="H4293">
            <v>7.88</v>
          </cell>
          <cell r="I4293">
            <v>415.68848747594006</v>
          </cell>
          <cell r="J4293">
            <v>0</v>
          </cell>
        </row>
        <row r="4294">
          <cell r="E4294">
            <v>10530006</v>
          </cell>
          <cell r="F4294" t="str">
            <v>0100</v>
          </cell>
          <cell r="G4294">
            <v>5</v>
          </cell>
          <cell r="H4294">
            <v>8.3600000000000012</v>
          </cell>
          <cell r="I4294">
            <v>430.58661637298007</v>
          </cell>
          <cell r="J4294">
            <v>0</v>
          </cell>
        </row>
        <row r="4295">
          <cell r="E4295">
            <v>10530006</v>
          </cell>
          <cell r="F4295" t="str">
            <v>0101</v>
          </cell>
          <cell r="G4295">
            <v>9</v>
          </cell>
          <cell r="H4295">
            <v>23.759999999999998</v>
          </cell>
          <cell r="I4295">
            <v>1413.1457007739002</v>
          </cell>
          <cell r="J4295">
            <v>0</v>
          </cell>
        </row>
        <row r="4296">
          <cell r="E4296">
            <v>10530006</v>
          </cell>
          <cell r="F4296" t="str">
            <v>0102</v>
          </cell>
          <cell r="G4296">
            <v>6</v>
          </cell>
          <cell r="H4296">
            <v>11.51</v>
          </cell>
          <cell r="I4296">
            <v>764.36317318760007</v>
          </cell>
          <cell r="J4296">
            <v>0</v>
          </cell>
        </row>
        <row r="4297">
          <cell r="E4297">
            <v>10530006</v>
          </cell>
          <cell r="F4297" t="str">
            <v>0105</v>
          </cell>
          <cell r="G4297">
            <v>3</v>
          </cell>
          <cell r="H4297">
            <v>12.75</v>
          </cell>
          <cell r="I4297">
            <v>490.72796982</v>
          </cell>
          <cell r="J4297">
            <v>0</v>
          </cell>
        </row>
        <row r="4298">
          <cell r="E4298">
            <v>10530006</v>
          </cell>
          <cell r="F4298" t="str">
            <v>0106</v>
          </cell>
          <cell r="G4298">
            <v>6</v>
          </cell>
          <cell r="H4298">
            <v>14.259999999999998</v>
          </cell>
          <cell r="I4298">
            <v>557.23674164400006</v>
          </cell>
          <cell r="J4298">
            <v>0</v>
          </cell>
        </row>
        <row r="4299">
          <cell r="E4299">
            <v>10530006</v>
          </cell>
          <cell r="F4299" t="str">
            <v>0110</v>
          </cell>
          <cell r="G4299">
            <v>7</v>
          </cell>
          <cell r="H4299">
            <v>18.649999999999999</v>
          </cell>
          <cell r="I4299">
            <v>945.04802213333016</v>
          </cell>
          <cell r="J4299">
            <v>0</v>
          </cell>
        </row>
        <row r="4300">
          <cell r="E4300">
            <v>10530006</v>
          </cell>
          <cell r="F4300" t="str">
            <v>0114</v>
          </cell>
          <cell r="G4300">
            <v>13</v>
          </cell>
          <cell r="H4300">
            <v>29</v>
          </cell>
          <cell r="I4300">
            <v>1964.7598937162998</v>
          </cell>
          <cell r="J4300">
            <v>0</v>
          </cell>
        </row>
        <row r="4301">
          <cell r="E4301">
            <v>10530006</v>
          </cell>
          <cell r="F4301" t="str">
            <v>0117</v>
          </cell>
          <cell r="G4301">
            <v>4</v>
          </cell>
          <cell r="H4301">
            <v>5.98</v>
          </cell>
          <cell r="I4301">
            <v>288.32288789018003</v>
          </cell>
          <cell r="J4301">
            <v>0</v>
          </cell>
        </row>
        <row r="4302">
          <cell r="E4302">
            <v>10530006</v>
          </cell>
          <cell r="F4302" t="str">
            <v>0121</v>
          </cell>
          <cell r="G4302">
            <v>7</v>
          </cell>
          <cell r="H4302">
            <v>22.71</v>
          </cell>
          <cell r="I4302">
            <v>844.97518234800009</v>
          </cell>
          <cell r="J4302">
            <v>0</v>
          </cell>
        </row>
        <row r="4303">
          <cell r="E4303">
            <v>10530006</v>
          </cell>
          <cell r="F4303" t="str">
            <v>0122</v>
          </cell>
          <cell r="G4303">
            <v>12</v>
          </cell>
          <cell r="H4303">
            <v>28.88</v>
          </cell>
          <cell r="I4303">
            <v>1035.3589468200003</v>
          </cell>
          <cell r="J4303">
            <v>0</v>
          </cell>
        </row>
        <row r="4304">
          <cell r="E4304">
            <v>10530006</v>
          </cell>
          <cell r="F4304" t="str">
            <v>0123</v>
          </cell>
          <cell r="G4304">
            <v>1</v>
          </cell>
          <cell r="H4304">
            <v>0.86</v>
          </cell>
          <cell r="I4304">
            <v>54.795180420199998</v>
          </cell>
          <cell r="J4304">
            <v>0</v>
          </cell>
        </row>
        <row r="4305">
          <cell r="E4305">
            <v>10530006</v>
          </cell>
          <cell r="F4305" t="str">
            <v>0124</v>
          </cell>
          <cell r="G4305">
            <v>7</v>
          </cell>
          <cell r="H4305">
            <v>55.900000000000006</v>
          </cell>
          <cell r="I4305">
            <v>2096.5018239000005</v>
          </cell>
          <cell r="J4305">
            <v>0</v>
          </cell>
        </row>
        <row r="4306">
          <cell r="E4306">
            <v>10530006</v>
          </cell>
          <cell r="F4306" t="str">
            <v>0125</v>
          </cell>
          <cell r="G4306">
            <v>7</v>
          </cell>
          <cell r="H4306">
            <v>16.829999999999998</v>
          </cell>
          <cell r="I4306">
            <v>566.31140535420002</v>
          </cell>
          <cell r="J4306">
            <v>0</v>
          </cell>
        </row>
        <row r="4307">
          <cell r="E4307">
            <v>10530006</v>
          </cell>
          <cell r="F4307" t="str">
            <v>0129</v>
          </cell>
          <cell r="G4307">
            <v>12</v>
          </cell>
          <cell r="H4307">
            <v>24.369999999999997</v>
          </cell>
          <cell r="I4307">
            <v>771.68155878000016</v>
          </cell>
          <cell r="J4307">
            <v>0</v>
          </cell>
        </row>
        <row r="4308">
          <cell r="E4308">
            <v>10530006</v>
          </cell>
          <cell r="F4308" t="str">
            <v>0132</v>
          </cell>
          <cell r="G4308">
            <v>7</v>
          </cell>
          <cell r="H4308">
            <v>22.130000000000003</v>
          </cell>
          <cell r="I4308">
            <v>829.41646986000012</v>
          </cell>
          <cell r="J4308">
            <v>0</v>
          </cell>
        </row>
        <row r="4309">
          <cell r="E4309">
            <v>10530006</v>
          </cell>
          <cell r="F4309" t="str">
            <v>0133</v>
          </cell>
          <cell r="G4309">
            <v>10</v>
          </cell>
          <cell r="H4309">
            <v>36.96</v>
          </cell>
          <cell r="I4309">
            <v>1359.2104811208001</v>
          </cell>
          <cell r="J4309">
            <v>0</v>
          </cell>
        </row>
        <row r="4310">
          <cell r="E4310">
            <v>10530006</v>
          </cell>
          <cell r="F4310" t="str">
            <v>0136</v>
          </cell>
          <cell r="G4310">
            <v>14</v>
          </cell>
          <cell r="H4310">
            <v>51.339999999999996</v>
          </cell>
          <cell r="I4310">
            <v>1901.6410418280002</v>
          </cell>
          <cell r="J4310">
            <v>0</v>
          </cell>
        </row>
        <row r="4311">
          <cell r="E4311">
            <v>10530006</v>
          </cell>
          <cell r="F4311" t="str">
            <v>0138</v>
          </cell>
          <cell r="G4311">
            <v>6</v>
          </cell>
          <cell r="H4311">
            <v>12.64</v>
          </cell>
          <cell r="I4311">
            <v>622.98302897710005</v>
          </cell>
          <cell r="J4311">
            <v>0</v>
          </cell>
        </row>
        <row r="4312">
          <cell r="E4312">
            <v>10530006</v>
          </cell>
          <cell r="F4312" t="str">
            <v>0140</v>
          </cell>
          <cell r="G4312">
            <v>7</v>
          </cell>
          <cell r="H4312">
            <v>26.11</v>
          </cell>
          <cell r="I4312">
            <v>878.75226291600006</v>
          </cell>
          <cell r="J4312">
            <v>0</v>
          </cell>
        </row>
        <row r="4313">
          <cell r="E4313">
            <v>10530006</v>
          </cell>
          <cell r="F4313" t="str">
            <v>0141</v>
          </cell>
          <cell r="G4313">
            <v>13</v>
          </cell>
          <cell r="H4313">
            <v>54.16</v>
          </cell>
          <cell r="I4313">
            <v>2013.4474438320003</v>
          </cell>
          <cell r="J4313">
            <v>0</v>
          </cell>
        </row>
        <row r="4314">
          <cell r="E4314">
            <v>10530006</v>
          </cell>
          <cell r="F4314" t="str">
            <v>0142</v>
          </cell>
          <cell r="G4314">
            <v>3</v>
          </cell>
          <cell r="H4314">
            <v>13.25</v>
          </cell>
          <cell r="I4314">
            <v>466.39948766400005</v>
          </cell>
          <cell r="J4314">
            <v>0</v>
          </cell>
        </row>
        <row r="4315">
          <cell r="E4315">
            <v>10530006</v>
          </cell>
          <cell r="F4315" t="str">
            <v>0143</v>
          </cell>
          <cell r="G4315">
            <v>14</v>
          </cell>
          <cell r="H4315">
            <v>50.68</v>
          </cell>
          <cell r="I4315">
            <v>1964.1382160400003</v>
          </cell>
          <cell r="J4315">
            <v>0</v>
          </cell>
        </row>
        <row r="4316">
          <cell r="E4316">
            <v>10530006</v>
          </cell>
          <cell r="F4316" t="str">
            <v>0144</v>
          </cell>
          <cell r="G4316">
            <v>6</v>
          </cell>
          <cell r="H4316">
            <v>37.89</v>
          </cell>
          <cell r="I4316">
            <v>1232.8185565080003</v>
          </cell>
          <cell r="J4316">
            <v>0</v>
          </cell>
        </row>
        <row r="4317">
          <cell r="E4317">
            <v>10530007</v>
          </cell>
          <cell r="F4317" t="str">
            <v>0001</v>
          </cell>
          <cell r="G4317">
            <v>13</v>
          </cell>
          <cell r="H4317">
            <v>7.54</v>
          </cell>
          <cell r="I4317">
            <v>341.17692521180004</v>
          </cell>
          <cell r="J4317">
            <v>0</v>
          </cell>
        </row>
        <row r="4318">
          <cell r="E4318">
            <v>10530007</v>
          </cell>
          <cell r="F4318" t="str">
            <v>0004</v>
          </cell>
          <cell r="G4318">
            <v>14</v>
          </cell>
          <cell r="H4318">
            <v>71.699999999999989</v>
          </cell>
          <cell r="I4318">
            <v>2697.6759257646004</v>
          </cell>
          <cell r="J4318">
            <v>0</v>
          </cell>
        </row>
        <row r="4319">
          <cell r="E4319">
            <v>10530007</v>
          </cell>
          <cell r="F4319" t="str">
            <v>0006</v>
          </cell>
          <cell r="G4319">
            <v>14</v>
          </cell>
          <cell r="H4319">
            <v>98.929999999999978</v>
          </cell>
          <cell r="I4319">
            <v>4606.9490461928999</v>
          </cell>
          <cell r="J4319">
            <v>0</v>
          </cell>
        </row>
        <row r="4320">
          <cell r="E4320">
            <v>10530007</v>
          </cell>
          <cell r="F4320" t="str">
            <v>0008</v>
          </cell>
          <cell r="G4320">
            <v>5</v>
          </cell>
          <cell r="H4320">
            <v>10.63</v>
          </cell>
          <cell r="I4320">
            <v>835.23346516279992</v>
          </cell>
          <cell r="J4320">
            <v>0</v>
          </cell>
        </row>
        <row r="4321">
          <cell r="E4321">
            <v>10530007</v>
          </cell>
          <cell r="F4321" t="str">
            <v>0009</v>
          </cell>
          <cell r="G4321">
            <v>14</v>
          </cell>
          <cell r="H4321">
            <v>130.71000000000004</v>
          </cell>
          <cell r="I4321">
            <v>5767.1720198378271</v>
          </cell>
          <cell r="J4321">
            <v>0</v>
          </cell>
        </row>
        <row r="4322">
          <cell r="E4322">
            <v>10530007</v>
          </cell>
          <cell r="F4322" t="str">
            <v>0010</v>
          </cell>
          <cell r="G4322">
            <v>11</v>
          </cell>
          <cell r="H4322">
            <v>41.069999999999993</v>
          </cell>
          <cell r="I4322">
            <v>1539.5749128738</v>
          </cell>
          <cell r="J4322">
            <v>0</v>
          </cell>
        </row>
        <row r="4323">
          <cell r="E4323">
            <v>10530007</v>
          </cell>
          <cell r="F4323" t="str">
            <v>0015</v>
          </cell>
          <cell r="G4323">
            <v>12</v>
          </cell>
          <cell r="H4323">
            <v>34.220000000000006</v>
          </cell>
          <cell r="I4323">
            <v>1381.4005983425998</v>
          </cell>
          <cell r="J4323">
            <v>0</v>
          </cell>
        </row>
        <row r="4324">
          <cell r="E4324">
            <v>10530007</v>
          </cell>
          <cell r="F4324" t="str">
            <v>0020</v>
          </cell>
          <cell r="G4324">
            <v>13</v>
          </cell>
          <cell r="H4324">
            <v>29.409999999999997</v>
          </cell>
          <cell r="I4324">
            <v>1083.8967312888003</v>
          </cell>
          <cell r="J4324">
            <v>0</v>
          </cell>
        </row>
        <row r="4325">
          <cell r="E4325">
            <v>10530007</v>
          </cell>
          <cell r="F4325" t="str">
            <v>0026</v>
          </cell>
          <cell r="G4325">
            <v>12</v>
          </cell>
          <cell r="H4325">
            <v>26.669999999999998</v>
          </cell>
          <cell r="I4325">
            <v>1297.4044082647799</v>
          </cell>
          <cell r="J4325">
            <v>0</v>
          </cell>
        </row>
        <row r="4326">
          <cell r="E4326">
            <v>10530007</v>
          </cell>
          <cell r="F4326" t="str">
            <v>0027</v>
          </cell>
          <cell r="G4326">
            <v>5</v>
          </cell>
          <cell r="H4326">
            <v>10.17</v>
          </cell>
          <cell r="I4326">
            <v>605.2971392014</v>
          </cell>
          <cell r="J4326">
            <v>0</v>
          </cell>
        </row>
        <row r="4327">
          <cell r="E4327">
            <v>10530007</v>
          </cell>
          <cell r="F4327" t="str">
            <v>0028</v>
          </cell>
          <cell r="G4327">
            <v>12</v>
          </cell>
          <cell r="H4327">
            <v>33.22</v>
          </cell>
          <cell r="I4327">
            <v>1187.2873652706</v>
          </cell>
          <cell r="J4327">
            <v>0</v>
          </cell>
        </row>
        <row r="4328">
          <cell r="E4328">
            <v>10530007</v>
          </cell>
          <cell r="F4328" t="str">
            <v>0029</v>
          </cell>
          <cell r="G4328">
            <v>14</v>
          </cell>
          <cell r="H4328">
            <v>67.3</v>
          </cell>
          <cell r="I4328">
            <v>4056.7433524208009</v>
          </cell>
          <cell r="J4328">
            <v>0</v>
          </cell>
        </row>
        <row r="4329">
          <cell r="E4329">
            <v>10530007</v>
          </cell>
          <cell r="F4329" t="str">
            <v>0030</v>
          </cell>
          <cell r="G4329">
            <v>14</v>
          </cell>
          <cell r="H4329">
            <v>63.89</v>
          </cell>
          <cell r="I4329">
            <v>2632.8548965191276</v>
          </cell>
          <cell r="J4329">
            <v>0</v>
          </cell>
        </row>
        <row r="4330">
          <cell r="E4330">
            <v>10530007</v>
          </cell>
          <cell r="F4330" t="str">
            <v>0034</v>
          </cell>
          <cell r="G4330">
            <v>9</v>
          </cell>
          <cell r="H4330">
            <v>27.47</v>
          </cell>
          <cell r="I4330">
            <v>981.96586012800014</v>
          </cell>
          <cell r="J4330">
            <v>0</v>
          </cell>
        </row>
        <row r="4331">
          <cell r="E4331">
            <v>10530007</v>
          </cell>
          <cell r="F4331" t="str">
            <v>0038</v>
          </cell>
          <cell r="G4331">
            <v>7</v>
          </cell>
          <cell r="H4331">
            <v>8.93</v>
          </cell>
          <cell r="I4331">
            <v>561.16282910334007</v>
          </cell>
          <cell r="J4331">
            <v>0</v>
          </cell>
        </row>
        <row r="4332">
          <cell r="E4332">
            <v>10530008</v>
          </cell>
          <cell r="F4332" t="str">
            <v>0001</v>
          </cell>
          <cell r="G4332">
            <v>14</v>
          </cell>
          <cell r="H4332">
            <v>5.15</v>
          </cell>
          <cell r="I4332">
            <v>218.20859380159999</v>
          </cell>
          <cell r="J4332">
            <v>0</v>
          </cell>
        </row>
        <row r="4333">
          <cell r="E4333">
            <v>10530008</v>
          </cell>
          <cell r="F4333" t="str">
            <v>0002</v>
          </cell>
          <cell r="G4333">
            <v>14</v>
          </cell>
          <cell r="H4333">
            <v>291.57000000000005</v>
          </cell>
          <cell r="I4333">
            <v>15603.314026101441</v>
          </cell>
          <cell r="J4333">
            <v>0</v>
          </cell>
        </row>
        <row r="4334">
          <cell r="E4334">
            <v>10530008</v>
          </cell>
          <cell r="F4334" t="str">
            <v>0005</v>
          </cell>
          <cell r="G4334">
            <v>7</v>
          </cell>
          <cell r="H4334">
            <v>24.169999999999998</v>
          </cell>
          <cell r="I4334">
            <v>1015.8336540000001</v>
          </cell>
          <cell r="J4334">
            <v>0</v>
          </cell>
        </row>
        <row r="4335">
          <cell r="E4335">
            <v>10530008</v>
          </cell>
          <cell r="F4335" t="str">
            <v>0006</v>
          </cell>
          <cell r="G4335">
            <v>5</v>
          </cell>
          <cell r="H4335">
            <v>7.4399999999999995</v>
          </cell>
          <cell r="I4335">
            <v>477.20650665159997</v>
          </cell>
          <cell r="J4335">
            <v>0</v>
          </cell>
        </row>
        <row r="4336">
          <cell r="E4336">
            <v>10530008</v>
          </cell>
          <cell r="F4336" t="str">
            <v>0011</v>
          </cell>
          <cell r="G4336">
            <v>5</v>
          </cell>
          <cell r="H4336">
            <v>11.669999999999998</v>
          </cell>
          <cell r="I4336">
            <v>477.57144085200002</v>
          </cell>
          <cell r="J4336">
            <v>0</v>
          </cell>
        </row>
        <row r="4337">
          <cell r="E4337">
            <v>10530008</v>
          </cell>
          <cell r="F4337" t="str">
            <v>0015</v>
          </cell>
          <cell r="G4337">
            <v>7</v>
          </cell>
          <cell r="H4337">
            <v>17.03</v>
          </cell>
          <cell r="I4337">
            <v>612.09017713799994</v>
          </cell>
          <cell r="J4337">
            <v>0</v>
          </cell>
        </row>
        <row r="4338">
          <cell r="E4338">
            <v>10530008</v>
          </cell>
          <cell r="F4338" t="str">
            <v>0018</v>
          </cell>
          <cell r="G4338">
            <v>8</v>
          </cell>
          <cell r="H4338">
            <v>27.390000000000004</v>
          </cell>
          <cell r="I4338">
            <v>1030.1708336040001</v>
          </cell>
          <cell r="J4338">
            <v>0</v>
          </cell>
        </row>
        <row r="4339">
          <cell r="E4339">
            <v>10530008</v>
          </cell>
          <cell r="F4339" t="str">
            <v>0020</v>
          </cell>
          <cell r="G4339">
            <v>14</v>
          </cell>
          <cell r="H4339">
            <v>122.11999999999998</v>
          </cell>
          <cell r="I4339">
            <v>4734.6319305648012</v>
          </cell>
          <cell r="J4339">
            <v>0</v>
          </cell>
        </row>
        <row r="4340">
          <cell r="E4340">
            <v>10530008</v>
          </cell>
          <cell r="F4340" t="str">
            <v>0021</v>
          </cell>
          <cell r="G4340">
            <v>5</v>
          </cell>
          <cell r="H4340">
            <v>9.0599999999999987</v>
          </cell>
          <cell r="I4340">
            <v>364.72084541639998</v>
          </cell>
          <cell r="J4340">
            <v>0</v>
          </cell>
        </row>
        <row r="4341">
          <cell r="E4341">
            <v>10530008</v>
          </cell>
          <cell r="F4341" t="str">
            <v>0023</v>
          </cell>
          <cell r="G4341">
            <v>5</v>
          </cell>
          <cell r="H4341">
            <v>8.82</v>
          </cell>
          <cell r="I4341">
            <v>613.03503336803999</v>
          </cell>
          <cell r="J4341">
            <v>0</v>
          </cell>
        </row>
        <row r="4342">
          <cell r="E4342">
            <v>10530008</v>
          </cell>
          <cell r="F4342" t="str">
            <v>0028</v>
          </cell>
          <cell r="G4342">
            <v>9</v>
          </cell>
          <cell r="H4342">
            <v>28.95</v>
          </cell>
          <cell r="I4342">
            <v>1072.019418327</v>
          </cell>
          <cell r="J4342">
            <v>0</v>
          </cell>
        </row>
        <row r="4343">
          <cell r="E4343">
            <v>10530027</v>
          </cell>
          <cell r="F4343" t="str">
            <v>0002</v>
          </cell>
          <cell r="G4343">
            <v>1</v>
          </cell>
          <cell r="H4343">
            <v>4</v>
          </cell>
          <cell r="I4343">
            <v>337.30740915999991</v>
          </cell>
          <cell r="J4343">
            <v>0</v>
          </cell>
        </row>
        <row r="4344">
          <cell r="E4344">
            <v>10530027</v>
          </cell>
          <cell r="F4344" t="str">
            <v>0003</v>
          </cell>
          <cell r="G4344">
            <v>9</v>
          </cell>
          <cell r="H4344">
            <v>46.7</v>
          </cell>
          <cell r="I4344">
            <v>1891.2607116479999</v>
          </cell>
          <cell r="J4344">
            <v>0</v>
          </cell>
        </row>
        <row r="4345">
          <cell r="E4345">
            <v>10530027</v>
          </cell>
          <cell r="F4345" t="str">
            <v>0011</v>
          </cell>
          <cell r="G4345">
            <v>8</v>
          </cell>
          <cell r="H4345">
            <v>6.8</v>
          </cell>
          <cell r="I4345">
            <v>305.99046515252007</v>
          </cell>
          <cell r="J4345">
            <v>0</v>
          </cell>
        </row>
        <row r="4346">
          <cell r="E4346">
            <v>10530027</v>
          </cell>
          <cell r="F4346" t="str">
            <v>0021</v>
          </cell>
          <cell r="G4346">
            <v>11</v>
          </cell>
          <cell r="H4346">
            <v>36.720000000000006</v>
          </cell>
          <cell r="I4346">
            <v>1417.2649002468002</v>
          </cell>
          <cell r="J4346">
            <v>0</v>
          </cell>
        </row>
        <row r="4347">
          <cell r="E4347">
            <v>10530027</v>
          </cell>
          <cell r="F4347" t="str">
            <v>0024</v>
          </cell>
          <cell r="G4347">
            <v>1</v>
          </cell>
          <cell r="H4347">
            <v>3.49</v>
          </cell>
          <cell r="I4347">
            <v>159.95077209012001</v>
          </cell>
          <cell r="J4347">
            <v>0</v>
          </cell>
        </row>
        <row r="4348">
          <cell r="E4348">
            <v>10530027</v>
          </cell>
          <cell r="F4348" t="str">
            <v>0025</v>
          </cell>
          <cell r="G4348">
            <v>4</v>
          </cell>
          <cell r="H4348">
            <v>20.65</v>
          </cell>
          <cell r="I4348">
            <v>820.51647440400006</v>
          </cell>
          <cell r="J4348">
            <v>0</v>
          </cell>
        </row>
        <row r="4349">
          <cell r="E4349">
            <v>10530027</v>
          </cell>
          <cell r="F4349" t="str">
            <v>0027</v>
          </cell>
          <cell r="G4349">
            <v>13</v>
          </cell>
          <cell r="H4349">
            <v>20.149999999999999</v>
          </cell>
          <cell r="I4349">
            <v>796.61299623840011</v>
          </cell>
          <cell r="J4349">
            <v>0</v>
          </cell>
        </row>
        <row r="4350">
          <cell r="E4350">
            <v>10530027</v>
          </cell>
          <cell r="F4350" t="str">
            <v>0028</v>
          </cell>
          <cell r="G4350">
            <v>6</v>
          </cell>
          <cell r="H4350">
            <v>19.27</v>
          </cell>
          <cell r="I4350">
            <v>1054.08768684905</v>
          </cell>
          <cell r="J4350">
            <v>0</v>
          </cell>
        </row>
        <row r="4351">
          <cell r="E4351">
            <v>10530027</v>
          </cell>
          <cell r="F4351" t="str">
            <v>0031</v>
          </cell>
          <cell r="G4351">
            <v>12</v>
          </cell>
          <cell r="H4351">
            <v>38.090000000000003</v>
          </cell>
          <cell r="I4351">
            <v>1401.2510962705499</v>
          </cell>
          <cell r="J4351">
            <v>0</v>
          </cell>
        </row>
        <row r="4352">
          <cell r="E4352">
            <v>10530032</v>
          </cell>
          <cell r="F4352" t="str">
            <v>0001</v>
          </cell>
          <cell r="G4352">
            <v>14</v>
          </cell>
          <cell r="H4352">
            <v>14.47</v>
          </cell>
          <cell r="I4352">
            <v>758.29201590749005</v>
          </cell>
          <cell r="J4352">
            <v>0</v>
          </cell>
        </row>
        <row r="4353">
          <cell r="E4353">
            <v>10530032</v>
          </cell>
          <cell r="F4353" t="str">
            <v>0002</v>
          </cell>
          <cell r="G4353">
            <v>14</v>
          </cell>
          <cell r="H4353">
            <v>33.51</v>
          </cell>
          <cell r="I4353">
            <v>1276.8415098120001</v>
          </cell>
          <cell r="J4353">
            <v>0</v>
          </cell>
        </row>
        <row r="4354">
          <cell r="E4354">
            <v>10530032</v>
          </cell>
          <cell r="F4354" t="str">
            <v>0003</v>
          </cell>
          <cell r="G4354">
            <v>13</v>
          </cell>
          <cell r="H4354">
            <v>21.719999999999995</v>
          </cell>
          <cell r="I4354">
            <v>1171.3058129650299</v>
          </cell>
          <cell r="J4354">
            <v>0</v>
          </cell>
        </row>
        <row r="4355">
          <cell r="E4355">
            <v>10530032</v>
          </cell>
          <cell r="F4355" t="str">
            <v>0005</v>
          </cell>
          <cell r="G4355">
            <v>14</v>
          </cell>
          <cell r="H4355">
            <v>43.810000000000009</v>
          </cell>
          <cell r="I4355">
            <v>2153.3067461061501</v>
          </cell>
          <cell r="J4355">
            <v>0</v>
          </cell>
        </row>
        <row r="4356">
          <cell r="E4356">
            <v>10530032</v>
          </cell>
          <cell r="F4356" t="str">
            <v>0006</v>
          </cell>
          <cell r="G4356">
            <v>13</v>
          </cell>
          <cell r="H4356">
            <v>58.67</v>
          </cell>
          <cell r="I4356">
            <v>3348.2030677815401</v>
          </cell>
          <cell r="J4356">
            <v>0</v>
          </cell>
        </row>
        <row r="4357">
          <cell r="E4357">
            <v>10530032</v>
          </cell>
          <cell r="F4357" t="str">
            <v>0011</v>
          </cell>
          <cell r="G4357">
            <v>7</v>
          </cell>
          <cell r="H4357">
            <v>9.2799999999999994</v>
          </cell>
          <cell r="I4357">
            <v>762.67091955119986</v>
          </cell>
          <cell r="J4357">
            <v>0</v>
          </cell>
        </row>
        <row r="4358">
          <cell r="E4358">
            <v>10530032</v>
          </cell>
          <cell r="F4358" t="str">
            <v>0013</v>
          </cell>
          <cell r="G4358">
            <v>13</v>
          </cell>
          <cell r="H4358">
            <v>18.5</v>
          </cell>
          <cell r="I4358">
            <v>854.18262464448003</v>
          </cell>
          <cell r="J4358">
            <v>0</v>
          </cell>
        </row>
        <row r="4359">
          <cell r="E4359">
            <v>10530032</v>
          </cell>
          <cell r="F4359" t="str">
            <v>0014</v>
          </cell>
          <cell r="G4359">
            <v>6</v>
          </cell>
          <cell r="H4359">
            <v>15.260000000000002</v>
          </cell>
          <cell r="I4359">
            <v>607.69401157026016</v>
          </cell>
          <cell r="J4359">
            <v>0</v>
          </cell>
        </row>
        <row r="4360">
          <cell r="E4360">
            <v>10530032</v>
          </cell>
          <cell r="F4360" t="str">
            <v>0015</v>
          </cell>
          <cell r="G4360">
            <v>7</v>
          </cell>
          <cell r="H4360">
            <v>19.52</v>
          </cell>
          <cell r="I4360">
            <v>1611.4623753007997</v>
          </cell>
          <cell r="J4360">
            <v>0</v>
          </cell>
        </row>
        <row r="4361">
          <cell r="E4361">
            <v>10530032</v>
          </cell>
          <cell r="F4361" t="str">
            <v>0016</v>
          </cell>
          <cell r="G4361">
            <v>7</v>
          </cell>
          <cell r="H4361">
            <v>8.14</v>
          </cell>
          <cell r="I4361">
            <v>419.54340386225994</v>
          </cell>
          <cell r="J4361">
            <v>0</v>
          </cell>
        </row>
        <row r="4362">
          <cell r="E4362">
            <v>10530032</v>
          </cell>
          <cell r="F4362" t="str">
            <v>0017</v>
          </cell>
          <cell r="G4362">
            <v>13</v>
          </cell>
          <cell r="H4362">
            <v>43.350000000000009</v>
          </cell>
          <cell r="I4362">
            <v>1958.2015125529183</v>
          </cell>
          <cell r="J4362">
            <v>0</v>
          </cell>
        </row>
        <row r="4363">
          <cell r="E4363">
            <v>10530032</v>
          </cell>
          <cell r="F4363" t="str">
            <v>0018</v>
          </cell>
          <cell r="G4363">
            <v>10</v>
          </cell>
          <cell r="H4363">
            <v>16.260000000000002</v>
          </cell>
          <cell r="I4363">
            <v>705.37406307036997</v>
          </cell>
          <cell r="J4363">
            <v>0</v>
          </cell>
        </row>
        <row r="4364">
          <cell r="E4364">
            <v>10530032</v>
          </cell>
          <cell r="F4364" t="str">
            <v>0021</v>
          </cell>
          <cell r="G4364">
            <v>13</v>
          </cell>
          <cell r="H4364">
            <v>26.96</v>
          </cell>
          <cell r="I4364">
            <v>1108.3010229720001</v>
          </cell>
          <cell r="J4364">
            <v>0</v>
          </cell>
        </row>
        <row r="4365">
          <cell r="E4365">
            <v>10530032</v>
          </cell>
          <cell r="F4365" t="str">
            <v>0022</v>
          </cell>
          <cell r="G4365">
            <v>11</v>
          </cell>
          <cell r="H4365">
            <v>21.470000000000002</v>
          </cell>
          <cell r="I4365">
            <v>916.58347070400009</v>
          </cell>
          <cell r="J4365">
            <v>0</v>
          </cell>
        </row>
        <row r="4366">
          <cell r="E4366">
            <v>10530032</v>
          </cell>
          <cell r="F4366" t="str">
            <v>0023</v>
          </cell>
          <cell r="G4366">
            <v>7</v>
          </cell>
          <cell r="H4366">
            <v>28.34</v>
          </cell>
          <cell r="I4366">
            <v>1588.35031847971</v>
          </cell>
          <cell r="J4366">
            <v>0</v>
          </cell>
        </row>
        <row r="4367">
          <cell r="E4367">
            <v>10530032</v>
          </cell>
          <cell r="F4367" t="str">
            <v>0024</v>
          </cell>
          <cell r="G4367">
            <v>6</v>
          </cell>
          <cell r="H4367">
            <v>12.58</v>
          </cell>
          <cell r="I4367">
            <v>895.83553711920013</v>
          </cell>
          <cell r="J4367">
            <v>0</v>
          </cell>
        </row>
        <row r="4368">
          <cell r="E4368">
            <v>10530032</v>
          </cell>
          <cell r="F4368" t="str">
            <v>0025</v>
          </cell>
          <cell r="G4368">
            <v>7</v>
          </cell>
          <cell r="H4368">
            <v>10.220000000000001</v>
          </cell>
          <cell r="I4368">
            <v>851.55515460379991</v>
          </cell>
          <cell r="J4368">
            <v>0</v>
          </cell>
        </row>
        <row r="4369">
          <cell r="E4369">
            <v>10530032</v>
          </cell>
          <cell r="F4369" t="str">
            <v>0031</v>
          </cell>
          <cell r="G4369">
            <v>3</v>
          </cell>
          <cell r="H4369">
            <v>4.22</v>
          </cell>
          <cell r="I4369">
            <v>219.27598654787204</v>
          </cell>
          <cell r="J4369">
            <v>0</v>
          </cell>
        </row>
        <row r="4370">
          <cell r="E4370">
            <v>10530032</v>
          </cell>
          <cell r="F4370" t="str">
            <v>0036</v>
          </cell>
          <cell r="G4370">
            <v>14</v>
          </cell>
          <cell r="H4370">
            <v>22.34</v>
          </cell>
          <cell r="I4370">
            <v>1061.8340985445</v>
          </cell>
          <cell r="J4370">
            <v>0</v>
          </cell>
        </row>
        <row r="4371">
          <cell r="E4371">
            <v>10530032</v>
          </cell>
          <cell r="F4371" t="str">
            <v>0038</v>
          </cell>
          <cell r="G4371">
            <v>6</v>
          </cell>
          <cell r="H4371">
            <v>21.130000000000003</v>
          </cell>
          <cell r="I4371">
            <v>1144.8245920758002</v>
          </cell>
          <cell r="J4371">
            <v>0</v>
          </cell>
        </row>
        <row r="4372">
          <cell r="E4372">
            <v>10530032</v>
          </cell>
          <cell r="F4372" t="str">
            <v>0039</v>
          </cell>
          <cell r="G4372">
            <v>7</v>
          </cell>
          <cell r="H4372">
            <v>8.3600000000000012</v>
          </cell>
          <cell r="I4372">
            <v>617.00617826667997</v>
          </cell>
          <cell r="J4372">
            <v>0</v>
          </cell>
        </row>
        <row r="4373">
          <cell r="E4373">
            <v>10530032</v>
          </cell>
          <cell r="F4373" t="str">
            <v>0040</v>
          </cell>
          <cell r="G4373">
            <v>7</v>
          </cell>
          <cell r="H4373">
            <v>16.450000000000003</v>
          </cell>
          <cell r="I4373">
            <v>906.26939633707002</v>
          </cell>
          <cell r="J4373">
            <v>0</v>
          </cell>
        </row>
        <row r="4374">
          <cell r="E4374">
            <v>10530032</v>
          </cell>
          <cell r="F4374" t="str">
            <v>0042</v>
          </cell>
          <cell r="G4374">
            <v>12</v>
          </cell>
          <cell r="H4374">
            <v>26.69</v>
          </cell>
          <cell r="I4374">
            <v>1493.3878280784202</v>
          </cell>
          <cell r="J4374">
            <v>0</v>
          </cell>
        </row>
        <row r="4375">
          <cell r="E4375">
            <v>10530032</v>
          </cell>
          <cell r="F4375" t="str">
            <v>0044</v>
          </cell>
          <cell r="G4375">
            <v>12</v>
          </cell>
          <cell r="H4375">
            <v>57.960000000000008</v>
          </cell>
          <cell r="I4375">
            <v>4017.65353351774</v>
          </cell>
          <cell r="J4375">
            <v>0</v>
          </cell>
        </row>
        <row r="4376">
          <cell r="E4376">
            <v>10530032</v>
          </cell>
          <cell r="F4376" t="str">
            <v>0051</v>
          </cell>
          <cell r="G4376">
            <v>6</v>
          </cell>
          <cell r="H4376">
            <v>17.88</v>
          </cell>
          <cell r="I4376">
            <v>1162.9038708078001</v>
          </cell>
          <cell r="J4376">
            <v>0</v>
          </cell>
        </row>
        <row r="4377">
          <cell r="E4377">
            <v>10530032</v>
          </cell>
          <cell r="F4377" t="str">
            <v>0054</v>
          </cell>
          <cell r="G4377">
            <v>2</v>
          </cell>
          <cell r="H4377">
            <v>4.9700000000000006</v>
          </cell>
          <cell r="I4377">
            <v>411.56878808129994</v>
          </cell>
          <cell r="J4377">
            <v>0</v>
          </cell>
        </row>
        <row r="4378">
          <cell r="E4378">
            <v>10530032</v>
          </cell>
          <cell r="F4378" t="str">
            <v>0056</v>
          </cell>
          <cell r="G4378">
            <v>14</v>
          </cell>
          <cell r="H4378">
            <v>16.990000000000002</v>
          </cell>
          <cell r="I4378">
            <v>911.80823783343999</v>
          </cell>
          <cell r="J4378">
            <v>0</v>
          </cell>
        </row>
        <row r="4379">
          <cell r="E4379">
            <v>10530032</v>
          </cell>
          <cell r="F4379" t="str">
            <v>0057</v>
          </cell>
          <cell r="G4379">
            <v>13</v>
          </cell>
          <cell r="H4379">
            <v>22.369999999999997</v>
          </cell>
          <cell r="I4379">
            <v>1170.0662912242999</v>
          </cell>
          <cell r="J4379">
            <v>0</v>
          </cell>
        </row>
        <row r="4380">
          <cell r="E4380">
            <v>10530032</v>
          </cell>
          <cell r="F4380" t="str">
            <v>0061</v>
          </cell>
          <cell r="G4380">
            <v>7</v>
          </cell>
          <cell r="H4380">
            <v>25.07</v>
          </cell>
          <cell r="I4380">
            <v>1329.1824194385299</v>
          </cell>
          <cell r="J4380">
            <v>0</v>
          </cell>
        </row>
        <row r="4381">
          <cell r="E4381">
            <v>10530032</v>
          </cell>
          <cell r="F4381" t="str">
            <v>0063</v>
          </cell>
          <cell r="G4381">
            <v>11</v>
          </cell>
          <cell r="H4381">
            <v>25.4</v>
          </cell>
          <cell r="I4381">
            <v>1679.2877849857302</v>
          </cell>
          <cell r="J4381">
            <v>0</v>
          </cell>
        </row>
        <row r="4382">
          <cell r="E4382">
            <v>10530032</v>
          </cell>
          <cell r="F4382" t="str">
            <v>0064</v>
          </cell>
          <cell r="G4382">
            <v>6</v>
          </cell>
          <cell r="H4382">
            <v>22.240000000000002</v>
          </cell>
          <cell r="I4382">
            <v>1456.0726878496998</v>
          </cell>
          <cell r="J4382">
            <v>0</v>
          </cell>
        </row>
        <row r="4383">
          <cell r="E4383">
            <v>10530032</v>
          </cell>
          <cell r="F4383" t="str">
            <v>0065</v>
          </cell>
          <cell r="G4383">
            <v>7</v>
          </cell>
          <cell r="H4383">
            <v>15.209999999999999</v>
          </cell>
          <cell r="I4383">
            <v>635.77915196400011</v>
          </cell>
          <cell r="J4383">
            <v>0</v>
          </cell>
        </row>
        <row r="4384">
          <cell r="E4384">
            <v>10530032</v>
          </cell>
          <cell r="F4384" t="str">
            <v>0066</v>
          </cell>
          <cell r="G4384">
            <v>5</v>
          </cell>
          <cell r="H4384">
            <v>10.59</v>
          </cell>
          <cell r="I4384">
            <v>407.55925544400009</v>
          </cell>
          <cell r="J4384">
            <v>0</v>
          </cell>
        </row>
        <row r="4385">
          <cell r="E4385">
            <v>10530033</v>
          </cell>
          <cell r="F4385" t="str">
            <v>0001</v>
          </cell>
          <cell r="G4385">
            <v>14</v>
          </cell>
          <cell r="H4385">
            <v>14.060000000000002</v>
          </cell>
          <cell r="I4385">
            <v>560.42527068000004</v>
          </cell>
          <cell r="J4385">
            <v>0</v>
          </cell>
        </row>
        <row r="4386">
          <cell r="E4386">
            <v>10530033</v>
          </cell>
          <cell r="F4386" t="str">
            <v>0002</v>
          </cell>
          <cell r="G4386">
            <v>14</v>
          </cell>
          <cell r="H4386">
            <v>214.05</v>
          </cell>
          <cell r="I4386">
            <v>10103.749684980552</v>
          </cell>
          <cell r="J4386">
            <v>0</v>
          </cell>
        </row>
        <row r="4387">
          <cell r="E4387">
            <v>10530033</v>
          </cell>
          <cell r="F4387" t="str">
            <v>0005</v>
          </cell>
          <cell r="G4387">
            <v>8</v>
          </cell>
          <cell r="H4387">
            <v>28.200000000000003</v>
          </cell>
          <cell r="I4387">
            <v>1048.3308031878003</v>
          </cell>
          <cell r="J4387">
            <v>0</v>
          </cell>
        </row>
        <row r="4388">
          <cell r="E4388">
            <v>10530033</v>
          </cell>
          <cell r="F4388" t="str">
            <v>0008</v>
          </cell>
          <cell r="G4388">
            <v>3</v>
          </cell>
          <cell r="H4388">
            <v>5.63</v>
          </cell>
          <cell r="I4388">
            <v>198.82703491200002</v>
          </cell>
          <cell r="J4388">
            <v>0</v>
          </cell>
        </row>
        <row r="4389">
          <cell r="E4389">
            <v>10530033</v>
          </cell>
          <cell r="F4389" t="str">
            <v>0010</v>
          </cell>
          <cell r="G4389">
            <v>8</v>
          </cell>
          <cell r="H4389">
            <v>25.289999999999996</v>
          </cell>
          <cell r="I4389">
            <v>885.92519426400008</v>
          </cell>
          <cell r="J4389">
            <v>0</v>
          </cell>
        </row>
        <row r="4390">
          <cell r="E4390">
            <v>10530033</v>
          </cell>
          <cell r="F4390" t="str">
            <v>0011</v>
          </cell>
          <cell r="G4390">
            <v>5</v>
          </cell>
          <cell r="H4390">
            <v>9.58</v>
          </cell>
          <cell r="I4390">
            <v>329.71818949739998</v>
          </cell>
          <cell r="J4390">
            <v>0</v>
          </cell>
        </row>
        <row r="4391">
          <cell r="E4391">
            <v>10530033</v>
          </cell>
          <cell r="F4391" t="str">
            <v>0012</v>
          </cell>
          <cell r="G4391">
            <v>5</v>
          </cell>
          <cell r="H4391">
            <v>4.5400000000000009</v>
          </cell>
          <cell r="I4391">
            <v>190.90349388000001</v>
          </cell>
          <cell r="J4391">
            <v>0</v>
          </cell>
        </row>
        <row r="4392">
          <cell r="E4392">
            <v>10530033</v>
          </cell>
          <cell r="F4392" t="str">
            <v>0013</v>
          </cell>
          <cell r="G4392">
            <v>14</v>
          </cell>
          <cell r="H4392">
            <v>57.75</v>
          </cell>
          <cell r="I4392">
            <v>1918.980804609</v>
          </cell>
          <cell r="J4392">
            <v>0</v>
          </cell>
        </row>
        <row r="4393">
          <cell r="E4393">
            <v>10530033</v>
          </cell>
          <cell r="F4393" t="str">
            <v>0014</v>
          </cell>
          <cell r="G4393">
            <v>7</v>
          </cell>
          <cell r="H4393">
            <v>45.22999999999999</v>
          </cell>
          <cell r="I4393">
            <v>1895.5708260049005</v>
          </cell>
          <cell r="J4393">
            <v>0</v>
          </cell>
        </row>
        <row r="4394">
          <cell r="E4394">
            <v>10530033</v>
          </cell>
          <cell r="F4394" t="str">
            <v>0016</v>
          </cell>
          <cell r="G4394">
            <v>14</v>
          </cell>
          <cell r="H4394">
            <v>72.410000000000011</v>
          </cell>
          <cell r="I4394">
            <v>2951.6025828960001</v>
          </cell>
          <cell r="J4394">
            <v>0</v>
          </cell>
        </row>
        <row r="4395">
          <cell r="E4395">
            <v>10530033</v>
          </cell>
          <cell r="F4395" t="str">
            <v>0019</v>
          </cell>
          <cell r="G4395">
            <v>12</v>
          </cell>
          <cell r="H4395">
            <v>34.699999999999996</v>
          </cell>
          <cell r="I4395">
            <v>1950.5293940368001</v>
          </cell>
          <cell r="J4395">
            <v>0</v>
          </cell>
        </row>
        <row r="4396">
          <cell r="E4396">
            <v>10530033</v>
          </cell>
          <cell r="F4396" t="str">
            <v>0020</v>
          </cell>
          <cell r="G4396">
            <v>14</v>
          </cell>
          <cell r="H4396">
            <v>135.24</v>
          </cell>
          <cell r="I4396">
            <v>5175.4404319200003</v>
          </cell>
          <cell r="J4396">
            <v>0</v>
          </cell>
        </row>
        <row r="4397">
          <cell r="E4397">
            <v>10530033</v>
          </cell>
          <cell r="F4397" t="str">
            <v>0022</v>
          </cell>
          <cell r="G4397">
            <v>6</v>
          </cell>
          <cell r="H4397">
            <v>22.189999999999998</v>
          </cell>
          <cell r="I4397">
            <v>1407.1465218008802</v>
          </cell>
          <cell r="J4397">
            <v>0</v>
          </cell>
        </row>
        <row r="4398">
          <cell r="E4398">
            <v>10530033</v>
          </cell>
          <cell r="F4398" t="str">
            <v>0024</v>
          </cell>
          <cell r="G4398">
            <v>14</v>
          </cell>
          <cell r="H4398">
            <v>75.84</v>
          </cell>
          <cell r="I4398">
            <v>2803.8395709720003</v>
          </cell>
          <cell r="J4398">
            <v>0</v>
          </cell>
        </row>
        <row r="4399">
          <cell r="E4399">
            <v>10530033</v>
          </cell>
          <cell r="F4399" t="str">
            <v>0028</v>
          </cell>
          <cell r="G4399">
            <v>11</v>
          </cell>
          <cell r="H4399">
            <v>30.840000000000003</v>
          </cell>
          <cell r="I4399">
            <v>998.22298734180004</v>
          </cell>
          <cell r="J4399">
            <v>0</v>
          </cell>
        </row>
        <row r="4400">
          <cell r="E4400">
            <v>10530033</v>
          </cell>
          <cell r="F4400" t="str">
            <v>0029</v>
          </cell>
          <cell r="G4400">
            <v>7</v>
          </cell>
          <cell r="H4400">
            <v>48.449999999999996</v>
          </cell>
          <cell r="I4400">
            <v>1724.9364198000003</v>
          </cell>
          <cell r="J4400">
            <v>0</v>
          </cell>
        </row>
        <row r="4401">
          <cell r="E4401">
            <v>10530033</v>
          </cell>
          <cell r="F4401" t="str">
            <v>0030</v>
          </cell>
          <cell r="G4401">
            <v>4</v>
          </cell>
          <cell r="H4401">
            <v>9.84</v>
          </cell>
          <cell r="I4401">
            <v>423.34778506284005</v>
          </cell>
          <cell r="J4401">
            <v>0</v>
          </cell>
        </row>
        <row r="4402">
          <cell r="E4402">
            <v>10530033</v>
          </cell>
          <cell r="F4402" t="str">
            <v>0031</v>
          </cell>
          <cell r="G4402">
            <v>7</v>
          </cell>
          <cell r="H4402">
            <v>35.08</v>
          </cell>
          <cell r="I4402">
            <v>1449.7249789440002</v>
          </cell>
          <cell r="J4402">
            <v>0</v>
          </cell>
        </row>
        <row r="4403">
          <cell r="E4403">
            <v>10530033</v>
          </cell>
          <cell r="F4403" t="str">
            <v>0032</v>
          </cell>
          <cell r="G4403">
            <v>6</v>
          </cell>
          <cell r="H4403">
            <v>18.72</v>
          </cell>
          <cell r="I4403">
            <v>659.43587615400008</v>
          </cell>
          <cell r="J4403">
            <v>0</v>
          </cell>
        </row>
        <row r="4404">
          <cell r="E4404">
            <v>10530033</v>
          </cell>
          <cell r="F4404" t="str">
            <v>0033</v>
          </cell>
          <cell r="G4404">
            <v>6</v>
          </cell>
          <cell r="H4404">
            <v>8.74</v>
          </cell>
          <cell r="I4404">
            <v>314.23528818000005</v>
          </cell>
          <cell r="J4404">
            <v>0</v>
          </cell>
        </row>
        <row r="4405">
          <cell r="E4405">
            <v>10530033</v>
          </cell>
          <cell r="F4405" t="str">
            <v>0034</v>
          </cell>
          <cell r="G4405">
            <v>14</v>
          </cell>
          <cell r="H4405">
            <v>71.800000000000011</v>
          </cell>
          <cell r="I4405">
            <v>2577.1826286360001</v>
          </cell>
          <cell r="J4405">
            <v>0</v>
          </cell>
        </row>
        <row r="4406">
          <cell r="E4406">
            <v>10530033</v>
          </cell>
          <cell r="F4406" t="str">
            <v>0035</v>
          </cell>
          <cell r="G4406">
            <v>14</v>
          </cell>
          <cell r="H4406">
            <v>46.95</v>
          </cell>
          <cell r="I4406">
            <v>2694.3468685572011</v>
          </cell>
          <cell r="J4406">
            <v>0</v>
          </cell>
        </row>
        <row r="4407">
          <cell r="E4407">
            <v>10530033</v>
          </cell>
          <cell r="F4407" t="str">
            <v>0036</v>
          </cell>
          <cell r="G4407">
            <v>14</v>
          </cell>
          <cell r="H4407">
            <v>48.800000000000004</v>
          </cell>
          <cell r="I4407">
            <v>2479.2509918402002</v>
          </cell>
          <cell r="J4407">
            <v>0</v>
          </cell>
        </row>
        <row r="4408">
          <cell r="E4408">
            <v>10530033</v>
          </cell>
          <cell r="F4408" t="str">
            <v>0037</v>
          </cell>
          <cell r="G4408">
            <v>11</v>
          </cell>
          <cell r="H4408">
            <v>11.239999999999998</v>
          </cell>
          <cell r="I4408">
            <v>452.68780352400006</v>
          </cell>
          <cell r="J4408">
            <v>0</v>
          </cell>
        </row>
        <row r="4409">
          <cell r="E4409">
            <v>10530033</v>
          </cell>
          <cell r="F4409" t="str">
            <v>0038</v>
          </cell>
          <cell r="G4409">
            <v>14</v>
          </cell>
          <cell r="H4409">
            <v>60.51</v>
          </cell>
          <cell r="I4409">
            <v>2069.1792404118</v>
          </cell>
          <cell r="J4409">
            <v>0</v>
          </cell>
        </row>
        <row r="4410">
          <cell r="E4410">
            <v>10530033</v>
          </cell>
          <cell r="F4410" t="str">
            <v>0039</v>
          </cell>
          <cell r="G4410">
            <v>7</v>
          </cell>
          <cell r="H4410">
            <v>25.229999999999997</v>
          </cell>
          <cell r="I4410">
            <v>949.87210230000017</v>
          </cell>
          <cell r="J4410">
            <v>0</v>
          </cell>
        </row>
        <row r="4411">
          <cell r="E4411">
            <v>10530033</v>
          </cell>
          <cell r="F4411" t="str">
            <v>0041</v>
          </cell>
          <cell r="G4411">
            <v>8</v>
          </cell>
          <cell r="H4411">
            <v>40.369999999999997</v>
          </cell>
          <cell r="I4411">
            <v>1333.6322836914001</v>
          </cell>
          <cell r="J4411">
            <v>0</v>
          </cell>
        </row>
        <row r="4412">
          <cell r="E4412">
            <v>10530034</v>
          </cell>
          <cell r="F4412" t="str">
            <v>0001</v>
          </cell>
          <cell r="G4412">
            <v>6</v>
          </cell>
          <cell r="H4412">
            <v>4.45</v>
          </cell>
          <cell r="I4412">
            <v>242.3556509517</v>
          </cell>
          <cell r="J4412">
            <v>0</v>
          </cell>
        </row>
        <row r="4413">
          <cell r="E4413">
            <v>10530034</v>
          </cell>
          <cell r="F4413" t="str">
            <v>0002</v>
          </cell>
          <cell r="G4413">
            <v>14</v>
          </cell>
          <cell r="H4413">
            <v>125.32999999999998</v>
          </cell>
          <cell r="I4413">
            <v>10825.980186301167</v>
          </cell>
          <cell r="J4413">
            <v>0</v>
          </cell>
        </row>
        <row r="4414">
          <cell r="E4414">
            <v>10530034</v>
          </cell>
          <cell r="F4414" t="str">
            <v>0005</v>
          </cell>
          <cell r="G4414">
            <v>14</v>
          </cell>
          <cell r="H4414">
            <v>28.94</v>
          </cell>
          <cell r="I4414">
            <v>1232.4701854080001</v>
          </cell>
          <cell r="J4414">
            <v>0</v>
          </cell>
        </row>
        <row r="4415">
          <cell r="E4415">
            <v>10530034</v>
          </cell>
          <cell r="F4415" t="str">
            <v>0006</v>
          </cell>
          <cell r="G4415">
            <v>14</v>
          </cell>
          <cell r="H4415">
            <v>74.320000000000007</v>
          </cell>
          <cell r="I4415">
            <v>3489.8089648382606</v>
          </cell>
          <cell r="J4415">
            <v>0</v>
          </cell>
        </row>
        <row r="4416">
          <cell r="E4416">
            <v>10530034</v>
          </cell>
          <cell r="F4416" t="str">
            <v>0007</v>
          </cell>
          <cell r="G4416">
            <v>14</v>
          </cell>
          <cell r="H4416">
            <v>111.73</v>
          </cell>
          <cell r="I4416">
            <v>5237.8321960883295</v>
          </cell>
          <cell r="J4416">
            <v>0</v>
          </cell>
        </row>
        <row r="4417">
          <cell r="E4417">
            <v>10530034</v>
          </cell>
          <cell r="F4417" t="str">
            <v>0008</v>
          </cell>
          <cell r="G4417">
            <v>13</v>
          </cell>
          <cell r="H4417">
            <v>19.169999999999998</v>
          </cell>
          <cell r="I4417">
            <v>991.90084783838017</v>
          </cell>
          <cell r="J4417">
            <v>0</v>
          </cell>
        </row>
        <row r="4418">
          <cell r="E4418">
            <v>10530034</v>
          </cell>
          <cell r="F4418" t="str">
            <v>0010</v>
          </cell>
          <cell r="G4418">
            <v>1</v>
          </cell>
          <cell r="H4418">
            <v>1</v>
          </cell>
          <cell r="I4418">
            <v>59.728393593</v>
          </cell>
          <cell r="J4418">
            <v>0</v>
          </cell>
        </row>
        <row r="4419">
          <cell r="E4419">
            <v>10530034</v>
          </cell>
          <cell r="F4419" t="str">
            <v>0013</v>
          </cell>
          <cell r="G4419">
            <v>5</v>
          </cell>
          <cell r="H4419">
            <v>6.92</v>
          </cell>
          <cell r="I4419">
            <v>318.91999133544005</v>
          </cell>
          <cell r="J4419">
            <v>0</v>
          </cell>
        </row>
        <row r="4420">
          <cell r="E4420">
            <v>10530034</v>
          </cell>
          <cell r="F4420" t="str">
            <v>0018</v>
          </cell>
          <cell r="G4420">
            <v>7</v>
          </cell>
          <cell r="H4420">
            <v>27.45</v>
          </cell>
          <cell r="I4420">
            <v>1292.0191734854302</v>
          </cell>
          <cell r="J4420">
            <v>0</v>
          </cell>
        </row>
        <row r="4421">
          <cell r="E4421">
            <v>10530034</v>
          </cell>
          <cell r="F4421" t="str">
            <v>0021</v>
          </cell>
          <cell r="G4421">
            <v>3</v>
          </cell>
          <cell r="H4421">
            <v>3.1399999999999997</v>
          </cell>
          <cell r="I4421">
            <v>171.47292655544999</v>
          </cell>
          <cell r="J4421">
            <v>0</v>
          </cell>
        </row>
        <row r="4422">
          <cell r="E4422">
            <v>10530034</v>
          </cell>
          <cell r="F4422" t="str">
            <v>0023</v>
          </cell>
          <cell r="G4422">
            <v>14</v>
          </cell>
          <cell r="H4422">
            <v>47.85</v>
          </cell>
          <cell r="I4422">
            <v>1911.6916350048004</v>
          </cell>
          <cell r="J4422">
            <v>0</v>
          </cell>
        </row>
        <row r="4423">
          <cell r="E4423">
            <v>10530034</v>
          </cell>
          <cell r="F4423" t="str">
            <v>0024</v>
          </cell>
          <cell r="G4423">
            <v>6</v>
          </cell>
          <cell r="H4423">
            <v>18.330000000000002</v>
          </cell>
          <cell r="I4423">
            <v>703.66831979400001</v>
          </cell>
          <cell r="J4423">
            <v>0</v>
          </cell>
        </row>
        <row r="4424">
          <cell r="E4424">
            <v>10530034</v>
          </cell>
          <cell r="F4424" t="str">
            <v>0025</v>
          </cell>
          <cell r="G4424">
            <v>6</v>
          </cell>
          <cell r="H4424">
            <v>7.41</v>
          </cell>
          <cell r="I4424">
            <v>389.58068668205999</v>
          </cell>
          <cell r="J4424">
            <v>0</v>
          </cell>
        </row>
        <row r="4425">
          <cell r="E4425">
            <v>10530034</v>
          </cell>
          <cell r="F4425" t="str">
            <v>0027</v>
          </cell>
          <cell r="G4425">
            <v>7</v>
          </cell>
          <cell r="H4425">
            <v>10.559999999999999</v>
          </cell>
          <cell r="I4425">
            <v>587.48526241031004</v>
          </cell>
          <cell r="J4425">
            <v>0</v>
          </cell>
        </row>
        <row r="4426">
          <cell r="E4426">
            <v>10530034</v>
          </cell>
          <cell r="F4426" t="str">
            <v>0029</v>
          </cell>
          <cell r="G4426">
            <v>10</v>
          </cell>
          <cell r="H4426">
            <v>15.530000000000001</v>
          </cell>
          <cell r="I4426">
            <v>598.36911868800007</v>
          </cell>
          <cell r="J4426">
            <v>0</v>
          </cell>
        </row>
        <row r="4427">
          <cell r="E4427">
            <v>10530034</v>
          </cell>
          <cell r="F4427" t="str">
            <v>0030</v>
          </cell>
          <cell r="G4427">
            <v>7</v>
          </cell>
          <cell r="H4427">
            <v>37.96</v>
          </cell>
          <cell r="I4427">
            <v>1652.9379294384003</v>
          </cell>
          <cell r="J4427">
            <v>0</v>
          </cell>
        </row>
        <row r="4428">
          <cell r="E4428">
            <v>10530034</v>
          </cell>
          <cell r="F4428" t="str">
            <v>0031</v>
          </cell>
          <cell r="G4428">
            <v>7</v>
          </cell>
          <cell r="H4428">
            <v>14.909999999999998</v>
          </cell>
          <cell r="I4428">
            <v>663.87597725520004</v>
          </cell>
          <cell r="J4428">
            <v>0</v>
          </cell>
        </row>
        <row r="4429">
          <cell r="E4429">
            <v>10530034</v>
          </cell>
          <cell r="F4429" t="str">
            <v>0037</v>
          </cell>
          <cell r="G4429">
            <v>6</v>
          </cell>
          <cell r="H4429">
            <v>9.0599999999999987</v>
          </cell>
          <cell r="I4429">
            <v>755.62236004739987</v>
          </cell>
          <cell r="J4429">
            <v>0</v>
          </cell>
        </row>
        <row r="4430">
          <cell r="E4430">
            <v>10530034</v>
          </cell>
          <cell r="F4430" t="str">
            <v>0041</v>
          </cell>
          <cell r="G4430">
            <v>5</v>
          </cell>
          <cell r="H4430">
            <v>10.26</v>
          </cell>
          <cell r="I4430">
            <v>691.32680963740006</v>
          </cell>
          <cell r="J4430">
            <v>0</v>
          </cell>
        </row>
        <row r="4431">
          <cell r="E4431">
            <v>10530034</v>
          </cell>
          <cell r="F4431" t="str">
            <v>0044</v>
          </cell>
          <cell r="G4431">
            <v>14</v>
          </cell>
          <cell r="H4431">
            <v>82.11</v>
          </cell>
          <cell r="I4431">
            <v>2752.1421228378003</v>
          </cell>
          <cell r="J4431">
            <v>0</v>
          </cell>
        </row>
        <row r="4432">
          <cell r="E4432">
            <v>10530034</v>
          </cell>
          <cell r="F4432" t="str">
            <v>0045</v>
          </cell>
          <cell r="G4432">
            <v>8</v>
          </cell>
          <cell r="H4432">
            <v>12.78</v>
          </cell>
          <cell r="I4432">
            <v>979.4902295201</v>
          </cell>
          <cell r="J4432">
            <v>0</v>
          </cell>
        </row>
        <row r="4433">
          <cell r="E4433">
            <v>10530034</v>
          </cell>
          <cell r="F4433" t="str">
            <v>0046</v>
          </cell>
          <cell r="G4433">
            <v>7</v>
          </cell>
          <cell r="H4433">
            <v>26.879999999999995</v>
          </cell>
          <cell r="I4433">
            <v>1269.8415459557598</v>
          </cell>
          <cell r="J4433">
            <v>0</v>
          </cell>
        </row>
        <row r="4434">
          <cell r="E4434">
            <v>10530034</v>
          </cell>
          <cell r="F4434" t="str">
            <v>0048</v>
          </cell>
          <cell r="G4434">
            <v>9</v>
          </cell>
          <cell r="H4434">
            <v>25.42</v>
          </cell>
          <cell r="I4434">
            <v>1188.4435996303</v>
          </cell>
          <cell r="J4434">
            <v>0</v>
          </cell>
        </row>
        <row r="4435">
          <cell r="E4435">
            <v>10530034</v>
          </cell>
          <cell r="F4435" t="str">
            <v>0049</v>
          </cell>
          <cell r="G4435">
            <v>14</v>
          </cell>
          <cell r="H4435">
            <v>130.66999999999999</v>
          </cell>
          <cell r="I4435">
            <v>5001.7817706119995</v>
          </cell>
          <cell r="J4435">
            <v>0</v>
          </cell>
        </row>
        <row r="4436">
          <cell r="E4436">
            <v>10530034</v>
          </cell>
          <cell r="F4436" t="str">
            <v>0051</v>
          </cell>
          <cell r="G4436">
            <v>14</v>
          </cell>
          <cell r="H4436">
            <v>61.500000000000007</v>
          </cell>
          <cell r="I4436">
            <v>1911.3583244777999</v>
          </cell>
          <cell r="J4436">
            <v>0</v>
          </cell>
        </row>
        <row r="4437">
          <cell r="E4437">
            <v>10530034</v>
          </cell>
          <cell r="F4437" t="str">
            <v>0052</v>
          </cell>
          <cell r="G4437">
            <v>14</v>
          </cell>
          <cell r="H4437">
            <v>38.799999999999997</v>
          </cell>
          <cell r="I4437">
            <v>1400.0522805720002</v>
          </cell>
          <cell r="J4437">
            <v>0</v>
          </cell>
        </row>
        <row r="4438">
          <cell r="E4438">
            <v>10530034</v>
          </cell>
          <cell r="F4438" t="str">
            <v>0053</v>
          </cell>
          <cell r="G4438">
            <v>13</v>
          </cell>
          <cell r="H4438">
            <v>32.049999999999997</v>
          </cell>
          <cell r="I4438">
            <v>1880.6070658308997</v>
          </cell>
          <cell r="J4438">
            <v>0</v>
          </cell>
        </row>
        <row r="4439">
          <cell r="E4439">
            <v>10530034</v>
          </cell>
          <cell r="F4439" t="str">
            <v>0054</v>
          </cell>
          <cell r="G4439">
            <v>7</v>
          </cell>
          <cell r="H4439">
            <v>16.93</v>
          </cell>
          <cell r="I4439">
            <v>997.85918356944012</v>
          </cell>
          <cell r="J4439">
            <v>0</v>
          </cell>
        </row>
        <row r="4440">
          <cell r="E4440">
            <v>10530034</v>
          </cell>
          <cell r="F4440" t="str">
            <v>0058</v>
          </cell>
          <cell r="G4440">
            <v>6</v>
          </cell>
          <cell r="H4440">
            <v>17.68</v>
          </cell>
          <cell r="I4440">
            <v>982.78839287198002</v>
          </cell>
          <cell r="J4440">
            <v>0</v>
          </cell>
        </row>
        <row r="4441">
          <cell r="E4441">
            <v>10530034</v>
          </cell>
          <cell r="F4441" t="str">
            <v>0060</v>
          </cell>
          <cell r="G4441">
            <v>1</v>
          </cell>
          <cell r="H4441">
            <v>3.45</v>
          </cell>
          <cell r="I4441">
            <v>172.38775488480005</v>
          </cell>
          <cell r="J4441">
            <v>0</v>
          </cell>
        </row>
        <row r="4442">
          <cell r="E4442">
            <v>10530034</v>
          </cell>
          <cell r="F4442" t="str">
            <v>0063</v>
          </cell>
          <cell r="G4442">
            <v>14</v>
          </cell>
          <cell r="H4442">
            <v>32.619999999999997</v>
          </cell>
          <cell r="I4442">
            <v>1301.6422546033682</v>
          </cell>
          <cell r="J4442">
            <v>0</v>
          </cell>
        </row>
        <row r="4443">
          <cell r="E4443">
            <v>10530034</v>
          </cell>
          <cell r="F4443" t="str">
            <v>0065</v>
          </cell>
          <cell r="G4443">
            <v>5</v>
          </cell>
          <cell r="H4443">
            <v>5.6</v>
          </cell>
          <cell r="I4443">
            <v>382.74132724219999</v>
          </cell>
          <cell r="J4443">
            <v>0</v>
          </cell>
        </row>
        <row r="4444">
          <cell r="E4444">
            <v>10530034</v>
          </cell>
          <cell r="F4444" t="str">
            <v>0066</v>
          </cell>
          <cell r="G4444">
            <v>7</v>
          </cell>
          <cell r="H4444">
            <v>4.07</v>
          </cell>
          <cell r="I4444">
            <v>180.42772633518399</v>
          </cell>
          <cell r="J4444">
            <v>0</v>
          </cell>
        </row>
        <row r="4445">
          <cell r="E4445">
            <v>10530034</v>
          </cell>
          <cell r="F4445" t="str">
            <v>0068</v>
          </cell>
          <cell r="G4445">
            <v>6</v>
          </cell>
          <cell r="H4445">
            <v>17.11</v>
          </cell>
          <cell r="I4445">
            <v>917.09528003849005</v>
          </cell>
          <cell r="J4445">
            <v>0</v>
          </cell>
        </row>
        <row r="4446">
          <cell r="E4446">
            <v>10530034</v>
          </cell>
          <cell r="F4446" t="str">
            <v>0070</v>
          </cell>
          <cell r="G4446">
            <v>5</v>
          </cell>
          <cell r="H4446">
            <v>9.26</v>
          </cell>
          <cell r="I4446">
            <v>611.77557637280006</v>
          </cell>
          <cell r="J4446">
            <v>0</v>
          </cell>
        </row>
        <row r="4447">
          <cell r="E4447">
            <v>10530034</v>
          </cell>
          <cell r="F4447" t="str">
            <v>0071</v>
          </cell>
          <cell r="G4447">
            <v>14</v>
          </cell>
          <cell r="H4447">
            <v>24.089999999999996</v>
          </cell>
          <cell r="I4447">
            <v>1245.7608760882601</v>
          </cell>
          <cell r="J4447">
            <v>0</v>
          </cell>
        </row>
        <row r="4448">
          <cell r="E4448">
            <v>10530034</v>
          </cell>
          <cell r="F4448" t="str">
            <v>0072</v>
          </cell>
          <cell r="G4448">
            <v>7</v>
          </cell>
          <cell r="H4448">
            <v>28.419999999999995</v>
          </cell>
          <cell r="I4448">
            <v>1836.7716994238999</v>
          </cell>
          <cell r="J4448">
            <v>0</v>
          </cell>
        </row>
        <row r="4449">
          <cell r="E4449">
            <v>10530034</v>
          </cell>
          <cell r="F4449" t="str">
            <v>0074</v>
          </cell>
          <cell r="G4449">
            <v>7</v>
          </cell>
          <cell r="H4449">
            <v>17.45</v>
          </cell>
          <cell r="I4449">
            <v>1038.6735464594999</v>
          </cell>
          <cell r="J4449">
            <v>0</v>
          </cell>
        </row>
        <row r="4450">
          <cell r="E4450">
            <v>10530034</v>
          </cell>
          <cell r="F4450" t="str">
            <v>0077</v>
          </cell>
          <cell r="G4450">
            <v>6</v>
          </cell>
          <cell r="H4450">
            <v>9.4</v>
          </cell>
          <cell r="I4450">
            <v>510.25817410448013</v>
          </cell>
          <cell r="J4450">
            <v>0</v>
          </cell>
        </row>
        <row r="4451">
          <cell r="E4451">
            <v>10530034</v>
          </cell>
          <cell r="F4451" t="str">
            <v>0078</v>
          </cell>
          <cell r="G4451">
            <v>12</v>
          </cell>
          <cell r="H4451">
            <v>17.220000000000002</v>
          </cell>
          <cell r="I4451">
            <v>765.80251139199015</v>
          </cell>
          <cell r="J4451">
            <v>0</v>
          </cell>
        </row>
        <row r="4452">
          <cell r="E4452">
            <v>10530034</v>
          </cell>
          <cell r="F4452" t="str">
            <v>0079</v>
          </cell>
          <cell r="G4452">
            <v>7</v>
          </cell>
          <cell r="H4452">
            <v>10.129999999999999</v>
          </cell>
          <cell r="I4452">
            <v>460.25022923235008</v>
          </cell>
          <cell r="J4452">
            <v>0</v>
          </cell>
        </row>
        <row r="4453">
          <cell r="E4453">
            <v>10530034</v>
          </cell>
          <cell r="F4453" t="str">
            <v>0080</v>
          </cell>
          <cell r="G4453">
            <v>7</v>
          </cell>
          <cell r="H4453">
            <v>17.98</v>
          </cell>
          <cell r="I4453">
            <v>912.26551687059998</v>
          </cell>
          <cell r="J4453">
            <v>0</v>
          </cell>
        </row>
        <row r="4454">
          <cell r="E4454">
            <v>10530034</v>
          </cell>
          <cell r="F4454" t="str">
            <v>0081</v>
          </cell>
          <cell r="G4454">
            <v>12</v>
          </cell>
          <cell r="H4454">
            <v>36.270000000000003</v>
          </cell>
          <cell r="I4454">
            <v>1801.6015316135704</v>
          </cell>
          <cell r="J4454">
            <v>0</v>
          </cell>
        </row>
        <row r="4455">
          <cell r="E4455">
            <v>10530034</v>
          </cell>
          <cell r="F4455" t="str">
            <v>0082</v>
          </cell>
          <cell r="G4455">
            <v>14</v>
          </cell>
          <cell r="H4455">
            <v>28.72</v>
          </cell>
          <cell r="I4455">
            <v>1440.1009840045704</v>
          </cell>
          <cell r="J4455">
            <v>0</v>
          </cell>
        </row>
        <row r="4456">
          <cell r="E4456">
            <v>10530034</v>
          </cell>
          <cell r="F4456" t="str">
            <v>0083</v>
          </cell>
          <cell r="G4456">
            <v>14</v>
          </cell>
          <cell r="H4456">
            <v>44.93</v>
          </cell>
          <cell r="I4456">
            <v>2763.7362651444</v>
          </cell>
          <cell r="J4456">
            <v>0</v>
          </cell>
        </row>
        <row r="4457">
          <cell r="E4457">
            <v>10530034</v>
          </cell>
          <cell r="F4457" t="str">
            <v>0084</v>
          </cell>
          <cell r="G4457">
            <v>13</v>
          </cell>
          <cell r="H4457">
            <v>36.349999999999994</v>
          </cell>
          <cell r="I4457">
            <v>1735.6837933439806</v>
          </cell>
          <cell r="J4457">
            <v>0</v>
          </cell>
        </row>
        <row r="4458">
          <cell r="E4458">
            <v>10530034</v>
          </cell>
          <cell r="F4458" t="str">
            <v>0085</v>
          </cell>
          <cell r="G4458">
            <v>10</v>
          </cell>
          <cell r="H4458">
            <v>14.49</v>
          </cell>
          <cell r="I4458">
            <v>705.22932904675008</v>
          </cell>
          <cell r="J4458">
            <v>0</v>
          </cell>
        </row>
        <row r="4459">
          <cell r="E4459">
            <v>10530034</v>
          </cell>
          <cell r="F4459" t="str">
            <v>0086</v>
          </cell>
          <cell r="G4459">
            <v>4</v>
          </cell>
          <cell r="H4459">
            <v>6.3</v>
          </cell>
          <cell r="I4459">
            <v>421.61577213599998</v>
          </cell>
          <cell r="J4459">
            <v>0</v>
          </cell>
        </row>
        <row r="4460">
          <cell r="E4460">
            <v>10530034</v>
          </cell>
          <cell r="F4460" t="str">
            <v>0087</v>
          </cell>
          <cell r="G4460">
            <v>1</v>
          </cell>
          <cell r="H4460">
            <v>1.57</v>
          </cell>
          <cell r="I4460">
            <v>71.914103712000014</v>
          </cell>
          <cell r="J4460">
            <v>0</v>
          </cell>
        </row>
        <row r="4461">
          <cell r="E4461">
            <v>10530034</v>
          </cell>
          <cell r="F4461" t="str">
            <v>0088</v>
          </cell>
          <cell r="G4461">
            <v>12</v>
          </cell>
          <cell r="H4461">
            <v>20.329999999999998</v>
          </cell>
          <cell r="I4461">
            <v>843.84238888620007</v>
          </cell>
          <cell r="J4461">
            <v>0</v>
          </cell>
        </row>
        <row r="4462">
          <cell r="E4462">
            <v>10530035</v>
          </cell>
          <cell r="F4462" t="str">
            <v>0001</v>
          </cell>
          <cell r="G4462">
            <v>14</v>
          </cell>
          <cell r="H4462">
            <v>49.999999999999986</v>
          </cell>
          <cell r="I4462">
            <v>2152.003165092</v>
          </cell>
          <cell r="J4462">
            <v>0</v>
          </cell>
        </row>
        <row r="4463">
          <cell r="E4463">
            <v>10530035</v>
          </cell>
          <cell r="F4463" t="str">
            <v>0002</v>
          </cell>
          <cell r="G4463">
            <v>8</v>
          </cell>
          <cell r="H4463">
            <v>104.93</v>
          </cell>
          <cell r="I4463">
            <v>4146.4143559080003</v>
          </cell>
          <cell r="J4463">
            <v>0</v>
          </cell>
        </row>
        <row r="4464">
          <cell r="E4464">
            <v>10530035</v>
          </cell>
          <cell r="F4464" t="str">
            <v>0003</v>
          </cell>
          <cell r="G4464">
            <v>14</v>
          </cell>
          <cell r="H4464">
            <v>85.550000000000011</v>
          </cell>
          <cell r="I4464">
            <v>2676.6694784808001</v>
          </cell>
          <cell r="J4464">
            <v>0</v>
          </cell>
        </row>
        <row r="4465">
          <cell r="E4465">
            <v>10530035</v>
          </cell>
          <cell r="F4465" t="str">
            <v>0006</v>
          </cell>
          <cell r="G4465">
            <v>7</v>
          </cell>
          <cell r="H4465">
            <v>24.340000000000003</v>
          </cell>
          <cell r="I4465">
            <v>934.81771838400005</v>
          </cell>
          <cell r="J4465">
            <v>0</v>
          </cell>
        </row>
        <row r="4466">
          <cell r="E4466">
            <v>10530035</v>
          </cell>
          <cell r="F4466" t="str">
            <v>0007</v>
          </cell>
          <cell r="G4466">
            <v>14</v>
          </cell>
          <cell r="H4466">
            <v>44.730000000000011</v>
          </cell>
          <cell r="I4466">
            <v>1485.0837121032</v>
          </cell>
          <cell r="J4466">
            <v>0</v>
          </cell>
        </row>
        <row r="4467">
          <cell r="E4467">
            <v>10530035</v>
          </cell>
          <cell r="F4467" t="str">
            <v>0008</v>
          </cell>
          <cell r="G4467">
            <v>12</v>
          </cell>
          <cell r="H4467">
            <v>12.730000000000002</v>
          </cell>
          <cell r="I4467">
            <v>514.01320904340014</v>
          </cell>
          <cell r="J4467">
            <v>0</v>
          </cell>
        </row>
        <row r="4468">
          <cell r="E4468">
            <v>10530035</v>
          </cell>
          <cell r="F4468" t="str">
            <v>0010</v>
          </cell>
          <cell r="G4468">
            <v>13</v>
          </cell>
          <cell r="H4468">
            <v>64.72</v>
          </cell>
          <cell r="I4468">
            <v>3023.2600051243985</v>
          </cell>
          <cell r="J4468">
            <v>0</v>
          </cell>
        </row>
        <row r="4469">
          <cell r="E4469">
            <v>10530035</v>
          </cell>
          <cell r="F4469" t="str">
            <v>0011</v>
          </cell>
          <cell r="G4469">
            <v>5</v>
          </cell>
          <cell r="H4469">
            <v>7.44</v>
          </cell>
          <cell r="I4469">
            <v>301.65342768000005</v>
          </cell>
          <cell r="J4469">
            <v>0</v>
          </cell>
        </row>
        <row r="4470">
          <cell r="E4470">
            <v>10530035</v>
          </cell>
          <cell r="F4470" t="str">
            <v>0012</v>
          </cell>
          <cell r="G4470">
            <v>6</v>
          </cell>
          <cell r="H4470">
            <v>19.84</v>
          </cell>
          <cell r="I4470">
            <v>1130.0604297626101</v>
          </cell>
          <cell r="J4470">
            <v>0</v>
          </cell>
        </row>
        <row r="4471">
          <cell r="E4471">
            <v>10530035</v>
          </cell>
          <cell r="F4471" t="str">
            <v>0015</v>
          </cell>
          <cell r="G4471">
            <v>13</v>
          </cell>
          <cell r="H4471">
            <v>114</v>
          </cell>
          <cell r="I4471">
            <v>4688.4530257424994</v>
          </cell>
          <cell r="J4471">
            <v>0</v>
          </cell>
        </row>
        <row r="4472">
          <cell r="E4472">
            <v>10530035</v>
          </cell>
          <cell r="F4472" t="str">
            <v>0017</v>
          </cell>
          <cell r="G4472">
            <v>11</v>
          </cell>
          <cell r="H4472">
            <v>49.660000000000004</v>
          </cell>
          <cell r="I4472">
            <v>1820.2354905240004</v>
          </cell>
          <cell r="J4472">
            <v>0</v>
          </cell>
        </row>
        <row r="4473">
          <cell r="E4473">
            <v>10530035</v>
          </cell>
          <cell r="F4473" t="str">
            <v>0018</v>
          </cell>
          <cell r="G4473">
            <v>7</v>
          </cell>
          <cell r="H4473">
            <v>11.479999999999999</v>
          </cell>
          <cell r="I4473">
            <v>465.35662839600002</v>
          </cell>
          <cell r="J4473">
            <v>0</v>
          </cell>
        </row>
        <row r="4474">
          <cell r="E4474">
            <v>10530035</v>
          </cell>
          <cell r="F4474" t="str">
            <v>0019</v>
          </cell>
          <cell r="G4474">
            <v>14</v>
          </cell>
          <cell r="H4474">
            <v>68.249999999999986</v>
          </cell>
          <cell r="I4474">
            <v>2219.4498847554</v>
          </cell>
          <cell r="J4474">
            <v>0</v>
          </cell>
        </row>
        <row r="4475">
          <cell r="E4475">
            <v>10530035</v>
          </cell>
          <cell r="F4475" t="str">
            <v>0022</v>
          </cell>
          <cell r="G4475">
            <v>14</v>
          </cell>
          <cell r="H4475">
            <v>42.959999999999994</v>
          </cell>
          <cell r="I4475">
            <v>2527.0377372455</v>
          </cell>
          <cell r="J4475">
            <v>0</v>
          </cell>
        </row>
        <row r="4476">
          <cell r="E4476">
            <v>10530035</v>
          </cell>
          <cell r="F4476" t="str">
            <v>0023</v>
          </cell>
          <cell r="G4476">
            <v>13</v>
          </cell>
          <cell r="H4476">
            <v>44.54</v>
          </cell>
          <cell r="I4476">
            <v>2155.8812284876503</v>
          </cell>
          <cell r="J4476">
            <v>0</v>
          </cell>
        </row>
        <row r="4477">
          <cell r="E4477">
            <v>10530035</v>
          </cell>
          <cell r="F4477" t="str">
            <v>0024</v>
          </cell>
          <cell r="G4477">
            <v>10</v>
          </cell>
          <cell r="H4477">
            <v>40.92</v>
          </cell>
          <cell r="I4477">
            <v>1711.9143122400003</v>
          </cell>
          <cell r="J4477">
            <v>0</v>
          </cell>
        </row>
        <row r="4478">
          <cell r="E4478">
            <v>10530035</v>
          </cell>
          <cell r="F4478" t="str">
            <v>0025</v>
          </cell>
          <cell r="G4478">
            <v>7</v>
          </cell>
          <cell r="H4478">
            <v>14.500000000000002</v>
          </cell>
          <cell r="I4478">
            <v>570.54664576800008</v>
          </cell>
          <cell r="J4478">
            <v>0</v>
          </cell>
        </row>
        <row r="4479">
          <cell r="E4479">
            <v>10530035</v>
          </cell>
          <cell r="F4479" t="str">
            <v>0026</v>
          </cell>
          <cell r="G4479">
            <v>4</v>
          </cell>
          <cell r="H4479">
            <v>13.26</v>
          </cell>
          <cell r="I4479">
            <v>411.95712046500012</v>
          </cell>
          <cell r="J4479">
            <v>0</v>
          </cell>
        </row>
        <row r="4480">
          <cell r="E4480">
            <v>10530035</v>
          </cell>
          <cell r="F4480" t="str">
            <v>0033</v>
          </cell>
          <cell r="G4480">
            <v>6</v>
          </cell>
          <cell r="H4480">
            <v>12.56</v>
          </cell>
          <cell r="I4480">
            <v>836.96868748473003</v>
          </cell>
          <cell r="J4480">
            <v>0</v>
          </cell>
        </row>
        <row r="4481">
          <cell r="E4481">
            <v>10530035</v>
          </cell>
          <cell r="F4481" t="str">
            <v>0034</v>
          </cell>
          <cell r="G4481">
            <v>7</v>
          </cell>
          <cell r="H4481">
            <v>94.92</v>
          </cell>
          <cell r="I4481">
            <v>3744.6231255840003</v>
          </cell>
          <cell r="J4481">
            <v>0</v>
          </cell>
        </row>
        <row r="4482">
          <cell r="E4482">
            <v>10530035</v>
          </cell>
          <cell r="F4482" t="str">
            <v>0036</v>
          </cell>
          <cell r="G4482">
            <v>14</v>
          </cell>
          <cell r="H4482">
            <v>51.470000000000006</v>
          </cell>
          <cell r="I4482">
            <v>1960.5357010800005</v>
          </cell>
          <cell r="J4482">
            <v>0</v>
          </cell>
        </row>
        <row r="4483">
          <cell r="E4483">
            <v>10530035</v>
          </cell>
          <cell r="F4483" t="str">
            <v>0037</v>
          </cell>
          <cell r="G4483">
            <v>6</v>
          </cell>
          <cell r="H4483">
            <v>13.24</v>
          </cell>
          <cell r="I4483">
            <v>782.49575851494012</v>
          </cell>
          <cell r="J4483">
            <v>0</v>
          </cell>
        </row>
        <row r="4484">
          <cell r="E4484">
            <v>10530035</v>
          </cell>
          <cell r="F4484" t="str">
            <v>0039</v>
          </cell>
          <cell r="G4484">
            <v>13</v>
          </cell>
          <cell r="H4484">
            <v>24.21</v>
          </cell>
          <cell r="I4484">
            <v>1182.0189692060499</v>
          </cell>
          <cell r="J4484">
            <v>0</v>
          </cell>
        </row>
        <row r="4485">
          <cell r="E4485">
            <v>10530035</v>
          </cell>
          <cell r="F4485" t="str">
            <v>0041</v>
          </cell>
          <cell r="G4485">
            <v>5</v>
          </cell>
          <cell r="H4485">
            <v>5.73</v>
          </cell>
          <cell r="I4485">
            <v>295.93055109188003</v>
          </cell>
          <cell r="J4485">
            <v>0</v>
          </cell>
        </row>
        <row r="4486">
          <cell r="E4486">
            <v>10530035</v>
          </cell>
          <cell r="F4486" t="str">
            <v>0042</v>
          </cell>
          <cell r="G4486">
            <v>8</v>
          </cell>
          <cell r="H4486">
            <v>35.4</v>
          </cell>
          <cell r="I4486">
            <v>1311.3797883120001</v>
          </cell>
          <cell r="J4486">
            <v>0</v>
          </cell>
        </row>
        <row r="4487">
          <cell r="E4487">
            <v>10530035</v>
          </cell>
          <cell r="F4487" t="str">
            <v>0045</v>
          </cell>
          <cell r="G4487">
            <v>7</v>
          </cell>
          <cell r="H4487">
            <v>12.02</v>
          </cell>
          <cell r="I4487">
            <v>728.30090508366004</v>
          </cell>
          <cell r="J4487">
            <v>0</v>
          </cell>
        </row>
        <row r="4488">
          <cell r="E4488">
            <v>10530035</v>
          </cell>
          <cell r="F4488" t="str">
            <v>0046</v>
          </cell>
          <cell r="G4488">
            <v>7</v>
          </cell>
          <cell r="H4488">
            <v>15.68</v>
          </cell>
          <cell r="I4488">
            <v>638.21476976400004</v>
          </cell>
          <cell r="J4488">
            <v>0</v>
          </cell>
        </row>
        <row r="4489">
          <cell r="E4489">
            <v>10530035</v>
          </cell>
          <cell r="F4489" t="str">
            <v>0047</v>
          </cell>
          <cell r="G4489">
            <v>6</v>
          </cell>
          <cell r="H4489">
            <v>10.1</v>
          </cell>
          <cell r="I4489">
            <v>410.6329722000001</v>
          </cell>
          <cell r="J4489">
            <v>0</v>
          </cell>
        </row>
        <row r="4490">
          <cell r="E4490">
            <v>10530035</v>
          </cell>
          <cell r="F4490" t="str">
            <v>0048</v>
          </cell>
          <cell r="G4490">
            <v>14</v>
          </cell>
          <cell r="H4490">
            <v>41.6</v>
          </cell>
          <cell r="I4490">
            <v>1912.5453417625802</v>
          </cell>
          <cell r="J4490">
            <v>0</v>
          </cell>
        </row>
        <row r="4491">
          <cell r="E4491">
            <v>10530040</v>
          </cell>
          <cell r="F4491" t="str">
            <v>0001</v>
          </cell>
          <cell r="G4491">
            <v>14</v>
          </cell>
          <cell r="H4491">
            <v>11.040000000000001</v>
          </cell>
          <cell r="I4491">
            <v>501.45652637232007</v>
          </cell>
          <cell r="J4491">
            <v>0</v>
          </cell>
        </row>
        <row r="4492">
          <cell r="E4492">
            <v>10530040</v>
          </cell>
          <cell r="F4492" t="str">
            <v>0002</v>
          </cell>
          <cell r="G4492">
            <v>12</v>
          </cell>
          <cell r="H4492">
            <v>76.12</v>
          </cell>
          <cell r="I4492">
            <v>3929.3116596377499</v>
          </cell>
          <cell r="J4492">
            <v>0</v>
          </cell>
        </row>
        <row r="4493">
          <cell r="E4493">
            <v>10530040</v>
          </cell>
          <cell r="F4493" t="str">
            <v>0003</v>
          </cell>
          <cell r="G4493">
            <v>13</v>
          </cell>
          <cell r="H4493">
            <v>130.78</v>
          </cell>
          <cell r="I4493">
            <v>6797.5422109110395</v>
          </cell>
          <cell r="J4493">
            <v>0</v>
          </cell>
        </row>
        <row r="4494">
          <cell r="E4494">
            <v>10530040</v>
          </cell>
          <cell r="F4494" t="str">
            <v>0004</v>
          </cell>
          <cell r="G4494">
            <v>1</v>
          </cell>
          <cell r="H4494">
            <v>3.07</v>
          </cell>
          <cell r="I4494">
            <v>120.0347463744</v>
          </cell>
          <cell r="J4494">
            <v>0</v>
          </cell>
        </row>
        <row r="4495">
          <cell r="E4495">
            <v>10530040</v>
          </cell>
          <cell r="F4495" t="str">
            <v>0010</v>
          </cell>
          <cell r="G4495">
            <v>7</v>
          </cell>
          <cell r="H4495">
            <v>10.600000000000001</v>
          </cell>
          <cell r="I4495">
            <v>463.52032087680004</v>
          </cell>
          <cell r="J4495">
            <v>0</v>
          </cell>
        </row>
        <row r="4496">
          <cell r="E4496">
            <v>10530040</v>
          </cell>
          <cell r="F4496" t="str">
            <v>0021</v>
          </cell>
          <cell r="G4496">
            <v>5</v>
          </cell>
          <cell r="H4496">
            <v>9.7200000000000006</v>
          </cell>
          <cell r="I4496">
            <v>468.089329336714</v>
          </cell>
          <cell r="J4496">
            <v>0</v>
          </cell>
        </row>
        <row r="4497">
          <cell r="E4497">
            <v>10530040</v>
          </cell>
          <cell r="F4497" t="str">
            <v>0022</v>
          </cell>
          <cell r="G4497">
            <v>7</v>
          </cell>
          <cell r="H4497">
            <v>7.7200000000000006</v>
          </cell>
          <cell r="I4497">
            <v>314.61980120167249</v>
          </cell>
          <cell r="J4497">
            <v>0</v>
          </cell>
        </row>
        <row r="4498">
          <cell r="E4498">
            <v>10530040</v>
          </cell>
          <cell r="F4498" t="str">
            <v>0028</v>
          </cell>
          <cell r="G4498">
            <v>12</v>
          </cell>
          <cell r="H4498">
            <v>19.57</v>
          </cell>
          <cell r="I4498">
            <v>912.45966399406007</v>
          </cell>
          <cell r="J4498">
            <v>0</v>
          </cell>
        </row>
        <row r="4499">
          <cell r="E4499">
            <v>10530040</v>
          </cell>
          <cell r="F4499" t="str">
            <v>0029</v>
          </cell>
          <cell r="G4499">
            <v>14</v>
          </cell>
          <cell r="H4499">
            <v>61.419999999999995</v>
          </cell>
          <cell r="I4499">
            <v>2837.0690719450999</v>
          </cell>
          <cell r="J4499">
            <v>0</v>
          </cell>
        </row>
        <row r="4500">
          <cell r="E4500">
            <v>10530040</v>
          </cell>
          <cell r="F4500" t="str">
            <v>0031</v>
          </cell>
          <cell r="G4500">
            <v>12</v>
          </cell>
          <cell r="H4500">
            <v>67.849999999999994</v>
          </cell>
          <cell r="I4500">
            <v>2416.6245126078002</v>
          </cell>
          <cell r="J4500">
            <v>0</v>
          </cell>
        </row>
        <row r="4501">
          <cell r="E4501">
            <v>10530040</v>
          </cell>
          <cell r="F4501" t="str">
            <v>0034</v>
          </cell>
          <cell r="G4501">
            <v>7</v>
          </cell>
          <cell r="H4501">
            <v>10.670000000000002</v>
          </cell>
          <cell r="I4501">
            <v>751.65130178619995</v>
          </cell>
          <cell r="J4501">
            <v>0</v>
          </cell>
        </row>
        <row r="4502">
          <cell r="E4502">
            <v>10530040</v>
          </cell>
          <cell r="F4502" t="str">
            <v>0035</v>
          </cell>
          <cell r="G4502">
            <v>11</v>
          </cell>
          <cell r="H4502">
            <v>5.9399999999999995</v>
          </cell>
          <cell r="I4502">
            <v>267.13393540800001</v>
          </cell>
          <cell r="J4502">
            <v>0</v>
          </cell>
        </row>
        <row r="4503">
          <cell r="E4503">
            <v>10530040</v>
          </cell>
          <cell r="F4503" t="str">
            <v>0036</v>
          </cell>
          <cell r="G4503">
            <v>14</v>
          </cell>
          <cell r="H4503">
            <v>24.849999999999998</v>
          </cell>
          <cell r="I4503">
            <v>870.77401834499994</v>
          </cell>
          <cell r="J4503">
            <v>0</v>
          </cell>
        </row>
        <row r="4504">
          <cell r="E4504">
            <v>10530040</v>
          </cell>
          <cell r="F4504" t="str">
            <v>0038</v>
          </cell>
          <cell r="G4504">
            <v>12</v>
          </cell>
          <cell r="H4504">
            <v>41.550000000000004</v>
          </cell>
          <cell r="I4504">
            <v>1970.4284834643001</v>
          </cell>
          <cell r="J4504">
            <v>0</v>
          </cell>
        </row>
        <row r="4505">
          <cell r="E4505">
            <v>10530040</v>
          </cell>
          <cell r="F4505" t="str">
            <v>0043</v>
          </cell>
          <cell r="G4505">
            <v>3</v>
          </cell>
          <cell r="H4505">
            <v>4.3499999999999996</v>
          </cell>
          <cell r="I4505">
            <v>219.65411066316</v>
          </cell>
          <cell r="J4505">
            <v>0</v>
          </cell>
        </row>
        <row r="4506">
          <cell r="E4506">
            <v>10530040</v>
          </cell>
          <cell r="F4506" t="str">
            <v>0044</v>
          </cell>
          <cell r="G4506">
            <v>7</v>
          </cell>
          <cell r="H4506">
            <v>16.25</v>
          </cell>
          <cell r="I4506">
            <v>694.26218446200005</v>
          </cell>
          <cell r="J4506">
            <v>0</v>
          </cell>
        </row>
        <row r="4507">
          <cell r="E4507">
            <v>10530040</v>
          </cell>
          <cell r="F4507" t="str">
            <v>0045</v>
          </cell>
          <cell r="G4507">
            <v>8</v>
          </cell>
          <cell r="H4507">
            <v>13.160000000000002</v>
          </cell>
          <cell r="I4507">
            <v>494.94564432720011</v>
          </cell>
          <cell r="J4507">
            <v>0</v>
          </cell>
        </row>
        <row r="4508">
          <cell r="E4508">
            <v>10530040</v>
          </cell>
          <cell r="F4508" t="str">
            <v>0048</v>
          </cell>
          <cell r="G4508">
            <v>14</v>
          </cell>
          <cell r="H4508">
            <v>82.850000000000009</v>
          </cell>
          <cell r="I4508">
            <v>3224.1714286320007</v>
          </cell>
          <cell r="J4508">
            <v>0</v>
          </cell>
        </row>
        <row r="4509">
          <cell r="E4509">
            <v>10530040</v>
          </cell>
          <cell r="F4509" t="str">
            <v>0050</v>
          </cell>
          <cell r="G4509">
            <v>5</v>
          </cell>
          <cell r="H4509">
            <v>9.7099999999999991</v>
          </cell>
          <cell r="I4509">
            <v>611.52347380499998</v>
          </cell>
          <cell r="J4509">
            <v>0</v>
          </cell>
        </row>
        <row r="4510">
          <cell r="E4510">
            <v>10530040</v>
          </cell>
          <cell r="F4510" t="str">
            <v>0051</v>
          </cell>
          <cell r="G4510">
            <v>9</v>
          </cell>
          <cell r="H4510">
            <v>24</v>
          </cell>
          <cell r="I4510">
            <v>877.34331016199997</v>
          </cell>
          <cell r="J4510">
            <v>0</v>
          </cell>
        </row>
        <row r="4511">
          <cell r="E4511">
            <v>10530040</v>
          </cell>
          <cell r="F4511" t="str">
            <v>0053</v>
          </cell>
          <cell r="G4511">
            <v>6</v>
          </cell>
          <cell r="H4511">
            <v>10.55</v>
          </cell>
          <cell r="I4511">
            <v>783.51754411349998</v>
          </cell>
          <cell r="J4511">
            <v>0</v>
          </cell>
        </row>
        <row r="4512">
          <cell r="E4512">
            <v>10530040</v>
          </cell>
          <cell r="F4512" t="str">
            <v>0055</v>
          </cell>
          <cell r="G4512">
            <v>14</v>
          </cell>
          <cell r="H4512">
            <v>70.900000000000006</v>
          </cell>
          <cell r="I4512">
            <v>2839.7044074960004</v>
          </cell>
          <cell r="J4512">
            <v>0</v>
          </cell>
        </row>
        <row r="4513">
          <cell r="E4513">
            <v>10530040</v>
          </cell>
          <cell r="F4513" t="str">
            <v>0056</v>
          </cell>
          <cell r="G4513">
            <v>14</v>
          </cell>
          <cell r="H4513">
            <v>33.989999999999995</v>
          </cell>
          <cell r="I4513">
            <v>1319.714440704</v>
          </cell>
          <cell r="J4513">
            <v>0</v>
          </cell>
        </row>
        <row r="4514">
          <cell r="E4514">
            <v>10530040</v>
          </cell>
          <cell r="F4514" t="str">
            <v>0057</v>
          </cell>
          <cell r="G4514">
            <v>7</v>
          </cell>
          <cell r="H4514">
            <v>6.64</v>
          </cell>
          <cell r="I4514">
            <v>357.7064685606</v>
          </cell>
          <cell r="J4514">
            <v>0</v>
          </cell>
        </row>
        <row r="4515">
          <cell r="E4515">
            <v>10530040</v>
          </cell>
          <cell r="F4515" t="str">
            <v>0059</v>
          </cell>
          <cell r="G4515">
            <v>13</v>
          </cell>
          <cell r="H4515">
            <v>22.74</v>
          </cell>
          <cell r="I4515">
            <v>957.5863797093001</v>
          </cell>
          <cell r="J4515">
            <v>0</v>
          </cell>
        </row>
        <row r="4516">
          <cell r="E4516">
            <v>10530040</v>
          </cell>
          <cell r="F4516" t="str">
            <v>0060</v>
          </cell>
          <cell r="G4516">
            <v>7</v>
          </cell>
          <cell r="H4516">
            <v>18.71</v>
          </cell>
          <cell r="I4516">
            <v>1035.80893908232</v>
          </cell>
          <cell r="J4516">
            <v>0</v>
          </cell>
        </row>
        <row r="4517">
          <cell r="E4517">
            <v>10530044</v>
          </cell>
          <cell r="F4517" t="str">
            <v>0001</v>
          </cell>
          <cell r="G4517">
            <v>14</v>
          </cell>
          <cell r="H4517">
            <v>15.07</v>
          </cell>
          <cell r="I4517">
            <v>650.25562971600004</v>
          </cell>
          <cell r="J4517">
            <v>0</v>
          </cell>
        </row>
        <row r="4518">
          <cell r="E4518">
            <v>10530044</v>
          </cell>
          <cell r="F4518" t="str">
            <v>0002</v>
          </cell>
          <cell r="G4518">
            <v>6</v>
          </cell>
          <cell r="H4518">
            <v>69.910000000000011</v>
          </cell>
          <cell r="I4518">
            <v>2668.8634980480001</v>
          </cell>
          <cell r="J4518">
            <v>0</v>
          </cell>
        </row>
        <row r="4519">
          <cell r="E4519">
            <v>10530044</v>
          </cell>
          <cell r="F4519" t="str">
            <v>0005</v>
          </cell>
          <cell r="G4519">
            <v>7</v>
          </cell>
          <cell r="H4519">
            <v>9.69</v>
          </cell>
          <cell r="I4519">
            <v>470.30679852219009</v>
          </cell>
          <cell r="J4519">
            <v>0</v>
          </cell>
        </row>
        <row r="4520">
          <cell r="E4520">
            <v>10530044</v>
          </cell>
          <cell r="F4520" t="str">
            <v>0006</v>
          </cell>
          <cell r="G4520">
            <v>7</v>
          </cell>
          <cell r="H4520">
            <v>15.29</v>
          </cell>
          <cell r="I4520">
            <v>681.60995773200011</v>
          </cell>
          <cell r="J4520">
            <v>0</v>
          </cell>
        </row>
        <row r="4521">
          <cell r="E4521">
            <v>10530044</v>
          </cell>
          <cell r="F4521" t="str">
            <v>0007</v>
          </cell>
          <cell r="G4521">
            <v>14</v>
          </cell>
          <cell r="H4521">
            <v>126.49999999999999</v>
          </cell>
          <cell r="I4521">
            <v>5656.371112739741</v>
          </cell>
          <cell r="J4521">
            <v>0</v>
          </cell>
        </row>
        <row r="4522">
          <cell r="E4522">
            <v>10530044</v>
          </cell>
          <cell r="F4522" t="str">
            <v>0009</v>
          </cell>
          <cell r="G4522">
            <v>6</v>
          </cell>
          <cell r="H4522">
            <v>15.35</v>
          </cell>
          <cell r="I4522">
            <v>795.08792207796012</v>
          </cell>
          <cell r="J4522">
            <v>0</v>
          </cell>
        </row>
        <row r="4523">
          <cell r="E4523">
            <v>10530044</v>
          </cell>
          <cell r="F4523" t="str">
            <v>0012</v>
          </cell>
          <cell r="G4523">
            <v>14</v>
          </cell>
          <cell r="H4523">
            <v>93.11</v>
          </cell>
          <cell r="I4523">
            <v>3708.62420506435</v>
          </cell>
          <cell r="J4523">
            <v>0</v>
          </cell>
        </row>
        <row r="4524">
          <cell r="E4524">
            <v>10530044</v>
          </cell>
          <cell r="F4524" t="str">
            <v>0014</v>
          </cell>
          <cell r="G4524">
            <v>14</v>
          </cell>
          <cell r="H4524">
            <v>44.220000000000006</v>
          </cell>
          <cell r="I4524">
            <v>1773.0419646316502</v>
          </cell>
          <cell r="J4524">
            <v>0</v>
          </cell>
        </row>
        <row r="4525">
          <cell r="E4525">
            <v>10530044</v>
          </cell>
          <cell r="F4525" t="str">
            <v>0015</v>
          </cell>
          <cell r="G4525">
            <v>14</v>
          </cell>
          <cell r="H4525">
            <v>35.6</v>
          </cell>
          <cell r="I4525">
            <v>1358.8624585800003</v>
          </cell>
          <cell r="J4525">
            <v>0</v>
          </cell>
        </row>
        <row r="4526">
          <cell r="E4526">
            <v>10530044</v>
          </cell>
          <cell r="F4526" t="str">
            <v>0017</v>
          </cell>
          <cell r="G4526">
            <v>13</v>
          </cell>
          <cell r="H4526">
            <v>22.43</v>
          </cell>
          <cell r="I4526">
            <v>1171.1248386261</v>
          </cell>
          <cell r="J4526">
            <v>0</v>
          </cell>
        </row>
        <row r="4527">
          <cell r="E4527">
            <v>10530044</v>
          </cell>
          <cell r="F4527" t="str">
            <v>0018</v>
          </cell>
          <cell r="G4527">
            <v>7</v>
          </cell>
          <cell r="H4527">
            <v>16</v>
          </cell>
          <cell r="I4527">
            <v>575.66933820000008</v>
          </cell>
          <cell r="J4527">
            <v>0</v>
          </cell>
        </row>
        <row r="4528">
          <cell r="E4528">
            <v>10530044</v>
          </cell>
          <cell r="F4528" t="str">
            <v>0019</v>
          </cell>
          <cell r="G4528">
            <v>14</v>
          </cell>
          <cell r="H4528">
            <v>29.06</v>
          </cell>
          <cell r="I4528">
            <v>1032.0108751260002</v>
          </cell>
          <cell r="J4528">
            <v>0</v>
          </cell>
        </row>
        <row r="4529">
          <cell r="E4529">
            <v>10530044</v>
          </cell>
          <cell r="F4529" t="str">
            <v>0022</v>
          </cell>
          <cell r="G4529">
            <v>6</v>
          </cell>
          <cell r="H4529">
            <v>10.65</v>
          </cell>
          <cell r="I4529">
            <v>466.07610416400007</v>
          </cell>
          <cell r="J4529">
            <v>0</v>
          </cell>
        </row>
        <row r="4530">
          <cell r="E4530">
            <v>10530044</v>
          </cell>
          <cell r="F4530" t="str">
            <v>0023</v>
          </cell>
          <cell r="G4530">
            <v>14</v>
          </cell>
          <cell r="H4530">
            <v>46.050000000000004</v>
          </cell>
          <cell r="I4530">
            <v>1725.7504766040004</v>
          </cell>
          <cell r="J4530">
            <v>0</v>
          </cell>
        </row>
        <row r="4531">
          <cell r="E4531">
            <v>10530044</v>
          </cell>
          <cell r="F4531" t="str">
            <v>0024</v>
          </cell>
          <cell r="G4531">
            <v>14</v>
          </cell>
          <cell r="H4531">
            <v>110.90000000000003</v>
          </cell>
          <cell r="I4531">
            <v>5005.5411364426418</v>
          </cell>
          <cell r="J4531">
            <v>0</v>
          </cell>
        </row>
        <row r="4532">
          <cell r="E4532">
            <v>10530044</v>
          </cell>
          <cell r="F4532" t="str">
            <v>0025</v>
          </cell>
          <cell r="G4532">
            <v>7</v>
          </cell>
          <cell r="H4532">
            <v>26.55</v>
          </cell>
          <cell r="I4532">
            <v>1478.2278179762002</v>
          </cell>
          <cell r="J4532">
            <v>0</v>
          </cell>
        </row>
        <row r="4533">
          <cell r="E4533">
            <v>10530044</v>
          </cell>
          <cell r="F4533" t="str">
            <v>0026</v>
          </cell>
          <cell r="G4533">
            <v>7</v>
          </cell>
          <cell r="H4533">
            <v>23.71</v>
          </cell>
          <cell r="I4533">
            <v>1470.8749852083001</v>
          </cell>
          <cell r="J4533">
            <v>0</v>
          </cell>
        </row>
        <row r="4534">
          <cell r="E4534">
            <v>10530044</v>
          </cell>
          <cell r="F4534" t="str">
            <v>0027</v>
          </cell>
          <cell r="G4534">
            <v>14</v>
          </cell>
          <cell r="H4534">
            <v>163.94</v>
          </cell>
          <cell r="I4534">
            <v>7692.4966619618999</v>
          </cell>
          <cell r="J4534">
            <v>0</v>
          </cell>
        </row>
        <row r="4535">
          <cell r="E4535">
            <v>10530044</v>
          </cell>
          <cell r="F4535" t="str">
            <v>0028</v>
          </cell>
          <cell r="G4535">
            <v>14</v>
          </cell>
          <cell r="H4535">
            <v>22.650000000000002</v>
          </cell>
          <cell r="I4535">
            <v>1222.4625239099698</v>
          </cell>
          <cell r="J4535">
            <v>0</v>
          </cell>
        </row>
        <row r="4536">
          <cell r="E4536">
            <v>10530044</v>
          </cell>
          <cell r="F4536" t="str">
            <v>0029</v>
          </cell>
          <cell r="G4536">
            <v>6</v>
          </cell>
          <cell r="H4536">
            <v>12.88</v>
          </cell>
          <cell r="I4536">
            <v>657.66942379395209</v>
          </cell>
          <cell r="J4536">
            <v>0</v>
          </cell>
        </row>
        <row r="4537">
          <cell r="E4537">
            <v>10530044</v>
          </cell>
          <cell r="F4537" t="str">
            <v>0030</v>
          </cell>
          <cell r="G4537">
            <v>6</v>
          </cell>
          <cell r="H4537">
            <v>16.329999999999998</v>
          </cell>
          <cell r="I4537">
            <v>885.7816858409451</v>
          </cell>
          <cell r="J4537">
            <v>0</v>
          </cell>
        </row>
        <row r="4538">
          <cell r="E4538">
            <v>10530044</v>
          </cell>
          <cell r="F4538" t="str">
            <v>0031</v>
          </cell>
          <cell r="G4538">
            <v>14</v>
          </cell>
          <cell r="H4538">
            <v>31.130000000000003</v>
          </cell>
          <cell r="I4538">
            <v>1519.7608650574</v>
          </cell>
          <cell r="J4538">
            <v>0</v>
          </cell>
        </row>
        <row r="4539">
          <cell r="E4539">
            <v>10530044</v>
          </cell>
          <cell r="F4539" t="str">
            <v>0032</v>
          </cell>
          <cell r="G4539">
            <v>14</v>
          </cell>
          <cell r="H4539">
            <v>15.659999999999998</v>
          </cell>
          <cell r="I4539">
            <v>824.15365520810997</v>
          </cell>
          <cell r="J4539">
            <v>0</v>
          </cell>
        </row>
        <row r="4540">
          <cell r="E4540">
            <v>10530044</v>
          </cell>
          <cell r="F4540" t="str">
            <v>0033</v>
          </cell>
          <cell r="G4540">
            <v>14</v>
          </cell>
          <cell r="H4540">
            <v>32.480000000000004</v>
          </cell>
          <cell r="I4540">
            <v>2643.5710137463989</v>
          </cell>
          <cell r="J4540">
            <v>0</v>
          </cell>
        </row>
        <row r="4541">
          <cell r="E4541">
            <v>10530044</v>
          </cell>
          <cell r="F4541" t="str">
            <v>0034</v>
          </cell>
          <cell r="G4541">
            <v>14</v>
          </cell>
          <cell r="H4541">
            <v>38.299999999999997</v>
          </cell>
          <cell r="I4541">
            <v>1374.3477281160003</v>
          </cell>
          <cell r="J4541">
            <v>0</v>
          </cell>
        </row>
        <row r="4542">
          <cell r="E4542">
            <v>10530044</v>
          </cell>
          <cell r="F4542" t="str">
            <v>0035</v>
          </cell>
          <cell r="G4542">
            <v>14</v>
          </cell>
          <cell r="H4542">
            <v>56.379999999999995</v>
          </cell>
          <cell r="I4542">
            <v>2058.2162543052</v>
          </cell>
          <cell r="J4542">
            <v>0</v>
          </cell>
        </row>
        <row r="4543">
          <cell r="E4543">
            <v>10530044</v>
          </cell>
          <cell r="F4543" t="str">
            <v>0036</v>
          </cell>
          <cell r="G4543">
            <v>14</v>
          </cell>
          <cell r="H4543">
            <v>60.529999999999994</v>
          </cell>
          <cell r="I4543">
            <v>3014.4031900140203</v>
          </cell>
          <cell r="J4543">
            <v>0</v>
          </cell>
        </row>
        <row r="4544">
          <cell r="E4544">
            <v>10530044</v>
          </cell>
          <cell r="F4544" t="str">
            <v>0037</v>
          </cell>
          <cell r="G4544">
            <v>13</v>
          </cell>
          <cell r="H4544">
            <v>31.97000000000001</v>
          </cell>
          <cell r="I4544">
            <v>1581.2429174061799</v>
          </cell>
          <cell r="J4544">
            <v>0</v>
          </cell>
        </row>
        <row r="4545">
          <cell r="E4545">
            <v>10530044</v>
          </cell>
          <cell r="F4545" t="str">
            <v>0038</v>
          </cell>
          <cell r="G4545">
            <v>13</v>
          </cell>
          <cell r="H4545">
            <v>350.35</v>
          </cell>
          <cell r="I4545">
            <v>14455.943383035001</v>
          </cell>
          <cell r="J4545">
            <v>0</v>
          </cell>
        </row>
        <row r="4546">
          <cell r="E4546">
            <v>10530046</v>
          </cell>
          <cell r="F4546" t="str">
            <v>0001</v>
          </cell>
          <cell r="G4546">
            <v>3</v>
          </cell>
          <cell r="H4546">
            <v>2.14</v>
          </cell>
          <cell r="I4546">
            <v>92.980750092000008</v>
          </cell>
          <cell r="J4546">
            <v>0</v>
          </cell>
        </row>
        <row r="4547">
          <cell r="E4547">
            <v>10530046</v>
          </cell>
          <cell r="F4547" t="str">
            <v>0002</v>
          </cell>
          <cell r="G4547">
            <v>14</v>
          </cell>
          <cell r="H4547">
            <v>113.15999999999998</v>
          </cell>
          <cell r="I4547">
            <v>4947.2666924580999</v>
          </cell>
          <cell r="J4547">
            <v>0</v>
          </cell>
        </row>
        <row r="4548">
          <cell r="E4548">
            <v>10530046</v>
          </cell>
          <cell r="F4548" t="str">
            <v>0003</v>
          </cell>
          <cell r="G4548">
            <v>14</v>
          </cell>
          <cell r="H4548">
            <v>32.739999999999995</v>
          </cell>
          <cell r="I4548">
            <v>1981.5750059374002</v>
          </cell>
          <cell r="J4548">
            <v>0</v>
          </cell>
        </row>
        <row r="4549">
          <cell r="E4549">
            <v>10530046</v>
          </cell>
          <cell r="F4549" t="str">
            <v>0009</v>
          </cell>
          <cell r="G4549">
            <v>14</v>
          </cell>
          <cell r="H4549">
            <v>52.84</v>
          </cell>
          <cell r="I4549">
            <v>3420.0395325005002</v>
          </cell>
          <cell r="J4549">
            <v>0</v>
          </cell>
        </row>
        <row r="4550">
          <cell r="E4550">
            <v>10530046</v>
          </cell>
          <cell r="F4550" t="str">
            <v>0012</v>
          </cell>
          <cell r="G4550">
            <v>14</v>
          </cell>
          <cell r="H4550">
            <v>31.080000000000002</v>
          </cell>
          <cell r="I4550">
            <v>1431.6332814722002</v>
          </cell>
          <cell r="J4550">
            <v>0</v>
          </cell>
        </row>
        <row r="4551">
          <cell r="E4551">
            <v>10530046</v>
          </cell>
          <cell r="F4551" t="str">
            <v>0016</v>
          </cell>
          <cell r="G4551">
            <v>6</v>
          </cell>
          <cell r="H4551">
            <v>25.12</v>
          </cell>
          <cell r="I4551">
            <v>911.1357446400001</v>
          </cell>
          <cell r="J4551">
            <v>0</v>
          </cell>
        </row>
        <row r="4552">
          <cell r="E4552">
            <v>10530046</v>
          </cell>
          <cell r="F4552" t="str">
            <v>0018</v>
          </cell>
          <cell r="G4552">
            <v>12</v>
          </cell>
          <cell r="H4552">
            <v>33.67</v>
          </cell>
          <cell r="I4552">
            <v>1652.5286224219005</v>
          </cell>
          <cell r="J4552">
            <v>0</v>
          </cell>
        </row>
        <row r="4553">
          <cell r="E4553">
            <v>10530046</v>
          </cell>
          <cell r="F4553" t="str">
            <v>0021</v>
          </cell>
          <cell r="G4553">
            <v>14</v>
          </cell>
          <cell r="H4553">
            <v>119.30000000000001</v>
          </cell>
          <cell r="I4553">
            <v>6079.1864389409602</v>
          </cell>
          <cell r="J4553">
            <v>0</v>
          </cell>
        </row>
        <row r="4554">
          <cell r="E4554">
            <v>10530046</v>
          </cell>
          <cell r="F4554" t="str">
            <v>0023</v>
          </cell>
          <cell r="G4554">
            <v>11</v>
          </cell>
          <cell r="H4554">
            <v>19.130000000000003</v>
          </cell>
          <cell r="I4554">
            <v>1161.3999773061998</v>
          </cell>
          <cell r="J4554">
            <v>0</v>
          </cell>
        </row>
        <row r="4555">
          <cell r="E4555">
            <v>10530046</v>
          </cell>
          <cell r="F4555" t="str">
            <v>0024</v>
          </cell>
          <cell r="G4555">
            <v>12</v>
          </cell>
          <cell r="H4555">
            <v>33.050000000000004</v>
          </cell>
          <cell r="I4555">
            <v>1248.3009162360001</v>
          </cell>
          <cell r="J4555">
            <v>0</v>
          </cell>
        </row>
        <row r="4556">
          <cell r="E4556">
            <v>10530046</v>
          </cell>
          <cell r="F4556" t="str">
            <v>0025</v>
          </cell>
          <cell r="G4556">
            <v>7</v>
          </cell>
          <cell r="H4556">
            <v>15.2</v>
          </cell>
          <cell r="I4556">
            <v>1097.9469927878999</v>
          </cell>
          <cell r="J4556">
            <v>0</v>
          </cell>
        </row>
        <row r="4557">
          <cell r="E4557">
            <v>10530046</v>
          </cell>
          <cell r="F4557" t="str">
            <v>0028</v>
          </cell>
          <cell r="G4557">
            <v>14</v>
          </cell>
          <cell r="H4557">
            <v>29.320000000000007</v>
          </cell>
          <cell r="I4557">
            <v>1767.7208000846999</v>
          </cell>
          <cell r="J4557">
            <v>0</v>
          </cell>
        </row>
        <row r="4558">
          <cell r="E4558">
            <v>10530046</v>
          </cell>
          <cell r="F4558" t="str">
            <v>0029</v>
          </cell>
          <cell r="G4558">
            <v>7</v>
          </cell>
          <cell r="H4558">
            <v>19.200000000000003</v>
          </cell>
          <cell r="I4558">
            <v>649.87678918799998</v>
          </cell>
          <cell r="J4558">
            <v>0</v>
          </cell>
        </row>
        <row r="4559">
          <cell r="E4559">
            <v>10530046</v>
          </cell>
          <cell r="F4559" t="str">
            <v>0030</v>
          </cell>
          <cell r="G4559">
            <v>14</v>
          </cell>
          <cell r="H4559">
            <v>32.979999999999997</v>
          </cell>
          <cell r="I4559">
            <v>1315.13980356</v>
          </cell>
          <cell r="J4559">
            <v>0</v>
          </cell>
        </row>
        <row r="4560">
          <cell r="E4560">
            <v>10530046</v>
          </cell>
          <cell r="F4560" t="str">
            <v>0031</v>
          </cell>
          <cell r="G4560">
            <v>6</v>
          </cell>
          <cell r="H4560">
            <v>14.290000000000001</v>
          </cell>
          <cell r="I4560">
            <v>557.3527954632001</v>
          </cell>
          <cell r="J4560">
            <v>0</v>
          </cell>
        </row>
        <row r="4561">
          <cell r="E4561">
            <v>10530046</v>
          </cell>
          <cell r="F4561" t="str">
            <v>0032</v>
          </cell>
          <cell r="G4561">
            <v>7</v>
          </cell>
          <cell r="H4561">
            <v>9.16</v>
          </cell>
          <cell r="I4561">
            <v>524.67726146200005</v>
          </cell>
          <cell r="J4561">
            <v>0</v>
          </cell>
        </row>
        <row r="4562">
          <cell r="E4562">
            <v>10530046</v>
          </cell>
          <cell r="F4562" t="str">
            <v>0034</v>
          </cell>
          <cell r="G4562">
            <v>14</v>
          </cell>
          <cell r="H4562">
            <v>20.400000000000002</v>
          </cell>
          <cell r="I4562">
            <v>1207.9923136497002</v>
          </cell>
          <cell r="J4562">
            <v>0</v>
          </cell>
        </row>
        <row r="4563">
          <cell r="E4563">
            <v>10530046</v>
          </cell>
          <cell r="F4563" t="str">
            <v>0037</v>
          </cell>
          <cell r="G4563">
            <v>7</v>
          </cell>
          <cell r="H4563">
            <v>10.259999999999998</v>
          </cell>
          <cell r="I4563">
            <v>366.38675172000001</v>
          </cell>
          <cell r="J4563">
            <v>0</v>
          </cell>
        </row>
        <row r="4564">
          <cell r="E4564">
            <v>10530046</v>
          </cell>
          <cell r="F4564" t="str">
            <v>0038</v>
          </cell>
          <cell r="G4564">
            <v>6</v>
          </cell>
          <cell r="H4564">
            <v>17.350000000000001</v>
          </cell>
          <cell r="I4564">
            <v>925.08253858780006</v>
          </cell>
          <cell r="J4564">
            <v>0</v>
          </cell>
        </row>
        <row r="4565">
          <cell r="E4565">
            <v>10530046</v>
          </cell>
          <cell r="F4565" t="str">
            <v>0039</v>
          </cell>
          <cell r="G4565">
            <v>12</v>
          </cell>
          <cell r="H4565">
            <v>43.33</v>
          </cell>
          <cell r="I4565">
            <v>1634.6428338240003</v>
          </cell>
          <cell r="J4565">
            <v>0</v>
          </cell>
        </row>
        <row r="4566">
          <cell r="E4566">
            <v>10530046</v>
          </cell>
          <cell r="F4566" t="str">
            <v>0040</v>
          </cell>
          <cell r="G4566">
            <v>14</v>
          </cell>
          <cell r="H4566">
            <v>24.59</v>
          </cell>
          <cell r="I4566">
            <v>959.48220588660001</v>
          </cell>
          <cell r="J4566">
            <v>0</v>
          </cell>
        </row>
        <row r="4567">
          <cell r="E4567">
            <v>10530046</v>
          </cell>
          <cell r="F4567" t="str">
            <v>0041</v>
          </cell>
          <cell r="G4567">
            <v>5</v>
          </cell>
          <cell r="H4567">
            <v>5.7500000000000009</v>
          </cell>
          <cell r="I4567">
            <v>256.55913835199999</v>
          </cell>
          <cell r="J4567">
            <v>0</v>
          </cell>
        </row>
        <row r="4568">
          <cell r="E4568">
            <v>10530046</v>
          </cell>
          <cell r="F4568" t="str">
            <v>0042</v>
          </cell>
          <cell r="G4568">
            <v>8</v>
          </cell>
          <cell r="H4568">
            <v>13.74</v>
          </cell>
          <cell r="I4568">
            <v>515.41227197460012</v>
          </cell>
          <cell r="J4568">
            <v>0</v>
          </cell>
        </row>
        <row r="4569">
          <cell r="E4569">
            <v>10530046</v>
          </cell>
          <cell r="F4569" t="str">
            <v>0043</v>
          </cell>
          <cell r="G4569">
            <v>14</v>
          </cell>
          <cell r="H4569">
            <v>81.249999999999986</v>
          </cell>
          <cell r="I4569">
            <v>4398.6491146216804</v>
          </cell>
          <cell r="J4569">
            <v>0</v>
          </cell>
        </row>
        <row r="4570">
          <cell r="E4570">
            <v>10530046</v>
          </cell>
          <cell r="F4570" t="str">
            <v>0044</v>
          </cell>
          <cell r="G4570">
            <v>5</v>
          </cell>
          <cell r="H4570">
            <v>9.9699999999999989</v>
          </cell>
          <cell r="I4570">
            <v>630.82170687769985</v>
          </cell>
          <cell r="J4570">
            <v>0</v>
          </cell>
        </row>
        <row r="4571">
          <cell r="E4571">
            <v>10530046</v>
          </cell>
          <cell r="F4571" t="str">
            <v>0045</v>
          </cell>
          <cell r="G4571">
            <v>7</v>
          </cell>
          <cell r="H4571">
            <v>9.879999999999999</v>
          </cell>
          <cell r="I4571">
            <v>625.79100984770002</v>
          </cell>
          <cell r="J4571">
            <v>0</v>
          </cell>
        </row>
        <row r="4572">
          <cell r="E4572">
            <v>10530046</v>
          </cell>
          <cell r="F4572" t="str">
            <v>0046</v>
          </cell>
          <cell r="G4572">
            <v>7</v>
          </cell>
          <cell r="H4572">
            <v>37.14</v>
          </cell>
          <cell r="I4572">
            <v>1289.4975297468</v>
          </cell>
          <cell r="J4572">
            <v>0</v>
          </cell>
        </row>
        <row r="4573">
          <cell r="E4573">
            <v>10530046</v>
          </cell>
          <cell r="F4573" t="str">
            <v>0047</v>
          </cell>
          <cell r="G4573">
            <v>3</v>
          </cell>
          <cell r="H4573">
            <v>6.5200000000000005</v>
          </cell>
          <cell r="I4573">
            <v>320.7215065085</v>
          </cell>
          <cell r="J4573">
            <v>0</v>
          </cell>
        </row>
        <row r="4574">
          <cell r="E4574">
            <v>10530046</v>
          </cell>
          <cell r="F4574" t="str">
            <v>0048</v>
          </cell>
          <cell r="G4574">
            <v>2</v>
          </cell>
          <cell r="H4574">
            <v>4.5</v>
          </cell>
          <cell r="I4574">
            <v>261.18584262019999</v>
          </cell>
          <cell r="J4574">
            <v>0</v>
          </cell>
        </row>
        <row r="4575">
          <cell r="E4575">
            <v>10530046</v>
          </cell>
          <cell r="F4575" t="str">
            <v>0049</v>
          </cell>
          <cell r="G4575">
            <v>2</v>
          </cell>
          <cell r="H4575">
            <v>0.65999999999999992</v>
          </cell>
          <cell r="I4575">
            <v>26.334740520000004</v>
          </cell>
          <cell r="J4575">
            <v>0</v>
          </cell>
        </row>
        <row r="4576">
          <cell r="E4576">
            <v>10530047</v>
          </cell>
          <cell r="F4576" t="str">
            <v>0001</v>
          </cell>
          <cell r="G4576">
            <v>12</v>
          </cell>
          <cell r="H4576">
            <v>5.169999999999999</v>
          </cell>
          <cell r="I4576">
            <v>226.68985371240007</v>
          </cell>
          <cell r="J4576">
            <v>0</v>
          </cell>
        </row>
        <row r="4577">
          <cell r="E4577">
            <v>10530047</v>
          </cell>
          <cell r="F4577" t="str">
            <v>0002</v>
          </cell>
          <cell r="G4577">
            <v>10</v>
          </cell>
          <cell r="H4577">
            <v>37.83</v>
          </cell>
          <cell r="I4577">
            <v>1430.0702293589998</v>
          </cell>
          <cell r="J4577">
            <v>0</v>
          </cell>
        </row>
        <row r="4578">
          <cell r="E4578">
            <v>10530047</v>
          </cell>
          <cell r="F4578" t="str">
            <v>0003</v>
          </cell>
          <cell r="G4578">
            <v>6</v>
          </cell>
          <cell r="H4578">
            <v>10.02</v>
          </cell>
          <cell r="I4578">
            <v>437.5304957692</v>
          </cell>
          <cell r="J4578">
            <v>0</v>
          </cell>
        </row>
        <row r="4579">
          <cell r="E4579">
            <v>10530047</v>
          </cell>
          <cell r="F4579" t="str">
            <v>0005</v>
          </cell>
          <cell r="G4579">
            <v>13</v>
          </cell>
          <cell r="H4579">
            <v>280.32</v>
          </cell>
          <cell r="I4579">
            <v>10618.259614146802</v>
          </cell>
          <cell r="J4579">
            <v>0</v>
          </cell>
        </row>
        <row r="4580">
          <cell r="E4580">
            <v>10530047</v>
          </cell>
          <cell r="F4580" t="str">
            <v>0009</v>
          </cell>
          <cell r="G4580">
            <v>7</v>
          </cell>
          <cell r="H4580">
            <v>18.499999999999996</v>
          </cell>
          <cell r="I4580">
            <v>831.18365562761005</v>
          </cell>
          <cell r="J4580">
            <v>0</v>
          </cell>
        </row>
        <row r="4581">
          <cell r="E4581">
            <v>10530047</v>
          </cell>
          <cell r="F4581" t="str">
            <v>0013</v>
          </cell>
          <cell r="G4581">
            <v>6</v>
          </cell>
          <cell r="H4581">
            <v>9.2600000000000016</v>
          </cell>
          <cell r="I4581">
            <v>300.78940325939999</v>
          </cell>
          <cell r="J4581">
            <v>0</v>
          </cell>
        </row>
        <row r="4582">
          <cell r="E4582">
            <v>10530047</v>
          </cell>
          <cell r="F4582" t="str">
            <v>0014</v>
          </cell>
          <cell r="G4582">
            <v>7</v>
          </cell>
          <cell r="H4582">
            <v>18.529999999999998</v>
          </cell>
          <cell r="I4582">
            <v>661.52841440400005</v>
          </cell>
          <cell r="J4582">
            <v>0</v>
          </cell>
        </row>
        <row r="4583">
          <cell r="E4583">
            <v>10530047</v>
          </cell>
          <cell r="F4583" t="str">
            <v>0015</v>
          </cell>
          <cell r="G4583">
            <v>10</v>
          </cell>
          <cell r="H4583">
            <v>12.860000000000001</v>
          </cell>
          <cell r="I4583">
            <v>434.44356254640007</v>
          </cell>
          <cell r="J4583">
            <v>0</v>
          </cell>
        </row>
        <row r="4584">
          <cell r="E4584">
            <v>10530047</v>
          </cell>
          <cell r="F4584" t="str">
            <v>0017</v>
          </cell>
          <cell r="G4584">
            <v>8</v>
          </cell>
          <cell r="H4584">
            <v>28.45</v>
          </cell>
          <cell r="I4584">
            <v>1058.6723820750001</v>
          </cell>
          <cell r="J4584">
            <v>0</v>
          </cell>
        </row>
        <row r="4585">
          <cell r="E4585">
            <v>10530047</v>
          </cell>
          <cell r="F4585" t="str">
            <v>0019</v>
          </cell>
          <cell r="G4585">
            <v>6</v>
          </cell>
          <cell r="H4585">
            <v>33.44</v>
          </cell>
          <cell r="I4585">
            <v>1309.6483457508</v>
          </cell>
          <cell r="J4585">
            <v>0</v>
          </cell>
        </row>
        <row r="4586">
          <cell r="E4586">
            <v>10530047</v>
          </cell>
          <cell r="F4586" t="str">
            <v>0020</v>
          </cell>
          <cell r="G4586">
            <v>14</v>
          </cell>
          <cell r="H4586">
            <v>130.89000000000001</v>
          </cell>
          <cell r="I4586">
            <v>4690.0217776104009</v>
          </cell>
          <cell r="J4586">
            <v>0</v>
          </cell>
        </row>
        <row r="4587">
          <cell r="E4587">
            <v>10530048</v>
          </cell>
          <cell r="F4587" t="str">
            <v>0001</v>
          </cell>
          <cell r="G4587">
            <v>14</v>
          </cell>
          <cell r="H4587">
            <v>5.8999999999999986</v>
          </cell>
          <cell r="I4587">
            <v>240.10648398280003</v>
          </cell>
          <cell r="J4587">
            <v>0</v>
          </cell>
        </row>
        <row r="4588">
          <cell r="E4588">
            <v>10530048</v>
          </cell>
          <cell r="F4588" t="str">
            <v>0004</v>
          </cell>
          <cell r="G4588">
            <v>6</v>
          </cell>
          <cell r="H4588">
            <v>15.72</v>
          </cell>
          <cell r="I4588">
            <v>705.26474197353991</v>
          </cell>
          <cell r="J4588">
            <v>0</v>
          </cell>
        </row>
        <row r="4589">
          <cell r="E4589">
            <v>10530048</v>
          </cell>
          <cell r="F4589" t="str">
            <v>0013</v>
          </cell>
          <cell r="G4589">
            <v>7</v>
          </cell>
          <cell r="H4589">
            <v>11.15</v>
          </cell>
          <cell r="I4589">
            <v>458.27948430000004</v>
          </cell>
          <cell r="J4589">
            <v>0</v>
          </cell>
        </row>
        <row r="4590">
          <cell r="E4590">
            <v>10530048</v>
          </cell>
          <cell r="F4590" t="str">
            <v>0015</v>
          </cell>
          <cell r="G4590">
            <v>14</v>
          </cell>
          <cell r="H4590">
            <v>46.699999999999996</v>
          </cell>
          <cell r="I4590">
            <v>1714.1522341680004</v>
          </cell>
          <cell r="J4590">
            <v>0</v>
          </cell>
        </row>
        <row r="4591">
          <cell r="E4591">
            <v>10530048</v>
          </cell>
          <cell r="F4591" t="str">
            <v>0018</v>
          </cell>
          <cell r="G4591">
            <v>14</v>
          </cell>
          <cell r="H4591">
            <v>70.72</v>
          </cell>
          <cell r="I4591">
            <v>2393.0684300556004</v>
          </cell>
          <cell r="J4591">
            <v>0</v>
          </cell>
        </row>
        <row r="4592">
          <cell r="E4592">
            <v>10530048</v>
          </cell>
          <cell r="F4592" t="str">
            <v>0019</v>
          </cell>
          <cell r="G4592">
            <v>7</v>
          </cell>
          <cell r="H4592">
            <v>15.600000000000001</v>
          </cell>
          <cell r="I4592">
            <v>663.07461600420004</v>
          </cell>
          <cell r="J4592">
            <v>0</v>
          </cell>
        </row>
        <row r="4593">
          <cell r="E4593">
            <v>10530048</v>
          </cell>
          <cell r="F4593" t="str">
            <v>0027</v>
          </cell>
          <cell r="G4593">
            <v>7</v>
          </cell>
          <cell r="H4593">
            <v>25.21</v>
          </cell>
          <cell r="I4593">
            <v>870.4522082520001</v>
          </cell>
          <cell r="J4593">
            <v>0</v>
          </cell>
        </row>
        <row r="4594">
          <cell r="E4594">
            <v>10530048</v>
          </cell>
          <cell r="F4594" t="str">
            <v>0030</v>
          </cell>
          <cell r="G4594">
            <v>7</v>
          </cell>
          <cell r="H4594">
            <v>17.43</v>
          </cell>
          <cell r="I4594">
            <v>695.98394751600017</v>
          </cell>
          <cell r="J4594">
            <v>0</v>
          </cell>
        </row>
        <row r="4595">
          <cell r="E4595">
            <v>10530048</v>
          </cell>
          <cell r="F4595" t="str">
            <v>0031</v>
          </cell>
          <cell r="G4595">
            <v>14</v>
          </cell>
          <cell r="H4595">
            <v>55.59</v>
          </cell>
          <cell r="I4595">
            <v>1994.3662266792001</v>
          </cell>
          <cell r="J4595">
            <v>0</v>
          </cell>
        </row>
        <row r="4596">
          <cell r="E4596">
            <v>10530048</v>
          </cell>
          <cell r="F4596" t="str">
            <v>0034</v>
          </cell>
          <cell r="G4596">
            <v>14</v>
          </cell>
          <cell r="H4596">
            <v>51.470000000000006</v>
          </cell>
          <cell r="I4596">
            <v>1848.7925290494002</v>
          </cell>
          <cell r="J4596">
            <v>0</v>
          </cell>
        </row>
        <row r="4597">
          <cell r="E4597">
            <v>10530048</v>
          </cell>
          <cell r="F4597" t="str">
            <v>0035</v>
          </cell>
          <cell r="G4597">
            <v>12</v>
          </cell>
          <cell r="H4597">
            <v>23.63</v>
          </cell>
          <cell r="I4597">
            <v>865.57678513020016</v>
          </cell>
          <cell r="J4597">
            <v>0</v>
          </cell>
        </row>
        <row r="4598">
          <cell r="E4598">
            <v>10530055</v>
          </cell>
          <cell r="F4598" t="str">
            <v>0001</v>
          </cell>
          <cell r="G4598">
            <v>14</v>
          </cell>
          <cell r="H4598">
            <v>33.099999999999994</v>
          </cell>
          <cell r="I4598">
            <v>1488.629393102</v>
          </cell>
          <cell r="J4598">
            <v>0</v>
          </cell>
        </row>
        <row r="4599">
          <cell r="E4599">
            <v>10530055</v>
          </cell>
          <cell r="F4599" t="str">
            <v>0002</v>
          </cell>
          <cell r="G4599">
            <v>9</v>
          </cell>
          <cell r="H4599">
            <v>38.94</v>
          </cell>
          <cell r="I4599">
            <v>1767.5262155252003</v>
          </cell>
          <cell r="J4599">
            <v>0</v>
          </cell>
        </row>
        <row r="4600">
          <cell r="E4600">
            <v>10530055</v>
          </cell>
          <cell r="F4600" t="str">
            <v>0003</v>
          </cell>
          <cell r="G4600">
            <v>8</v>
          </cell>
          <cell r="H4600">
            <v>33.029999999999994</v>
          </cell>
          <cell r="I4600">
            <v>1178.1641957832001</v>
          </cell>
          <cell r="J4600">
            <v>0</v>
          </cell>
        </row>
        <row r="4601">
          <cell r="E4601">
            <v>10530055</v>
          </cell>
          <cell r="F4601" t="str">
            <v>0005</v>
          </cell>
          <cell r="G4601">
            <v>14</v>
          </cell>
          <cell r="H4601">
            <v>406.61</v>
          </cell>
          <cell r="I4601">
            <v>15396.983447076002</v>
          </cell>
          <cell r="J4601">
            <v>0</v>
          </cell>
        </row>
        <row r="4602">
          <cell r="E4602">
            <v>10530055</v>
          </cell>
          <cell r="F4602" t="str">
            <v>0007</v>
          </cell>
          <cell r="G4602">
            <v>14</v>
          </cell>
          <cell r="H4602">
            <v>77.319999999999993</v>
          </cell>
          <cell r="I4602">
            <v>2488.1747484132006</v>
          </cell>
          <cell r="J4602">
            <v>0</v>
          </cell>
        </row>
        <row r="4603">
          <cell r="E4603">
            <v>10530055</v>
          </cell>
          <cell r="F4603" t="str">
            <v>0009</v>
          </cell>
          <cell r="G4603">
            <v>7</v>
          </cell>
          <cell r="H4603">
            <v>12.76</v>
          </cell>
          <cell r="I4603">
            <v>481.0784090904001</v>
          </cell>
          <cell r="J4603">
            <v>0</v>
          </cell>
        </row>
        <row r="4604">
          <cell r="E4604">
            <v>10530055</v>
          </cell>
          <cell r="F4604" t="str">
            <v>0010</v>
          </cell>
          <cell r="G4604">
            <v>13</v>
          </cell>
          <cell r="H4604">
            <v>55.029999999999994</v>
          </cell>
          <cell r="I4604">
            <v>2005.9125985602</v>
          </cell>
          <cell r="J4604">
            <v>0</v>
          </cell>
        </row>
        <row r="4605">
          <cell r="E4605">
            <v>10530055</v>
          </cell>
          <cell r="F4605" t="str">
            <v>0013</v>
          </cell>
          <cell r="G4605">
            <v>14</v>
          </cell>
          <cell r="H4605">
            <v>65.81</v>
          </cell>
          <cell r="I4605">
            <v>3196.0814093515</v>
          </cell>
          <cell r="J4605">
            <v>0</v>
          </cell>
        </row>
        <row r="4606">
          <cell r="E4606">
            <v>10530055</v>
          </cell>
          <cell r="F4606" t="str">
            <v>0015</v>
          </cell>
          <cell r="G4606">
            <v>9</v>
          </cell>
          <cell r="H4606">
            <v>8.68</v>
          </cell>
          <cell r="I4606">
            <v>345.37862026799996</v>
          </cell>
          <cell r="J4606">
            <v>0</v>
          </cell>
        </row>
        <row r="4607">
          <cell r="E4607">
            <v>10530055</v>
          </cell>
          <cell r="F4607" t="str">
            <v>0017</v>
          </cell>
          <cell r="G4607">
            <v>14</v>
          </cell>
          <cell r="H4607">
            <v>42.699999999999996</v>
          </cell>
          <cell r="I4607">
            <v>1627.3249185600002</v>
          </cell>
          <cell r="J4607">
            <v>0</v>
          </cell>
        </row>
        <row r="4608">
          <cell r="E4608">
            <v>10530055</v>
          </cell>
          <cell r="F4608" t="str">
            <v>0018</v>
          </cell>
          <cell r="G4608">
            <v>8</v>
          </cell>
          <cell r="H4608">
            <v>16.75</v>
          </cell>
          <cell r="I4608">
            <v>940.18976133599995</v>
          </cell>
          <cell r="J4608">
            <v>0</v>
          </cell>
        </row>
        <row r="4609">
          <cell r="E4609">
            <v>10530055</v>
          </cell>
          <cell r="F4609" t="str">
            <v>0019</v>
          </cell>
          <cell r="G4609">
            <v>13</v>
          </cell>
          <cell r="H4609">
            <v>84.34</v>
          </cell>
          <cell r="I4609">
            <v>3565.5518018044399</v>
          </cell>
          <cell r="J4609">
            <v>0</v>
          </cell>
        </row>
        <row r="4610">
          <cell r="E4610">
            <v>10530055</v>
          </cell>
          <cell r="F4610" t="str">
            <v>0020</v>
          </cell>
          <cell r="G4610">
            <v>4</v>
          </cell>
          <cell r="H4610">
            <v>5.86</v>
          </cell>
          <cell r="I4610">
            <v>244.52448372000003</v>
          </cell>
          <cell r="J4610">
            <v>0</v>
          </cell>
        </row>
        <row r="4611">
          <cell r="E4611">
            <v>10530055</v>
          </cell>
          <cell r="F4611" t="str">
            <v>0021</v>
          </cell>
          <cell r="G4611">
            <v>12</v>
          </cell>
          <cell r="H4611">
            <v>17.28</v>
          </cell>
          <cell r="I4611">
            <v>882.41279242900009</v>
          </cell>
          <cell r="J4611">
            <v>0</v>
          </cell>
        </row>
        <row r="4612">
          <cell r="E4612">
            <v>10530055</v>
          </cell>
          <cell r="F4612" t="str">
            <v>0024</v>
          </cell>
          <cell r="G4612">
            <v>6</v>
          </cell>
          <cell r="H4612">
            <v>10.78</v>
          </cell>
          <cell r="I4612">
            <v>431.19380502000001</v>
          </cell>
          <cell r="J4612">
            <v>0</v>
          </cell>
        </row>
        <row r="4613">
          <cell r="E4613">
            <v>10530055</v>
          </cell>
          <cell r="F4613" t="str">
            <v>0025</v>
          </cell>
          <cell r="G4613">
            <v>14</v>
          </cell>
          <cell r="H4613">
            <v>56.239999999999995</v>
          </cell>
          <cell r="I4613">
            <v>1848.0443999292002</v>
          </cell>
          <cell r="J4613">
            <v>0</v>
          </cell>
        </row>
        <row r="4614">
          <cell r="E4614">
            <v>10530055</v>
          </cell>
          <cell r="F4614" t="str">
            <v>0026</v>
          </cell>
          <cell r="G4614">
            <v>7</v>
          </cell>
          <cell r="H4614">
            <v>30.169999999999998</v>
          </cell>
          <cell r="I4614">
            <v>1184.2555408200003</v>
          </cell>
          <cell r="J4614">
            <v>0</v>
          </cell>
        </row>
        <row r="4615">
          <cell r="E4615">
            <v>10530055</v>
          </cell>
          <cell r="F4615" t="str">
            <v>0027</v>
          </cell>
          <cell r="G4615">
            <v>12</v>
          </cell>
          <cell r="H4615">
            <v>57.64</v>
          </cell>
          <cell r="I4615">
            <v>2367.0409965839999</v>
          </cell>
          <cell r="J4615">
            <v>0</v>
          </cell>
        </row>
        <row r="4616">
          <cell r="E4616">
            <v>10530055</v>
          </cell>
          <cell r="F4616" t="str">
            <v>0028</v>
          </cell>
          <cell r="G4616">
            <v>7</v>
          </cell>
          <cell r="H4616">
            <v>20.98</v>
          </cell>
          <cell r="I4616">
            <v>924.96131070120009</v>
          </cell>
          <cell r="J4616">
            <v>0</v>
          </cell>
        </row>
        <row r="4617">
          <cell r="E4617">
            <v>10530055</v>
          </cell>
          <cell r="F4617" t="str">
            <v>0029</v>
          </cell>
          <cell r="G4617">
            <v>13</v>
          </cell>
          <cell r="H4617">
            <v>61.230000000000004</v>
          </cell>
          <cell r="I4617">
            <v>2074.9657629096</v>
          </cell>
          <cell r="J4617">
            <v>0</v>
          </cell>
        </row>
        <row r="4618">
          <cell r="E4618">
            <v>10530055</v>
          </cell>
          <cell r="F4618" t="str">
            <v>0034</v>
          </cell>
          <cell r="G4618">
            <v>14</v>
          </cell>
          <cell r="H4618">
            <v>45.839999999999996</v>
          </cell>
          <cell r="I4618">
            <v>1587.3636259800003</v>
          </cell>
          <cell r="J4618">
            <v>0</v>
          </cell>
        </row>
        <row r="4619">
          <cell r="E4619">
            <v>10530055</v>
          </cell>
          <cell r="F4619" t="str">
            <v>0038</v>
          </cell>
          <cell r="G4619">
            <v>7</v>
          </cell>
          <cell r="H4619">
            <v>13.609999999999998</v>
          </cell>
          <cell r="I4619">
            <v>855.67200596539999</v>
          </cell>
          <cell r="J4619">
            <v>0</v>
          </cell>
        </row>
        <row r="4620">
          <cell r="E4620">
            <v>10530055</v>
          </cell>
          <cell r="F4620" t="str">
            <v>0041</v>
          </cell>
          <cell r="G4620">
            <v>14</v>
          </cell>
          <cell r="H4620">
            <v>32.349999999999994</v>
          </cell>
          <cell r="I4620">
            <v>1179.7078213800003</v>
          </cell>
          <cell r="J4620">
            <v>0</v>
          </cell>
        </row>
        <row r="4621">
          <cell r="E4621">
            <v>10530055</v>
          </cell>
          <cell r="F4621" t="str">
            <v>0049</v>
          </cell>
          <cell r="G4621">
            <v>6</v>
          </cell>
          <cell r="H4621">
            <v>28.93</v>
          </cell>
          <cell r="I4621">
            <v>1094.709020328</v>
          </cell>
          <cell r="J4621">
            <v>0</v>
          </cell>
        </row>
        <row r="4622">
          <cell r="E4622">
            <v>10530055</v>
          </cell>
          <cell r="F4622" t="str">
            <v>0052</v>
          </cell>
          <cell r="G4622">
            <v>13</v>
          </cell>
          <cell r="H4622">
            <v>26.58</v>
          </cell>
          <cell r="I4622">
            <v>838.77436480860001</v>
          </cell>
          <cell r="J4622">
            <v>0</v>
          </cell>
        </row>
        <row r="4623">
          <cell r="E4623">
            <v>10530055</v>
          </cell>
          <cell r="F4623" t="str">
            <v>0053</v>
          </cell>
          <cell r="G4623">
            <v>14</v>
          </cell>
          <cell r="H4623">
            <v>89.550000000000011</v>
          </cell>
          <cell r="I4623">
            <v>3211.9447474026001</v>
          </cell>
          <cell r="J4623">
            <v>0</v>
          </cell>
        </row>
        <row r="4624">
          <cell r="E4624">
            <v>10530055</v>
          </cell>
          <cell r="F4624" t="str">
            <v>0054</v>
          </cell>
          <cell r="G4624">
            <v>7</v>
          </cell>
          <cell r="H4624">
            <v>15.070000000000002</v>
          </cell>
          <cell r="I4624">
            <v>1206.4521856322997</v>
          </cell>
          <cell r="J4624">
            <v>0</v>
          </cell>
        </row>
        <row r="4625">
          <cell r="E4625">
            <v>10530055</v>
          </cell>
          <cell r="F4625" t="str">
            <v>0055</v>
          </cell>
          <cell r="G4625">
            <v>3</v>
          </cell>
          <cell r="H4625">
            <v>5.67</v>
          </cell>
          <cell r="I4625">
            <v>409.42357862289992</v>
          </cell>
          <cell r="J4625">
            <v>0</v>
          </cell>
        </row>
        <row r="4626">
          <cell r="E4626">
            <v>10530055</v>
          </cell>
          <cell r="F4626" t="str">
            <v>0058</v>
          </cell>
          <cell r="G4626">
            <v>8</v>
          </cell>
          <cell r="H4626">
            <v>35.849999999999994</v>
          </cell>
          <cell r="I4626">
            <v>1965.5420706986999</v>
          </cell>
          <cell r="J4626">
            <v>0</v>
          </cell>
        </row>
        <row r="4627">
          <cell r="E4627">
            <v>10530055</v>
          </cell>
          <cell r="F4627" t="str">
            <v>0059</v>
          </cell>
          <cell r="G4627">
            <v>7</v>
          </cell>
          <cell r="H4627">
            <v>24.34</v>
          </cell>
          <cell r="I4627">
            <v>969.16470948000006</v>
          </cell>
          <cell r="J4627">
            <v>0</v>
          </cell>
        </row>
        <row r="4628">
          <cell r="E4628">
            <v>10530055</v>
          </cell>
          <cell r="F4628" t="str">
            <v>0060</v>
          </cell>
          <cell r="G4628">
            <v>12</v>
          </cell>
          <cell r="H4628">
            <v>15.770000000000001</v>
          </cell>
          <cell r="I4628">
            <v>1212.9763258336998</v>
          </cell>
          <cell r="J4628">
            <v>0</v>
          </cell>
        </row>
        <row r="4629">
          <cell r="E4629">
            <v>10530055</v>
          </cell>
          <cell r="F4629" t="str">
            <v>0062</v>
          </cell>
          <cell r="G4629">
            <v>7</v>
          </cell>
          <cell r="H4629">
            <v>11.519999999999998</v>
          </cell>
          <cell r="I4629">
            <v>655.58426065550009</v>
          </cell>
          <cell r="J4629">
            <v>0</v>
          </cell>
        </row>
        <row r="4630">
          <cell r="E4630">
            <v>10530055</v>
          </cell>
          <cell r="F4630" t="str">
            <v>0063</v>
          </cell>
          <cell r="G4630">
            <v>14</v>
          </cell>
          <cell r="H4630">
            <v>65.27</v>
          </cell>
          <cell r="I4630">
            <v>2571.0530729400002</v>
          </cell>
          <cell r="J4630">
            <v>0</v>
          </cell>
        </row>
        <row r="4631">
          <cell r="E4631">
            <v>10530055</v>
          </cell>
          <cell r="F4631" t="str">
            <v>0064</v>
          </cell>
          <cell r="G4631">
            <v>7</v>
          </cell>
          <cell r="H4631">
            <v>13.540000000000001</v>
          </cell>
          <cell r="I4631">
            <v>537.95598199200003</v>
          </cell>
          <cell r="J4631">
            <v>0</v>
          </cell>
        </row>
        <row r="4632">
          <cell r="E4632">
            <v>10530055</v>
          </cell>
          <cell r="F4632" t="str">
            <v>0067</v>
          </cell>
          <cell r="G4632">
            <v>14</v>
          </cell>
          <cell r="H4632">
            <v>45.860000000000007</v>
          </cell>
          <cell r="I4632">
            <v>1853.96743818</v>
          </cell>
          <cell r="J4632">
            <v>0</v>
          </cell>
        </row>
        <row r="4633">
          <cell r="E4633">
            <v>10530055</v>
          </cell>
          <cell r="F4633" t="str">
            <v>0068</v>
          </cell>
          <cell r="G4633">
            <v>7</v>
          </cell>
          <cell r="H4633">
            <v>17.07</v>
          </cell>
          <cell r="I4633">
            <v>589.36689028800015</v>
          </cell>
          <cell r="J4633">
            <v>0</v>
          </cell>
        </row>
        <row r="4634">
          <cell r="E4634">
            <v>10530055</v>
          </cell>
          <cell r="F4634" t="str">
            <v>0069</v>
          </cell>
          <cell r="G4634">
            <v>7</v>
          </cell>
          <cell r="H4634">
            <v>32.879999999999995</v>
          </cell>
          <cell r="I4634">
            <v>1101.2208902244001</v>
          </cell>
          <cell r="J4634">
            <v>0</v>
          </cell>
        </row>
        <row r="4635">
          <cell r="E4635">
            <v>10530055</v>
          </cell>
          <cell r="F4635" t="str">
            <v>0072</v>
          </cell>
          <cell r="G4635">
            <v>14</v>
          </cell>
          <cell r="H4635">
            <v>76.36999999999999</v>
          </cell>
          <cell r="I4635">
            <v>5464.7864494287996</v>
          </cell>
          <cell r="J4635">
            <v>0</v>
          </cell>
        </row>
        <row r="4636">
          <cell r="E4636">
            <v>10530055</v>
          </cell>
          <cell r="F4636" t="str">
            <v>0073</v>
          </cell>
          <cell r="G4636">
            <v>7</v>
          </cell>
          <cell r="H4636">
            <v>21.45</v>
          </cell>
          <cell r="I4636">
            <v>776.13429009600009</v>
          </cell>
          <cell r="J4636">
            <v>0</v>
          </cell>
        </row>
        <row r="4637">
          <cell r="E4637">
            <v>10530055</v>
          </cell>
          <cell r="F4637" t="str">
            <v>0074</v>
          </cell>
          <cell r="G4637">
            <v>11</v>
          </cell>
          <cell r="H4637">
            <v>26.169999999999998</v>
          </cell>
          <cell r="I4637">
            <v>1121.9264056440002</v>
          </cell>
          <cell r="J4637">
            <v>0</v>
          </cell>
        </row>
        <row r="4638">
          <cell r="E4638">
            <v>10530055</v>
          </cell>
          <cell r="F4638" t="str">
            <v>0075</v>
          </cell>
          <cell r="G4638">
            <v>14</v>
          </cell>
          <cell r="H4638">
            <v>32.11</v>
          </cell>
          <cell r="I4638">
            <v>1135.6795733580002</v>
          </cell>
          <cell r="J4638">
            <v>0</v>
          </cell>
        </row>
        <row r="4639">
          <cell r="E4639">
            <v>10530055</v>
          </cell>
          <cell r="F4639" t="str">
            <v>0076</v>
          </cell>
          <cell r="G4639">
            <v>14</v>
          </cell>
          <cell r="H4639">
            <v>47.86999999999999</v>
          </cell>
          <cell r="I4639">
            <v>3226.6056410167002</v>
          </cell>
          <cell r="J4639">
            <v>0</v>
          </cell>
        </row>
        <row r="4640">
          <cell r="E4640">
            <v>10530055</v>
          </cell>
          <cell r="F4640" t="str">
            <v>0077</v>
          </cell>
          <cell r="G4640">
            <v>14</v>
          </cell>
          <cell r="H4640">
            <v>41.829999999999984</v>
          </cell>
          <cell r="I4640">
            <v>1398.2071922477999</v>
          </cell>
          <cell r="J4640">
            <v>0</v>
          </cell>
        </row>
        <row r="4641">
          <cell r="E4641">
            <v>10530055</v>
          </cell>
          <cell r="F4641" t="str">
            <v>0078</v>
          </cell>
          <cell r="G4641">
            <v>7</v>
          </cell>
          <cell r="H4641">
            <v>21.39</v>
          </cell>
          <cell r="I4641">
            <v>835.3971782640001</v>
          </cell>
          <cell r="J4641">
            <v>0</v>
          </cell>
        </row>
        <row r="4642">
          <cell r="E4642">
            <v>10530055</v>
          </cell>
          <cell r="F4642" t="str">
            <v>0079</v>
          </cell>
          <cell r="G4642">
            <v>10</v>
          </cell>
          <cell r="H4642">
            <v>24.54</v>
          </cell>
          <cell r="I4642">
            <v>886.34765528100002</v>
          </cell>
          <cell r="J4642">
            <v>0</v>
          </cell>
        </row>
        <row r="4643">
          <cell r="E4643">
            <v>10530055</v>
          </cell>
          <cell r="F4643" t="str">
            <v>0080</v>
          </cell>
          <cell r="G4643">
            <v>12</v>
          </cell>
          <cell r="H4643">
            <v>30.62</v>
          </cell>
          <cell r="I4643">
            <v>1069.2594974754002</v>
          </cell>
          <cell r="J4643">
            <v>0</v>
          </cell>
        </row>
        <row r="4644">
          <cell r="E4644">
            <v>10530055</v>
          </cell>
          <cell r="F4644" t="str">
            <v>0081</v>
          </cell>
          <cell r="G4644">
            <v>13</v>
          </cell>
          <cell r="H4644">
            <v>32.130000000000003</v>
          </cell>
          <cell r="I4644">
            <v>2071.1821116860001</v>
          </cell>
          <cell r="J4644">
            <v>0</v>
          </cell>
        </row>
        <row r="4645">
          <cell r="E4645">
            <v>10530055</v>
          </cell>
          <cell r="F4645" t="str">
            <v>0082</v>
          </cell>
          <cell r="G4645">
            <v>13</v>
          </cell>
          <cell r="H4645">
            <v>45.42</v>
          </cell>
          <cell r="I4645">
            <v>1605.2231265840001</v>
          </cell>
          <cell r="J4645">
            <v>0</v>
          </cell>
        </row>
        <row r="4646">
          <cell r="E4646">
            <v>10530055</v>
          </cell>
          <cell r="F4646" t="str">
            <v>0083</v>
          </cell>
          <cell r="G4646">
            <v>13</v>
          </cell>
          <cell r="H4646">
            <v>71.42</v>
          </cell>
          <cell r="I4646">
            <v>2613.9956918526004</v>
          </cell>
          <cell r="J4646">
            <v>0</v>
          </cell>
        </row>
        <row r="4647">
          <cell r="E4647">
            <v>10530055</v>
          </cell>
          <cell r="F4647" t="str">
            <v>0084</v>
          </cell>
          <cell r="G4647">
            <v>8</v>
          </cell>
          <cell r="H4647">
            <v>14</v>
          </cell>
          <cell r="I4647">
            <v>560.20165344000009</v>
          </cell>
          <cell r="J4647">
            <v>0</v>
          </cell>
        </row>
        <row r="4648">
          <cell r="E4648">
            <v>10530055</v>
          </cell>
          <cell r="F4648" t="str">
            <v>0085</v>
          </cell>
          <cell r="G4648">
            <v>7</v>
          </cell>
          <cell r="H4648">
            <v>30.810000000000002</v>
          </cell>
          <cell r="I4648">
            <v>1095.2120489904</v>
          </cell>
          <cell r="J4648">
            <v>0</v>
          </cell>
        </row>
        <row r="4649">
          <cell r="E4649">
            <v>10530055</v>
          </cell>
          <cell r="F4649" t="str">
            <v>0086</v>
          </cell>
          <cell r="G4649">
            <v>7</v>
          </cell>
          <cell r="H4649">
            <v>30.05</v>
          </cell>
          <cell r="I4649">
            <v>1100.5047959400001</v>
          </cell>
          <cell r="J4649">
            <v>0</v>
          </cell>
        </row>
        <row r="4650">
          <cell r="E4650">
            <v>10530058</v>
          </cell>
          <cell r="F4650" t="str">
            <v>0002</v>
          </cell>
          <cell r="G4650">
            <v>8</v>
          </cell>
          <cell r="H4650">
            <v>19.14</v>
          </cell>
          <cell r="I4650">
            <v>942.03043470899979</v>
          </cell>
          <cell r="J4650">
            <v>0</v>
          </cell>
        </row>
        <row r="4651">
          <cell r="E4651">
            <v>10530058</v>
          </cell>
          <cell r="F4651" t="str">
            <v>0003</v>
          </cell>
          <cell r="G4651">
            <v>14</v>
          </cell>
          <cell r="H4651">
            <v>58.58</v>
          </cell>
          <cell r="I4651">
            <v>2278.3740518879999</v>
          </cell>
          <cell r="J4651">
            <v>0</v>
          </cell>
        </row>
        <row r="4652">
          <cell r="E4652">
            <v>10530058</v>
          </cell>
          <cell r="F4652" t="str">
            <v>0007</v>
          </cell>
          <cell r="G4652">
            <v>2</v>
          </cell>
          <cell r="H4652">
            <v>2.76</v>
          </cell>
          <cell r="I4652">
            <v>97.870366044000008</v>
          </cell>
          <cell r="J4652">
            <v>0</v>
          </cell>
        </row>
        <row r="4653">
          <cell r="E4653">
            <v>10530058</v>
          </cell>
          <cell r="F4653" t="str">
            <v>0011</v>
          </cell>
          <cell r="G4653">
            <v>14</v>
          </cell>
          <cell r="H4653">
            <v>15.39</v>
          </cell>
          <cell r="I4653">
            <v>690.79508583459005</v>
          </cell>
          <cell r="J4653">
            <v>0</v>
          </cell>
        </row>
        <row r="4654">
          <cell r="E4654">
            <v>10530058</v>
          </cell>
          <cell r="F4654" t="str">
            <v>0013</v>
          </cell>
          <cell r="G4654">
            <v>14</v>
          </cell>
          <cell r="H4654">
            <v>42.95</v>
          </cell>
          <cell r="I4654">
            <v>1538.2202152680002</v>
          </cell>
          <cell r="J4654">
            <v>0</v>
          </cell>
        </row>
        <row r="4655">
          <cell r="E4655">
            <v>10530058</v>
          </cell>
          <cell r="F4655" t="str">
            <v>0014</v>
          </cell>
          <cell r="G4655">
            <v>1</v>
          </cell>
          <cell r="H4655">
            <v>0.93</v>
          </cell>
          <cell r="I4655">
            <v>30.948717313800003</v>
          </cell>
          <cell r="J4655">
            <v>0</v>
          </cell>
        </row>
        <row r="4656">
          <cell r="E4656">
            <v>10530058</v>
          </cell>
          <cell r="F4656" t="str">
            <v>0015</v>
          </cell>
          <cell r="G4656">
            <v>6</v>
          </cell>
          <cell r="H4656">
            <v>14.249999999999998</v>
          </cell>
          <cell r="I4656">
            <v>451.09701707400006</v>
          </cell>
          <cell r="J4656">
            <v>0</v>
          </cell>
        </row>
        <row r="4657">
          <cell r="E4657">
            <v>10530058</v>
          </cell>
          <cell r="F4657" t="str">
            <v>0017</v>
          </cell>
          <cell r="G4657">
            <v>8</v>
          </cell>
          <cell r="H4657">
            <v>30.909999999999997</v>
          </cell>
          <cell r="I4657">
            <v>1063.1344513878</v>
          </cell>
          <cell r="J4657">
            <v>0</v>
          </cell>
        </row>
        <row r="4658">
          <cell r="E4658">
            <v>10530058</v>
          </cell>
          <cell r="F4658" t="str">
            <v>0018</v>
          </cell>
          <cell r="G4658">
            <v>13</v>
          </cell>
          <cell r="H4658">
            <v>51.989999999999995</v>
          </cell>
          <cell r="I4658">
            <v>1832.0634371159999</v>
          </cell>
          <cell r="J4658">
            <v>0</v>
          </cell>
        </row>
        <row r="4659">
          <cell r="E4659">
            <v>10530058</v>
          </cell>
          <cell r="F4659" t="str">
            <v>0023</v>
          </cell>
          <cell r="G4659">
            <v>7</v>
          </cell>
          <cell r="H4659">
            <v>27.150000000000002</v>
          </cell>
          <cell r="I4659">
            <v>1012.197674664</v>
          </cell>
          <cell r="J4659">
            <v>0</v>
          </cell>
        </row>
        <row r="4660">
          <cell r="E4660">
            <v>10530058</v>
          </cell>
          <cell r="F4660" t="str">
            <v>0028</v>
          </cell>
          <cell r="G4660">
            <v>7</v>
          </cell>
          <cell r="H4660">
            <v>22.5</v>
          </cell>
          <cell r="I4660">
            <v>909.00391377510005</v>
          </cell>
          <cell r="J4660">
            <v>0</v>
          </cell>
        </row>
        <row r="4661">
          <cell r="E4661">
            <v>10530062</v>
          </cell>
          <cell r="F4661" t="str">
            <v>0001</v>
          </cell>
          <cell r="G4661">
            <v>14</v>
          </cell>
          <cell r="H4661">
            <v>15.869999999999997</v>
          </cell>
          <cell r="I4661">
            <v>654.95292094760009</v>
          </cell>
          <cell r="J4661">
            <v>0</v>
          </cell>
        </row>
        <row r="4662">
          <cell r="E4662">
            <v>10530062</v>
          </cell>
          <cell r="F4662" t="str">
            <v>0002</v>
          </cell>
          <cell r="G4662">
            <v>12</v>
          </cell>
          <cell r="H4662">
            <v>195.97000000000003</v>
          </cell>
          <cell r="I4662">
            <v>8196.874864020052</v>
          </cell>
          <cell r="J4662">
            <v>0</v>
          </cell>
        </row>
        <row r="4663">
          <cell r="E4663">
            <v>10530062</v>
          </cell>
          <cell r="F4663" t="str">
            <v>0003</v>
          </cell>
          <cell r="G4663">
            <v>14</v>
          </cell>
          <cell r="H4663">
            <v>399.11999999999989</v>
          </cell>
          <cell r="I4663">
            <v>16461.498227502463</v>
          </cell>
          <cell r="J4663">
            <v>0</v>
          </cell>
        </row>
        <row r="4664">
          <cell r="E4664">
            <v>10530062</v>
          </cell>
          <cell r="F4664" t="str">
            <v>0005</v>
          </cell>
          <cell r="G4664">
            <v>13</v>
          </cell>
          <cell r="H4664">
            <v>175.73999999999998</v>
          </cell>
          <cell r="I4664">
            <v>7811.7403805547801</v>
          </cell>
          <cell r="J4664">
            <v>0</v>
          </cell>
        </row>
        <row r="4665">
          <cell r="E4665">
            <v>10530062</v>
          </cell>
          <cell r="F4665" t="str">
            <v>0006</v>
          </cell>
          <cell r="G4665">
            <v>14</v>
          </cell>
          <cell r="H4665">
            <v>58.92</v>
          </cell>
          <cell r="I4665">
            <v>2108.3353101360003</v>
          </cell>
          <cell r="J4665">
            <v>0</v>
          </cell>
        </row>
        <row r="4666">
          <cell r="E4666">
            <v>10530062</v>
          </cell>
          <cell r="F4666" t="str">
            <v>0008</v>
          </cell>
          <cell r="G4666">
            <v>13</v>
          </cell>
          <cell r="H4666">
            <v>39.92</v>
          </cell>
          <cell r="I4666">
            <v>1541.4413941080002</v>
          </cell>
          <cell r="J4666">
            <v>0</v>
          </cell>
        </row>
        <row r="4667">
          <cell r="E4667">
            <v>10530062</v>
          </cell>
          <cell r="F4667" t="str">
            <v>0012</v>
          </cell>
          <cell r="G4667">
            <v>13</v>
          </cell>
          <cell r="H4667">
            <v>157.07999999999998</v>
          </cell>
          <cell r="I4667">
            <v>6773.4965493046802</v>
          </cell>
          <cell r="J4667">
            <v>0</v>
          </cell>
        </row>
        <row r="4668">
          <cell r="E4668">
            <v>10530062</v>
          </cell>
          <cell r="F4668" t="str">
            <v>0014</v>
          </cell>
          <cell r="G4668">
            <v>14</v>
          </cell>
          <cell r="H4668">
            <v>17.520000000000003</v>
          </cell>
          <cell r="I4668">
            <v>631.27334160000009</v>
          </cell>
          <cell r="J4668">
            <v>0</v>
          </cell>
        </row>
        <row r="4669">
          <cell r="E4669">
            <v>10530062</v>
          </cell>
          <cell r="F4669" t="str">
            <v>0016</v>
          </cell>
          <cell r="G4669">
            <v>5</v>
          </cell>
          <cell r="H4669">
            <v>8.3099999999999987</v>
          </cell>
          <cell r="I4669">
            <v>549.70889604209992</v>
          </cell>
          <cell r="J4669">
            <v>0</v>
          </cell>
        </row>
        <row r="4670">
          <cell r="E4670">
            <v>10530062</v>
          </cell>
          <cell r="F4670" t="str">
            <v>0018</v>
          </cell>
          <cell r="G4670">
            <v>13</v>
          </cell>
          <cell r="H4670">
            <v>35.75</v>
          </cell>
          <cell r="I4670">
            <v>1641.81333720523</v>
          </cell>
          <cell r="J4670">
            <v>0</v>
          </cell>
        </row>
        <row r="4671">
          <cell r="E4671">
            <v>10530062</v>
          </cell>
          <cell r="F4671" t="str">
            <v>0023</v>
          </cell>
          <cell r="G4671">
            <v>6</v>
          </cell>
          <cell r="H4671">
            <v>12.600000000000001</v>
          </cell>
          <cell r="I4671">
            <v>426.99533857199998</v>
          </cell>
          <cell r="J4671">
            <v>0</v>
          </cell>
        </row>
        <row r="4672">
          <cell r="E4672">
            <v>10530064</v>
          </cell>
          <cell r="F4672" t="str">
            <v>0001</v>
          </cell>
          <cell r="G4672">
            <v>14</v>
          </cell>
          <cell r="H4672">
            <v>22.689999999999998</v>
          </cell>
          <cell r="I4672">
            <v>933.38136936000024</v>
          </cell>
          <cell r="J4672">
            <v>0</v>
          </cell>
        </row>
        <row r="4673">
          <cell r="E4673">
            <v>10530064</v>
          </cell>
          <cell r="F4673" t="str">
            <v>0002</v>
          </cell>
          <cell r="G4673">
            <v>11</v>
          </cell>
          <cell r="H4673">
            <v>48.850000000000009</v>
          </cell>
          <cell r="I4673">
            <v>2190.1168246525999</v>
          </cell>
          <cell r="J4673">
            <v>0</v>
          </cell>
        </row>
        <row r="4674">
          <cell r="E4674">
            <v>10530064</v>
          </cell>
          <cell r="F4674" t="str">
            <v>0003</v>
          </cell>
          <cell r="G4674">
            <v>14</v>
          </cell>
          <cell r="H4674">
            <v>36.129999999999995</v>
          </cell>
          <cell r="I4674">
            <v>1452.838865148</v>
          </cell>
          <cell r="J4674">
            <v>0</v>
          </cell>
        </row>
        <row r="4675">
          <cell r="E4675">
            <v>10530064</v>
          </cell>
          <cell r="F4675" t="str">
            <v>0004</v>
          </cell>
          <cell r="G4675">
            <v>13</v>
          </cell>
          <cell r="H4675">
            <v>27.94</v>
          </cell>
          <cell r="I4675">
            <v>1279.67051352162</v>
          </cell>
          <cell r="J4675">
            <v>0</v>
          </cell>
        </row>
        <row r="4676">
          <cell r="E4676">
            <v>10530064</v>
          </cell>
          <cell r="F4676" t="str">
            <v>0006</v>
          </cell>
          <cell r="G4676">
            <v>13</v>
          </cell>
          <cell r="H4676">
            <v>60.02</v>
          </cell>
          <cell r="I4676">
            <v>2866.6457390971</v>
          </cell>
          <cell r="J4676">
            <v>0</v>
          </cell>
        </row>
        <row r="4677">
          <cell r="E4677">
            <v>10530064</v>
          </cell>
          <cell r="F4677" t="str">
            <v>0010</v>
          </cell>
          <cell r="G4677">
            <v>7</v>
          </cell>
          <cell r="H4677">
            <v>13.32</v>
          </cell>
          <cell r="I4677">
            <v>566.75806669151996</v>
          </cell>
          <cell r="J4677">
            <v>0</v>
          </cell>
        </row>
        <row r="4678">
          <cell r="E4678">
            <v>10530064</v>
          </cell>
          <cell r="F4678" t="str">
            <v>0011</v>
          </cell>
          <cell r="G4678">
            <v>9</v>
          </cell>
          <cell r="H4678">
            <v>18.990000000000002</v>
          </cell>
          <cell r="I4678">
            <v>894.93215902500003</v>
          </cell>
          <cell r="J4678">
            <v>0</v>
          </cell>
        </row>
        <row r="4679">
          <cell r="E4679">
            <v>10530064</v>
          </cell>
          <cell r="F4679" t="str">
            <v>0012</v>
          </cell>
          <cell r="G4679">
            <v>6</v>
          </cell>
          <cell r="H4679">
            <v>17.239999999999998</v>
          </cell>
          <cell r="I4679">
            <v>594.82787500619997</v>
          </cell>
          <cell r="J4679">
            <v>0</v>
          </cell>
        </row>
        <row r="4680">
          <cell r="E4680">
            <v>10530064</v>
          </cell>
          <cell r="F4680" t="str">
            <v>0013</v>
          </cell>
          <cell r="G4680">
            <v>14</v>
          </cell>
          <cell r="H4680">
            <v>46.22</v>
          </cell>
          <cell r="I4680">
            <v>1869.2385485400005</v>
          </cell>
          <cell r="J4680">
            <v>0</v>
          </cell>
        </row>
        <row r="4681">
          <cell r="E4681">
            <v>10530064</v>
          </cell>
          <cell r="F4681" t="str">
            <v>0014</v>
          </cell>
          <cell r="G4681">
            <v>13</v>
          </cell>
          <cell r="H4681">
            <v>30.67</v>
          </cell>
          <cell r="I4681">
            <v>1269.180087516</v>
          </cell>
          <cell r="J4681">
            <v>0</v>
          </cell>
        </row>
        <row r="4682">
          <cell r="E4682">
            <v>10530064</v>
          </cell>
          <cell r="F4682" t="str">
            <v>0022</v>
          </cell>
          <cell r="G4682">
            <v>12</v>
          </cell>
          <cell r="H4682">
            <v>46.71</v>
          </cell>
          <cell r="I4682">
            <v>1782.04799396362</v>
          </cell>
          <cell r="J4682">
            <v>0</v>
          </cell>
        </row>
        <row r="4683">
          <cell r="E4683">
            <v>10530064</v>
          </cell>
          <cell r="F4683" t="str">
            <v>0023</v>
          </cell>
          <cell r="G4683">
            <v>11</v>
          </cell>
          <cell r="H4683">
            <v>56.010000000000005</v>
          </cell>
          <cell r="I4683">
            <v>2047.1399687194205</v>
          </cell>
          <cell r="J4683">
            <v>0</v>
          </cell>
        </row>
        <row r="4684">
          <cell r="E4684">
            <v>10530064</v>
          </cell>
          <cell r="F4684" t="str">
            <v>0024</v>
          </cell>
          <cell r="G4684">
            <v>1</v>
          </cell>
          <cell r="H4684">
            <v>1.96</v>
          </cell>
          <cell r="I4684">
            <v>70.166781115199996</v>
          </cell>
          <cell r="J4684">
            <v>0</v>
          </cell>
        </row>
        <row r="4685">
          <cell r="E4685">
            <v>10530064</v>
          </cell>
          <cell r="F4685" t="str">
            <v>0026</v>
          </cell>
          <cell r="G4685">
            <v>12</v>
          </cell>
          <cell r="H4685">
            <v>21.229999999999997</v>
          </cell>
          <cell r="I4685">
            <v>699.50687162400004</v>
          </cell>
          <cell r="J4685">
            <v>0</v>
          </cell>
        </row>
        <row r="4686">
          <cell r="E4686">
            <v>10530064</v>
          </cell>
          <cell r="F4686" t="str">
            <v>0027</v>
          </cell>
          <cell r="G4686">
            <v>7</v>
          </cell>
          <cell r="H4686">
            <v>35.659999999999997</v>
          </cell>
          <cell r="I4686">
            <v>1553.9902020720001</v>
          </cell>
          <cell r="J4686">
            <v>0</v>
          </cell>
        </row>
        <row r="4687">
          <cell r="E4687">
            <v>10530064</v>
          </cell>
          <cell r="F4687" t="str">
            <v>0029</v>
          </cell>
          <cell r="G4687">
            <v>7</v>
          </cell>
          <cell r="H4687">
            <v>29.800000000000004</v>
          </cell>
          <cell r="I4687">
            <v>1097.1784735560002</v>
          </cell>
          <cell r="J4687">
            <v>0</v>
          </cell>
        </row>
        <row r="4688">
          <cell r="E4688">
            <v>10530064</v>
          </cell>
          <cell r="F4688" t="str">
            <v>0031</v>
          </cell>
          <cell r="G4688">
            <v>13</v>
          </cell>
          <cell r="H4688">
            <v>52.690000000000012</v>
          </cell>
          <cell r="I4688">
            <v>2125.3595330880003</v>
          </cell>
          <cell r="J4688">
            <v>0</v>
          </cell>
        </row>
        <row r="4689">
          <cell r="E4689">
            <v>10530064</v>
          </cell>
          <cell r="F4689" t="str">
            <v>0032</v>
          </cell>
          <cell r="G4689">
            <v>8</v>
          </cell>
          <cell r="H4689">
            <v>22.450000000000003</v>
          </cell>
          <cell r="I4689">
            <v>848.05321946400011</v>
          </cell>
          <cell r="J4689">
            <v>0</v>
          </cell>
        </row>
        <row r="4690">
          <cell r="E4690">
            <v>10530064</v>
          </cell>
          <cell r="F4690" t="str">
            <v>0034</v>
          </cell>
          <cell r="G4690">
            <v>7</v>
          </cell>
          <cell r="H4690">
            <v>15.090000000000002</v>
          </cell>
          <cell r="I4690">
            <v>615.77411702400013</v>
          </cell>
          <cell r="J4690">
            <v>0</v>
          </cell>
        </row>
        <row r="4691">
          <cell r="E4691">
            <v>10530064</v>
          </cell>
          <cell r="F4691" t="str">
            <v>0035</v>
          </cell>
          <cell r="G4691">
            <v>14</v>
          </cell>
          <cell r="H4691">
            <v>71</v>
          </cell>
          <cell r="I4691">
            <v>2663.3487143034004</v>
          </cell>
          <cell r="J4691">
            <v>0</v>
          </cell>
        </row>
        <row r="4692">
          <cell r="E4692">
            <v>10530064</v>
          </cell>
          <cell r="F4692" t="str">
            <v>0036</v>
          </cell>
          <cell r="G4692">
            <v>13</v>
          </cell>
          <cell r="H4692">
            <v>59.649999999999991</v>
          </cell>
          <cell r="I4692">
            <v>2299.9821272999998</v>
          </cell>
          <cell r="J4692">
            <v>0</v>
          </cell>
        </row>
        <row r="4693">
          <cell r="E4693">
            <v>10530064</v>
          </cell>
          <cell r="F4693" t="str">
            <v>0037</v>
          </cell>
          <cell r="G4693">
            <v>13</v>
          </cell>
          <cell r="H4693">
            <v>121.02999999999997</v>
          </cell>
          <cell r="I4693">
            <v>6680.5084664773512</v>
          </cell>
          <cell r="J4693">
            <v>0</v>
          </cell>
        </row>
        <row r="4694">
          <cell r="E4694">
            <v>10530064</v>
          </cell>
          <cell r="F4694" t="str">
            <v>0039</v>
          </cell>
          <cell r="G4694">
            <v>14</v>
          </cell>
          <cell r="H4694">
            <v>87.590000000000018</v>
          </cell>
          <cell r="I4694">
            <v>3065.359978078201</v>
          </cell>
          <cell r="J4694">
            <v>0</v>
          </cell>
        </row>
        <row r="4695">
          <cell r="E4695">
            <v>10530064</v>
          </cell>
          <cell r="F4695" t="str">
            <v>0041</v>
          </cell>
          <cell r="G4695">
            <v>1</v>
          </cell>
          <cell r="H4695">
            <v>0.96</v>
          </cell>
          <cell r="I4695">
            <v>50.997514016736005</v>
          </cell>
          <cell r="J4695">
            <v>0</v>
          </cell>
        </row>
        <row r="4696">
          <cell r="E4696">
            <v>10530064</v>
          </cell>
          <cell r="F4696" t="str">
            <v>0042</v>
          </cell>
          <cell r="G4696">
            <v>7</v>
          </cell>
          <cell r="H4696">
            <v>26.830000000000002</v>
          </cell>
          <cell r="I4696">
            <v>1268.0410606759201</v>
          </cell>
          <cell r="J4696">
            <v>0</v>
          </cell>
        </row>
        <row r="4697">
          <cell r="E4697">
            <v>10530064</v>
          </cell>
          <cell r="F4697" t="str">
            <v>0043</v>
          </cell>
          <cell r="G4697">
            <v>14</v>
          </cell>
          <cell r="H4697">
            <v>64.72999999999999</v>
          </cell>
          <cell r="I4697">
            <v>2339.9980088760003</v>
          </cell>
          <cell r="J4697">
            <v>0</v>
          </cell>
        </row>
        <row r="4698">
          <cell r="E4698">
            <v>10530064</v>
          </cell>
          <cell r="F4698" t="str">
            <v>0045</v>
          </cell>
          <cell r="G4698">
            <v>3</v>
          </cell>
          <cell r="H4698">
            <v>6.4499999999999993</v>
          </cell>
          <cell r="I4698">
            <v>219.40028759879999</v>
          </cell>
          <cell r="J4698">
            <v>0</v>
          </cell>
        </row>
        <row r="4699">
          <cell r="E4699">
            <v>10530064</v>
          </cell>
          <cell r="F4699" t="str">
            <v>0046</v>
          </cell>
          <cell r="G4699">
            <v>13</v>
          </cell>
          <cell r="H4699">
            <v>29.189999999999998</v>
          </cell>
          <cell r="I4699">
            <v>1539.5352251304605</v>
          </cell>
          <cell r="J4699">
            <v>0</v>
          </cell>
        </row>
        <row r="4700">
          <cell r="E4700">
            <v>10530064</v>
          </cell>
          <cell r="F4700" t="str">
            <v>0047</v>
          </cell>
          <cell r="G4700">
            <v>7</v>
          </cell>
          <cell r="H4700">
            <v>13.17</v>
          </cell>
          <cell r="I4700">
            <v>625.65083353044997</v>
          </cell>
          <cell r="J4700">
            <v>0</v>
          </cell>
        </row>
        <row r="4701">
          <cell r="E4701">
            <v>10530064</v>
          </cell>
          <cell r="F4701" t="str">
            <v>0048</v>
          </cell>
          <cell r="G4701">
            <v>8</v>
          </cell>
          <cell r="H4701">
            <v>28</v>
          </cell>
          <cell r="I4701">
            <v>954.06358170420003</v>
          </cell>
          <cell r="J4701">
            <v>0</v>
          </cell>
        </row>
        <row r="4702">
          <cell r="E4702">
            <v>10530064</v>
          </cell>
          <cell r="F4702" t="str">
            <v>0049</v>
          </cell>
          <cell r="G4702">
            <v>11</v>
          </cell>
          <cell r="H4702">
            <v>33.82</v>
          </cell>
          <cell r="I4702">
            <v>1319.7818660400001</v>
          </cell>
          <cell r="J4702">
            <v>0</v>
          </cell>
        </row>
        <row r="4703">
          <cell r="E4703">
            <v>10530064</v>
          </cell>
          <cell r="F4703" t="str">
            <v>0050</v>
          </cell>
          <cell r="G4703">
            <v>11</v>
          </cell>
          <cell r="H4703">
            <v>15.429999999999998</v>
          </cell>
          <cell r="I4703">
            <v>637.77802128480005</v>
          </cell>
          <cell r="J4703">
            <v>0</v>
          </cell>
        </row>
        <row r="4704">
          <cell r="E4704">
            <v>10530064</v>
          </cell>
          <cell r="F4704" t="str">
            <v>0051</v>
          </cell>
          <cell r="G4704">
            <v>13</v>
          </cell>
          <cell r="H4704">
            <v>45.329999999999991</v>
          </cell>
          <cell r="I4704">
            <v>1875.4099400509003</v>
          </cell>
          <cell r="J4704">
            <v>0</v>
          </cell>
        </row>
        <row r="4705">
          <cell r="E4705">
            <v>10530064</v>
          </cell>
          <cell r="F4705" t="str">
            <v>0052</v>
          </cell>
          <cell r="G4705">
            <v>12</v>
          </cell>
          <cell r="H4705">
            <v>22.17</v>
          </cell>
          <cell r="I4705">
            <v>974.88755039683019</v>
          </cell>
          <cell r="J4705">
            <v>0</v>
          </cell>
        </row>
        <row r="4706">
          <cell r="E4706">
            <v>10530064</v>
          </cell>
          <cell r="F4706" t="str">
            <v>0053</v>
          </cell>
          <cell r="G4706">
            <v>13</v>
          </cell>
          <cell r="H4706">
            <v>25.81</v>
          </cell>
          <cell r="I4706">
            <v>922.07535395579987</v>
          </cell>
          <cell r="J4706">
            <v>0</v>
          </cell>
        </row>
        <row r="4707">
          <cell r="E4707">
            <v>10530064</v>
          </cell>
          <cell r="F4707" t="str">
            <v>0055</v>
          </cell>
          <cell r="G4707">
            <v>7</v>
          </cell>
          <cell r="H4707">
            <v>16.25</v>
          </cell>
          <cell r="I4707">
            <v>634.7267473536001</v>
          </cell>
          <cell r="J4707">
            <v>0</v>
          </cell>
        </row>
        <row r="4708">
          <cell r="E4708">
            <v>10530064</v>
          </cell>
          <cell r="F4708" t="str">
            <v>0056</v>
          </cell>
          <cell r="G4708">
            <v>11</v>
          </cell>
          <cell r="H4708">
            <v>46.040000000000006</v>
          </cell>
          <cell r="I4708">
            <v>1576.487150964</v>
          </cell>
          <cell r="J4708">
            <v>0</v>
          </cell>
        </row>
        <row r="4709">
          <cell r="E4709">
            <v>10530064</v>
          </cell>
          <cell r="F4709" t="str">
            <v>0058</v>
          </cell>
          <cell r="G4709">
            <v>14</v>
          </cell>
          <cell r="H4709">
            <v>156.06</v>
          </cell>
          <cell r="I4709">
            <v>5408.9383889376004</v>
          </cell>
          <cell r="J4709">
            <v>0</v>
          </cell>
        </row>
        <row r="4710">
          <cell r="E4710">
            <v>10530064</v>
          </cell>
          <cell r="F4710" t="str">
            <v>0059</v>
          </cell>
          <cell r="G4710">
            <v>14</v>
          </cell>
          <cell r="H4710">
            <v>57.83</v>
          </cell>
          <cell r="I4710">
            <v>2234.5042773636001</v>
          </cell>
          <cell r="J4710">
            <v>0</v>
          </cell>
        </row>
        <row r="4711">
          <cell r="E4711">
            <v>10530064</v>
          </cell>
          <cell r="F4711" t="str">
            <v>0060</v>
          </cell>
          <cell r="G4711">
            <v>14</v>
          </cell>
          <cell r="H4711">
            <v>48.349999999999994</v>
          </cell>
          <cell r="I4711">
            <v>2259.3283404480899</v>
          </cell>
          <cell r="J4711">
            <v>0</v>
          </cell>
        </row>
        <row r="4712">
          <cell r="E4712">
            <v>10530064</v>
          </cell>
          <cell r="F4712" t="str">
            <v>0061</v>
          </cell>
          <cell r="G4712">
            <v>1</v>
          </cell>
          <cell r="H4712">
            <v>1.79</v>
          </cell>
          <cell r="I4712">
            <v>62.663206834800015</v>
          </cell>
          <cell r="J4712">
            <v>0</v>
          </cell>
        </row>
        <row r="4713">
          <cell r="E4713">
            <v>10530064</v>
          </cell>
          <cell r="F4713" t="str">
            <v>0062</v>
          </cell>
          <cell r="G4713">
            <v>7</v>
          </cell>
          <cell r="H4713">
            <v>21.84</v>
          </cell>
          <cell r="I4713">
            <v>790.88038062660019</v>
          </cell>
          <cell r="J4713">
            <v>0</v>
          </cell>
        </row>
        <row r="4714">
          <cell r="E4714">
            <v>10530064</v>
          </cell>
          <cell r="F4714" t="str">
            <v>0063</v>
          </cell>
          <cell r="G4714">
            <v>13</v>
          </cell>
          <cell r="H4714">
            <v>29.740000000000002</v>
          </cell>
          <cell r="I4714">
            <v>1098.2969702892001</v>
          </cell>
          <cell r="J4714">
            <v>0</v>
          </cell>
        </row>
        <row r="4715">
          <cell r="E4715">
            <v>10530064</v>
          </cell>
          <cell r="F4715" t="str">
            <v>0064</v>
          </cell>
          <cell r="G4715">
            <v>6</v>
          </cell>
          <cell r="H4715">
            <v>17.810000000000002</v>
          </cell>
          <cell r="I4715">
            <v>605.65372401600007</v>
          </cell>
          <cell r="J4715">
            <v>0</v>
          </cell>
        </row>
        <row r="4716">
          <cell r="E4716">
            <v>10530064</v>
          </cell>
          <cell r="F4716" t="str">
            <v>0065</v>
          </cell>
          <cell r="G4716">
            <v>7</v>
          </cell>
          <cell r="H4716">
            <v>21.48</v>
          </cell>
          <cell r="I4716">
            <v>700.62034386960011</v>
          </cell>
          <cell r="J4716">
            <v>0</v>
          </cell>
        </row>
        <row r="4717">
          <cell r="E4717">
            <v>10530065</v>
          </cell>
          <cell r="F4717" t="str">
            <v>0001</v>
          </cell>
          <cell r="G4717">
            <v>14</v>
          </cell>
          <cell r="H4717">
            <v>13.37</v>
          </cell>
          <cell r="I4717">
            <v>579.75200822817101</v>
          </cell>
          <cell r="J4717">
            <v>0</v>
          </cell>
        </row>
        <row r="4718">
          <cell r="E4718">
            <v>10530065</v>
          </cell>
          <cell r="F4718" t="str">
            <v>0002</v>
          </cell>
          <cell r="G4718">
            <v>14</v>
          </cell>
          <cell r="H4718">
            <v>256.54000000000002</v>
          </cell>
          <cell r="I4718">
            <v>10743.427893924001</v>
          </cell>
          <cell r="J4718">
            <v>2000</v>
          </cell>
        </row>
        <row r="4719">
          <cell r="E4719">
            <v>10530065</v>
          </cell>
          <cell r="F4719" t="str">
            <v>0003</v>
          </cell>
          <cell r="G4719">
            <v>14</v>
          </cell>
          <cell r="H4719">
            <v>233.67999999999998</v>
          </cell>
          <cell r="I4719">
            <v>11788.360563040389</v>
          </cell>
          <cell r="J4719">
            <v>0</v>
          </cell>
        </row>
        <row r="4720">
          <cell r="E4720">
            <v>10530065</v>
          </cell>
          <cell r="F4720" t="str">
            <v>0004</v>
          </cell>
          <cell r="G4720">
            <v>14</v>
          </cell>
          <cell r="H4720">
            <v>183.52</v>
          </cell>
          <cell r="I4720">
            <v>7535.5911726064196</v>
          </cell>
          <cell r="J4720">
            <v>0</v>
          </cell>
        </row>
        <row r="4721">
          <cell r="E4721">
            <v>10530065</v>
          </cell>
          <cell r="F4721" t="str">
            <v>0005</v>
          </cell>
          <cell r="G4721">
            <v>6</v>
          </cell>
          <cell r="H4721">
            <v>210.61</v>
          </cell>
          <cell r="I4721">
            <v>7887.6567380160013</v>
          </cell>
          <cell r="J4721">
            <v>0</v>
          </cell>
        </row>
        <row r="4722">
          <cell r="E4722">
            <v>10530065</v>
          </cell>
          <cell r="F4722" t="str">
            <v>0007</v>
          </cell>
          <cell r="G4722">
            <v>14</v>
          </cell>
          <cell r="H4722">
            <v>67.17</v>
          </cell>
          <cell r="I4722">
            <v>2718.9015480000007</v>
          </cell>
          <cell r="J4722">
            <v>0</v>
          </cell>
        </row>
        <row r="4723">
          <cell r="E4723">
            <v>10530065</v>
          </cell>
          <cell r="F4723" t="str">
            <v>0015</v>
          </cell>
          <cell r="G4723">
            <v>14</v>
          </cell>
          <cell r="H4723">
            <v>81.72</v>
          </cell>
          <cell r="I4723">
            <v>3043.1378498400004</v>
          </cell>
          <cell r="J4723">
            <v>0</v>
          </cell>
        </row>
        <row r="4724">
          <cell r="E4724">
            <v>10530065</v>
          </cell>
          <cell r="F4724" t="str">
            <v>0016</v>
          </cell>
          <cell r="G4724">
            <v>14</v>
          </cell>
          <cell r="H4724">
            <v>252.53000000000003</v>
          </cell>
          <cell r="I4724">
            <v>9974.239556640001</v>
          </cell>
          <cell r="J4724">
            <v>0</v>
          </cell>
        </row>
        <row r="4725">
          <cell r="E4725">
            <v>10530065</v>
          </cell>
          <cell r="F4725" t="str">
            <v>0017</v>
          </cell>
          <cell r="G4725">
            <v>14</v>
          </cell>
          <cell r="H4725">
            <v>168.51000000000002</v>
          </cell>
          <cell r="I4725">
            <v>6574.2867107280017</v>
          </cell>
          <cell r="J4725">
            <v>0</v>
          </cell>
        </row>
        <row r="4726">
          <cell r="E4726">
            <v>10530065</v>
          </cell>
          <cell r="F4726" t="str">
            <v>0018</v>
          </cell>
          <cell r="G4726">
            <v>14</v>
          </cell>
          <cell r="H4726">
            <v>115.84</v>
          </cell>
          <cell r="I4726">
            <v>4516.4000944224554</v>
          </cell>
          <cell r="J4726">
            <v>0</v>
          </cell>
        </row>
        <row r="4727">
          <cell r="E4727">
            <v>10530067</v>
          </cell>
          <cell r="F4727" t="str">
            <v>0001</v>
          </cell>
          <cell r="G4727">
            <v>14</v>
          </cell>
          <cell r="H4727">
            <v>18.2</v>
          </cell>
          <cell r="I4727">
            <v>767.85221145600008</v>
          </cell>
          <cell r="J4727">
            <v>0</v>
          </cell>
        </row>
        <row r="4728">
          <cell r="E4728">
            <v>10530067</v>
          </cell>
          <cell r="F4728" t="str">
            <v>0002</v>
          </cell>
          <cell r="G4728">
            <v>8</v>
          </cell>
          <cell r="H4728">
            <v>26.68</v>
          </cell>
          <cell r="I4728">
            <v>1252.2969918231502</v>
          </cell>
          <cell r="J4728">
            <v>0</v>
          </cell>
        </row>
        <row r="4729">
          <cell r="E4729">
            <v>10530067</v>
          </cell>
          <cell r="F4729" t="str">
            <v>0009</v>
          </cell>
          <cell r="G4729">
            <v>2</v>
          </cell>
          <cell r="H4729">
            <v>5.34</v>
          </cell>
          <cell r="I4729">
            <v>257.77329477249901</v>
          </cell>
          <cell r="J4729">
            <v>0</v>
          </cell>
        </row>
        <row r="4730">
          <cell r="E4730">
            <v>10530067</v>
          </cell>
          <cell r="F4730" t="str">
            <v>0010</v>
          </cell>
          <cell r="G4730">
            <v>2</v>
          </cell>
          <cell r="H4730">
            <v>5.26</v>
          </cell>
          <cell r="I4730">
            <v>238.15706438304005</v>
          </cell>
          <cell r="J4730">
            <v>0</v>
          </cell>
        </row>
        <row r="4731">
          <cell r="E4731">
            <v>10530067</v>
          </cell>
          <cell r="F4731" t="str">
            <v>0012</v>
          </cell>
          <cell r="G4731">
            <v>14</v>
          </cell>
          <cell r="H4731">
            <v>39.190000000000005</v>
          </cell>
          <cell r="I4731">
            <v>1531.5324261336002</v>
          </cell>
          <cell r="J4731">
            <v>0</v>
          </cell>
        </row>
        <row r="4732">
          <cell r="E4732">
            <v>10530067</v>
          </cell>
          <cell r="F4732" t="str">
            <v>0013</v>
          </cell>
          <cell r="G4732">
            <v>11</v>
          </cell>
          <cell r="H4732">
            <v>49.97</v>
          </cell>
          <cell r="I4732">
            <v>1967.9678460288001</v>
          </cell>
          <cell r="J4732">
            <v>0</v>
          </cell>
        </row>
        <row r="4733">
          <cell r="E4733">
            <v>10530067</v>
          </cell>
          <cell r="F4733" t="str">
            <v>0018</v>
          </cell>
          <cell r="G4733">
            <v>6</v>
          </cell>
          <cell r="H4733">
            <v>19.47</v>
          </cell>
          <cell r="I4733">
            <v>1464.7178221792601</v>
          </cell>
          <cell r="J4733">
            <v>0</v>
          </cell>
        </row>
        <row r="4734">
          <cell r="E4734">
            <v>10530067</v>
          </cell>
          <cell r="F4734" t="str">
            <v>0019</v>
          </cell>
          <cell r="G4734">
            <v>7</v>
          </cell>
          <cell r="H4734">
            <v>17.989999999999998</v>
          </cell>
          <cell r="I4734">
            <v>735.4975925880002</v>
          </cell>
          <cell r="J4734">
            <v>0</v>
          </cell>
        </row>
        <row r="4735">
          <cell r="E4735">
            <v>10530067</v>
          </cell>
          <cell r="F4735" t="str">
            <v>0024</v>
          </cell>
          <cell r="G4735">
            <v>13</v>
          </cell>
          <cell r="H4735">
            <v>61.97</v>
          </cell>
          <cell r="I4735">
            <v>2768.6216169429317</v>
          </cell>
          <cell r="J4735">
            <v>0</v>
          </cell>
        </row>
        <row r="4736">
          <cell r="E4736">
            <v>10530067</v>
          </cell>
          <cell r="F4736" t="str">
            <v>0027</v>
          </cell>
          <cell r="G4736">
            <v>7</v>
          </cell>
          <cell r="H4736">
            <v>27.380000000000003</v>
          </cell>
          <cell r="I4736">
            <v>1743.6892643144479</v>
          </cell>
          <cell r="J4736">
            <v>0</v>
          </cell>
        </row>
        <row r="4737">
          <cell r="E4737">
            <v>10530067</v>
          </cell>
          <cell r="F4737" t="str">
            <v>0028</v>
          </cell>
          <cell r="G4737">
            <v>7</v>
          </cell>
          <cell r="H4737">
            <v>8.26</v>
          </cell>
          <cell r="I4737">
            <v>345.05801666748999</v>
          </cell>
          <cell r="J4737">
            <v>0</v>
          </cell>
        </row>
        <row r="4738">
          <cell r="E4738">
            <v>10530067</v>
          </cell>
          <cell r="F4738" t="str">
            <v>0033</v>
          </cell>
          <cell r="G4738">
            <v>6</v>
          </cell>
          <cell r="H4738">
            <v>17.55</v>
          </cell>
          <cell r="I4738">
            <v>753.26085401399996</v>
          </cell>
          <cell r="J4738">
            <v>0</v>
          </cell>
        </row>
        <row r="4739">
          <cell r="E4739">
            <v>10530067</v>
          </cell>
          <cell r="F4739" t="str">
            <v>0034</v>
          </cell>
          <cell r="G4739">
            <v>6</v>
          </cell>
          <cell r="H4739">
            <v>10.19</v>
          </cell>
          <cell r="I4739">
            <v>384.38618704200007</v>
          </cell>
          <cell r="J4739">
            <v>0</v>
          </cell>
        </row>
        <row r="4740">
          <cell r="E4740">
            <v>10530067</v>
          </cell>
          <cell r="F4740" t="str">
            <v>0035</v>
          </cell>
          <cell r="G4740">
            <v>14</v>
          </cell>
          <cell r="H4740">
            <v>37.929999999999993</v>
          </cell>
          <cell r="I4740">
            <v>1370.1721176000003</v>
          </cell>
          <cell r="J4740">
            <v>0</v>
          </cell>
        </row>
        <row r="4741">
          <cell r="E4741">
            <v>10530067</v>
          </cell>
          <cell r="F4741" t="str">
            <v>0036</v>
          </cell>
          <cell r="G4741">
            <v>5</v>
          </cell>
          <cell r="H4741">
            <v>6.35</v>
          </cell>
          <cell r="I4741">
            <v>355.28952377400003</v>
          </cell>
          <cell r="J4741">
            <v>0</v>
          </cell>
        </row>
        <row r="4742">
          <cell r="E4742">
            <v>10530067</v>
          </cell>
          <cell r="F4742" t="str">
            <v>0037</v>
          </cell>
          <cell r="G4742">
            <v>14</v>
          </cell>
          <cell r="H4742">
            <v>49.76</v>
          </cell>
          <cell r="I4742">
            <v>1846.7060319773998</v>
          </cell>
          <cell r="J4742">
            <v>0</v>
          </cell>
        </row>
        <row r="4743">
          <cell r="E4743">
            <v>10530067</v>
          </cell>
          <cell r="F4743" t="str">
            <v>0040</v>
          </cell>
          <cell r="G4743">
            <v>3</v>
          </cell>
          <cell r="H4743">
            <v>8.14</v>
          </cell>
          <cell r="I4743">
            <v>412.091128425308</v>
          </cell>
          <cell r="J4743">
            <v>0</v>
          </cell>
        </row>
        <row r="4744">
          <cell r="E4744">
            <v>10530067</v>
          </cell>
          <cell r="F4744" t="str">
            <v>0043</v>
          </cell>
          <cell r="G4744">
            <v>7</v>
          </cell>
          <cell r="H4744">
            <v>18.940000000000001</v>
          </cell>
          <cell r="I4744">
            <v>672.25096942740004</v>
          </cell>
          <cell r="J4744">
            <v>0</v>
          </cell>
        </row>
        <row r="4745">
          <cell r="E4745">
            <v>10530067</v>
          </cell>
          <cell r="F4745" t="str">
            <v>0046</v>
          </cell>
          <cell r="G4745">
            <v>8</v>
          </cell>
          <cell r="H4745">
            <v>16.11</v>
          </cell>
          <cell r="I4745">
            <v>668.36535072703202</v>
          </cell>
          <cell r="J4745">
            <v>0</v>
          </cell>
        </row>
        <row r="4746">
          <cell r="E4746">
            <v>10530067</v>
          </cell>
          <cell r="F4746" t="str">
            <v>0047</v>
          </cell>
          <cell r="G4746">
            <v>5</v>
          </cell>
          <cell r="H4746">
            <v>8.24</v>
          </cell>
          <cell r="I4746">
            <v>310.85458272000005</v>
          </cell>
          <cell r="J4746">
            <v>0</v>
          </cell>
        </row>
        <row r="4747">
          <cell r="E4747">
            <v>10530067</v>
          </cell>
          <cell r="F4747" t="str">
            <v>0048</v>
          </cell>
          <cell r="G4747">
            <v>6</v>
          </cell>
          <cell r="H4747">
            <v>8.91</v>
          </cell>
          <cell r="I4747">
            <v>322.83315702000004</v>
          </cell>
          <cell r="J4747">
            <v>0</v>
          </cell>
        </row>
        <row r="4748">
          <cell r="E4748">
            <v>10530067</v>
          </cell>
          <cell r="F4748" t="str">
            <v>0049</v>
          </cell>
          <cell r="G4748">
            <v>12</v>
          </cell>
          <cell r="H4748">
            <v>28.590000000000003</v>
          </cell>
          <cell r="I4748">
            <v>961.56624880799995</v>
          </cell>
          <cell r="J4748">
            <v>0</v>
          </cell>
        </row>
        <row r="4749">
          <cell r="E4749">
            <v>10530067</v>
          </cell>
          <cell r="F4749" t="str">
            <v>0050</v>
          </cell>
          <cell r="G4749">
            <v>3</v>
          </cell>
          <cell r="H4749">
            <v>4.68</v>
          </cell>
          <cell r="I4749">
            <v>204.68180660400003</v>
          </cell>
          <cell r="J4749">
            <v>0</v>
          </cell>
        </row>
        <row r="4750">
          <cell r="E4750">
            <v>10530067</v>
          </cell>
          <cell r="F4750" t="str">
            <v>0051</v>
          </cell>
          <cell r="G4750">
            <v>6</v>
          </cell>
          <cell r="H4750">
            <v>16.43</v>
          </cell>
          <cell r="I4750">
            <v>734.82224244000008</v>
          </cell>
          <cell r="J4750">
            <v>0</v>
          </cell>
        </row>
        <row r="4751">
          <cell r="E4751">
            <v>10530070</v>
          </cell>
          <cell r="F4751" t="str">
            <v>0001</v>
          </cell>
          <cell r="G4751">
            <v>14</v>
          </cell>
          <cell r="H4751">
            <v>5.34</v>
          </cell>
          <cell r="I4751">
            <v>269.66280650209501</v>
          </cell>
          <cell r="J4751">
            <v>0</v>
          </cell>
        </row>
        <row r="4752">
          <cell r="E4752">
            <v>10530070</v>
          </cell>
          <cell r="F4752" t="str">
            <v>0002</v>
          </cell>
          <cell r="G4752">
            <v>7</v>
          </cell>
          <cell r="H4752">
            <v>60.42</v>
          </cell>
          <cell r="I4752">
            <v>3624.8144363287133</v>
          </cell>
          <cell r="J4752">
            <v>0</v>
          </cell>
        </row>
        <row r="4753">
          <cell r="E4753">
            <v>10530070</v>
          </cell>
          <cell r="F4753" t="str">
            <v>0003</v>
          </cell>
          <cell r="G4753">
            <v>6</v>
          </cell>
          <cell r="H4753">
            <v>34.730000000000004</v>
          </cell>
          <cell r="I4753">
            <v>1427.6910435480004</v>
          </cell>
          <cell r="J4753">
            <v>0</v>
          </cell>
        </row>
        <row r="4754">
          <cell r="E4754">
            <v>10530070</v>
          </cell>
          <cell r="F4754" t="str">
            <v>0011</v>
          </cell>
          <cell r="G4754">
            <v>6</v>
          </cell>
          <cell r="H4754">
            <v>13.059999999999999</v>
          </cell>
          <cell r="I4754">
            <v>652.89556009825014</v>
          </cell>
          <cell r="J4754">
            <v>0</v>
          </cell>
        </row>
        <row r="4755">
          <cell r="E4755">
            <v>10530070</v>
          </cell>
          <cell r="F4755" t="str">
            <v>0014</v>
          </cell>
          <cell r="G4755">
            <v>14</v>
          </cell>
          <cell r="H4755">
            <v>43.04</v>
          </cell>
          <cell r="I4755">
            <v>1837.1514510360003</v>
          </cell>
          <cell r="J4755">
            <v>0</v>
          </cell>
        </row>
        <row r="4756">
          <cell r="E4756">
            <v>10530070</v>
          </cell>
          <cell r="F4756" t="str">
            <v>0016</v>
          </cell>
          <cell r="G4756">
            <v>11</v>
          </cell>
          <cell r="H4756">
            <v>14.3</v>
          </cell>
          <cell r="I4756">
            <v>648.90432235268202</v>
          </cell>
          <cell r="J4756">
            <v>0</v>
          </cell>
        </row>
        <row r="4757">
          <cell r="E4757">
            <v>10530070</v>
          </cell>
          <cell r="F4757" t="str">
            <v>0019</v>
          </cell>
          <cell r="G4757">
            <v>7</v>
          </cell>
          <cell r="H4757">
            <v>13.520000000000001</v>
          </cell>
          <cell r="I4757">
            <v>458.9579012634</v>
          </cell>
          <cell r="J4757">
            <v>0</v>
          </cell>
        </row>
        <row r="4758">
          <cell r="E4758">
            <v>10530070</v>
          </cell>
          <cell r="F4758" t="str">
            <v>0022</v>
          </cell>
          <cell r="G4758">
            <v>2</v>
          </cell>
          <cell r="H4758">
            <v>3.1799999999999997</v>
          </cell>
          <cell r="I4758">
            <v>137.556967490217</v>
          </cell>
          <cell r="J4758">
            <v>0</v>
          </cell>
        </row>
        <row r="4759">
          <cell r="E4759">
            <v>10530070</v>
          </cell>
          <cell r="F4759" t="str">
            <v>0032</v>
          </cell>
          <cell r="G4759">
            <v>7</v>
          </cell>
          <cell r="H4759">
            <v>11.059999999999999</v>
          </cell>
          <cell r="I4759">
            <v>566.77094498772999</v>
          </cell>
          <cell r="J4759">
            <v>0</v>
          </cell>
        </row>
        <row r="4760">
          <cell r="E4760">
            <v>10530070</v>
          </cell>
          <cell r="F4760" t="str">
            <v>0034</v>
          </cell>
          <cell r="G4760">
            <v>10</v>
          </cell>
          <cell r="H4760">
            <v>11.009999999999998</v>
          </cell>
          <cell r="I4760">
            <v>552.40325360605414</v>
          </cell>
          <cell r="J4760">
            <v>0</v>
          </cell>
        </row>
        <row r="4761">
          <cell r="E4761">
            <v>10530070</v>
          </cell>
          <cell r="F4761" t="str">
            <v>0040</v>
          </cell>
          <cell r="G4761">
            <v>4</v>
          </cell>
          <cell r="H4761">
            <v>10.18</v>
          </cell>
          <cell r="I4761">
            <v>525.58219871135009</v>
          </cell>
          <cell r="J4761">
            <v>0</v>
          </cell>
        </row>
        <row r="4762">
          <cell r="E4762">
            <v>10530070</v>
          </cell>
          <cell r="F4762" t="str">
            <v>0041</v>
          </cell>
          <cell r="G4762">
            <v>9</v>
          </cell>
          <cell r="H4762">
            <v>17.5</v>
          </cell>
          <cell r="I4762">
            <v>659.23927836048006</v>
          </cell>
          <cell r="J4762">
            <v>0</v>
          </cell>
        </row>
        <row r="4763">
          <cell r="E4763">
            <v>10530071</v>
          </cell>
          <cell r="F4763" t="str">
            <v>0002</v>
          </cell>
          <cell r="G4763">
            <v>13</v>
          </cell>
          <cell r="H4763">
            <v>96.960000000000008</v>
          </cell>
          <cell r="I4763">
            <v>5309.6278503537305</v>
          </cell>
          <cell r="J4763">
            <v>0</v>
          </cell>
        </row>
        <row r="4764">
          <cell r="E4764">
            <v>10530071</v>
          </cell>
          <cell r="F4764" t="str">
            <v>0003</v>
          </cell>
          <cell r="G4764">
            <v>7</v>
          </cell>
          <cell r="H4764">
            <v>21.86</v>
          </cell>
          <cell r="I4764">
            <v>1733.4678500441998</v>
          </cell>
          <cell r="J4764">
            <v>0</v>
          </cell>
        </row>
        <row r="4765">
          <cell r="E4765">
            <v>10530071</v>
          </cell>
          <cell r="F4765" t="str">
            <v>0006</v>
          </cell>
          <cell r="G4765">
            <v>12</v>
          </cell>
          <cell r="H4765">
            <v>25.290000000000003</v>
          </cell>
          <cell r="I4765">
            <v>1137.3002774269601</v>
          </cell>
          <cell r="J4765">
            <v>0</v>
          </cell>
        </row>
        <row r="4766">
          <cell r="E4766">
            <v>10530071</v>
          </cell>
          <cell r="F4766" t="str">
            <v>0007</v>
          </cell>
          <cell r="G4766">
            <v>14</v>
          </cell>
          <cell r="H4766">
            <v>35.180000000000007</v>
          </cell>
          <cell r="I4766">
            <v>1839.2939074644003</v>
          </cell>
          <cell r="J4766">
            <v>0</v>
          </cell>
        </row>
        <row r="4767">
          <cell r="E4767">
            <v>10530071</v>
          </cell>
          <cell r="F4767" t="str">
            <v>0011</v>
          </cell>
          <cell r="G4767">
            <v>13</v>
          </cell>
          <cell r="H4767">
            <v>50.800000000000004</v>
          </cell>
          <cell r="I4767">
            <v>2273.3194859932801</v>
          </cell>
          <cell r="J4767">
            <v>0</v>
          </cell>
        </row>
        <row r="4768">
          <cell r="E4768">
            <v>10530071</v>
          </cell>
          <cell r="F4768" t="str">
            <v>0024</v>
          </cell>
          <cell r="G4768">
            <v>7</v>
          </cell>
          <cell r="H4768">
            <v>17.07</v>
          </cell>
          <cell r="I4768">
            <v>774.18915789455991</v>
          </cell>
          <cell r="J4768">
            <v>0</v>
          </cell>
        </row>
        <row r="4769">
          <cell r="E4769">
            <v>10530071</v>
          </cell>
          <cell r="F4769" t="str">
            <v>0025</v>
          </cell>
          <cell r="G4769">
            <v>6</v>
          </cell>
          <cell r="H4769">
            <v>12.729999999999999</v>
          </cell>
          <cell r="I4769">
            <v>721.71214873815006</v>
          </cell>
          <cell r="J4769">
            <v>0</v>
          </cell>
        </row>
        <row r="4770">
          <cell r="E4770">
            <v>10530071</v>
          </cell>
          <cell r="F4770" t="str">
            <v>0029</v>
          </cell>
          <cell r="G4770">
            <v>14</v>
          </cell>
          <cell r="H4770">
            <v>21.17</v>
          </cell>
          <cell r="I4770">
            <v>1430.3003345019999</v>
          </cell>
          <cell r="J4770">
            <v>0</v>
          </cell>
        </row>
        <row r="4771">
          <cell r="E4771">
            <v>10530071</v>
          </cell>
          <cell r="F4771" t="str">
            <v>0030</v>
          </cell>
          <cell r="G4771">
            <v>3</v>
          </cell>
          <cell r="H4771">
            <v>6.48</v>
          </cell>
          <cell r="I4771">
            <v>267.45173136</v>
          </cell>
          <cell r="J4771">
            <v>0</v>
          </cell>
        </row>
        <row r="4772">
          <cell r="E4772">
            <v>10530074</v>
          </cell>
          <cell r="F4772" t="str">
            <v>0001</v>
          </cell>
          <cell r="G4772">
            <v>14</v>
          </cell>
          <cell r="H4772">
            <v>17.21</v>
          </cell>
          <cell r="I4772">
            <v>706.90834961999997</v>
          </cell>
          <cell r="J4772">
            <v>0</v>
          </cell>
        </row>
        <row r="4773">
          <cell r="E4773">
            <v>10530074</v>
          </cell>
          <cell r="F4773" t="str">
            <v>0002</v>
          </cell>
          <cell r="G4773">
            <v>9</v>
          </cell>
          <cell r="H4773">
            <v>25.28</v>
          </cell>
          <cell r="I4773">
            <v>1104.8674625145002</v>
          </cell>
          <cell r="J4773">
            <v>0</v>
          </cell>
        </row>
        <row r="4774">
          <cell r="E4774">
            <v>10530074</v>
          </cell>
          <cell r="F4774" t="str">
            <v>0003</v>
          </cell>
          <cell r="G4774">
            <v>7</v>
          </cell>
          <cell r="H4774">
            <v>26.439999999999998</v>
          </cell>
          <cell r="I4774">
            <v>1018.3654801847083</v>
          </cell>
          <cell r="J4774">
            <v>0</v>
          </cell>
        </row>
        <row r="4775">
          <cell r="E4775">
            <v>10530074</v>
          </cell>
          <cell r="F4775" t="str">
            <v>0005</v>
          </cell>
          <cell r="G4775">
            <v>7</v>
          </cell>
          <cell r="H4775">
            <v>22.39</v>
          </cell>
          <cell r="I4775">
            <v>870.72484158000009</v>
          </cell>
          <cell r="J4775">
            <v>0</v>
          </cell>
        </row>
        <row r="4776">
          <cell r="E4776">
            <v>10530074</v>
          </cell>
          <cell r="F4776" t="str">
            <v>0007</v>
          </cell>
          <cell r="G4776">
            <v>14</v>
          </cell>
          <cell r="H4776">
            <v>382.60000000000008</v>
          </cell>
          <cell r="I4776">
            <v>15370.75099599872</v>
          </cell>
          <cell r="J4776">
            <v>0</v>
          </cell>
        </row>
        <row r="4777">
          <cell r="E4777">
            <v>10530074</v>
          </cell>
          <cell r="F4777" t="str">
            <v>0008</v>
          </cell>
          <cell r="G4777">
            <v>14</v>
          </cell>
          <cell r="H4777">
            <v>78.73</v>
          </cell>
          <cell r="I4777">
            <v>3270.781127299339</v>
          </cell>
          <cell r="J4777">
            <v>0</v>
          </cell>
        </row>
        <row r="4778">
          <cell r="E4778">
            <v>10530074</v>
          </cell>
          <cell r="F4778" t="str">
            <v>0009</v>
          </cell>
          <cell r="G4778">
            <v>14</v>
          </cell>
          <cell r="H4778">
            <v>34.07</v>
          </cell>
          <cell r="I4778">
            <v>1874.7282275273005</v>
          </cell>
          <cell r="J4778">
            <v>0</v>
          </cell>
        </row>
        <row r="4779">
          <cell r="E4779">
            <v>10530074</v>
          </cell>
          <cell r="F4779" t="str">
            <v>0010</v>
          </cell>
          <cell r="G4779">
            <v>14</v>
          </cell>
          <cell r="H4779">
            <v>46.639999999999993</v>
          </cell>
          <cell r="I4779">
            <v>1627.8107725440002</v>
          </cell>
          <cell r="J4779">
            <v>0</v>
          </cell>
        </row>
        <row r="4780">
          <cell r="E4780">
            <v>10530074</v>
          </cell>
          <cell r="F4780" t="str">
            <v>0011</v>
          </cell>
          <cell r="G4780">
            <v>7</v>
          </cell>
          <cell r="H4780">
            <v>22.130000000000003</v>
          </cell>
          <cell r="I4780">
            <v>1810.2508815234501</v>
          </cell>
          <cell r="J4780">
            <v>0</v>
          </cell>
        </row>
        <row r="4781">
          <cell r="E4781">
            <v>10530074</v>
          </cell>
          <cell r="F4781" t="str">
            <v>0013</v>
          </cell>
          <cell r="G4781">
            <v>2</v>
          </cell>
          <cell r="H4781">
            <v>7.47</v>
          </cell>
          <cell r="I4781">
            <v>290.21698133999996</v>
          </cell>
          <cell r="J4781">
            <v>0</v>
          </cell>
        </row>
        <row r="4782">
          <cell r="E4782">
            <v>10530074</v>
          </cell>
          <cell r="F4782" t="str">
            <v>0014</v>
          </cell>
          <cell r="G4782">
            <v>7</v>
          </cell>
          <cell r="H4782">
            <v>14.39</v>
          </cell>
          <cell r="I4782">
            <v>1092.7892718087999</v>
          </cell>
          <cell r="J4782">
            <v>0</v>
          </cell>
        </row>
        <row r="4783">
          <cell r="E4783">
            <v>10530074</v>
          </cell>
          <cell r="F4783" t="str">
            <v>0017</v>
          </cell>
          <cell r="G4783">
            <v>13</v>
          </cell>
          <cell r="H4783">
            <v>90.09</v>
          </cell>
          <cell r="I4783">
            <v>3628.1978294760002</v>
          </cell>
          <cell r="J4783">
            <v>0</v>
          </cell>
        </row>
        <row r="4784">
          <cell r="E4784">
            <v>10530074</v>
          </cell>
          <cell r="F4784" t="str">
            <v>0018</v>
          </cell>
          <cell r="G4784">
            <v>7</v>
          </cell>
          <cell r="H4784">
            <v>15.069999999999999</v>
          </cell>
          <cell r="I4784">
            <v>845.00749382864012</v>
          </cell>
          <cell r="J4784">
            <v>0</v>
          </cell>
        </row>
        <row r="4785">
          <cell r="E4785">
            <v>10530074</v>
          </cell>
          <cell r="F4785" t="str">
            <v>0019</v>
          </cell>
          <cell r="G4785">
            <v>7</v>
          </cell>
          <cell r="H4785">
            <v>20.310000000000002</v>
          </cell>
          <cell r="I4785">
            <v>772.27909268400015</v>
          </cell>
          <cell r="J4785">
            <v>0</v>
          </cell>
        </row>
        <row r="4786">
          <cell r="E4786">
            <v>10530074</v>
          </cell>
          <cell r="F4786" t="str">
            <v>0020</v>
          </cell>
          <cell r="G4786">
            <v>13</v>
          </cell>
          <cell r="H4786">
            <v>38.760000000000005</v>
          </cell>
          <cell r="I4786">
            <v>1491.1009530119998</v>
          </cell>
          <cell r="J4786">
            <v>0</v>
          </cell>
        </row>
        <row r="4787">
          <cell r="E4787">
            <v>10530074</v>
          </cell>
          <cell r="F4787" t="str">
            <v>0021</v>
          </cell>
          <cell r="G4787">
            <v>13</v>
          </cell>
          <cell r="H4787">
            <v>45.900000000000013</v>
          </cell>
          <cell r="I4787">
            <v>1841.8289840280004</v>
          </cell>
          <cell r="J4787">
            <v>0</v>
          </cell>
        </row>
        <row r="4788">
          <cell r="E4788">
            <v>10530074</v>
          </cell>
          <cell r="F4788" t="str">
            <v>0022</v>
          </cell>
          <cell r="G4788">
            <v>14</v>
          </cell>
          <cell r="H4788">
            <v>58.81</v>
          </cell>
          <cell r="I4788">
            <v>2627.0430242760003</v>
          </cell>
          <cell r="J4788">
            <v>0</v>
          </cell>
        </row>
        <row r="4789">
          <cell r="E4789">
            <v>10530074</v>
          </cell>
          <cell r="F4789" t="str">
            <v>0023</v>
          </cell>
          <cell r="G4789">
            <v>1</v>
          </cell>
          <cell r="H4789">
            <v>1.4</v>
          </cell>
          <cell r="I4789">
            <v>99.54096296102</v>
          </cell>
          <cell r="J4789">
            <v>0</v>
          </cell>
        </row>
        <row r="4790">
          <cell r="E4790">
            <v>10530074</v>
          </cell>
          <cell r="F4790" t="str">
            <v>0024</v>
          </cell>
          <cell r="G4790">
            <v>14</v>
          </cell>
          <cell r="H4790">
            <v>23.720000000000006</v>
          </cell>
          <cell r="I4790">
            <v>944.95125384000005</v>
          </cell>
          <cell r="J4790">
            <v>0</v>
          </cell>
        </row>
        <row r="4791">
          <cell r="E4791">
            <v>10530074</v>
          </cell>
          <cell r="F4791" t="str">
            <v>0025</v>
          </cell>
          <cell r="G4791">
            <v>7</v>
          </cell>
          <cell r="H4791">
            <v>18.549999999999997</v>
          </cell>
          <cell r="I4791">
            <v>775.26993931200002</v>
          </cell>
          <cell r="J4791">
            <v>0</v>
          </cell>
        </row>
        <row r="4792">
          <cell r="E4792">
            <v>10530074</v>
          </cell>
          <cell r="F4792" t="str">
            <v>0026</v>
          </cell>
          <cell r="G4792">
            <v>12</v>
          </cell>
          <cell r="H4792">
            <v>32.479999999999997</v>
          </cell>
          <cell r="I4792">
            <v>1303.3648425600002</v>
          </cell>
          <cell r="J4792">
            <v>0</v>
          </cell>
        </row>
        <row r="4793">
          <cell r="E4793">
            <v>10530074</v>
          </cell>
          <cell r="F4793" t="str">
            <v>0027</v>
          </cell>
          <cell r="G4793">
            <v>14</v>
          </cell>
          <cell r="H4793">
            <v>80.45</v>
          </cell>
          <cell r="I4793">
            <v>2887.9716606840002</v>
          </cell>
          <cell r="J4793">
            <v>0</v>
          </cell>
        </row>
        <row r="4794">
          <cell r="E4794">
            <v>10530074</v>
          </cell>
          <cell r="F4794" t="str">
            <v>0028</v>
          </cell>
          <cell r="G4794">
            <v>14</v>
          </cell>
          <cell r="H4794">
            <v>41.94</v>
          </cell>
          <cell r="I4794">
            <v>1359.0889620858004</v>
          </cell>
          <cell r="J4794">
            <v>0</v>
          </cell>
        </row>
        <row r="4795">
          <cell r="E4795">
            <v>10530074</v>
          </cell>
          <cell r="F4795" t="str">
            <v>0029</v>
          </cell>
          <cell r="G4795">
            <v>7</v>
          </cell>
          <cell r="H4795">
            <v>20.639999999999997</v>
          </cell>
          <cell r="I4795">
            <v>903.85382815200001</v>
          </cell>
          <cell r="J4795">
            <v>0</v>
          </cell>
        </row>
        <row r="4796">
          <cell r="E4796">
            <v>10530074</v>
          </cell>
          <cell r="F4796" t="str">
            <v>0030</v>
          </cell>
          <cell r="G4796">
            <v>14</v>
          </cell>
          <cell r="H4796">
            <v>29.130000000000006</v>
          </cell>
          <cell r="I4796">
            <v>1113.9146623440001</v>
          </cell>
          <cell r="J4796">
            <v>0</v>
          </cell>
        </row>
        <row r="4797">
          <cell r="E4797">
            <v>10530074</v>
          </cell>
          <cell r="F4797" t="str">
            <v>0031</v>
          </cell>
          <cell r="G4797">
            <v>12</v>
          </cell>
          <cell r="H4797">
            <v>59.77</v>
          </cell>
          <cell r="I4797">
            <v>2231.4742619400004</v>
          </cell>
          <cell r="J4797">
            <v>0</v>
          </cell>
        </row>
        <row r="4798">
          <cell r="E4798">
            <v>10530074</v>
          </cell>
          <cell r="F4798" t="str">
            <v>0033</v>
          </cell>
          <cell r="G4798">
            <v>14</v>
          </cell>
          <cell r="H4798">
            <v>48.27000000000001</v>
          </cell>
          <cell r="I4798">
            <v>1910.9363189400001</v>
          </cell>
          <cell r="J4798">
            <v>0</v>
          </cell>
        </row>
        <row r="4799">
          <cell r="E4799">
            <v>10530076</v>
          </cell>
          <cell r="F4799" t="str">
            <v>0001</v>
          </cell>
          <cell r="G4799">
            <v>14</v>
          </cell>
          <cell r="H4799">
            <v>74.429999999999993</v>
          </cell>
          <cell r="I4799">
            <v>3367.3336004269499</v>
          </cell>
          <cell r="J4799">
            <v>0</v>
          </cell>
        </row>
        <row r="4800">
          <cell r="E4800">
            <v>10530076</v>
          </cell>
          <cell r="F4800" t="str">
            <v>0002</v>
          </cell>
          <cell r="G4800">
            <v>6</v>
          </cell>
          <cell r="H4800">
            <v>20.169999999999998</v>
          </cell>
          <cell r="I4800">
            <v>1050.6438517203001</v>
          </cell>
          <cell r="J4800">
            <v>0</v>
          </cell>
        </row>
        <row r="4801">
          <cell r="E4801">
            <v>10530076</v>
          </cell>
          <cell r="F4801" t="str">
            <v>0003</v>
          </cell>
          <cell r="G4801">
            <v>14</v>
          </cell>
          <cell r="H4801">
            <v>79.239999999999995</v>
          </cell>
          <cell r="I4801">
            <v>3599.1676023454011</v>
          </cell>
          <cell r="J4801">
            <v>0</v>
          </cell>
        </row>
        <row r="4802">
          <cell r="E4802">
            <v>10530076</v>
          </cell>
          <cell r="F4802" t="str">
            <v>0004</v>
          </cell>
          <cell r="G4802">
            <v>12</v>
          </cell>
          <cell r="H4802">
            <v>44.47999999999999</v>
          </cell>
          <cell r="I4802">
            <v>1683.9976665599997</v>
          </cell>
          <cell r="J4802">
            <v>0</v>
          </cell>
        </row>
        <row r="4803">
          <cell r="E4803">
            <v>10530076</v>
          </cell>
          <cell r="F4803" t="str">
            <v>0006</v>
          </cell>
          <cell r="G4803">
            <v>3</v>
          </cell>
          <cell r="H4803">
            <v>5.41</v>
          </cell>
          <cell r="I4803">
            <v>183.06420572880003</v>
          </cell>
          <cell r="J4803">
            <v>0</v>
          </cell>
        </row>
        <row r="4804">
          <cell r="E4804">
            <v>10530076</v>
          </cell>
          <cell r="F4804" t="str">
            <v>0007</v>
          </cell>
          <cell r="G4804">
            <v>14</v>
          </cell>
          <cell r="H4804">
            <v>65.069999999999993</v>
          </cell>
          <cell r="I4804">
            <v>2601.8750700360001</v>
          </cell>
          <cell r="J4804">
            <v>0</v>
          </cell>
        </row>
        <row r="4805">
          <cell r="E4805">
            <v>10530076</v>
          </cell>
          <cell r="F4805" t="str">
            <v>0010</v>
          </cell>
          <cell r="G4805">
            <v>14</v>
          </cell>
          <cell r="H4805">
            <v>61.91</v>
          </cell>
          <cell r="I4805">
            <v>2634.0500105964002</v>
          </cell>
          <cell r="J4805">
            <v>0</v>
          </cell>
        </row>
        <row r="4806">
          <cell r="E4806">
            <v>10530076</v>
          </cell>
          <cell r="F4806" t="str">
            <v>0011</v>
          </cell>
          <cell r="G4806">
            <v>13</v>
          </cell>
          <cell r="H4806">
            <v>40.29</v>
          </cell>
          <cell r="I4806">
            <v>2376.9485071757999</v>
          </cell>
          <cell r="J4806">
            <v>0</v>
          </cell>
        </row>
        <row r="4807">
          <cell r="E4807">
            <v>10530076</v>
          </cell>
          <cell r="F4807" t="str">
            <v>0013</v>
          </cell>
          <cell r="G4807">
            <v>14</v>
          </cell>
          <cell r="H4807">
            <v>80.919999999999987</v>
          </cell>
          <cell r="I4807">
            <v>4119.2361549035995</v>
          </cell>
          <cell r="J4807">
            <v>0</v>
          </cell>
        </row>
        <row r="4808">
          <cell r="E4808">
            <v>10530076</v>
          </cell>
          <cell r="F4808" t="str">
            <v>0014</v>
          </cell>
          <cell r="G4808">
            <v>13</v>
          </cell>
          <cell r="H4808">
            <v>36.129999999999995</v>
          </cell>
          <cell r="I4808">
            <v>1653.262662344508</v>
          </cell>
          <cell r="J4808">
            <v>0</v>
          </cell>
        </row>
        <row r="4809">
          <cell r="E4809">
            <v>10530076</v>
          </cell>
          <cell r="F4809" t="str">
            <v>0016</v>
          </cell>
          <cell r="G4809">
            <v>14</v>
          </cell>
          <cell r="H4809">
            <v>41.54</v>
          </cell>
          <cell r="I4809">
            <v>2257.2629705259005</v>
          </cell>
          <cell r="J4809">
            <v>0</v>
          </cell>
        </row>
        <row r="4810">
          <cell r="E4810">
            <v>10530076</v>
          </cell>
          <cell r="F4810" t="str">
            <v>0017</v>
          </cell>
          <cell r="G4810">
            <v>14</v>
          </cell>
          <cell r="H4810">
            <v>118.13999999999999</v>
          </cell>
          <cell r="I4810">
            <v>7596.1947292857003</v>
          </cell>
          <cell r="J4810">
            <v>0</v>
          </cell>
        </row>
        <row r="4811">
          <cell r="E4811">
            <v>10530076</v>
          </cell>
          <cell r="F4811" t="str">
            <v>0018</v>
          </cell>
          <cell r="G4811">
            <v>12</v>
          </cell>
          <cell r="H4811">
            <v>104.76</v>
          </cell>
          <cell r="I4811">
            <v>3892.4278311126013</v>
          </cell>
          <cell r="J4811">
            <v>0</v>
          </cell>
        </row>
        <row r="4812">
          <cell r="E4812">
            <v>10530076</v>
          </cell>
          <cell r="F4812" t="str">
            <v>0019</v>
          </cell>
          <cell r="G4812">
            <v>14</v>
          </cell>
          <cell r="H4812">
            <v>34.43</v>
          </cell>
          <cell r="I4812">
            <v>1696.697064348778</v>
          </cell>
          <cell r="J4812">
            <v>0</v>
          </cell>
        </row>
        <row r="4813">
          <cell r="E4813">
            <v>10530076</v>
          </cell>
          <cell r="F4813" t="str">
            <v>0022</v>
          </cell>
          <cell r="G4813">
            <v>13</v>
          </cell>
          <cell r="H4813">
            <v>71.22999999999999</v>
          </cell>
          <cell r="I4813">
            <v>3001.2427165146005</v>
          </cell>
          <cell r="J4813">
            <v>0</v>
          </cell>
        </row>
        <row r="4814">
          <cell r="E4814">
            <v>10530076</v>
          </cell>
          <cell r="F4814" t="str">
            <v>0023</v>
          </cell>
          <cell r="G4814">
            <v>14</v>
          </cell>
          <cell r="H4814">
            <v>94.39</v>
          </cell>
          <cell r="I4814">
            <v>6045.4941028909006</v>
          </cell>
          <cell r="J4814">
            <v>0</v>
          </cell>
        </row>
        <row r="4815">
          <cell r="E4815">
            <v>10530076</v>
          </cell>
          <cell r="F4815" t="str">
            <v>0024</v>
          </cell>
          <cell r="G4815">
            <v>4</v>
          </cell>
          <cell r="H4815">
            <v>7.07</v>
          </cell>
          <cell r="I4815">
            <v>364.87904586025002</v>
          </cell>
          <cell r="J4815">
            <v>0</v>
          </cell>
        </row>
        <row r="4816">
          <cell r="E4816">
            <v>10530076</v>
          </cell>
          <cell r="F4816" t="str">
            <v>0025</v>
          </cell>
          <cell r="G4816">
            <v>5</v>
          </cell>
          <cell r="H4816">
            <v>5.5</v>
          </cell>
          <cell r="I4816">
            <v>370.870045817</v>
          </cell>
          <cell r="J4816">
            <v>0</v>
          </cell>
        </row>
        <row r="4817">
          <cell r="E4817">
            <v>10530076</v>
          </cell>
          <cell r="F4817" t="str">
            <v>0027</v>
          </cell>
          <cell r="G4817">
            <v>12</v>
          </cell>
          <cell r="H4817">
            <v>49.52</v>
          </cell>
          <cell r="I4817">
            <v>1683.8970159528001</v>
          </cell>
          <cell r="J4817">
            <v>0</v>
          </cell>
        </row>
        <row r="4818">
          <cell r="E4818">
            <v>10530076</v>
          </cell>
          <cell r="F4818" t="str">
            <v>0028</v>
          </cell>
          <cell r="G4818">
            <v>13</v>
          </cell>
          <cell r="H4818">
            <v>39.949999999999996</v>
          </cell>
          <cell r="I4818">
            <v>1559.4953517000004</v>
          </cell>
          <cell r="J4818">
            <v>0</v>
          </cell>
        </row>
        <row r="4819">
          <cell r="E4819">
            <v>10530076</v>
          </cell>
          <cell r="F4819" t="str">
            <v>0029</v>
          </cell>
          <cell r="G4819">
            <v>10</v>
          </cell>
          <cell r="H4819">
            <v>19.66</v>
          </cell>
          <cell r="I4819">
            <v>938.43268737364008</v>
          </cell>
          <cell r="J4819">
            <v>0</v>
          </cell>
        </row>
        <row r="4820">
          <cell r="E4820">
            <v>10530076</v>
          </cell>
          <cell r="F4820" t="str">
            <v>0030</v>
          </cell>
          <cell r="G4820">
            <v>14</v>
          </cell>
          <cell r="H4820">
            <v>41.41</v>
          </cell>
          <cell r="I4820">
            <v>2025.7662704606503</v>
          </cell>
          <cell r="J4820">
            <v>0</v>
          </cell>
        </row>
        <row r="4821">
          <cell r="E4821">
            <v>10530076</v>
          </cell>
          <cell r="F4821" t="str">
            <v>0031</v>
          </cell>
          <cell r="G4821">
            <v>14</v>
          </cell>
          <cell r="H4821">
            <v>27.25</v>
          </cell>
          <cell r="I4821">
            <v>1513.3286243403804</v>
          </cell>
          <cell r="J4821">
            <v>0</v>
          </cell>
        </row>
        <row r="4822">
          <cell r="E4822">
            <v>10530076</v>
          </cell>
          <cell r="F4822" t="str">
            <v>0032</v>
          </cell>
          <cell r="G4822">
            <v>7</v>
          </cell>
          <cell r="H4822">
            <v>30.01</v>
          </cell>
          <cell r="I4822">
            <v>1854.2333941824004</v>
          </cell>
          <cell r="J4822">
            <v>0</v>
          </cell>
        </row>
        <row r="4823">
          <cell r="E4823">
            <v>10530076</v>
          </cell>
          <cell r="F4823" t="str">
            <v>0033</v>
          </cell>
          <cell r="G4823">
            <v>12</v>
          </cell>
          <cell r="H4823">
            <v>43.01</v>
          </cell>
          <cell r="I4823">
            <v>2801.4654897828</v>
          </cell>
          <cell r="J4823">
            <v>0</v>
          </cell>
        </row>
        <row r="4824">
          <cell r="E4824">
            <v>10530076</v>
          </cell>
          <cell r="F4824" t="str">
            <v>0034</v>
          </cell>
          <cell r="G4824">
            <v>14</v>
          </cell>
          <cell r="H4824">
            <v>65.17</v>
          </cell>
          <cell r="I4824">
            <v>2321.2739360844002</v>
          </cell>
          <cell r="J4824">
            <v>0</v>
          </cell>
        </row>
        <row r="4825">
          <cell r="E4825">
            <v>10530076</v>
          </cell>
          <cell r="F4825" t="str">
            <v>0035</v>
          </cell>
          <cell r="G4825">
            <v>5</v>
          </cell>
          <cell r="H4825">
            <v>10.499999999999998</v>
          </cell>
          <cell r="I4825">
            <v>406.59262657200009</v>
          </cell>
          <cell r="J4825">
            <v>0</v>
          </cell>
        </row>
        <row r="4826">
          <cell r="E4826">
            <v>10530076</v>
          </cell>
          <cell r="F4826" t="str">
            <v>0036</v>
          </cell>
          <cell r="G4826">
            <v>14</v>
          </cell>
          <cell r="H4826">
            <v>86.72</v>
          </cell>
          <cell r="I4826">
            <v>4040.6348425353995</v>
          </cell>
          <cell r="J4826">
            <v>0</v>
          </cell>
        </row>
        <row r="4827">
          <cell r="E4827">
            <v>10530076</v>
          </cell>
          <cell r="F4827" t="str">
            <v>0037</v>
          </cell>
          <cell r="G4827">
            <v>11</v>
          </cell>
          <cell r="H4827">
            <v>31.189999999999998</v>
          </cell>
          <cell r="I4827">
            <v>1179.4000062240002</v>
          </cell>
          <cell r="J4827">
            <v>0</v>
          </cell>
        </row>
        <row r="4828">
          <cell r="E4828">
            <v>10530076</v>
          </cell>
          <cell r="F4828" t="str">
            <v>0038</v>
          </cell>
          <cell r="G4828">
            <v>14</v>
          </cell>
          <cell r="H4828">
            <v>98.4</v>
          </cell>
          <cell r="I4828">
            <v>3684.4676371602004</v>
          </cell>
          <cell r="J4828">
            <v>0</v>
          </cell>
        </row>
        <row r="4829">
          <cell r="E4829">
            <v>10530076</v>
          </cell>
          <cell r="F4829" t="str">
            <v>0039</v>
          </cell>
          <cell r="G4829">
            <v>14</v>
          </cell>
          <cell r="H4829">
            <v>52.680000000000007</v>
          </cell>
          <cell r="I4829">
            <v>2349.0116429274999</v>
          </cell>
          <cell r="J4829">
            <v>0</v>
          </cell>
        </row>
        <row r="4830">
          <cell r="E4830">
            <v>10530076</v>
          </cell>
          <cell r="F4830" t="str">
            <v>0040</v>
          </cell>
          <cell r="G4830">
            <v>11</v>
          </cell>
          <cell r="H4830">
            <v>30.62</v>
          </cell>
          <cell r="I4830">
            <v>1237.2267956400001</v>
          </cell>
          <cell r="J4830">
            <v>0</v>
          </cell>
        </row>
        <row r="4831">
          <cell r="E4831">
            <v>10530076</v>
          </cell>
          <cell r="F4831" t="str">
            <v>0043</v>
          </cell>
          <cell r="G4831">
            <v>5</v>
          </cell>
          <cell r="H4831">
            <v>7.3900000000000006</v>
          </cell>
          <cell r="I4831">
            <v>385.89073684740004</v>
          </cell>
          <cell r="J4831">
            <v>0</v>
          </cell>
        </row>
        <row r="4832">
          <cell r="E4832">
            <v>10530076</v>
          </cell>
          <cell r="F4832" t="str">
            <v>0045</v>
          </cell>
          <cell r="G4832">
            <v>13</v>
          </cell>
          <cell r="H4832">
            <v>46.949999999999996</v>
          </cell>
          <cell r="I4832">
            <v>2685.7724845178</v>
          </cell>
          <cell r="J4832">
            <v>0</v>
          </cell>
        </row>
        <row r="4833">
          <cell r="E4833">
            <v>10530076</v>
          </cell>
          <cell r="F4833" t="str">
            <v>0046</v>
          </cell>
          <cell r="G4833">
            <v>14</v>
          </cell>
          <cell r="H4833">
            <v>225.59</v>
          </cell>
          <cell r="I4833">
            <v>11559.283123565303</v>
          </cell>
          <cell r="J4833">
            <v>0</v>
          </cell>
        </row>
        <row r="4834">
          <cell r="E4834">
            <v>10530076</v>
          </cell>
          <cell r="F4834" t="str">
            <v>0048</v>
          </cell>
          <cell r="G4834">
            <v>12</v>
          </cell>
          <cell r="H4834">
            <v>21.99</v>
          </cell>
          <cell r="I4834">
            <v>726.85481590260008</v>
          </cell>
          <cell r="J4834">
            <v>0</v>
          </cell>
        </row>
        <row r="4835">
          <cell r="E4835">
            <v>10530076</v>
          </cell>
          <cell r="F4835" t="str">
            <v>0049</v>
          </cell>
          <cell r="G4835">
            <v>7</v>
          </cell>
          <cell r="H4835">
            <v>17.739999999999998</v>
          </cell>
          <cell r="I4835">
            <v>723.00451014000009</v>
          </cell>
          <cell r="J4835">
            <v>0</v>
          </cell>
        </row>
        <row r="4836">
          <cell r="E4836">
            <v>10530076</v>
          </cell>
          <cell r="F4836" t="str">
            <v>0050</v>
          </cell>
          <cell r="G4836">
            <v>6</v>
          </cell>
          <cell r="H4836">
            <v>9.629999999999999</v>
          </cell>
          <cell r="I4836">
            <v>509.19327703798001</v>
          </cell>
          <cell r="J4836">
            <v>0</v>
          </cell>
        </row>
        <row r="4837">
          <cell r="E4837">
            <v>10530076</v>
          </cell>
          <cell r="F4837" t="str">
            <v>0052</v>
          </cell>
          <cell r="G4837">
            <v>7</v>
          </cell>
          <cell r="H4837">
            <v>35.17</v>
          </cell>
          <cell r="I4837">
            <v>2217.8496687036004</v>
          </cell>
          <cell r="J4837">
            <v>0</v>
          </cell>
        </row>
        <row r="4838">
          <cell r="E4838">
            <v>10530076</v>
          </cell>
          <cell r="F4838" t="str">
            <v>0053</v>
          </cell>
          <cell r="G4838">
            <v>14</v>
          </cell>
          <cell r="H4838">
            <v>21.68</v>
          </cell>
          <cell r="I4838">
            <v>1373.6288637255998</v>
          </cell>
          <cell r="J4838">
            <v>0</v>
          </cell>
        </row>
        <row r="4839">
          <cell r="E4839">
            <v>10530076</v>
          </cell>
          <cell r="F4839" t="str">
            <v>0054</v>
          </cell>
          <cell r="G4839">
            <v>10</v>
          </cell>
          <cell r="H4839">
            <v>20.309999999999999</v>
          </cell>
          <cell r="I4839">
            <v>1042.1365133741801</v>
          </cell>
          <cell r="J4839">
            <v>0</v>
          </cell>
        </row>
        <row r="4840">
          <cell r="E4840">
            <v>10530076</v>
          </cell>
          <cell r="F4840" t="str">
            <v>0055</v>
          </cell>
          <cell r="G4840">
            <v>7</v>
          </cell>
          <cell r="H4840">
            <v>19.95</v>
          </cell>
          <cell r="I4840">
            <v>754.21091948399999</v>
          </cell>
          <cell r="J4840">
            <v>0</v>
          </cell>
        </row>
        <row r="4841">
          <cell r="E4841">
            <v>10530076</v>
          </cell>
          <cell r="F4841" t="str">
            <v>0056</v>
          </cell>
          <cell r="G4841">
            <v>14</v>
          </cell>
          <cell r="H4841">
            <v>67.149999999999991</v>
          </cell>
          <cell r="I4841">
            <v>2963.6578108801014</v>
          </cell>
          <cell r="J4841">
            <v>0</v>
          </cell>
        </row>
        <row r="4842">
          <cell r="E4842">
            <v>10530076</v>
          </cell>
          <cell r="F4842" t="str">
            <v>0057</v>
          </cell>
          <cell r="G4842">
            <v>13</v>
          </cell>
          <cell r="H4842">
            <v>31.479999999999997</v>
          </cell>
          <cell r="I4842">
            <v>1429.6376272740172</v>
          </cell>
          <cell r="J4842">
            <v>0</v>
          </cell>
        </row>
        <row r="4843">
          <cell r="E4843">
            <v>10530076</v>
          </cell>
          <cell r="F4843" t="str">
            <v>0058</v>
          </cell>
          <cell r="G4843">
            <v>7</v>
          </cell>
          <cell r="H4843">
            <v>24.55</v>
          </cell>
          <cell r="I4843">
            <v>1003.6828925640002</v>
          </cell>
          <cell r="J4843">
            <v>0</v>
          </cell>
        </row>
        <row r="4844">
          <cell r="E4844">
            <v>10530076</v>
          </cell>
          <cell r="F4844" t="str">
            <v>0060</v>
          </cell>
          <cell r="G4844">
            <v>6</v>
          </cell>
          <cell r="H4844">
            <v>18.64</v>
          </cell>
          <cell r="I4844">
            <v>768.59711264160012</v>
          </cell>
          <cell r="J4844">
            <v>0</v>
          </cell>
        </row>
        <row r="4845">
          <cell r="E4845">
            <v>10530076</v>
          </cell>
          <cell r="F4845" t="str">
            <v>0061</v>
          </cell>
          <cell r="G4845">
            <v>5</v>
          </cell>
          <cell r="H4845">
            <v>8.0500000000000007</v>
          </cell>
          <cell r="I4845">
            <v>452.4398601695101</v>
          </cell>
          <cell r="J4845">
            <v>0</v>
          </cell>
        </row>
        <row r="4846">
          <cell r="E4846">
            <v>10530076</v>
          </cell>
          <cell r="F4846" t="str">
            <v>0062</v>
          </cell>
          <cell r="G4846">
            <v>7</v>
          </cell>
          <cell r="H4846">
            <v>19.11</v>
          </cell>
          <cell r="I4846">
            <v>1230.6530117130903</v>
          </cell>
          <cell r="J4846">
            <v>0</v>
          </cell>
        </row>
        <row r="4847">
          <cell r="E4847">
            <v>10530076</v>
          </cell>
          <cell r="F4847" t="str">
            <v>0063</v>
          </cell>
          <cell r="G4847">
            <v>14</v>
          </cell>
          <cell r="H4847">
            <v>80.11</v>
          </cell>
          <cell r="I4847">
            <v>3268.1545812827999</v>
          </cell>
          <cell r="J4847">
            <v>0</v>
          </cell>
        </row>
        <row r="4848">
          <cell r="E4848">
            <v>10530076</v>
          </cell>
          <cell r="F4848" t="str">
            <v>0064</v>
          </cell>
          <cell r="G4848">
            <v>6</v>
          </cell>
          <cell r="H4848">
            <v>15.72</v>
          </cell>
          <cell r="I4848">
            <v>653.9812460280001</v>
          </cell>
          <cell r="J4848">
            <v>0</v>
          </cell>
        </row>
        <row r="4849">
          <cell r="E4849">
            <v>10530076</v>
          </cell>
          <cell r="F4849" t="str">
            <v>0066</v>
          </cell>
          <cell r="G4849">
            <v>14</v>
          </cell>
          <cell r="H4849">
            <v>56.210000000000008</v>
          </cell>
          <cell r="I4849">
            <v>2100.1870961279997</v>
          </cell>
          <cell r="J4849">
            <v>0</v>
          </cell>
        </row>
        <row r="4850">
          <cell r="E4850">
            <v>10530078</v>
          </cell>
          <cell r="F4850" t="str">
            <v>0001</v>
          </cell>
          <cell r="G4850">
            <v>14</v>
          </cell>
          <cell r="H4850">
            <v>56.47</v>
          </cell>
          <cell r="I4850">
            <v>2605.6037678424996</v>
          </cell>
          <cell r="J4850">
            <v>0</v>
          </cell>
        </row>
        <row r="4851">
          <cell r="E4851">
            <v>10530078</v>
          </cell>
          <cell r="F4851" t="str">
            <v>0002</v>
          </cell>
          <cell r="G4851">
            <v>14</v>
          </cell>
          <cell r="H4851">
            <v>239.49</v>
          </cell>
          <cell r="I4851">
            <v>12682.512017498178</v>
          </cell>
          <cell r="J4851">
            <v>0</v>
          </cell>
        </row>
        <row r="4852">
          <cell r="E4852">
            <v>10530078</v>
          </cell>
          <cell r="F4852" t="str">
            <v>0003</v>
          </cell>
          <cell r="G4852">
            <v>3</v>
          </cell>
          <cell r="H4852">
            <v>17.96</v>
          </cell>
          <cell r="I4852">
            <v>888.32123089380002</v>
          </cell>
          <cell r="J4852">
            <v>0</v>
          </cell>
        </row>
        <row r="4853">
          <cell r="E4853">
            <v>10530078</v>
          </cell>
          <cell r="F4853" t="str">
            <v>0005</v>
          </cell>
          <cell r="G4853">
            <v>1</v>
          </cell>
          <cell r="H4853">
            <v>1.26</v>
          </cell>
          <cell r="I4853">
            <v>64.217981194920014</v>
          </cell>
          <cell r="J4853">
            <v>0</v>
          </cell>
        </row>
        <row r="4854">
          <cell r="E4854">
            <v>10530078</v>
          </cell>
          <cell r="F4854" t="str">
            <v>0006</v>
          </cell>
          <cell r="G4854">
            <v>14</v>
          </cell>
          <cell r="H4854">
            <v>56.01</v>
          </cell>
          <cell r="I4854">
            <v>2117.5593601139999</v>
          </cell>
          <cell r="J4854">
            <v>0</v>
          </cell>
        </row>
        <row r="4855">
          <cell r="E4855">
            <v>10530078</v>
          </cell>
          <cell r="F4855" t="str">
            <v>0007</v>
          </cell>
          <cell r="G4855">
            <v>8</v>
          </cell>
          <cell r="H4855">
            <v>16.529999999999998</v>
          </cell>
          <cell r="I4855">
            <v>562.11651686520008</v>
          </cell>
          <cell r="J4855">
            <v>0</v>
          </cell>
        </row>
        <row r="4856">
          <cell r="E4856">
            <v>10530078</v>
          </cell>
          <cell r="F4856" t="str">
            <v>0008</v>
          </cell>
          <cell r="G4856">
            <v>14</v>
          </cell>
          <cell r="H4856">
            <v>52.66</v>
          </cell>
          <cell r="I4856">
            <v>1976.6307991122003</v>
          </cell>
          <cell r="J4856">
            <v>0</v>
          </cell>
        </row>
        <row r="4857">
          <cell r="E4857">
            <v>10530078</v>
          </cell>
          <cell r="F4857" t="str">
            <v>0010</v>
          </cell>
          <cell r="G4857">
            <v>2</v>
          </cell>
          <cell r="H4857">
            <v>5.79</v>
          </cell>
          <cell r="I4857">
            <v>214.6022519256</v>
          </cell>
          <cell r="J4857">
            <v>0</v>
          </cell>
        </row>
        <row r="4858">
          <cell r="E4858">
            <v>10530078</v>
          </cell>
          <cell r="F4858" t="str">
            <v>0012</v>
          </cell>
          <cell r="G4858">
            <v>14</v>
          </cell>
          <cell r="H4858">
            <v>88.75</v>
          </cell>
          <cell r="I4858">
            <v>3504.9881177900897</v>
          </cell>
          <cell r="J4858">
            <v>0</v>
          </cell>
        </row>
        <row r="4859">
          <cell r="E4859">
            <v>10530078</v>
          </cell>
          <cell r="F4859" t="str">
            <v>0022</v>
          </cell>
          <cell r="G4859">
            <v>7</v>
          </cell>
          <cell r="H4859">
            <v>22.68</v>
          </cell>
          <cell r="I4859">
            <v>862.04017429200007</v>
          </cell>
          <cell r="J4859">
            <v>0</v>
          </cell>
        </row>
        <row r="4860">
          <cell r="E4860">
            <v>10530078</v>
          </cell>
          <cell r="F4860" t="str">
            <v>0024</v>
          </cell>
          <cell r="G4860">
            <v>14</v>
          </cell>
          <cell r="H4860">
            <v>193.39999999999995</v>
          </cell>
          <cell r="I4860">
            <v>9330.6901056439001</v>
          </cell>
          <cell r="J4860">
            <v>0</v>
          </cell>
        </row>
        <row r="4861">
          <cell r="E4861">
            <v>10530078</v>
          </cell>
          <cell r="F4861" t="str">
            <v>0027</v>
          </cell>
          <cell r="G4861">
            <v>14</v>
          </cell>
          <cell r="H4861">
            <v>36.979999999999997</v>
          </cell>
          <cell r="I4861">
            <v>1397.2145113080001</v>
          </cell>
          <cell r="J4861">
            <v>0</v>
          </cell>
        </row>
        <row r="4862">
          <cell r="E4862">
            <v>10530078</v>
          </cell>
          <cell r="F4862" t="str">
            <v>0030</v>
          </cell>
          <cell r="G4862">
            <v>7</v>
          </cell>
          <cell r="H4862">
            <v>23.06</v>
          </cell>
          <cell r="I4862">
            <v>857.30301162000012</v>
          </cell>
          <cell r="J4862">
            <v>0</v>
          </cell>
        </row>
        <row r="4863">
          <cell r="E4863">
            <v>10530078</v>
          </cell>
          <cell r="F4863" t="str">
            <v>0031</v>
          </cell>
          <cell r="G4863">
            <v>8</v>
          </cell>
          <cell r="H4863">
            <v>13.42</v>
          </cell>
          <cell r="I4863">
            <v>472.05575762400008</v>
          </cell>
          <cell r="J4863">
            <v>0</v>
          </cell>
        </row>
        <row r="4864">
          <cell r="E4864">
            <v>10530078</v>
          </cell>
          <cell r="F4864" t="str">
            <v>0033</v>
          </cell>
          <cell r="G4864">
            <v>5</v>
          </cell>
          <cell r="H4864">
            <v>15.860000000000001</v>
          </cell>
          <cell r="I4864">
            <v>598.83824167200009</v>
          </cell>
          <cell r="J4864">
            <v>0</v>
          </cell>
        </row>
        <row r="4865">
          <cell r="E4865">
            <v>10530081</v>
          </cell>
          <cell r="F4865" t="str">
            <v>0001</v>
          </cell>
          <cell r="G4865">
            <v>14</v>
          </cell>
          <cell r="H4865">
            <v>19.75</v>
          </cell>
          <cell r="I4865">
            <v>896.83109877599998</v>
          </cell>
          <cell r="J4865">
            <v>0</v>
          </cell>
        </row>
        <row r="4866">
          <cell r="E4866">
            <v>10530081</v>
          </cell>
          <cell r="F4866" t="str">
            <v>0002</v>
          </cell>
          <cell r="G4866">
            <v>11</v>
          </cell>
          <cell r="H4866">
            <v>35.01</v>
          </cell>
          <cell r="I4866">
            <v>2145.2204051277999</v>
          </cell>
          <cell r="J4866">
            <v>0</v>
          </cell>
        </row>
        <row r="4867">
          <cell r="E4867">
            <v>10530081</v>
          </cell>
          <cell r="F4867" t="str">
            <v>0003</v>
          </cell>
          <cell r="G4867">
            <v>13</v>
          </cell>
          <cell r="H4867">
            <v>42.73</v>
          </cell>
          <cell r="I4867">
            <v>2429.5306935846002</v>
          </cell>
          <cell r="J4867">
            <v>0</v>
          </cell>
        </row>
        <row r="4868">
          <cell r="E4868">
            <v>10530081</v>
          </cell>
          <cell r="F4868" t="str">
            <v>0005</v>
          </cell>
          <cell r="G4868">
            <v>13</v>
          </cell>
          <cell r="H4868">
            <v>38.93</v>
          </cell>
          <cell r="I4868">
            <v>2807.7765617796999</v>
          </cell>
          <cell r="J4868">
            <v>0</v>
          </cell>
        </row>
        <row r="4869">
          <cell r="E4869">
            <v>10530081</v>
          </cell>
          <cell r="F4869" t="str">
            <v>0006</v>
          </cell>
          <cell r="G4869">
            <v>14</v>
          </cell>
          <cell r="H4869">
            <v>26.949999999999996</v>
          </cell>
          <cell r="I4869">
            <v>1238.6900557226802</v>
          </cell>
          <cell r="J4869">
            <v>0</v>
          </cell>
        </row>
        <row r="4870">
          <cell r="E4870">
            <v>10530081</v>
          </cell>
          <cell r="F4870" t="str">
            <v>0007</v>
          </cell>
          <cell r="G4870">
            <v>9</v>
          </cell>
          <cell r="H4870">
            <v>25.990000000000002</v>
          </cell>
          <cell r="I4870">
            <v>971.99400078000008</v>
          </cell>
          <cell r="J4870">
            <v>0</v>
          </cell>
        </row>
        <row r="4871">
          <cell r="E4871">
            <v>10530081</v>
          </cell>
          <cell r="F4871" t="str">
            <v>0008</v>
          </cell>
          <cell r="G4871">
            <v>14</v>
          </cell>
          <cell r="H4871">
            <v>60.17</v>
          </cell>
          <cell r="I4871">
            <v>2223.1163421720003</v>
          </cell>
          <cell r="J4871">
            <v>0</v>
          </cell>
        </row>
        <row r="4872">
          <cell r="E4872">
            <v>10530081</v>
          </cell>
          <cell r="F4872" t="str">
            <v>0009</v>
          </cell>
          <cell r="G4872">
            <v>14</v>
          </cell>
          <cell r="H4872">
            <v>50.709999999999994</v>
          </cell>
          <cell r="I4872">
            <v>2706.9426599741005</v>
          </cell>
          <cell r="J4872">
            <v>0</v>
          </cell>
        </row>
        <row r="4873">
          <cell r="E4873">
            <v>10530081</v>
          </cell>
          <cell r="F4873" t="str">
            <v>0010</v>
          </cell>
          <cell r="G4873">
            <v>14</v>
          </cell>
          <cell r="H4873">
            <v>62.580000000000005</v>
          </cell>
          <cell r="I4873">
            <v>3479.6236731005993</v>
          </cell>
          <cell r="J4873">
            <v>0</v>
          </cell>
        </row>
        <row r="4874">
          <cell r="E4874">
            <v>10530081</v>
          </cell>
          <cell r="F4874" t="str">
            <v>0011</v>
          </cell>
          <cell r="G4874">
            <v>7</v>
          </cell>
          <cell r="H4874">
            <v>19.57</v>
          </cell>
          <cell r="I4874">
            <v>1201.9556298438001</v>
          </cell>
          <cell r="J4874">
            <v>0</v>
          </cell>
        </row>
        <row r="4875">
          <cell r="E4875">
            <v>10530081</v>
          </cell>
          <cell r="F4875" t="str">
            <v>0014</v>
          </cell>
          <cell r="G4875">
            <v>14</v>
          </cell>
          <cell r="H4875">
            <v>28.34</v>
          </cell>
          <cell r="I4875">
            <v>1418.8030204008201</v>
          </cell>
          <cell r="J4875">
            <v>0</v>
          </cell>
        </row>
        <row r="4876">
          <cell r="E4876">
            <v>10530081</v>
          </cell>
          <cell r="F4876" t="str">
            <v>0016</v>
          </cell>
          <cell r="G4876">
            <v>13</v>
          </cell>
          <cell r="H4876">
            <v>24.82</v>
          </cell>
          <cell r="I4876">
            <v>1064.8389308040003</v>
          </cell>
          <cell r="J4876">
            <v>0</v>
          </cell>
        </row>
        <row r="4877">
          <cell r="E4877">
            <v>10530081</v>
          </cell>
          <cell r="F4877" t="str">
            <v>0017</v>
          </cell>
          <cell r="G4877">
            <v>14</v>
          </cell>
          <cell r="H4877">
            <v>131.82</v>
          </cell>
          <cell r="I4877">
            <v>7158.7104469088799</v>
          </cell>
          <cell r="J4877">
            <v>0</v>
          </cell>
        </row>
        <row r="4878">
          <cell r="E4878">
            <v>10530081</v>
          </cell>
          <cell r="F4878" t="str">
            <v>0018</v>
          </cell>
          <cell r="G4878">
            <v>14</v>
          </cell>
          <cell r="H4878">
            <v>54.529999999999987</v>
          </cell>
          <cell r="I4878">
            <v>2090.7326226600003</v>
          </cell>
          <cell r="J4878">
            <v>0</v>
          </cell>
        </row>
        <row r="4879">
          <cell r="E4879">
            <v>10530081</v>
          </cell>
          <cell r="F4879" t="str">
            <v>0021</v>
          </cell>
          <cell r="G4879">
            <v>14</v>
          </cell>
          <cell r="H4879">
            <v>21.74</v>
          </cell>
          <cell r="I4879">
            <v>1258.2499612834822</v>
          </cell>
          <cell r="J4879">
            <v>0</v>
          </cell>
        </row>
        <row r="4880">
          <cell r="E4880">
            <v>10530081</v>
          </cell>
          <cell r="F4880" t="str">
            <v>0022</v>
          </cell>
          <cell r="G4880">
            <v>7</v>
          </cell>
          <cell r="H4880">
            <v>10.620000000000001</v>
          </cell>
          <cell r="I4880">
            <v>415.39078033200002</v>
          </cell>
          <cell r="J4880">
            <v>0</v>
          </cell>
        </row>
        <row r="4881">
          <cell r="E4881">
            <v>10530081</v>
          </cell>
          <cell r="F4881" t="str">
            <v>0023</v>
          </cell>
          <cell r="G4881">
            <v>8</v>
          </cell>
          <cell r="H4881">
            <v>14.28</v>
          </cell>
          <cell r="I4881">
            <v>766.42003299356008</v>
          </cell>
          <cell r="J4881">
            <v>0</v>
          </cell>
        </row>
        <row r="4882">
          <cell r="E4882">
            <v>10530081</v>
          </cell>
          <cell r="F4882" t="str">
            <v>0024</v>
          </cell>
          <cell r="G4882">
            <v>14</v>
          </cell>
          <cell r="H4882">
            <v>44.59</v>
          </cell>
          <cell r="I4882">
            <v>1782.5516495820002</v>
          </cell>
          <cell r="J4882">
            <v>0</v>
          </cell>
        </row>
        <row r="4883">
          <cell r="E4883">
            <v>10530081</v>
          </cell>
          <cell r="F4883" t="str">
            <v>0027</v>
          </cell>
          <cell r="G4883">
            <v>6</v>
          </cell>
          <cell r="H4883">
            <v>13.520000000000001</v>
          </cell>
          <cell r="I4883">
            <v>496.2480494400001</v>
          </cell>
          <cell r="J4883">
            <v>0</v>
          </cell>
        </row>
        <row r="4884">
          <cell r="E4884">
            <v>10530081</v>
          </cell>
          <cell r="F4884" t="str">
            <v>0028</v>
          </cell>
          <cell r="G4884">
            <v>14</v>
          </cell>
          <cell r="H4884">
            <v>87.1</v>
          </cell>
          <cell r="I4884">
            <v>3230.2569412080002</v>
          </cell>
          <cell r="J4884">
            <v>0</v>
          </cell>
        </row>
        <row r="4885">
          <cell r="E4885">
            <v>10530081</v>
          </cell>
          <cell r="F4885" t="str">
            <v>0030</v>
          </cell>
          <cell r="G4885">
            <v>7</v>
          </cell>
          <cell r="H4885">
            <v>23.16</v>
          </cell>
          <cell r="I4885">
            <v>1252.3121206246003</v>
          </cell>
          <cell r="J4885">
            <v>0</v>
          </cell>
        </row>
        <row r="4886">
          <cell r="E4886">
            <v>10530081</v>
          </cell>
          <cell r="F4886" t="str">
            <v>0031</v>
          </cell>
          <cell r="G4886">
            <v>14</v>
          </cell>
          <cell r="H4886">
            <v>92.289999999999992</v>
          </cell>
          <cell r="I4886">
            <v>3850.3785493800005</v>
          </cell>
          <cell r="J4886">
            <v>0</v>
          </cell>
        </row>
        <row r="4887">
          <cell r="E4887">
            <v>10530081</v>
          </cell>
          <cell r="F4887" t="str">
            <v>0032</v>
          </cell>
          <cell r="G4887">
            <v>7</v>
          </cell>
          <cell r="H4887">
            <v>21.119999999999997</v>
          </cell>
          <cell r="I4887">
            <v>1544.0485481242001</v>
          </cell>
          <cell r="J4887">
            <v>0</v>
          </cell>
        </row>
        <row r="4888">
          <cell r="E4888">
            <v>10530081</v>
          </cell>
          <cell r="F4888" t="str">
            <v>0033</v>
          </cell>
          <cell r="G4888">
            <v>7</v>
          </cell>
          <cell r="H4888">
            <v>23.49</v>
          </cell>
          <cell r="I4888">
            <v>875.49692590800009</v>
          </cell>
          <cell r="J4888">
            <v>0</v>
          </cell>
        </row>
        <row r="4889">
          <cell r="E4889">
            <v>10530081</v>
          </cell>
          <cell r="F4889" t="str">
            <v>0034</v>
          </cell>
          <cell r="G4889">
            <v>14</v>
          </cell>
          <cell r="H4889">
            <v>67.86</v>
          </cell>
          <cell r="I4889">
            <v>2633.8981672080008</v>
          </cell>
          <cell r="J4889">
            <v>0</v>
          </cell>
        </row>
        <row r="4890">
          <cell r="E4890">
            <v>10530081</v>
          </cell>
          <cell r="F4890" t="str">
            <v>0035</v>
          </cell>
          <cell r="G4890">
            <v>7</v>
          </cell>
          <cell r="H4890">
            <v>31.93</v>
          </cell>
          <cell r="I4890">
            <v>1175.1051223296001</v>
          </cell>
          <cell r="J4890">
            <v>0</v>
          </cell>
        </row>
        <row r="4891">
          <cell r="E4891">
            <v>10530081</v>
          </cell>
          <cell r="F4891" t="str">
            <v>0036</v>
          </cell>
          <cell r="G4891">
            <v>14</v>
          </cell>
          <cell r="H4891">
            <v>140.87</v>
          </cell>
          <cell r="I4891">
            <v>6172.1947174197994</v>
          </cell>
          <cell r="J4891">
            <v>0</v>
          </cell>
        </row>
        <row r="4892">
          <cell r="E4892">
            <v>10530081</v>
          </cell>
          <cell r="F4892" t="str">
            <v>0037</v>
          </cell>
          <cell r="G4892">
            <v>11</v>
          </cell>
          <cell r="H4892">
            <v>23.819999999999993</v>
          </cell>
          <cell r="I4892">
            <v>1461.4104851336001</v>
          </cell>
          <cell r="J4892">
            <v>0</v>
          </cell>
        </row>
        <row r="4893">
          <cell r="E4893">
            <v>10530081</v>
          </cell>
          <cell r="F4893" t="str">
            <v>0038</v>
          </cell>
          <cell r="G4893">
            <v>14</v>
          </cell>
          <cell r="H4893">
            <v>71.000000000000014</v>
          </cell>
          <cell r="I4893">
            <v>2616.7738920840002</v>
          </cell>
          <cell r="J4893">
            <v>0</v>
          </cell>
        </row>
        <row r="4894">
          <cell r="E4894">
            <v>10530081</v>
          </cell>
          <cell r="F4894" t="str">
            <v>0039</v>
          </cell>
          <cell r="G4894">
            <v>14</v>
          </cell>
          <cell r="H4894">
            <v>83.96</v>
          </cell>
          <cell r="I4894">
            <v>3231.0120031199999</v>
          </cell>
          <cell r="J4894">
            <v>0</v>
          </cell>
        </row>
        <row r="4895">
          <cell r="E4895">
            <v>10530081</v>
          </cell>
          <cell r="F4895" t="str">
            <v>0040</v>
          </cell>
          <cell r="G4895">
            <v>14</v>
          </cell>
          <cell r="H4895">
            <v>33.26</v>
          </cell>
          <cell r="I4895">
            <v>2139.1376320199001</v>
          </cell>
          <cell r="J4895">
            <v>0</v>
          </cell>
        </row>
        <row r="4896">
          <cell r="E4896">
            <v>10530081</v>
          </cell>
          <cell r="F4896" t="str">
            <v>0041</v>
          </cell>
          <cell r="G4896">
            <v>13</v>
          </cell>
          <cell r="H4896">
            <v>44.170000000000009</v>
          </cell>
          <cell r="I4896">
            <v>1568.8502998541999</v>
          </cell>
          <cell r="J4896">
            <v>0</v>
          </cell>
        </row>
        <row r="4897">
          <cell r="E4897">
            <v>10530081</v>
          </cell>
          <cell r="F4897" t="str">
            <v>0042</v>
          </cell>
          <cell r="G4897">
            <v>14</v>
          </cell>
          <cell r="H4897">
            <v>25.450000000000003</v>
          </cell>
          <cell r="I4897">
            <v>1012.4513657280002</v>
          </cell>
          <cell r="J4897">
            <v>0</v>
          </cell>
        </row>
        <row r="4898">
          <cell r="E4898">
            <v>10530082</v>
          </cell>
          <cell r="F4898" t="str">
            <v>0001</v>
          </cell>
          <cell r="G4898">
            <v>10</v>
          </cell>
          <cell r="H4898">
            <v>8.74</v>
          </cell>
          <cell r="I4898">
            <v>357.51050676000006</v>
          </cell>
          <cell r="J4898">
            <v>0</v>
          </cell>
        </row>
        <row r="4899">
          <cell r="E4899">
            <v>10530082</v>
          </cell>
          <cell r="F4899" t="str">
            <v>0003</v>
          </cell>
          <cell r="G4899">
            <v>13</v>
          </cell>
          <cell r="H4899">
            <v>24.720000000000002</v>
          </cell>
          <cell r="I4899">
            <v>973.01557584000011</v>
          </cell>
          <cell r="J4899">
            <v>0</v>
          </cell>
        </row>
        <row r="4900">
          <cell r="E4900">
            <v>10530082</v>
          </cell>
          <cell r="F4900" t="str">
            <v>0004</v>
          </cell>
          <cell r="G4900">
            <v>14</v>
          </cell>
          <cell r="H4900">
            <v>54.71</v>
          </cell>
          <cell r="I4900">
            <v>2368.3978370382601</v>
          </cell>
          <cell r="J4900">
            <v>0</v>
          </cell>
        </row>
        <row r="4901">
          <cell r="E4901">
            <v>10530082</v>
          </cell>
          <cell r="F4901" t="str">
            <v>0007</v>
          </cell>
          <cell r="G4901">
            <v>13</v>
          </cell>
          <cell r="H4901">
            <v>29.35</v>
          </cell>
          <cell r="I4901">
            <v>1037.8908473670001</v>
          </cell>
          <cell r="J4901">
            <v>0</v>
          </cell>
        </row>
        <row r="4902">
          <cell r="E4902">
            <v>10530082</v>
          </cell>
          <cell r="F4902" t="str">
            <v>0009</v>
          </cell>
          <cell r="G4902">
            <v>9</v>
          </cell>
          <cell r="H4902">
            <v>23.399999999999995</v>
          </cell>
          <cell r="I4902">
            <v>1036.4681001259003</v>
          </cell>
          <cell r="J4902">
            <v>0</v>
          </cell>
        </row>
        <row r="4903">
          <cell r="E4903">
            <v>10530082</v>
          </cell>
          <cell r="F4903" t="str">
            <v>0011</v>
          </cell>
          <cell r="G4903">
            <v>13</v>
          </cell>
          <cell r="H4903">
            <v>42.23</v>
          </cell>
          <cell r="I4903">
            <v>1685.4167820600001</v>
          </cell>
          <cell r="J4903">
            <v>0</v>
          </cell>
        </row>
        <row r="4904">
          <cell r="E4904">
            <v>10530082</v>
          </cell>
          <cell r="F4904" t="str">
            <v>0014</v>
          </cell>
          <cell r="G4904">
            <v>12</v>
          </cell>
          <cell r="H4904">
            <v>17.25</v>
          </cell>
          <cell r="I4904">
            <v>675.71576867520014</v>
          </cell>
          <cell r="J4904">
            <v>0</v>
          </cell>
        </row>
        <row r="4905">
          <cell r="E4905">
            <v>10530082</v>
          </cell>
          <cell r="F4905" t="str">
            <v>0015</v>
          </cell>
          <cell r="G4905">
            <v>14</v>
          </cell>
          <cell r="H4905">
            <v>80.45</v>
          </cell>
          <cell r="I4905">
            <v>3430.607963508</v>
          </cell>
          <cell r="J4905">
            <v>0</v>
          </cell>
        </row>
        <row r="4906">
          <cell r="E4906">
            <v>10530082</v>
          </cell>
          <cell r="F4906" t="str">
            <v>0018</v>
          </cell>
          <cell r="G4906">
            <v>14</v>
          </cell>
          <cell r="H4906">
            <v>70.799999999999983</v>
          </cell>
          <cell r="I4906">
            <v>3038.8811920200001</v>
          </cell>
          <cell r="J4906">
            <v>0</v>
          </cell>
        </row>
        <row r="4907">
          <cell r="E4907">
            <v>10530082</v>
          </cell>
          <cell r="F4907" t="str">
            <v>0020</v>
          </cell>
          <cell r="G4907">
            <v>14</v>
          </cell>
          <cell r="H4907">
            <v>82.359999999999985</v>
          </cell>
          <cell r="I4907">
            <v>3274.0309080666002</v>
          </cell>
          <cell r="J4907">
            <v>0</v>
          </cell>
        </row>
        <row r="4908">
          <cell r="E4908">
            <v>10530082</v>
          </cell>
          <cell r="F4908" t="str">
            <v>0023</v>
          </cell>
          <cell r="G4908">
            <v>4</v>
          </cell>
          <cell r="H4908">
            <v>18.03</v>
          </cell>
          <cell r="I4908">
            <v>646.89836900040007</v>
          </cell>
          <cell r="J4908">
            <v>0</v>
          </cell>
        </row>
        <row r="4909">
          <cell r="E4909">
            <v>10530082</v>
          </cell>
          <cell r="F4909" t="str">
            <v>0024</v>
          </cell>
          <cell r="G4909">
            <v>11</v>
          </cell>
          <cell r="H4909">
            <v>21.640000000000008</v>
          </cell>
          <cell r="I4909">
            <v>872.8971885612001</v>
          </cell>
          <cell r="J4909">
            <v>0</v>
          </cell>
        </row>
        <row r="4910">
          <cell r="E4910">
            <v>10530082</v>
          </cell>
          <cell r="F4910" t="str">
            <v>0025</v>
          </cell>
          <cell r="G4910">
            <v>7</v>
          </cell>
          <cell r="H4910">
            <v>20.52</v>
          </cell>
          <cell r="I4910">
            <v>944.95325869789212</v>
          </cell>
          <cell r="J4910">
            <v>0</v>
          </cell>
        </row>
        <row r="4911">
          <cell r="E4911">
            <v>10530082</v>
          </cell>
          <cell r="F4911" t="str">
            <v>0028</v>
          </cell>
          <cell r="G4911">
            <v>13</v>
          </cell>
          <cell r="H4911">
            <v>28.14</v>
          </cell>
          <cell r="I4911">
            <v>1003.1852128914001</v>
          </cell>
          <cell r="J4911">
            <v>0</v>
          </cell>
        </row>
        <row r="4912">
          <cell r="E4912">
            <v>10530082</v>
          </cell>
          <cell r="F4912" t="str">
            <v>0029</v>
          </cell>
          <cell r="G4912">
            <v>9</v>
          </cell>
          <cell r="H4912">
            <v>17.670000000000002</v>
          </cell>
          <cell r="I4912">
            <v>1137.85594472261</v>
          </cell>
          <cell r="J4912">
            <v>0</v>
          </cell>
        </row>
        <row r="4913">
          <cell r="E4913">
            <v>10530082</v>
          </cell>
          <cell r="F4913" t="str">
            <v>0030</v>
          </cell>
          <cell r="G4913">
            <v>14</v>
          </cell>
          <cell r="H4913">
            <v>119.77</v>
          </cell>
          <cell r="I4913">
            <v>4546.9597179599996</v>
          </cell>
          <cell r="J4913">
            <v>0</v>
          </cell>
        </row>
        <row r="4914">
          <cell r="E4914">
            <v>10530082</v>
          </cell>
          <cell r="F4914" t="str">
            <v>0031</v>
          </cell>
          <cell r="G4914">
            <v>8</v>
          </cell>
          <cell r="H4914">
            <v>27.25</v>
          </cell>
          <cell r="I4914">
            <v>1168.743027732276</v>
          </cell>
          <cell r="J4914">
            <v>0</v>
          </cell>
        </row>
        <row r="4915">
          <cell r="E4915">
            <v>10530082</v>
          </cell>
          <cell r="F4915" t="str">
            <v>0032</v>
          </cell>
          <cell r="G4915">
            <v>14</v>
          </cell>
          <cell r="H4915">
            <v>303.91000000000003</v>
          </cell>
          <cell r="I4915">
            <v>12935.395053946202</v>
          </cell>
          <cell r="J4915">
            <v>0</v>
          </cell>
        </row>
        <row r="4916">
          <cell r="E4916">
            <v>10530082</v>
          </cell>
          <cell r="F4916" t="str">
            <v>0040</v>
          </cell>
          <cell r="G4916">
            <v>14</v>
          </cell>
          <cell r="H4916">
            <v>105.39</v>
          </cell>
          <cell r="I4916">
            <v>3819.7007004222005</v>
          </cell>
          <cell r="J4916">
            <v>0</v>
          </cell>
        </row>
        <row r="4917">
          <cell r="E4917">
            <v>10530082</v>
          </cell>
          <cell r="F4917" t="str">
            <v>0041</v>
          </cell>
          <cell r="G4917">
            <v>4</v>
          </cell>
          <cell r="H4917">
            <v>17.559999999999999</v>
          </cell>
          <cell r="I4917">
            <v>958.50797806002993</v>
          </cell>
          <cell r="J4917">
            <v>0</v>
          </cell>
        </row>
        <row r="4918">
          <cell r="E4918">
            <v>10530082</v>
          </cell>
          <cell r="F4918" t="str">
            <v>0042</v>
          </cell>
          <cell r="G4918">
            <v>7</v>
          </cell>
          <cell r="H4918">
            <v>39.53</v>
          </cell>
          <cell r="I4918">
            <v>1397.6068501296004</v>
          </cell>
          <cell r="J4918">
            <v>0</v>
          </cell>
        </row>
        <row r="4919">
          <cell r="E4919">
            <v>10530082</v>
          </cell>
          <cell r="F4919" t="str">
            <v>0044</v>
          </cell>
          <cell r="G4919">
            <v>13</v>
          </cell>
          <cell r="H4919">
            <v>40.31</v>
          </cell>
          <cell r="I4919">
            <v>1723.3060898793151</v>
          </cell>
          <cell r="J4919">
            <v>0</v>
          </cell>
        </row>
        <row r="4920">
          <cell r="E4920">
            <v>10530082</v>
          </cell>
          <cell r="F4920" t="str">
            <v>0048</v>
          </cell>
          <cell r="G4920">
            <v>13</v>
          </cell>
          <cell r="H4920">
            <v>39.700000000000003</v>
          </cell>
          <cell r="I4920">
            <v>1534.1047826741999</v>
          </cell>
          <cell r="J4920">
            <v>0</v>
          </cell>
        </row>
        <row r="4921">
          <cell r="E4921">
            <v>10530082</v>
          </cell>
          <cell r="F4921" t="str">
            <v>0049</v>
          </cell>
          <cell r="G4921">
            <v>6</v>
          </cell>
          <cell r="H4921">
            <v>22.71</v>
          </cell>
          <cell r="I4921">
            <v>1246.5277119118502</v>
          </cell>
          <cell r="J4921">
            <v>0</v>
          </cell>
        </row>
        <row r="4922">
          <cell r="E4922">
            <v>10530084</v>
          </cell>
          <cell r="F4922" t="str">
            <v>0001</v>
          </cell>
          <cell r="G4922">
            <v>14</v>
          </cell>
          <cell r="H4922">
            <v>21.860000000000003</v>
          </cell>
          <cell r="I4922">
            <v>924.00739239600011</v>
          </cell>
          <cell r="J4922">
            <v>0</v>
          </cell>
        </row>
        <row r="4923">
          <cell r="E4923">
            <v>10530084</v>
          </cell>
          <cell r="F4923" t="str">
            <v>0002</v>
          </cell>
          <cell r="G4923">
            <v>14</v>
          </cell>
          <cell r="H4923">
            <v>121.35000000000002</v>
          </cell>
          <cell r="I4923">
            <v>5239.7841334083705</v>
          </cell>
          <cell r="J4923">
            <v>0</v>
          </cell>
        </row>
        <row r="4924">
          <cell r="E4924">
            <v>10530084</v>
          </cell>
          <cell r="F4924" t="str">
            <v>0003</v>
          </cell>
          <cell r="G4924">
            <v>14</v>
          </cell>
          <cell r="H4924">
            <v>112.77000000000001</v>
          </cell>
          <cell r="I4924">
            <v>4437.3589306200001</v>
          </cell>
          <cell r="J4924">
            <v>0</v>
          </cell>
        </row>
        <row r="4925">
          <cell r="E4925">
            <v>10530084</v>
          </cell>
          <cell r="F4925" t="str">
            <v>0006</v>
          </cell>
          <cell r="G4925">
            <v>14</v>
          </cell>
          <cell r="H4925">
            <v>148.83000000000001</v>
          </cell>
          <cell r="I4925">
            <v>5427.6091954920012</v>
          </cell>
          <cell r="J4925">
            <v>0</v>
          </cell>
        </row>
        <row r="4926">
          <cell r="E4926">
            <v>10530084</v>
          </cell>
          <cell r="F4926" t="str">
            <v>0007</v>
          </cell>
          <cell r="G4926">
            <v>7</v>
          </cell>
          <cell r="H4926">
            <v>15.09</v>
          </cell>
          <cell r="I4926">
            <v>647.54029098000012</v>
          </cell>
          <cell r="J4926">
            <v>0</v>
          </cell>
        </row>
        <row r="4927">
          <cell r="E4927">
            <v>10530084</v>
          </cell>
          <cell r="F4927" t="str">
            <v>0014</v>
          </cell>
          <cell r="G4927">
            <v>7</v>
          </cell>
          <cell r="H4927">
            <v>14.82</v>
          </cell>
          <cell r="I4927">
            <v>1014.6179062683</v>
          </cell>
          <cell r="J4927">
            <v>0</v>
          </cell>
        </row>
        <row r="4928">
          <cell r="E4928">
            <v>10530084</v>
          </cell>
          <cell r="F4928" t="str">
            <v>0015</v>
          </cell>
          <cell r="G4928">
            <v>14</v>
          </cell>
          <cell r="H4928">
            <v>44.720000000000006</v>
          </cell>
          <cell r="I4928">
            <v>2378.8732354832</v>
          </cell>
          <cell r="J4928">
            <v>0</v>
          </cell>
        </row>
        <row r="4929">
          <cell r="E4929">
            <v>10530084</v>
          </cell>
          <cell r="F4929" t="str">
            <v>0016</v>
          </cell>
          <cell r="G4929">
            <v>11</v>
          </cell>
          <cell r="H4929">
            <v>37.239999999999995</v>
          </cell>
          <cell r="I4929">
            <v>1493.00798328</v>
          </cell>
          <cell r="J4929">
            <v>0</v>
          </cell>
        </row>
        <row r="4930">
          <cell r="E4930">
            <v>10530084</v>
          </cell>
          <cell r="F4930" t="str">
            <v>0017</v>
          </cell>
          <cell r="G4930">
            <v>14</v>
          </cell>
          <cell r="H4930">
            <v>194.64999999999998</v>
          </cell>
          <cell r="I4930">
            <v>8487.9306779567214</v>
          </cell>
          <cell r="J4930">
            <v>0</v>
          </cell>
        </row>
        <row r="4931">
          <cell r="E4931">
            <v>10530084</v>
          </cell>
          <cell r="F4931" t="str">
            <v>0018</v>
          </cell>
          <cell r="G4931">
            <v>13</v>
          </cell>
          <cell r="H4931">
            <v>16.09</v>
          </cell>
          <cell r="I4931">
            <v>969.32202453679986</v>
          </cell>
          <cell r="J4931">
            <v>0</v>
          </cell>
        </row>
        <row r="4932">
          <cell r="E4932">
            <v>10530084</v>
          </cell>
          <cell r="F4932" t="str">
            <v>0019</v>
          </cell>
          <cell r="G4932">
            <v>13</v>
          </cell>
          <cell r="H4932">
            <v>18.12</v>
          </cell>
          <cell r="I4932">
            <v>675.84902220000015</v>
          </cell>
          <cell r="J4932">
            <v>0</v>
          </cell>
        </row>
        <row r="4933">
          <cell r="E4933">
            <v>10530084</v>
          </cell>
          <cell r="F4933" t="str">
            <v>0020</v>
          </cell>
          <cell r="G4933">
            <v>7</v>
          </cell>
          <cell r="H4933">
            <v>56.989999999999988</v>
          </cell>
          <cell r="I4933">
            <v>2755.8521928400005</v>
          </cell>
          <cell r="J4933">
            <v>0</v>
          </cell>
        </row>
        <row r="4934">
          <cell r="E4934">
            <v>10530084</v>
          </cell>
          <cell r="F4934" t="str">
            <v>0021</v>
          </cell>
          <cell r="G4934">
            <v>13</v>
          </cell>
          <cell r="H4934">
            <v>35.61999999999999</v>
          </cell>
          <cell r="I4934">
            <v>1326.397875264</v>
          </cell>
          <cell r="J4934">
            <v>0</v>
          </cell>
        </row>
        <row r="4935">
          <cell r="E4935">
            <v>10530084</v>
          </cell>
          <cell r="F4935" t="str">
            <v>0023</v>
          </cell>
          <cell r="G4935">
            <v>13</v>
          </cell>
          <cell r="H4935">
            <v>12.91</v>
          </cell>
          <cell r="I4935">
            <v>538.89882987600004</v>
          </cell>
          <cell r="J4935">
            <v>0</v>
          </cell>
        </row>
        <row r="4936">
          <cell r="E4936">
            <v>10530084</v>
          </cell>
          <cell r="F4936" t="str">
            <v>0028</v>
          </cell>
          <cell r="G4936">
            <v>13</v>
          </cell>
          <cell r="H4936">
            <v>38.699999999999996</v>
          </cell>
          <cell r="I4936">
            <v>1891.2882059218505</v>
          </cell>
          <cell r="J4936">
            <v>0</v>
          </cell>
        </row>
        <row r="4937">
          <cell r="E4937">
            <v>10530084</v>
          </cell>
          <cell r="F4937" t="str">
            <v>0029</v>
          </cell>
          <cell r="G4937">
            <v>6</v>
          </cell>
          <cell r="H4937">
            <v>36.31</v>
          </cell>
          <cell r="I4937">
            <v>1747.5241884249003</v>
          </cell>
          <cell r="J4937">
            <v>0</v>
          </cell>
        </row>
        <row r="4938">
          <cell r="E4938">
            <v>10530084</v>
          </cell>
          <cell r="F4938" t="str">
            <v>0030</v>
          </cell>
          <cell r="G4938">
            <v>14</v>
          </cell>
          <cell r="H4938">
            <v>38.53</v>
          </cell>
          <cell r="I4938">
            <v>1479.8510080200003</v>
          </cell>
          <cell r="J4938">
            <v>0</v>
          </cell>
        </row>
        <row r="4939">
          <cell r="E4939">
            <v>10530084</v>
          </cell>
          <cell r="F4939" t="str">
            <v>0032</v>
          </cell>
          <cell r="G4939">
            <v>13</v>
          </cell>
          <cell r="H4939">
            <v>47.45</v>
          </cell>
          <cell r="I4939">
            <v>1854.9398382570002</v>
          </cell>
          <cell r="J4939">
            <v>0</v>
          </cell>
        </row>
        <row r="4940">
          <cell r="E4940">
            <v>10530084</v>
          </cell>
          <cell r="F4940" t="str">
            <v>0034</v>
          </cell>
          <cell r="G4940">
            <v>13</v>
          </cell>
          <cell r="H4940">
            <v>228.13000000000005</v>
          </cell>
          <cell r="I4940">
            <v>9364.4785218600009</v>
          </cell>
          <cell r="J4940">
            <v>0</v>
          </cell>
        </row>
        <row r="4941">
          <cell r="E4941">
            <v>10530084</v>
          </cell>
          <cell r="F4941" t="str">
            <v>0035</v>
          </cell>
          <cell r="G4941">
            <v>14</v>
          </cell>
          <cell r="H4941">
            <v>49.42</v>
          </cell>
          <cell r="I4941">
            <v>2528.9141170366406</v>
          </cell>
          <cell r="J4941">
            <v>0</v>
          </cell>
        </row>
        <row r="4942">
          <cell r="E4942">
            <v>10530084</v>
          </cell>
          <cell r="F4942" t="str">
            <v>0036</v>
          </cell>
          <cell r="G4942">
            <v>5</v>
          </cell>
          <cell r="H4942">
            <v>12.079999999999998</v>
          </cell>
          <cell r="I4942">
            <v>772.35425295430002</v>
          </cell>
          <cell r="J4942">
            <v>0</v>
          </cell>
        </row>
        <row r="4943">
          <cell r="E4943">
            <v>10530084</v>
          </cell>
          <cell r="F4943" t="str">
            <v>0042</v>
          </cell>
          <cell r="G4943">
            <v>7</v>
          </cell>
          <cell r="H4943">
            <v>16.53</v>
          </cell>
          <cell r="I4943">
            <v>1228.7900684115002</v>
          </cell>
          <cell r="J4943">
            <v>0</v>
          </cell>
        </row>
        <row r="4944">
          <cell r="E4944">
            <v>10530084</v>
          </cell>
          <cell r="F4944" t="str">
            <v>0043</v>
          </cell>
          <cell r="G4944">
            <v>10</v>
          </cell>
          <cell r="H4944">
            <v>27.150000000000002</v>
          </cell>
          <cell r="I4944">
            <v>1014.6497823000001</v>
          </cell>
          <cell r="J4944">
            <v>0</v>
          </cell>
        </row>
        <row r="4945">
          <cell r="E4945">
            <v>10530084</v>
          </cell>
          <cell r="F4945" t="str">
            <v>0045</v>
          </cell>
          <cell r="G4945">
            <v>7</v>
          </cell>
          <cell r="H4945">
            <v>29.070000000000004</v>
          </cell>
          <cell r="I4945">
            <v>1207.0548907560001</v>
          </cell>
          <cell r="J4945">
            <v>0</v>
          </cell>
        </row>
        <row r="4946">
          <cell r="E4946">
            <v>10530084</v>
          </cell>
          <cell r="F4946" t="str">
            <v>0048</v>
          </cell>
          <cell r="G4946">
            <v>13</v>
          </cell>
          <cell r="H4946">
            <v>57.64</v>
          </cell>
          <cell r="I4946">
            <v>2168.1000463320006</v>
          </cell>
          <cell r="J4946">
            <v>0</v>
          </cell>
        </row>
        <row r="4947">
          <cell r="E4947">
            <v>10530084</v>
          </cell>
          <cell r="F4947" t="str">
            <v>0049</v>
          </cell>
          <cell r="G4947">
            <v>5</v>
          </cell>
          <cell r="H4947">
            <v>7.6199999999999992</v>
          </cell>
          <cell r="I4947">
            <v>284.989565916</v>
          </cell>
          <cell r="J4947">
            <v>0</v>
          </cell>
        </row>
        <row r="4948">
          <cell r="E4948">
            <v>10530084</v>
          </cell>
          <cell r="F4948" t="str">
            <v>0050</v>
          </cell>
          <cell r="G4948">
            <v>7</v>
          </cell>
          <cell r="H4948">
            <v>16.240000000000002</v>
          </cell>
          <cell r="I4948">
            <v>618.68095462800011</v>
          </cell>
          <cell r="J4948">
            <v>0</v>
          </cell>
        </row>
        <row r="4949">
          <cell r="E4949">
            <v>10530084</v>
          </cell>
          <cell r="F4949" t="str">
            <v>0051</v>
          </cell>
          <cell r="G4949">
            <v>14</v>
          </cell>
          <cell r="H4949">
            <v>99.499999999999986</v>
          </cell>
          <cell r="I4949">
            <v>3781.0085844960004</v>
          </cell>
          <cell r="J4949">
            <v>0</v>
          </cell>
        </row>
        <row r="4950">
          <cell r="E4950">
            <v>10530084</v>
          </cell>
          <cell r="F4950" t="str">
            <v>0053</v>
          </cell>
          <cell r="G4950">
            <v>7</v>
          </cell>
          <cell r="H4950">
            <v>27.450000000000003</v>
          </cell>
          <cell r="I4950">
            <v>1078.1566389</v>
          </cell>
          <cell r="J4950">
            <v>0</v>
          </cell>
        </row>
        <row r="4951">
          <cell r="E4951">
            <v>10530084</v>
          </cell>
          <cell r="F4951" t="str">
            <v>0055</v>
          </cell>
          <cell r="G4951">
            <v>14</v>
          </cell>
          <cell r="H4951">
            <v>47.62</v>
          </cell>
          <cell r="I4951">
            <v>1804.5711284039999</v>
          </cell>
          <cell r="J4951">
            <v>0</v>
          </cell>
        </row>
        <row r="4952">
          <cell r="E4952">
            <v>10530084</v>
          </cell>
          <cell r="F4952" t="str">
            <v>0057</v>
          </cell>
          <cell r="G4952">
            <v>11</v>
          </cell>
          <cell r="H4952">
            <v>46.33</v>
          </cell>
          <cell r="I4952">
            <v>2821.2017718151606</v>
          </cell>
          <cell r="J4952">
            <v>0</v>
          </cell>
        </row>
        <row r="4953">
          <cell r="E4953">
            <v>10530084</v>
          </cell>
          <cell r="F4953" t="str">
            <v>0058</v>
          </cell>
          <cell r="G4953">
            <v>13</v>
          </cell>
          <cell r="H4953">
            <v>83.64</v>
          </cell>
          <cell r="I4953">
            <v>3252.9274481880007</v>
          </cell>
          <cell r="J4953">
            <v>0</v>
          </cell>
        </row>
        <row r="4954">
          <cell r="E4954">
            <v>10530084</v>
          </cell>
          <cell r="F4954" t="str">
            <v>0059</v>
          </cell>
          <cell r="G4954">
            <v>14</v>
          </cell>
          <cell r="H4954">
            <v>72.089999999999989</v>
          </cell>
          <cell r="I4954">
            <v>2905.2089423279999</v>
          </cell>
          <cell r="J4954">
            <v>0</v>
          </cell>
        </row>
        <row r="4955">
          <cell r="E4955">
            <v>10530084</v>
          </cell>
          <cell r="F4955" t="str">
            <v>0062</v>
          </cell>
          <cell r="G4955">
            <v>6</v>
          </cell>
          <cell r="H4955">
            <v>30.92</v>
          </cell>
          <cell r="I4955">
            <v>1155.509012988</v>
          </cell>
          <cell r="J4955">
            <v>0</v>
          </cell>
        </row>
        <row r="4956">
          <cell r="E4956">
            <v>10530084</v>
          </cell>
          <cell r="F4956" t="str">
            <v>0063</v>
          </cell>
          <cell r="G4956">
            <v>14</v>
          </cell>
          <cell r="H4956">
            <v>52.89</v>
          </cell>
          <cell r="I4956">
            <v>1946.8219022208002</v>
          </cell>
          <cell r="J4956">
            <v>0</v>
          </cell>
        </row>
        <row r="4957">
          <cell r="E4957">
            <v>10530084</v>
          </cell>
          <cell r="F4957" t="str">
            <v>0064</v>
          </cell>
          <cell r="G4957">
            <v>7</v>
          </cell>
          <cell r="H4957">
            <v>20.639999999999997</v>
          </cell>
          <cell r="I4957">
            <v>1215.5839616241999</v>
          </cell>
          <cell r="J4957">
            <v>0</v>
          </cell>
        </row>
        <row r="4958">
          <cell r="E4958">
            <v>10530084</v>
          </cell>
          <cell r="F4958" t="str">
            <v>0065</v>
          </cell>
          <cell r="G4958">
            <v>14</v>
          </cell>
          <cell r="H4958">
            <v>44.31</v>
          </cell>
          <cell r="I4958">
            <v>1700.6562338040003</v>
          </cell>
          <cell r="J4958">
            <v>0</v>
          </cell>
        </row>
        <row r="4959">
          <cell r="E4959">
            <v>10530085</v>
          </cell>
          <cell r="F4959" t="str">
            <v>0001</v>
          </cell>
          <cell r="G4959">
            <v>4</v>
          </cell>
          <cell r="H4959">
            <v>5.88</v>
          </cell>
          <cell r="I4959">
            <v>254.51607596590003</v>
          </cell>
          <cell r="J4959">
            <v>0</v>
          </cell>
        </row>
        <row r="4960">
          <cell r="E4960">
            <v>10530085</v>
          </cell>
          <cell r="F4960" t="str">
            <v>0002</v>
          </cell>
          <cell r="G4960">
            <v>13</v>
          </cell>
          <cell r="H4960">
            <v>68.429999999999993</v>
          </cell>
          <cell r="I4960">
            <v>2782.0460109047003</v>
          </cell>
          <cell r="J4960">
            <v>0</v>
          </cell>
        </row>
        <row r="4961">
          <cell r="E4961">
            <v>10530085</v>
          </cell>
          <cell r="F4961" t="str">
            <v>0003</v>
          </cell>
          <cell r="G4961">
            <v>10</v>
          </cell>
          <cell r="H4961">
            <v>100.70000000000002</v>
          </cell>
          <cell r="I4961">
            <v>4866.2102609761305</v>
          </cell>
          <cell r="J4961">
            <v>0</v>
          </cell>
        </row>
        <row r="4962">
          <cell r="E4962">
            <v>10530085</v>
          </cell>
          <cell r="F4962" t="str">
            <v>0004</v>
          </cell>
          <cell r="G4962">
            <v>13</v>
          </cell>
          <cell r="H4962">
            <v>42.669999999999995</v>
          </cell>
          <cell r="I4962">
            <v>1741.9140901589203</v>
          </cell>
          <cell r="J4962">
            <v>0</v>
          </cell>
        </row>
        <row r="4963">
          <cell r="E4963">
            <v>10530085</v>
          </cell>
          <cell r="F4963" t="str">
            <v>0006</v>
          </cell>
          <cell r="G4963">
            <v>10</v>
          </cell>
          <cell r="H4963">
            <v>55.780000000000008</v>
          </cell>
          <cell r="I4963">
            <v>2178.0080003879998</v>
          </cell>
          <cell r="J4963">
            <v>0</v>
          </cell>
        </row>
        <row r="4964">
          <cell r="E4964">
            <v>10530085</v>
          </cell>
          <cell r="F4964" t="str">
            <v>0010</v>
          </cell>
          <cell r="G4964">
            <v>7</v>
          </cell>
          <cell r="H4964">
            <v>20.53</v>
          </cell>
          <cell r="I4964">
            <v>1491.1224336974001</v>
          </cell>
          <cell r="J4964">
            <v>0</v>
          </cell>
        </row>
        <row r="4965">
          <cell r="E4965">
            <v>10530085</v>
          </cell>
          <cell r="F4965" t="str">
            <v>0014</v>
          </cell>
          <cell r="G4965">
            <v>2</v>
          </cell>
          <cell r="H4965">
            <v>1.87</v>
          </cell>
          <cell r="I4965">
            <v>72.645534720000001</v>
          </cell>
          <cell r="J4965">
            <v>0</v>
          </cell>
        </row>
        <row r="4966">
          <cell r="E4966">
            <v>10530085</v>
          </cell>
          <cell r="F4966" t="str">
            <v>0015</v>
          </cell>
          <cell r="G4966">
            <v>12</v>
          </cell>
          <cell r="H4966">
            <v>20.48</v>
          </cell>
          <cell r="I4966">
            <v>839.02734016199997</v>
          </cell>
          <cell r="J4966">
            <v>0</v>
          </cell>
        </row>
        <row r="4967">
          <cell r="E4967">
            <v>10530085</v>
          </cell>
          <cell r="F4967" t="str">
            <v>0018</v>
          </cell>
          <cell r="G4967">
            <v>8</v>
          </cell>
          <cell r="H4967">
            <v>15.419999999999998</v>
          </cell>
          <cell r="I4967">
            <v>1274.8245304253496</v>
          </cell>
          <cell r="J4967">
            <v>0</v>
          </cell>
        </row>
        <row r="4968">
          <cell r="E4968">
            <v>10530085</v>
          </cell>
          <cell r="F4968" t="str">
            <v>0019</v>
          </cell>
          <cell r="G4968">
            <v>12</v>
          </cell>
          <cell r="H4968">
            <v>60</v>
          </cell>
          <cell r="I4968">
            <v>2650.1776502449907</v>
          </cell>
          <cell r="J4968">
            <v>0</v>
          </cell>
        </row>
        <row r="4969">
          <cell r="E4969">
            <v>10530085</v>
          </cell>
          <cell r="F4969" t="str">
            <v>0020</v>
          </cell>
          <cell r="G4969">
            <v>13</v>
          </cell>
          <cell r="H4969">
            <v>28.400000000000002</v>
          </cell>
          <cell r="I4969">
            <v>1437.4998653202006</v>
          </cell>
          <cell r="J4969">
            <v>0</v>
          </cell>
        </row>
        <row r="4970">
          <cell r="E4970">
            <v>10530085</v>
          </cell>
          <cell r="F4970" t="str">
            <v>0021</v>
          </cell>
          <cell r="G4970">
            <v>6</v>
          </cell>
          <cell r="H4970">
            <v>13.630000000000003</v>
          </cell>
          <cell r="I4970">
            <v>669.99353939309992</v>
          </cell>
          <cell r="J4970">
            <v>0</v>
          </cell>
        </row>
        <row r="4971">
          <cell r="E4971">
            <v>10530085</v>
          </cell>
          <cell r="F4971" t="str">
            <v>0024</v>
          </cell>
          <cell r="G4971">
            <v>6</v>
          </cell>
          <cell r="H4971">
            <v>35.36</v>
          </cell>
          <cell r="I4971">
            <v>1305.3243139200001</v>
          </cell>
          <cell r="J4971">
            <v>0</v>
          </cell>
        </row>
        <row r="4972">
          <cell r="E4972">
            <v>10530085</v>
          </cell>
          <cell r="F4972" t="str">
            <v>0027</v>
          </cell>
          <cell r="G4972">
            <v>10</v>
          </cell>
          <cell r="H4972">
            <v>49.109999999999992</v>
          </cell>
          <cell r="I4972">
            <v>2026.8345593719</v>
          </cell>
          <cell r="J4972">
            <v>0</v>
          </cell>
        </row>
        <row r="4973">
          <cell r="E4973">
            <v>10530085</v>
          </cell>
          <cell r="F4973" t="str">
            <v>0030</v>
          </cell>
          <cell r="G4973">
            <v>14</v>
          </cell>
          <cell r="H4973">
            <v>48.41</v>
          </cell>
          <cell r="I4973">
            <v>2740.4133703480006</v>
          </cell>
          <cell r="J4973">
            <v>0</v>
          </cell>
        </row>
        <row r="4974">
          <cell r="E4974">
            <v>10530085</v>
          </cell>
          <cell r="F4974" t="str">
            <v>0032</v>
          </cell>
          <cell r="G4974">
            <v>13</v>
          </cell>
          <cell r="H4974">
            <v>62.949999999999996</v>
          </cell>
          <cell r="I4974">
            <v>2633.4464458158795</v>
          </cell>
          <cell r="J4974">
            <v>0</v>
          </cell>
        </row>
        <row r="4975">
          <cell r="E4975">
            <v>10530085</v>
          </cell>
          <cell r="F4975" t="str">
            <v>0034</v>
          </cell>
          <cell r="G4975">
            <v>12</v>
          </cell>
          <cell r="H4975">
            <v>43.039999999999992</v>
          </cell>
          <cell r="I4975">
            <v>1613.1899670480004</v>
          </cell>
          <cell r="J4975">
            <v>0</v>
          </cell>
        </row>
        <row r="4976">
          <cell r="E4976">
            <v>10530085</v>
          </cell>
          <cell r="F4976" t="str">
            <v>0035</v>
          </cell>
          <cell r="G4976">
            <v>6</v>
          </cell>
          <cell r="H4976">
            <v>13.029999999999998</v>
          </cell>
          <cell r="I4976">
            <v>471.36245824800005</v>
          </cell>
          <cell r="J4976">
            <v>0</v>
          </cell>
        </row>
        <row r="4977">
          <cell r="E4977">
            <v>10530085</v>
          </cell>
          <cell r="F4977" t="str">
            <v>0037</v>
          </cell>
          <cell r="G4977">
            <v>5</v>
          </cell>
          <cell r="H4977">
            <v>9.0399999999999991</v>
          </cell>
          <cell r="I4977">
            <v>577.29501448101996</v>
          </cell>
          <cell r="J4977">
            <v>0</v>
          </cell>
        </row>
        <row r="4978">
          <cell r="E4978">
            <v>10530085</v>
          </cell>
          <cell r="F4978" t="str">
            <v>0039</v>
          </cell>
          <cell r="G4978">
            <v>6</v>
          </cell>
          <cell r="H4978">
            <v>14.21</v>
          </cell>
          <cell r="I4978">
            <v>515.48275025280009</v>
          </cell>
          <cell r="J4978">
            <v>0</v>
          </cell>
        </row>
        <row r="4979">
          <cell r="E4979">
            <v>10530085</v>
          </cell>
          <cell r="F4979" t="str">
            <v>0040</v>
          </cell>
          <cell r="G4979">
            <v>7</v>
          </cell>
          <cell r="H4979">
            <v>21.67</v>
          </cell>
          <cell r="I4979">
            <v>1446.4333441829999</v>
          </cell>
          <cell r="J4979">
            <v>0</v>
          </cell>
        </row>
        <row r="4980">
          <cell r="E4980">
            <v>10530085</v>
          </cell>
          <cell r="F4980" t="str">
            <v>0041</v>
          </cell>
          <cell r="G4980">
            <v>7</v>
          </cell>
          <cell r="H4980">
            <v>18.170000000000002</v>
          </cell>
          <cell r="I4980">
            <v>1349.9311174938998</v>
          </cell>
          <cell r="J4980">
            <v>0</v>
          </cell>
        </row>
        <row r="4981">
          <cell r="E4981">
            <v>10530085</v>
          </cell>
          <cell r="F4981" t="str">
            <v>0042</v>
          </cell>
          <cell r="G4981">
            <v>7</v>
          </cell>
          <cell r="H4981">
            <v>122.95</v>
          </cell>
          <cell r="I4981">
            <v>4236.2930609406003</v>
          </cell>
          <cell r="J4981">
            <v>0</v>
          </cell>
        </row>
        <row r="4982">
          <cell r="E4982">
            <v>10530085</v>
          </cell>
          <cell r="F4982" t="str">
            <v>0043</v>
          </cell>
          <cell r="G4982">
            <v>12</v>
          </cell>
          <cell r="H4982">
            <v>37.260000000000005</v>
          </cell>
          <cell r="I4982">
            <v>1555.5719131920002</v>
          </cell>
          <cell r="J4982">
            <v>0</v>
          </cell>
        </row>
        <row r="4983">
          <cell r="E4983">
            <v>10530085</v>
          </cell>
          <cell r="F4983" t="str">
            <v>0044</v>
          </cell>
          <cell r="G4983">
            <v>12</v>
          </cell>
          <cell r="H4983">
            <v>21.67</v>
          </cell>
          <cell r="I4983">
            <v>878.09740940971199</v>
          </cell>
          <cell r="J4983">
            <v>0</v>
          </cell>
        </row>
        <row r="4984">
          <cell r="E4984">
            <v>10530085</v>
          </cell>
          <cell r="F4984" t="str">
            <v>0045</v>
          </cell>
          <cell r="G4984">
            <v>2</v>
          </cell>
          <cell r="H4984">
            <v>4.79</v>
          </cell>
          <cell r="I4984">
            <v>180.07977438</v>
          </cell>
          <cell r="J4984">
            <v>0</v>
          </cell>
        </row>
        <row r="4985">
          <cell r="E4985">
            <v>10530085</v>
          </cell>
          <cell r="F4985" t="str">
            <v>0046</v>
          </cell>
          <cell r="G4985">
            <v>1</v>
          </cell>
          <cell r="H4985">
            <v>5.46</v>
          </cell>
          <cell r="I4985">
            <v>285.48525908448005</v>
          </cell>
          <cell r="J4985">
            <v>0</v>
          </cell>
        </row>
        <row r="4986">
          <cell r="E4986">
            <v>10530091</v>
          </cell>
          <cell r="F4986" t="str">
            <v>0001</v>
          </cell>
          <cell r="G4986">
            <v>14</v>
          </cell>
          <cell r="H4986">
            <v>8.7999999999999989</v>
          </cell>
          <cell r="I4986">
            <v>461.22217446721999</v>
          </cell>
          <cell r="J4986">
            <v>0</v>
          </cell>
        </row>
        <row r="4987">
          <cell r="E4987">
            <v>10530091</v>
          </cell>
          <cell r="F4987" t="str">
            <v>0002</v>
          </cell>
          <cell r="G4987">
            <v>14</v>
          </cell>
          <cell r="H4987">
            <v>33.900000000000006</v>
          </cell>
          <cell r="I4987">
            <v>1594.7485797699003</v>
          </cell>
          <cell r="J4987">
            <v>0</v>
          </cell>
        </row>
        <row r="4988">
          <cell r="E4988">
            <v>10530091</v>
          </cell>
          <cell r="F4988" t="str">
            <v>0003</v>
          </cell>
          <cell r="G4988">
            <v>12</v>
          </cell>
          <cell r="H4988">
            <v>22.9</v>
          </cell>
          <cell r="I4988">
            <v>892.6901644320003</v>
          </cell>
          <cell r="J4988">
            <v>0</v>
          </cell>
        </row>
        <row r="4989">
          <cell r="E4989">
            <v>10530091</v>
          </cell>
          <cell r="F4989" t="str">
            <v>0005</v>
          </cell>
          <cell r="G4989">
            <v>8</v>
          </cell>
          <cell r="H4989">
            <v>20.100000000000001</v>
          </cell>
          <cell r="I4989">
            <v>1291.344286214</v>
          </cell>
          <cell r="J4989">
            <v>0</v>
          </cell>
        </row>
        <row r="4990">
          <cell r="E4990">
            <v>10530091</v>
          </cell>
          <cell r="F4990" t="str">
            <v>0008</v>
          </cell>
          <cell r="G4990">
            <v>7</v>
          </cell>
          <cell r="H4990">
            <v>13.399999999999999</v>
          </cell>
          <cell r="I4990">
            <v>875.84983522646996</v>
          </cell>
          <cell r="J4990">
            <v>0</v>
          </cell>
        </row>
        <row r="4991">
          <cell r="E4991">
            <v>10530091</v>
          </cell>
          <cell r="F4991" t="str">
            <v>0011</v>
          </cell>
          <cell r="G4991">
            <v>6</v>
          </cell>
          <cell r="H4991">
            <v>30.6</v>
          </cell>
          <cell r="I4991">
            <v>2300.1740078150001</v>
          </cell>
          <cell r="J4991">
            <v>0</v>
          </cell>
        </row>
        <row r="4992">
          <cell r="E4992">
            <v>10530091</v>
          </cell>
          <cell r="F4992" t="str">
            <v>0013</v>
          </cell>
          <cell r="G4992">
            <v>5</v>
          </cell>
          <cell r="H4992">
            <v>11</v>
          </cell>
          <cell r="I4992">
            <v>789.89109268909988</v>
          </cell>
          <cell r="J4992">
            <v>0</v>
          </cell>
        </row>
        <row r="4993">
          <cell r="E4993">
            <v>10530091</v>
          </cell>
          <cell r="F4993" t="str">
            <v>0014</v>
          </cell>
          <cell r="G4993">
            <v>14</v>
          </cell>
          <cell r="H4993">
            <v>42.399999999999991</v>
          </cell>
          <cell r="I4993">
            <v>2795.4254665394997</v>
          </cell>
          <cell r="J4993">
            <v>0</v>
          </cell>
        </row>
        <row r="4994">
          <cell r="E4994">
            <v>10530091</v>
          </cell>
          <cell r="F4994" t="str">
            <v>0017</v>
          </cell>
          <cell r="G4994">
            <v>13</v>
          </cell>
          <cell r="H4994">
            <v>26.6</v>
          </cell>
          <cell r="I4994">
            <v>2127.7292317453198</v>
          </cell>
          <cell r="J4994">
            <v>0</v>
          </cell>
        </row>
        <row r="4995">
          <cell r="E4995">
            <v>10530091</v>
          </cell>
          <cell r="F4995" t="str">
            <v>0021</v>
          </cell>
          <cell r="G4995">
            <v>4</v>
          </cell>
          <cell r="H4995">
            <v>8.1</v>
          </cell>
          <cell r="I4995">
            <v>436.06118758464999</v>
          </cell>
          <cell r="J4995">
            <v>0</v>
          </cell>
        </row>
        <row r="4996">
          <cell r="E4996">
            <v>10530091</v>
          </cell>
          <cell r="F4996" t="str">
            <v>0024</v>
          </cell>
          <cell r="G4996">
            <v>13</v>
          </cell>
          <cell r="H4996">
            <v>14.399999999999999</v>
          </cell>
          <cell r="I4996">
            <v>770.80889944889987</v>
          </cell>
          <cell r="J4996">
            <v>0</v>
          </cell>
        </row>
        <row r="4997">
          <cell r="E4997">
            <v>10530091</v>
          </cell>
          <cell r="F4997" t="str">
            <v>0025</v>
          </cell>
          <cell r="G4997">
            <v>6</v>
          </cell>
          <cell r="H4997">
            <v>9</v>
          </cell>
          <cell r="I4997">
            <v>672.55333295600008</v>
          </cell>
          <cell r="J4997">
            <v>0</v>
          </cell>
        </row>
        <row r="4998">
          <cell r="E4998">
            <v>10530091</v>
          </cell>
          <cell r="F4998" t="str">
            <v>0026</v>
          </cell>
          <cell r="G4998">
            <v>10</v>
          </cell>
          <cell r="H4998">
            <v>12.8</v>
          </cell>
          <cell r="I4998">
            <v>522.44069652720009</v>
          </cell>
          <cell r="J4998">
            <v>0</v>
          </cell>
        </row>
        <row r="4999">
          <cell r="E4999">
            <v>10530091</v>
          </cell>
          <cell r="F4999" t="str">
            <v>0027</v>
          </cell>
          <cell r="G4999">
            <v>4</v>
          </cell>
          <cell r="H4999">
            <v>14.6</v>
          </cell>
          <cell r="I4999">
            <v>532.18029585600004</v>
          </cell>
          <cell r="J4999">
            <v>0</v>
          </cell>
        </row>
        <row r="5000">
          <cell r="E5000">
            <v>10530091</v>
          </cell>
          <cell r="F5000" t="str">
            <v>0028</v>
          </cell>
          <cell r="G5000">
            <v>14</v>
          </cell>
          <cell r="H5000">
            <v>60.000000000000007</v>
          </cell>
          <cell r="I5000">
            <v>3433.2944064653993</v>
          </cell>
          <cell r="J5000">
            <v>0</v>
          </cell>
        </row>
        <row r="5001">
          <cell r="E5001">
            <v>10530091</v>
          </cell>
          <cell r="F5001" t="str">
            <v>0031</v>
          </cell>
          <cell r="G5001">
            <v>5</v>
          </cell>
          <cell r="H5001">
            <v>5</v>
          </cell>
          <cell r="I5001">
            <v>226.34179777460002</v>
          </cell>
          <cell r="J5001">
            <v>0</v>
          </cell>
        </row>
        <row r="5002">
          <cell r="E5002">
            <v>10530091</v>
          </cell>
          <cell r="F5002" t="str">
            <v>0033</v>
          </cell>
          <cell r="G5002">
            <v>14</v>
          </cell>
          <cell r="H5002">
            <v>25.4</v>
          </cell>
          <cell r="I5002">
            <v>838.9761290460001</v>
          </cell>
          <cell r="J5002">
            <v>0</v>
          </cell>
        </row>
        <row r="5003">
          <cell r="E5003">
            <v>10530091</v>
          </cell>
          <cell r="F5003" t="str">
            <v>0034</v>
          </cell>
          <cell r="G5003">
            <v>14</v>
          </cell>
          <cell r="H5003">
            <v>15.7</v>
          </cell>
          <cell r="I5003">
            <v>778.27458168159001</v>
          </cell>
          <cell r="J5003">
            <v>0</v>
          </cell>
        </row>
        <row r="5004">
          <cell r="E5004">
            <v>10530091</v>
          </cell>
          <cell r="F5004" t="str">
            <v>0035</v>
          </cell>
          <cell r="G5004">
            <v>12</v>
          </cell>
          <cell r="H5004">
            <v>15.6</v>
          </cell>
          <cell r="I5004">
            <v>645.03516132000016</v>
          </cell>
          <cell r="J5004">
            <v>0</v>
          </cell>
        </row>
        <row r="5005">
          <cell r="E5005">
            <v>10530091</v>
          </cell>
          <cell r="F5005" t="str">
            <v>0036</v>
          </cell>
          <cell r="G5005">
            <v>6</v>
          </cell>
          <cell r="H5005">
            <v>8.5</v>
          </cell>
          <cell r="I5005">
            <v>523.65730901800009</v>
          </cell>
          <cell r="J5005">
            <v>0</v>
          </cell>
        </row>
        <row r="5006">
          <cell r="E5006">
            <v>10530091</v>
          </cell>
          <cell r="F5006" t="str">
            <v>0040</v>
          </cell>
          <cell r="G5006">
            <v>5</v>
          </cell>
          <cell r="H5006">
            <v>10.4</v>
          </cell>
          <cell r="I5006">
            <v>656.49305615320009</v>
          </cell>
          <cell r="J5006">
            <v>0</v>
          </cell>
        </row>
        <row r="5007">
          <cell r="E5007">
            <v>10530092</v>
          </cell>
          <cell r="F5007" t="str">
            <v>0002</v>
          </cell>
          <cell r="G5007">
            <v>9</v>
          </cell>
          <cell r="H5007">
            <v>63.8</v>
          </cell>
          <cell r="I5007">
            <v>2818.1970343757998</v>
          </cell>
          <cell r="J5007">
            <v>0</v>
          </cell>
        </row>
        <row r="5008">
          <cell r="E5008">
            <v>10530092</v>
          </cell>
          <cell r="F5008" t="str">
            <v>0003</v>
          </cell>
          <cell r="G5008">
            <v>14</v>
          </cell>
          <cell r="H5008">
            <v>415.20000000000005</v>
          </cell>
          <cell r="I5008">
            <v>16677.200946076806</v>
          </cell>
          <cell r="J5008">
            <v>0</v>
          </cell>
        </row>
        <row r="5009">
          <cell r="E5009">
            <v>10530092</v>
          </cell>
          <cell r="F5009" t="str">
            <v>0004</v>
          </cell>
          <cell r="G5009">
            <v>11</v>
          </cell>
          <cell r="H5009">
            <v>18.600000000000001</v>
          </cell>
          <cell r="I5009">
            <v>783.47628435486001</v>
          </cell>
          <cell r="J5009">
            <v>0</v>
          </cell>
        </row>
        <row r="5010">
          <cell r="E5010">
            <v>10530092</v>
          </cell>
          <cell r="F5010" t="str">
            <v>0006</v>
          </cell>
          <cell r="G5010">
            <v>1</v>
          </cell>
          <cell r="H5010">
            <v>3.1</v>
          </cell>
          <cell r="I5010">
            <v>128.90143728000004</v>
          </cell>
          <cell r="J5010">
            <v>0</v>
          </cell>
        </row>
        <row r="5011">
          <cell r="E5011">
            <v>10530092</v>
          </cell>
          <cell r="F5011" t="str">
            <v>0007</v>
          </cell>
          <cell r="G5011">
            <v>13</v>
          </cell>
          <cell r="H5011">
            <v>43.4</v>
          </cell>
          <cell r="I5011">
            <v>1896.010093808</v>
          </cell>
          <cell r="J5011">
            <v>0</v>
          </cell>
        </row>
        <row r="5012">
          <cell r="E5012">
            <v>10530092</v>
          </cell>
          <cell r="F5012" t="str">
            <v>0008</v>
          </cell>
          <cell r="G5012">
            <v>13</v>
          </cell>
          <cell r="H5012">
            <v>31.799999999999997</v>
          </cell>
          <cell r="I5012">
            <v>1188.6282936000002</v>
          </cell>
          <cell r="J5012">
            <v>0</v>
          </cell>
        </row>
        <row r="5013">
          <cell r="E5013">
            <v>10530092</v>
          </cell>
          <cell r="F5013" t="str">
            <v>0009</v>
          </cell>
          <cell r="G5013">
            <v>8</v>
          </cell>
          <cell r="H5013">
            <v>71.399999999999991</v>
          </cell>
          <cell r="I5013">
            <v>2656.5893333248009</v>
          </cell>
          <cell r="J5013">
            <v>0</v>
          </cell>
        </row>
        <row r="5014">
          <cell r="E5014">
            <v>10530092</v>
          </cell>
          <cell r="F5014" t="str">
            <v>0012</v>
          </cell>
          <cell r="G5014">
            <v>7</v>
          </cell>
          <cell r="H5014">
            <v>25.2</v>
          </cell>
          <cell r="I5014">
            <v>961.47015861599994</v>
          </cell>
          <cell r="J5014">
            <v>0</v>
          </cell>
        </row>
        <row r="5015">
          <cell r="E5015">
            <v>10530092</v>
          </cell>
          <cell r="F5015" t="str">
            <v>0014</v>
          </cell>
          <cell r="G5015">
            <v>9</v>
          </cell>
          <cell r="H5015">
            <v>25.9</v>
          </cell>
          <cell r="I5015">
            <v>1153.0666018440002</v>
          </cell>
          <cell r="J5015">
            <v>0</v>
          </cell>
        </row>
        <row r="5016">
          <cell r="E5016">
            <v>10530092</v>
          </cell>
          <cell r="F5016" t="str">
            <v>0016</v>
          </cell>
          <cell r="G5016">
            <v>11</v>
          </cell>
          <cell r="H5016">
            <v>23.100000000000005</v>
          </cell>
          <cell r="I5016">
            <v>1319.3841801421001</v>
          </cell>
          <cell r="J5016">
            <v>0</v>
          </cell>
        </row>
        <row r="5017">
          <cell r="E5017">
            <v>10530092</v>
          </cell>
          <cell r="F5017" t="str">
            <v>0017</v>
          </cell>
          <cell r="G5017">
            <v>11</v>
          </cell>
          <cell r="H5017">
            <v>37.499999999999993</v>
          </cell>
          <cell r="I5017">
            <v>1191.8538682380001</v>
          </cell>
          <cell r="J5017">
            <v>0</v>
          </cell>
        </row>
        <row r="5018">
          <cell r="E5018">
            <v>10530092</v>
          </cell>
          <cell r="F5018" t="str">
            <v>0018</v>
          </cell>
          <cell r="G5018">
            <v>14</v>
          </cell>
          <cell r="H5018">
            <v>72.399999999999991</v>
          </cell>
          <cell r="I5018">
            <v>2947.7422786042002</v>
          </cell>
          <cell r="J5018">
            <v>0</v>
          </cell>
        </row>
        <row r="5019">
          <cell r="E5019">
            <v>10530092</v>
          </cell>
          <cell r="F5019" t="str">
            <v>0019</v>
          </cell>
          <cell r="G5019">
            <v>7</v>
          </cell>
          <cell r="H5019">
            <v>14.5</v>
          </cell>
          <cell r="I5019">
            <v>462.12182022600001</v>
          </cell>
          <cell r="J5019">
            <v>0</v>
          </cell>
        </row>
        <row r="5020">
          <cell r="E5020">
            <v>10530092</v>
          </cell>
          <cell r="F5020" t="str">
            <v>0020</v>
          </cell>
          <cell r="G5020">
            <v>10</v>
          </cell>
          <cell r="H5020">
            <v>23.400000000000002</v>
          </cell>
          <cell r="I5020">
            <v>1114.9265255691002</v>
          </cell>
          <cell r="J5020">
            <v>0</v>
          </cell>
        </row>
        <row r="5021">
          <cell r="E5021">
            <v>10530092</v>
          </cell>
          <cell r="F5021" t="str">
            <v>0021</v>
          </cell>
          <cell r="G5021">
            <v>12</v>
          </cell>
          <cell r="H5021">
            <v>31.1</v>
          </cell>
          <cell r="I5021">
            <v>2028.1680059310002</v>
          </cell>
          <cell r="J5021">
            <v>0</v>
          </cell>
        </row>
        <row r="5022">
          <cell r="E5022">
            <v>10530092</v>
          </cell>
          <cell r="F5022" t="str">
            <v>0022</v>
          </cell>
          <cell r="G5022">
            <v>10</v>
          </cell>
          <cell r="H5022">
            <v>33.6</v>
          </cell>
          <cell r="I5022">
            <v>1522.8810831619999</v>
          </cell>
          <cell r="J5022">
            <v>0</v>
          </cell>
        </row>
        <row r="5023">
          <cell r="E5023">
            <v>10530092</v>
          </cell>
          <cell r="F5023" t="str">
            <v>0023</v>
          </cell>
          <cell r="G5023">
            <v>14</v>
          </cell>
          <cell r="H5023">
            <v>49.3</v>
          </cell>
          <cell r="I5023">
            <v>1577.6947933560002</v>
          </cell>
          <cell r="J5023">
            <v>0</v>
          </cell>
        </row>
        <row r="5024">
          <cell r="E5024">
            <v>10530092</v>
          </cell>
          <cell r="F5024" t="str">
            <v>0025</v>
          </cell>
          <cell r="G5024">
            <v>4</v>
          </cell>
          <cell r="H5024">
            <v>9.7000000000000011</v>
          </cell>
          <cell r="I5024">
            <v>307.70365962600005</v>
          </cell>
          <cell r="J5024">
            <v>0</v>
          </cell>
        </row>
        <row r="5025">
          <cell r="E5025">
            <v>10530093</v>
          </cell>
          <cell r="F5025" t="str">
            <v>0001</v>
          </cell>
          <cell r="G5025">
            <v>14</v>
          </cell>
          <cell r="H5025">
            <v>22.3</v>
          </cell>
          <cell r="I5025">
            <v>954.0020952000001</v>
          </cell>
          <cell r="J5025">
            <v>0</v>
          </cell>
        </row>
        <row r="5026">
          <cell r="E5026">
            <v>10530093</v>
          </cell>
          <cell r="F5026" t="str">
            <v>0002</v>
          </cell>
          <cell r="G5026">
            <v>14</v>
          </cell>
          <cell r="H5026">
            <v>109.6</v>
          </cell>
          <cell r="I5026">
            <v>5678.7518146774</v>
          </cell>
          <cell r="J5026">
            <v>0</v>
          </cell>
        </row>
        <row r="5027">
          <cell r="E5027">
            <v>10530093</v>
          </cell>
          <cell r="F5027" t="str">
            <v>0003</v>
          </cell>
          <cell r="G5027">
            <v>14</v>
          </cell>
          <cell r="H5027">
            <v>58.7</v>
          </cell>
          <cell r="I5027">
            <v>2665.5779546987997</v>
          </cell>
          <cell r="J5027">
            <v>0</v>
          </cell>
        </row>
        <row r="5028">
          <cell r="E5028">
            <v>10530093</v>
          </cell>
          <cell r="F5028" t="str">
            <v>0004</v>
          </cell>
          <cell r="G5028">
            <v>14</v>
          </cell>
          <cell r="H5028">
            <v>178.7</v>
          </cell>
          <cell r="I5028">
            <v>8762.3268041676001</v>
          </cell>
          <cell r="J5028">
            <v>0</v>
          </cell>
        </row>
        <row r="5029">
          <cell r="E5029">
            <v>10530093</v>
          </cell>
          <cell r="F5029" t="str">
            <v>0008</v>
          </cell>
          <cell r="G5029">
            <v>7</v>
          </cell>
          <cell r="H5029">
            <v>11.1</v>
          </cell>
          <cell r="I5029">
            <v>495.62172254001007</v>
          </cell>
          <cell r="J5029">
            <v>0</v>
          </cell>
        </row>
        <row r="5030">
          <cell r="E5030">
            <v>10530093</v>
          </cell>
          <cell r="F5030" t="str">
            <v>0009</v>
          </cell>
          <cell r="G5030">
            <v>13</v>
          </cell>
          <cell r="H5030">
            <v>24.499999999999993</v>
          </cell>
          <cell r="I5030">
            <v>1420.1478577033001</v>
          </cell>
          <cell r="J5030">
            <v>0</v>
          </cell>
        </row>
        <row r="5031">
          <cell r="E5031">
            <v>10530093</v>
          </cell>
          <cell r="F5031" t="str">
            <v>0010</v>
          </cell>
          <cell r="G5031">
            <v>12</v>
          </cell>
          <cell r="H5031">
            <v>42.3</v>
          </cell>
          <cell r="I5031">
            <v>1964.3931970054502</v>
          </cell>
          <cell r="J5031">
            <v>0</v>
          </cell>
        </row>
        <row r="5032">
          <cell r="E5032">
            <v>10530093</v>
          </cell>
          <cell r="F5032" t="str">
            <v>0013</v>
          </cell>
          <cell r="G5032">
            <v>14</v>
          </cell>
          <cell r="H5032">
            <v>130.6</v>
          </cell>
          <cell r="I5032">
            <v>5148.1728381599996</v>
          </cell>
          <cell r="J5032">
            <v>0</v>
          </cell>
        </row>
        <row r="5033">
          <cell r="E5033">
            <v>10530093</v>
          </cell>
          <cell r="F5033" t="str">
            <v>0014</v>
          </cell>
          <cell r="G5033">
            <v>12</v>
          </cell>
          <cell r="H5033">
            <v>99.299999999999983</v>
          </cell>
          <cell r="I5033">
            <v>3295.56669156</v>
          </cell>
          <cell r="J5033">
            <v>0</v>
          </cell>
        </row>
        <row r="5034">
          <cell r="E5034">
            <v>10530093</v>
          </cell>
          <cell r="F5034" t="str">
            <v>0015</v>
          </cell>
          <cell r="G5034">
            <v>6</v>
          </cell>
          <cell r="H5034">
            <v>12.6</v>
          </cell>
          <cell r="I5034">
            <v>796.59756585800005</v>
          </cell>
          <cell r="J5034">
            <v>0</v>
          </cell>
        </row>
        <row r="5035">
          <cell r="E5035">
            <v>10530093</v>
          </cell>
          <cell r="F5035" t="str">
            <v>0019</v>
          </cell>
          <cell r="G5035">
            <v>6</v>
          </cell>
          <cell r="H5035">
            <v>21.700000000000003</v>
          </cell>
          <cell r="I5035">
            <v>779.37784452000005</v>
          </cell>
          <cell r="J5035">
            <v>0</v>
          </cell>
        </row>
        <row r="5036">
          <cell r="E5036">
            <v>10530093</v>
          </cell>
          <cell r="F5036" t="str">
            <v>0021</v>
          </cell>
          <cell r="G5036">
            <v>13</v>
          </cell>
          <cell r="H5036">
            <v>17.900000000000002</v>
          </cell>
          <cell r="I5036">
            <v>762.38851639698009</v>
          </cell>
          <cell r="J5036">
            <v>0</v>
          </cell>
        </row>
        <row r="5037">
          <cell r="E5037">
            <v>10530093</v>
          </cell>
          <cell r="F5037" t="str">
            <v>0024</v>
          </cell>
          <cell r="G5037">
            <v>12</v>
          </cell>
          <cell r="H5037">
            <v>40.299999999999997</v>
          </cell>
          <cell r="I5037">
            <v>1670.8740008400005</v>
          </cell>
          <cell r="J5037">
            <v>0</v>
          </cell>
        </row>
        <row r="5038">
          <cell r="E5038">
            <v>10530093</v>
          </cell>
          <cell r="F5038" t="str">
            <v>0025</v>
          </cell>
          <cell r="G5038">
            <v>1</v>
          </cell>
          <cell r="H5038">
            <v>2.7</v>
          </cell>
          <cell r="I5038">
            <v>106.5666294</v>
          </cell>
          <cell r="J5038">
            <v>0</v>
          </cell>
        </row>
        <row r="5039">
          <cell r="E5039">
            <v>10530093</v>
          </cell>
          <cell r="F5039" t="str">
            <v>0027</v>
          </cell>
          <cell r="G5039">
            <v>5</v>
          </cell>
          <cell r="H5039">
            <v>7.7000000000000011</v>
          </cell>
          <cell r="I5039">
            <v>635.91215492359981</v>
          </cell>
          <cell r="J5039">
            <v>0</v>
          </cell>
        </row>
        <row r="5040">
          <cell r="E5040">
            <v>10530093</v>
          </cell>
          <cell r="F5040" t="str">
            <v>0028</v>
          </cell>
          <cell r="G5040">
            <v>5</v>
          </cell>
          <cell r="H5040">
            <v>18.100000000000001</v>
          </cell>
          <cell r="I5040">
            <v>833.32231881200005</v>
          </cell>
          <cell r="J5040">
            <v>0</v>
          </cell>
        </row>
        <row r="5041">
          <cell r="E5041">
            <v>10530093</v>
          </cell>
          <cell r="F5041" t="str">
            <v>0031</v>
          </cell>
          <cell r="G5041">
            <v>14</v>
          </cell>
          <cell r="H5041">
            <v>38</v>
          </cell>
          <cell r="I5041">
            <v>2421.1832157130002</v>
          </cell>
          <cell r="J5041">
            <v>0</v>
          </cell>
        </row>
        <row r="5042">
          <cell r="E5042">
            <v>10530093</v>
          </cell>
          <cell r="F5042" t="str">
            <v>0032</v>
          </cell>
          <cell r="G5042">
            <v>14</v>
          </cell>
          <cell r="H5042">
            <v>37.500000000000007</v>
          </cell>
          <cell r="I5042">
            <v>1804.6218672134003</v>
          </cell>
          <cell r="J5042">
            <v>0</v>
          </cell>
        </row>
        <row r="5043">
          <cell r="E5043">
            <v>10530093</v>
          </cell>
          <cell r="F5043" t="str">
            <v>0033</v>
          </cell>
          <cell r="G5043">
            <v>9</v>
          </cell>
          <cell r="H5043">
            <v>33.000000000000007</v>
          </cell>
          <cell r="I5043">
            <v>1639.4459273034204</v>
          </cell>
          <cell r="J5043">
            <v>0</v>
          </cell>
        </row>
        <row r="5044">
          <cell r="E5044">
            <v>10530093</v>
          </cell>
          <cell r="F5044" t="str">
            <v>0034</v>
          </cell>
          <cell r="G5044">
            <v>9</v>
          </cell>
          <cell r="H5044">
            <v>10.100000000000001</v>
          </cell>
          <cell r="I5044">
            <v>473.72867470390008</v>
          </cell>
          <cell r="J5044">
            <v>0</v>
          </cell>
        </row>
        <row r="5045">
          <cell r="E5045">
            <v>10530093</v>
          </cell>
          <cell r="F5045" t="str">
            <v>0037</v>
          </cell>
          <cell r="G5045">
            <v>13</v>
          </cell>
          <cell r="H5045">
            <v>35.999999999999993</v>
          </cell>
          <cell r="I5045">
            <v>1310.5911095640001</v>
          </cell>
          <cell r="J5045">
            <v>0</v>
          </cell>
        </row>
        <row r="5046">
          <cell r="E5046">
            <v>10530093</v>
          </cell>
          <cell r="F5046" t="str">
            <v>0038</v>
          </cell>
          <cell r="G5046">
            <v>3</v>
          </cell>
          <cell r="H5046">
            <v>9</v>
          </cell>
          <cell r="I5046">
            <v>368.290098</v>
          </cell>
          <cell r="J5046">
            <v>0</v>
          </cell>
        </row>
        <row r="5047">
          <cell r="E5047">
            <v>10530093</v>
          </cell>
          <cell r="F5047" t="str">
            <v>0040</v>
          </cell>
          <cell r="G5047">
            <v>7</v>
          </cell>
          <cell r="H5047">
            <v>9.0000000000000018</v>
          </cell>
          <cell r="I5047">
            <v>642.80484564000005</v>
          </cell>
          <cell r="J5047">
            <v>0</v>
          </cell>
        </row>
        <row r="5048">
          <cell r="E5048">
            <v>10530093</v>
          </cell>
          <cell r="F5048" t="str">
            <v>0041</v>
          </cell>
          <cell r="G5048">
            <v>6</v>
          </cell>
          <cell r="H5048">
            <v>21.900000000000002</v>
          </cell>
          <cell r="I5048">
            <v>805.55362667999998</v>
          </cell>
          <cell r="J5048">
            <v>0</v>
          </cell>
        </row>
        <row r="5049">
          <cell r="E5049">
            <v>10530093</v>
          </cell>
          <cell r="F5049" t="str">
            <v>0043</v>
          </cell>
          <cell r="G5049">
            <v>6</v>
          </cell>
          <cell r="H5049">
            <v>14.6</v>
          </cell>
          <cell r="I5049">
            <v>628.12518120000004</v>
          </cell>
          <cell r="J5049">
            <v>0</v>
          </cell>
        </row>
        <row r="5050">
          <cell r="E5050">
            <v>10530093</v>
          </cell>
          <cell r="F5050" t="str">
            <v>0044</v>
          </cell>
          <cell r="G5050">
            <v>14</v>
          </cell>
          <cell r="H5050">
            <v>145.1</v>
          </cell>
          <cell r="I5050">
            <v>5519.5334158140013</v>
          </cell>
          <cell r="J5050">
            <v>0</v>
          </cell>
        </row>
        <row r="5051">
          <cell r="E5051">
            <v>10530093</v>
          </cell>
          <cell r="F5051" t="str">
            <v>0045</v>
          </cell>
          <cell r="G5051">
            <v>5</v>
          </cell>
          <cell r="H5051">
            <v>11.5</v>
          </cell>
          <cell r="I5051">
            <v>420.35948955000003</v>
          </cell>
          <cell r="J5051">
            <v>0</v>
          </cell>
        </row>
        <row r="5052">
          <cell r="E5052">
            <v>10530093</v>
          </cell>
          <cell r="F5052" t="str">
            <v>0046</v>
          </cell>
          <cell r="G5052">
            <v>11</v>
          </cell>
          <cell r="H5052">
            <v>29.300000000000004</v>
          </cell>
          <cell r="I5052">
            <v>1266.014740437</v>
          </cell>
          <cell r="J5052">
            <v>0</v>
          </cell>
        </row>
        <row r="5053">
          <cell r="E5053">
            <v>10530093</v>
          </cell>
          <cell r="F5053" t="str">
            <v>0047</v>
          </cell>
          <cell r="G5053">
            <v>7</v>
          </cell>
          <cell r="H5053">
            <v>23</v>
          </cell>
          <cell r="I5053">
            <v>834.74004636000018</v>
          </cell>
          <cell r="J5053">
            <v>0</v>
          </cell>
        </row>
        <row r="5054">
          <cell r="E5054">
            <v>10530093</v>
          </cell>
          <cell r="F5054" t="str">
            <v>0048</v>
          </cell>
          <cell r="G5054">
            <v>5</v>
          </cell>
          <cell r="H5054">
            <v>11.1</v>
          </cell>
          <cell r="I5054">
            <v>426.62260079999999</v>
          </cell>
          <cell r="J5054">
            <v>0</v>
          </cell>
        </row>
        <row r="5055">
          <cell r="E5055">
            <v>10530093</v>
          </cell>
          <cell r="F5055" t="str">
            <v>0049</v>
          </cell>
          <cell r="G5055">
            <v>7</v>
          </cell>
          <cell r="H5055">
            <v>12.400000000000002</v>
          </cell>
          <cell r="I5055">
            <v>461.96051616</v>
          </cell>
          <cell r="J5055">
            <v>0</v>
          </cell>
        </row>
        <row r="5056">
          <cell r="E5056">
            <v>10530093</v>
          </cell>
          <cell r="F5056" t="str">
            <v>0050</v>
          </cell>
          <cell r="G5056">
            <v>13</v>
          </cell>
          <cell r="H5056">
            <v>59.8</v>
          </cell>
          <cell r="I5056">
            <v>2189.0076318000001</v>
          </cell>
          <cell r="J5056">
            <v>0</v>
          </cell>
        </row>
        <row r="5057">
          <cell r="E5057">
            <v>10530093</v>
          </cell>
          <cell r="F5057" t="str">
            <v>0051</v>
          </cell>
          <cell r="G5057">
            <v>6</v>
          </cell>
          <cell r="H5057">
            <v>13.399999999999999</v>
          </cell>
          <cell r="I5057">
            <v>634.92314580199991</v>
          </cell>
          <cell r="J5057">
            <v>0</v>
          </cell>
        </row>
        <row r="5058">
          <cell r="E5058">
            <v>10530093</v>
          </cell>
          <cell r="F5058" t="str">
            <v>0052</v>
          </cell>
          <cell r="G5058">
            <v>10</v>
          </cell>
          <cell r="H5058">
            <v>27</v>
          </cell>
          <cell r="I5058">
            <v>1010.2914122400001</v>
          </cell>
          <cell r="J5058">
            <v>0</v>
          </cell>
        </row>
        <row r="5059">
          <cell r="E5059">
            <v>10530093</v>
          </cell>
          <cell r="F5059" t="str">
            <v>0053</v>
          </cell>
          <cell r="G5059">
            <v>14</v>
          </cell>
          <cell r="H5059">
            <v>45.3</v>
          </cell>
          <cell r="I5059">
            <v>1775.41926469551</v>
          </cell>
          <cell r="J5059">
            <v>0</v>
          </cell>
        </row>
        <row r="5060">
          <cell r="E5060">
            <v>10530093</v>
          </cell>
          <cell r="F5060" t="str">
            <v>0054</v>
          </cell>
          <cell r="G5060">
            <v>14</v>
          </cell>
          <cell r="H5060">
            <v>48.70000000000001</v>
          </cell>
          <cell r="I5060">
            <v>1549.8870387659999</v>
          </cell>
          <cell r="J5060">
            <v>0</v>
          </cell>
        </row>
        <row r="5061">
          <cell r="E5061">
            <v>10530093</v>
          </cell>
          <cell r="F5061" t="str">
            <v>0055</v>
          </cell>
          <cell r="G5061">
            <v>6</v>
          </cell>
          <cell r="H5061">
            <v>33.199999999999996</v>
          </cell>
          <cell r="I5061">
            <v>1149.8919864300001</v>
          </cell>
          <cell r="J5061">
            <v>0</v>
          </cell>
        </row>
        <row r="5062">
          <cell r="E5062">
            <v>10530093</v>
          </cell>
          <cell r="F5062" t="str">
            <v>0056</v>
          </cell>
          <cell r="G5062">
            <v>6</v>
          </cell>
          <cell r="H5062">
            <v>17.3</v>
          </cell>
          <cell r="I5062">
            <v>565.65365887799999</v>
          </cell>
          <cell r="J5062">
            <v>0</v>
          </cell>
        </row>
        <row r="5063">
          <cell r="E5063">
            <v>10530093</v>
          </cell>
          <cell r="F5063" t="str">
            <v>0057</v>
          </cell>
          <cell r="G5063">
            <v>14</v>
          </cell>
          <cell r="H5063">
            <v>44.099999999999994</v>
          </cell>
          <cell r="I5063">
            <v>1381.1660139420001</v>
          </cell>
          <cell r="J5063">
            <v>0</v>
          </cell>
        </row>
        <row r="5064">
          <cell r="E5064">
            <v>10530093</v>
          </cell>
          <cell r="F5064" t="str">
            <v>0058</v>
          </cell>
          <cell r="G5064">
            <v>1</v>
          </cell>
          <cell r="H5064">
            <v>2.6</v>
          </cell>
          <cell r="I5064">
            <v>79.041470508000003</v>
          </cell>
          <cell r="J5064">
            <v>0</v>
          </cell>
        </row>
        <row r="5065">
          <cell r="E5065">
            <v>10530093</v>
          </cell>
          <cell r="F5065" t="str">
            <v>0059</v>
          </cell>
          <cell r="G5065">
            <v>10</v>
          </cell>
          <cell r="H5065">
            <v>20</v>
          </cell>
          <cell r="I5065">
            <v>660.56097492000015</v>
          </cell>
          <cell r="J5065">
            <v>0</v>
          </cell>
        </row>
        <row r="5066">
          <cell r="E5066">
            <v>10530093</v>
          </cell>
          <cell r="F5066" t="str">
            <v>0060</v>
          </cell>
          <cell r="G5066">
            <v>4</v>
          </cell>
          <cell r="H5066">
            <v>10.199999999999999</v>
          </cell>
          <cell r="I5066">
            <v>570.09535358900007</v>
          </cell>
          <cell r="J5066">
            <v>0</v>
          </cell>
        </row>
        <row r="5067">
          <cell r="E5067">
            <v>10530093</v>
          </cell>
          <cell r="F5067" t="str">
            <v>0061</v>
          </cell>
          <cell r="G5067">
            <v>4</v>
          </cell>
          <cell r="H5067">
            <v>11.8</v>
          </cell>
          <cell r="I5067">
            <v>547.24010221520007</v>
          </cell>
          <cell r="J5067">
            <v>0</v>
          </cell>
        </row>
        <row r="5068">
          <cell r="E5068">
            <v>10530096</v>
          </cell>
          <cell r="F5068" t="str">
            <v>0002</v>
          </cell>
          <cell r="G5068">
            <v>14</v>
          </cell>
          <cell r="H5068">
            <v>788.39999999999986</v>
          </cell>
          <cell r="I5068">
            <v>39274.580884126932</v>
          </cell>
          <cell r="J5068">
            <v>0</v>
          </cell>
        </row>
        <row r="5069">
          <cell r="E5069">
            <v>10530096</v>
          </cell>
          <cell r="F5069" t="str">
            <v>0003</v>
          </cell>
          <cell r="G5069">
            <v>2</v>
          </cell>
          <cell r="H5069">
            <v>37.9</v>
          </cell>
          <cell r="I5069">
            <v>1657.47406456368</v>
          </cell>
          <cell r="J5069">
            <v>0</v>
          </cell>
        </row>
        <row r="5070">
          <cell r="E5070">
            <v>10530096</v>
          </cell>
          <cell r="F5070" t="str">
            <v>0004</v>
          </cell>
          <cell r="G5070">
            <v>1</v>
          </cell>
          <cell r="H5070">
            <v>1.2</v>
          </cell>
          <cell r="I5070">
            <v>86.508498459599991</v>
          </cell>
          <cell r="J5070">
            <v>0</v>
          </cell>
        </row>
        <row r="5071">
          <cell r="E5071">
            <v>10530096</v>
          </cell>
          <cell r="F5071" t="str">
            <v>0005</v>
          </cell>
          <cell r="G5071">
            <v>6</v>
          </cell>
          <cell r="H5071">
            <v>93.5</v>
          </cell>
          <cell r="I5071">
            <v>4511.420085746001</v>
          </cell>
          <cell r="J5071">
            <v>0</v>
          </cell>
        </row>
        <row r="5072">
          <cell r="E5072">
            <v>10530097</v>
          </cell>
          <cell r="F5072" t="str">
            <v>0001</v>
          </cell>
          <cell r="G5072">
            <v>13</v>
          </cell>
          <cell r="H5072">
            <v>8.6</v>
          </cell>
          <cell r="I5072">
            <v>361.4034969600001</v>
          </cell>
          <cell r="J5072">
            <v>0</v>
          </cell>
        </row>
        <row r="5073">
          <cell r="E5073">
            <v>10530097</v>
          </cell>
          <cell r="F5073" t="str">
            <v>0002</v>
          </cell>
          <cell r="G5073">
            <v>14</v>
          </cell>
          <cell r="H5073">
            <v>98.199999999999989</v>
          </cell>
          <cell r="I5073">
            <v>3969.4235895622005</v>
          </cell>
          <cell r="J5073">
            <v>0</v>
          </cell>
        </row>
        <row r="5074">
          <cell r="E5074">
            <v>10530097</v>
          </cell>
          <cell r="F5074" t="str">
            <v>0003</v>
          </cell>
          <cell r="G5074">
            <v>13</v>
          </cell>
          <cell r="H5074">
            <v>22.7</v>
          </cell>
          <cell r="I5074">
            <v>955.08495324</v>
          </cell>
          <cell r="J5074">
            <v>0</v>
          </cell>
        </row>
        <row r="5075">
          <cell r="E5075">
            <v>10530097</v>
          </cell>
          <cell r="F5075" t="str">
            <v>0004</v>
          </cell>
          <cell r="G5075">
            <v>7</v>
          </cell>
          <cell r="H5075">
            <v>17.3</v>
          </cell>
          <cell r="I5075">
            <v>714.27872385119997</v>
          </cell>
          <cell r="J5075">
            <v>0</v>
          </cell>
        </row>
        <row r="5076">
          <cell r="E5076">
            <v>10530097</v>
          </cell>
          <cell r="F5076" t="str">
            <v>0008</v>
          </cell>
          <cell r="G5076">
            <v>14</v>
          </cell>
          <cell r="H5076">
            <v>46.3</v>
          </cell>
          <cell r="I5076">
            <v>1806.9320966400001</v>
          </cell>
          <cell r="J5076">
            <v>0</v>
          </cell>
        </row>
        <row r="5077">
          <cell r="E5077">
            <v>10530097</v>
          </cell>
          <cell r="F5077" t="str">
            <v>0011</v>
          </cell>
          <cell r="G5077">
            <v>7</v>
          </cell>
          <cell r="H5077">
            <v>19.200000000000003</v>
          </cell>
          <cell r="I5077">
            <v>767.88739090800004</v>
          </cell>
          <cell r="J5077">
            <v>0</v>
          </cell>
        </row>
        <row r="5078">
          <cell r="E5078">
            <v>10530097</v>
          </cell>
          <cell r="F5078" t="str">
            <v>0012</v>
          </cell>
          <cell r="G5078">
            <v>14</v>
          </cell>
          <cell r="H5078">
            <v>55.100000000000009</v>
          </cell>
          <cell r="I5078">
            <v>2080.0887816060003</v>
          </cell>
          <cell r="J5078">
            <v>0</v>
          </cell>
        </row>
        <row r="5079">
          <cell r="E5079">
            <v>10530097</v>
          </cell>
          <cell r="F5079" t="str">
            <v>0014</v>
          </cell>
          <cell r="G5079">
            <v>14</v>
          </cell>
          <cell r="H5079">
            <v>37.6</v>
          </cell>
          <cell r="I5079">
            <v>1671.2063196735003</v>
          </cell>
          <cell r="J5079">
            <v>0</v>
          </cell>
        </row>
        <row r="5080">
          <cell r="E5080">
            <v>10530097</v>
          </cell>
          <cell r="F5080" t="str">
            <v>0017</v>
          </cell>
          <cell r="G5080">
            <v>7</v>
          </cell>
          <cell r="H5080">
            <v>14.1</v>
          </cell>
          <cell r="I5080">
            <v>1100.0359220282999</v>
          </cell>
          <cell r="J5080">
            <v>0</v>
          </cell>
        </row>
        <row r="5081">
          <cell r="E5081">
            <v>10530097</v>
          </cell>
          <cell r="F5081" t="str">
            <v>0020</v>
          </cell>
          <cell r="G5081">
            <v>14</v>
          </cell>
          <cell r="H5081">
            <v>71.100000000000009</v>
          </cell>
          <cell r="I5081">
            <v>2576.1422833739998</v>
          </cell>
          <cell r="J5081">
            <v>0</v>
          </cell>
        </row>
        <row r="5082">
          <cell r="E5082">
            <v>10530097</v>
          </cell>
          <cell r="F5082" t="str">
            <v>0021</v>
          </cell>
          <cell r="G5082">
            <v>13</v>
          </cell>
          <cell r="H5082">
            <v>41.79999999999999</v>
          </cell>
          <cell r="I5082">
            <v>1472.5330792920004</v>
          </cell>
          <cell r="J5082">
            <v>0</v>
          </cell>
        </row>
        <row r="5083">
          <cell r="E5083">
            <v>10530097</v>
          </cell>
          <cell r="F5083" t="str">
            <v>0022</v>
          </cell>
          <cell r="G5083">
            <v>7</v>
          </cell>
          <cell r="H5083">
            <v>13.099999999999998</v>
          </cell>
          <cell r="I5083">
            <v>523.85623092000003</v>
          </cell>
          <cell r="J5083">
            <v>0</v>
          </cell>
        </row>
        <row r="5084">
          <cell r="E5084">
            <v>10530097</v>
          </cell>
          <cell r="F5084" t="str">
            <v>0024</v>
          </cell>
          <cell r="G5084">
            <v>14</v>
          </cell>
          <cell r="H5084">
            <v>38.700000000000003</v>
          </cell>
          <cell r="I5084">
            <v>1893.6541793822</v>
          </cell>
          <cell r="J5084">
            <v>0</v>
          </cell>
        </row>
        <row r="5085">
          <cell r="E5085">
            <v>10530097</v>
          </cell>
          <cell r="F5085" t="str">
            <v>0026</v>
          </cell>
          <cell r="G5085">
            <v>13</v>
          </cell>
          <cell r="H5085">
            <v>86.600000000000009</v>
          </cell>
          <cell r="I5085">
            <v>3655.1407149090001</v>
          </cell>
          <cell r="J5085">
            <v>0</v>
          </cell>
        </row>
        <row r="5086">
          <cell r="E5086">
            <v>10530097</v>
          </cell>
          <cell r="F5086" t="str">
            <v>0027</v>
          </cell>
          <cell r="G5086">
            <v>14</v>
          </cell>
          <cell r="H5086">
            <v>36.499999999999993</v>
          </cell>
          <cell r="I5086">
            <v>2354.0060115877004</v>
          </cell>
          <cell r="J5086">
            <v>0</v>
          </cell>
        </row>
        <row r="5087">
          <cell r="E5087">
            <v>10530097</v>
          </cell>
          <cell r="F5087" t="str">
            <v>0028</v>
          </cell>
          <cell r="G5087">
            <v>7</v>
          </cell>
          <cell r="H5087">
            <v>25.4</v>
          </cell>
          <cell r="I5087">
            <v>1638.4171747531</v>
          </cell>
          <cell r="J5087">
            <v>0</v>
          </cell>
        </row>
        <row r="5088">
          <cell r="E5088">
            <v>10530097</v>
          </cell>
          <cell r="F5088" t="str">
            <v>0029</v>
          </cell>
          <cell r="G5088">
            <v>14</v>
          </cell>
          <cell r="H5088">
            <v>34</v>
          </cell>
          <cell r="I5088">
            <v>1283.7404715391999</v>
          </cell>
          <cell r="J5088">
            <v>0</v>
          </cell>
        </row>
        <row r="5089">
          <cell r="E5089">
            <v>10530097</v>
          </cell>
          <cell r="F5089" t="str">
            <v>0033</v>
          </cell>
          <cell r="G5089">
            <v>11</v>
          </cell>
          <cell r="H5089">
            <v>22.5</v>
          </cell>
          <cell r="I5089">
            <v>1072.9402287120001</v>
          </cell>
          <cell r="J5089">
            <v>0</v>
          </cell>
        </row>
        <row r="5090">
          <cell r="E5090">
            <v>10530097</v>
          </cell>
          <cell r="F5090" t="str">
            <v>0035</v>
          </cell>
          <cell r="G5090">
            <v>5</v>
          </cell>
          <cell r="H5090">
            <v>5.4</v>
          </cell>
          <cell r="I5090">
            <v>219.79903176000005</v>
          </cell>
          <cell r="J5090">
            <v>0</v>
          </cell>
        </row>
        <row r="5091">
          <cell r="E5091">
            <v>10530097</v>
          </cell>
          <cell r="F5091" t="str">
            <v>0037</v>
          </cell>
          <cell r="G5091">
            <v>5</v>
          </cell>
          <cell r="H5091">
            <v>8.4</v>
          </cell>
          <cell r="I5091">
            <v>374.95565710010004</v>
          </cell>
          <cell r="J5091">
            <v>0</v>
          </cell>
        </row>
        <row r="5092">
          <cell r="E5092">
            <v>10530099</v>
          </cell>
          <cell r="F5092" t="str">
            <v>0002</v>
          </cell>
          <cell r="G5092">
            <v>1</v>
          </cell>
          <cell r="H5092">
            <v>82.5</v>
          </cell>
          <cell r="I5092">
            <v>5512.8688758000008</v>
          </cell>
          <cell r="J5092">
            <v>0</v>
          </cell>
        </row>
        <row r="5093">
          <cell r="E5093">
            <v>10530100</v>
          </cell>
          <cell r="F5093" t="str">
            <v>0001</v>
          </cell>
          <cell r="G5093">
            <v>14</v>
          </cell>
          <cell r="H5093">
            <v>5.7999999999999989</v>
          </cell>
          <cell r="I5093">
            <v>270.19645077960001</v>
          </cell>
          <cell r="J5093">
            <v>0</v>
          </cell>
        </row>
        <row r="5094">
          <cell r="E5094">
            <v>10530100</v>
          </cell>
          <cell r="F5094" t="str">
            <v>0002</v>
          </cell>
          <cell r="G5094">
            <v>14</v>
          </cell>
          <cell r="H5094">
            <v>58</v>
          </cell>
          <cell r="I5094">
            <v>2353.5384954006004</v>
          </cell>
          <cell r="J5094">
            <v>0</v>
          </cell>
        </row>
        <row r="5095">
          <cell r="E5095">
            <v>10530100</v>
          </cell>
          <cell r="F5095" t="str">
            <v>0004</v>
          </cell>
          <cell r="G5095">
            <v>14</v>
          </cell>
          <cell r="H5095">
            <v>57.099999999999994</v>
          </cell>
          <cell r="I5095">
            <v>3239.4962903926003</v>
          </cell>
          <cell r="J5095">
            <v>0</v>
          </cell>
        </row>
        <row r="5096">
          <cell r="E5096">
            <v>10530100</v>
          </cell>
          <cell r="F5096" t="str">
            <v>0006</v>
          </cell>
          <cell r="G5096">
            <v>13</v>
          </cell>
          <cell r="H5096">
            <v>92.5</v>
          </cell>
          <cell r="I5096">
            <v>3325.8921929640005</v>
          </cell>
          <cell r="J5096">
            <v>0</v>
          </cell>
        </row>
        <row r="5097">
          <cell r="E5097">
            <v>10530100</v>
          </cell>
          <cell r="F5097" t="str">
            <v>0007</v>
          </cell>
          <cell r="G5097">
            <v>13</v>
          </cell>
          <cell r="H5097">
            <v>21.299999999999997</v>
          </cell>
          <cell r="I5097">
            <v>1232.42341605</v>
          </cell>
          <cell r="J5097">
            <v>0</v>
          </cell>
        </row>
        <row r="5098">
          <cell r="E5098">
            <v>10530100</v>
          </cell>
          <cell r="F5098" t="str">
            <v>0012</v>
          </cell>
          <cell r="G5098">
            <v>11</v>
          </cell>
          <cell r="H5098">
            <v>49.600000000000009</v>
          </cell>
          <cell r="I5098">
            <v>1884.4983828000002</v>
          </cell>
          <cell r="J5098">
            <v>0</v>
          </cell>
        </row>
        <row r="5099">
          <cell r="E5099">
            <v>10530100</v>
          </cell>
          <cell r="F5099" t="str">
            <v>0013</v>
          </cell>
          <cell r="G5099">
            <v>7</v>
          </cell>
          <cell r="H5099">
            <v>8</v>
          </cell>
          <cell r="I5099">
            <v>582.91639243200007</v>
          </cell>
          <cell r="J5099">
            <v>0</v>
          </cell>
        </row>
        <row r="5100">
          <cell r="E5100">
            <v>10530100</v>
          </cell>
          <cell r="F5100" t="str">
            <v>0014</v>
          </cell>
          <cell r="G5100">
            <v>14</v>
          </cell>
          <cell r="H5100">
            <v>41</v>
          </cell>
          <cell r="I5100">
            <v>1505.1478780800001</v>
          </cell>
          <cell r="J5100">
            <v>0</v>
          </cell>
        </row>
        <row r="5101">
          <cell r="E5101">
            <v>10530100</v>
          </cell>
          <cell r="F5101" t="str">
            <v>0015</v>
          </cell>
          <cell r="G5101">
            <v>13</v>
          </cell>
          <cell r="H5101">
            <v>7.3000000000000007</v>
          </cell>
          <cell r="I5101">
            <v>535.44148353600008</v>
          </cell>
          <cell r="J5101">
            <v>0</v>
          </cell>
        </row>
        <row r="5102">
          <cell r="E5102">
            <v>10530100</v>
          </cell>
          <cell r="F5102" t="str">
            <v>0016</v>
          </cell>
          <cell r="G5102">
            <v>7</v>
          </cell>
          <cell r="H5102">
            <v>18.599999999999998</v>
          </cell>
          <cell r="I5102">
            <v>1221.2373162859999</v>
          </cell>
          <cell r="J5102">
            <v>0</v>
          </cell>
        </row>
        <row r="5103">
          <cell r="E5103">
            <v>10530100</v>
          </cell>
          <cell r="F5103" t="str">
            <v>0017</v>
          </cell>
          <cell r="G5103">
            <v>7</v>
          </cell>
          <cell r="H5103">
            <v>17.7</v>
          </cell>
          <cell r="I5103">
            <v>842.41742650390006</v>
          </cell>
          <cell r="J5103">
            <v>0</v>
          </cell>
        </row>
        <row r="5104">
          <cell r="E5104">
            <v>10530100</v>
          </cell>
          <cell r="F5104" t="str">
            <v>0018</v>
          </cell>
          <cell r="G5104">
            <v>14</v>
          </cell>
          <cell r="H5104">
            <v>18.200000000000003</v>
          </cell>
          <cell r="I5104">
            <v>747.49287903000004</v>
          </cell>
          <cell r="J5104">
            <v>0</v>
          </cell>
        </row>
        <row r="5105">
          <cell r="E5105">
            <v>10530100</v>
          </cell>
          <cell r="F5105" t="str">
            <v>0019</v>
          </cell>
          <cell r="G5105">
            <v>6</v>
          </cell>
          <cell r="H5105">
            <v>11.8</v>
          </cell>
          <cell r="I5105">
            <v>562.93286759400007</v>
          </cell>
          <cell r="J5105">
            <v>0</v>
          </cell>
        </row>
        <row r="5106">
          <cell r="E5106">
            <v>10530100</v>
          </cell>
          <cell r="F5106" t="str">
            <v>0021</v>
          </cell>
          <cell r="G5106">
            <v>13</v>
          </cell>
          <cell r="H5106">
            <v>22.000000000000004</v>
          </cell>
          <cell r="I5106">
            <v>902.40305760000001</v>
          </cell>
          <cell r="J5106">
            <v>0</v>
          </cell>
        </row>
        <row r="5107">
          <cell r="E5107">
            <v>10530100</v>
          </cell>
          <cell r="F5107" t="str">
            <v>0022</v>
          </cell>
          <cell r="G5107">
            <v>6</v>
          </cell>
          <cell r="H5107">
            <v>7.4</v>
          </cell>
          <cell r="I5107">
            <v>353.28183334300002</v>
          </cell>
          <cell r="J5107">
            <v>0</v>
          </cell>
        </row>
        <row r="5108">
          <cell r="E5108">
            <v>10530100</v>
          </cell>
          <cell r="F5108" t="str">
            <v>0023</v>
          </cell>
          <cell r="G5108">
            <v>7</v>
          </cell>
          <cell r="H5108">
            <v>9.9</v>
          </cell>
          <cell r="I5108">
            <v>489.44589318200002</v>
          </cell>
          <cell r="J5108">
            <v>0</v>
          </cell>
        </row>
        <row r="5109">
          <cell r="E5109">
            <v>10530100</v>
          </cell>
          <cell r="F5109" t="str">
            <v>0024</v>
          </cell>
          <cell r="G5109">
            <v>7</v>
          </cell>
          <cell r="H5109">
            <v>7.6999999999999993</v>
          </cell>
          <cell r="I5109">
            <v>338.44357800000006</v>
          </cell>
          <cell r="J5109">
            <v>0</v>
          </cell>
        </row>
        <row r="5110">
          <cell r="E5110">
            <v>10530100</v>
          </cell>
          <cell r="F5110" t="str">
            <v>0025</v>
          </cell>
          <cell r="G5110">
            <v>5</v>
          </cell>
          <cell r="H5110">
            <v>8.8000000000000007</v>
          </cell>
          <cell r="I5110">
            <v>417.48379275860003</v>
          </cell>
          <cell r="J5110">
            <v>0</v>
          </cell>
        </row>
        <row r="5111">
          <cell r="E5111">
            <v>10530101</v>
          </cell>
          <cell r="F5111" t="str">
            <v>0001</v>
          </cell>
          <cell r="G5111">
            <v>11</v>
          </cell>
          <cell r="H5111">
            <v>5.5</v>
          </cell>
          <cell r="I5111">
            <v>261.7346014053</v>
          </cell>
          <cell r="J5111">
            <v>0</v>
          </cell>
        </row>
        <row r="5112">
          <cell r="E5112">
            <v>10530101</v>
          </cell>
          <cell r="F5112" t="str">
            <v>0002</v>
          </cell>
          <cell r="G5112">
            <v>12</v>
          </cell>
          <cell r="H5112">
            <v>35.700000000000003</v>
          </cell>
          <cell r="I5112">
            <v>1403.0414204399999</v>
          </cell>
          <cell r="J5112">
            <v>0</v>
          </cell>
        </row>
        <row r="5113">
          <cell r="E5113">
            <v>10530101</v>
          </cell>
          <cell r="F5113" t="str">
            <v>0003</v>
          </cell>
          <cell r="G5113">
            <v>12</v>
          </cell>
          <cell r="H5113">
            <v>72.000000000000014</v>
          </cell>
          <cell r="I5113">
            <v>2779.0214363999999</v>
          </cell>
          <cell r="J5113">
            <v>0</v>
          </cell>
        </row>
        <row r="5114">
          <cell r="E5114">
            <v>10530101</v>
          </cell>
          <cell r="F5114" t="str">
            <v>0005</v>
          </cell>
          <cell r="G5114">
            <v>6</v>
          </cell>
          <cell r="H5114">
            <v>13.200000000000003</v>
          </cell>
          <cell r="I5114">
            <v>630.85252439880003</v>
          </cell>
          <cell r="J5114">
            <v>0</v>
          </cell>
        </row>
        <row r="5115">
          <cell r="E5115">
            <v>10530101</v>
          </cell>
          <cell r="F5115" t="str">
            <v>0006</v>
          </cell>
          <cell r="G5115">
            <v>3</v>
          </cell>
          <cell r="H5115">
            <v>2.7</v>
          </cell>
          <cell r="I5115">
            <v>121.02070464000002</v>
          </cell>
          <cell r="J5115">
            <v>0</v>
          </cell>
        </row>
        <row r="5116">
          <cell r="E5116">
            <v>10530101</v>
          </cell>
          <cell r="F5116" t="str">
            <v>0015</v>
          </cell>
          <cell r="G5116">
            <v>6</v>
          </cell>
          <cell r="H5116">
            <v>9.8000000000000007</v>
          </cell>
          <cell r="I5116">
            <v>843.90188944199974</v>
          </cell>
          <cell r="J5116">
            <v>0</v>
          </cell>
        </row>
        <row r="5117">
          <cell r="E5117">
            <v>10530101</v>
          </cell>
          <cell r="F5117" t="str">
            <v>0016</v>
          </cell>
          <cell r="G5117">
            <v>10</v>
          </cell>
          <cell r="H5117">
            <v>57.800000000000004</v>
          </cell>
          <cell r="I5117">
            <v>3268.7197901185</v>
          </cell>
          <cell r="J5117">
            <v>0</v>
          </cell>
        </row>
        <row r="5118">
          <cell r="E5118">
            <v>10530101</v>
          </cell>
          <cell r="F5118" t="str">
            <v>0017</v>
          </cell>
          <cell r="G5118">
            <v>3</v>
          </cell>
          <cell r="H5118">
            <v>2.9000000000000004</v>
          </cell>
          <cell r="I5118">
            <v>113.45121651599999</v>
          </cell>
          <cell r="J5118">
            <v>0</v>
          </cell>
        </row>
        <row r="5119">
          <cell r="E5119">
            <v>10530101</v>
          </cell>
          <cell r="F5119" t="str">
            <v>0018</v>
          </cell>
          <cell r="G5119">
            <v>5</v>
          </cell>
          <cell r="H5119">
            <v>9.1999999999999993</v>
          </cell>
          <cell r="I5119">
            <v>369.22746960000006</v>
          </cell>
          <cell r="J5119">
            <v>0</v>
          </cell>
        </row>
        <row r="5120">
          <cell r="E5120">
            <v>10530101</v>
          </cell>
          <cell r="F5120" t="str">
            <v>0019</v>
          </cell>
          <cell r="G5120">
            <v>5</v>
          </cell>
          <cell r="H5120">
            <v>16.7</v>
          </cell>
          <cell r="I5120">
            <v>647.91368532000013</v>
          </cell>
          <cell r="J5120">
            <v>0</v>
          </cell>
        </row>
        <row r="5121">
          <cell r="E5121">
            <v>10530101</v>
          </cell>
          <cell r="F5121" t="str">
            <v>0021</v>
          </cell>
          <cell r="G5121">
            <v>9</v>
          </cell>
          <cell r="H5121">
            <v>60.7</v>
          </cell>
          <cell r="I5121">
            <v>2876.0558107829997</v>
          </cell>
          <cell r="J5121">
            <v>0</v>
          </cell>
        </row>
        <row r="5122">
          <cell r="E5122">
            <v>10530101</v>
          </cell>
          <cell r="F5122" t="str">
            <v>0024</v>
          </cell>
          <cell r="G5122">
            <v>13</v>
          </cell>
          <cell r="H5122">
            <v>38.800000000000004</v>
          </cell>
          <cell r="I5122">
            <v>3099.4486552749004</v>
          </cell>
          <cell r="J5122">
            <v>0</v>
          </cell>
        </row>
        <row r="5123">
          <cell r="E5123">
            <v>10530101</v>
          </cell>
          <cell r="F5123" t="str">
            <v>0026</v>
          </cell>
          <cell r="G5123">
            <v>7</v>
          </cell>
          <cell r="H5123">
            <v>11.5</v>
          </cell>
          <cell r="I5123">
            <v>940.85098304299981</v>
          </cell>
          <cell r="J5123">
            <v>0</v>
          </cell>
        </row>
        <row r="5124">
          <cell r="E5124">
            <v>10530101</v>
          </cell>
          <cell r="F5124" t="str">
            <v>0027</v>
          </cell>
          <cell r="G5124">
            <v>4</v>
          </cell>
          <cell r="H5124">
            <v>9.1999999999999993</v>
          </cell>
          <cell r="I5124">
            <v>598.96995118560005</v>
          </cell>
          <cell r="J5124">
            <v>0</v>
          </cell>
        </row>
        <row r="5125">
          <cell r="E5125">
            <v>10530101</v>
          </cell>
          <cell r="F5125" t="str">
            <v>0030</v>
          </cell>
          <cell r="G5125">
            <v>2</v>
          </cell>
          <cell r="H5125">
            <v>4.9000000000000004</v>
          </cell>
          <cell r="I5125">
            <v>183.65709780000003</v>
          </cell>
          <cell r="J5125">
            <v>0</v>
          </cell>
        </row>
        <row r="5126">
          <cell r="E5126">
            <v>10530102</v>
          </cell>
          <cell r="F5126" t="str">
            <v>0001</v>
          </cell>
          <cell r="G5126">
            <v>10</v>
          </cell>
          <cell r="H5126">
            <v>21.900000000000009</v>
          </cell>
          <cell r="I5126">
            <v>810.29582785800005</v>
          </cell>
          <cell r="J5126">
            <v>0</v>
          </cell>
        </row>
        <row r="5127">
          <cell r="E5127">
            <v>10530102</v>
          </cell>
          <cell r="F5127" t="str">
            <v>0002</v>
          </cell>
          <cell r="G5127">
            <v>14</v>
          </cell>
          <cell r="H5127">
            <v>51.2</v>
          </cell>
          <cell r="I5127">
            <v>1870.3980086220006</v>
          </cell>
          <cell r="J5127">
            <v>0</v>
          </cell>
        </row>
        <row r="5128">
          <cell r="E5128">
            <v>10530102</v>
          </cell>
          <cell r="F5128" t="str">
            <v>0010</v>
          </cell>
          <cell r="G5128">
            <v>14</v>
          </cell>
          <cell r="H5128">
            <v>28.9</v>
          </cell>
          <cell r="I5128">
            <v>1202.73940651972</v>
          </cell>
          <cell r="J5128">
            <v>0</v>
          </cell>
        </row>
        <row r="5129">
          <cell r="E5129">
            <v>10530102</v>
          </cell>
          <cell r="F5129" t="str">
            <v>0013</v>
          </cell>
          <cell r="G5129">
            <v>13</v>
          </cell>
          <cell r="H5129">
            <v>64.3</v>
          </cell>
          <cell r="I5129">
            <v>2083.1922286560002</v>
          </cell>
          <cell r="J5129">
            <v>0</v>
          </cell>
        </row>
        <row r="5130">
          <cell r="E5130">
            <v>10530103</v>
          </cell>
          <cell r="F5130" t="str">
            <v>0001</v>
          </cell>
          <cell r="G5130">
            <v>14</v>
          </cell>
          <cell r="H5130">
            <v>43.300000000000011</v>
          </cell>
          <cell r="I5130">
            <v>1869.3533628</v>
          </cell>
          <cell r="J5130">
            <v>0</v>
          </cell>
        </row>
        <row r="5131">
          <cell r="E5131">
            <v>10530103</v>
          </cell>
          <cell r="F5131" t="str">
            <v>0002</v>
          </cell>
          <cell r="G5131">
            <v>14</v>
          </cell>
          <cell r="H5131">
            <v>391.6</v>
          </cell>
          <cell r="I5131">
            <v>20604.504815586304</v>
          </cell>
          <cell r="J5131">
            <v>0</v>
          </cell>
        </row>
        <row r="5132">
          <cell r="E5132">
            <v>10530103</v>
          </cell>
          <cell r="F5132" t="str">
            <v>0003</v>
          </cell>
          <cell r="G5132">
            <v>14</v>
          </cell>
          <cell r="H5132">
            <v>293.90000000000003</v>
          </cell>
          <cell r="I5132">
            <v>12024.841637160001</v>
          </cell>
          <cell r="J5132">
            <v>0</v>
          </cell>
        </row>
        <row r="5133">
          <cell r="E5133">
            <v>10530103</v>
          </cell>
          <cell r="F5133" t="str">
            <v>0004</v>
          </cell>
          <cell r="G5133">
            <v>14</v>
          </cell>
          <cell r="H5133">
            <v>479.1</v>
          </cell>
          <cell r="I5133">
            <v>25765.906302051801</v>
          </cell>
          <cell r="J5133">
            <v>0</v>
          </cell>
        </row>
        <row r="5134">
          <cell r="E5134">
            <v>10530103</v>
          </cell>
          <cell r="F5134" t="str">
            <v>0005</v>
          </cell>
          <cell r="G5134">
            <v>13</v>
          </cell>
          <cell r="H5134">
            <v>25.599999999999998</v>
          </cell>
          <cell r="I5134">
            <v>1021.0208263200001</v>
          </cell>
          <cell r="J5134">
            <v>0</v>
          </cell>
        </row>
        <row r="5135">
          <cell r="E5135">
            <v>10530103</v>
          </cell>
          <cell r="F5135" t="str">
            <v>0006</v>
          </cell>
          <cell r="G5135">
            <v>14</v>
          </cell>
          <cell r="H5135">
            <v>84.6</v>
          </cell>
          <cell r="I5135">
            <v>3129.1909902000002</v>
          </cell>
          <cell r="J5135">
            <v>0</v>
          </cell>
        </row>
        <row r="5136">
          <cell r="E5136">
            <v>10530103</v>
          </cell>
          <cell r="F5136" t="str">
            <v>0008</v>
          </cell>
          <cell r="G5136">
            <v>14</v>
          </cell>
          <cell r="H5136">
            <v>90.999999999999986</v>
          </cell>
          <cell r="I5136">
            <v>3863.7817020000002</v>
          </cell>
          <cell r="J5136">
            <v>0</v>
          </cell>
        </row>
        <row r="5137">
          <cell r="E5137">
            <v>10530103</v>
          </cell>
          <cell r="F5137" t="str">
            <v>0009</v>
          </cell>
          <cell r="G5137">
            <v>7</v>
          </cell>
          <cell r="H5137">
            <v>19.8</v>
          </cell>
          <cell r="I5137">
            <v>811.29394764000006</v>
          </cell>
          <cell r="J5137">
            <v>0</v>
          </cell>
        </row>
        <row r="5138">
          <cell r="E5138">
            <v>10530103</v>
          </cell>
          <cell r="F5138" t="str">
            <v>0013</v>
          </cell>
          <cell r="G5138">
            <v>9</v>
          </cell>
          <cell r="H5138">
            <v>20.200000000000003</v>
          </cell>
          <cell r="I5138">
            <v>1089.605923589</v>
          </cell>
          <cell r="J5138">
            <v>0</v>
          </cell>
        </row>
        <row r="5139">
          <cell r="E5139">
            <v>10530103</v>
          </cell>
          <cell r="F5139" t="str">
            <v>0014</v>
          </cell>
          <cell r="G5139">
            <v>7</v>
          </cell>
          <cell r="H5139">
            <v>16.099999999999998</v>
          </cell>
          <cell r="I5139">
            <v>565.80214977000014</v>
          </cell>
          <cell r="J5139">
            <v>0</v>
          </cell>
        </row>
        <row r="5140">
          <cell r="E5140">
            <v>10530103</v>
          </cell>
          <cell r="F5140" t="str">
            <v>0016</v>
          </cell>
          <cell r="G5140">
            <v>4</v>
          </cell>
          <cell r="H5140">
            <v>9</v>
          </cell>
          <cell r="I5140">
            <v>417.2951445498</v>
          </cell>
          <cell r="J5140">
            <v>0</v>
          </cell>
        </row>
        <row r="5141">
          <cell r="E5141">
            <v>10530103</v>
          </cell>
          <cell r="F5141" t="str">
            <v>0018</v>
          </cell>
          <cell r="G5141">
            <v>7</v>
          </cell>
          <cell r="H5141">
            <v>15.2</v>
          </cell>
          <cell r="I5141">
            <v>689.34807586799991</v>
          </cell>
          <cell r="J5141">
            <v>0</v>
          </cell>
        </row>
        <row r="5142">
          <cell r="E5142">
            <v>10530103</v>
          </cell>
          <cell r="F5142" t="str">
            <v>0021</v>
          </cell>
          <cell r="G5142">
            <v>13</v>
          </cell>
          <cell r="H5142">
            <v>74.599999999999994</v>
          </cell>
          <cell r="I5142">
            <v>2906.2332684000007</v>
          </cell>
          <cell r="J5142">
            <v>0</v>
          </cell>
        </row>
        <row r="5143">
          <cell r="E5143">
            <v>10530103</v>
          </cell>
          <cell r="F5143" t="str">
            <v>0022</v>
          </cell>
          <cell r="G5143">
            <v>14</v>
          </cell>
          <cell r="H5143">
            <v>135.5</v>
          </cell>
          <cell r="I5143">
            <v>5307.5912511600009</v>
          </cell>
          <cell r="J5143">
            <v>0</v>
          </cell>
        </row>
        <row r="5144">
          <cell r="E5144">
            <v>10530103</v>
          </cell>
          <cell r="F5144" t="str">
            <v>0023</v>
          </cell>
          <cell r="G5144">
            <v>8</v>
          </cell>
          <cell r="H5144">
            <v>25.6</v>
          </cell>
          <cell r="I5144">
            <v>1109.6870400000003</v>
          </cell>
          <cell r="J5144">
            <v>0</v>
          </cell>
        </row>
        <row r="5145">
          <cell r="E5145">
            <v>10530103</v>
          </cell>
          <cell r="F5145" t="str">
            <v>0024</v>
          </cell>
          <cell r="G5145">
            <v>7</v>
          </cell>
          <cell r="H5145">
            <v>17.100000000000001</v>
          </cell>
          <cell r="I5145">
            <v>887.04232576200002</v>
          </cell>
          <cell r="J5145">
            <v>0</v>
          </cell>
        </row>
        <row r="5146">
          <cell r="E5146">
            <v>10530103</v>
          </cell>
          <cell r="F5146" t="str">
            <v>0025</v>
          </cell>
          <cell r="G5146">
            <v>6</v>
          </cell>
          <cell r="H5146">
            <v>15.999999999999998</v>
          </cell>
          <cell r="I5146">
            <v>628.40367612000011</v>
          </cell>
          <cell r="J5146">
            <v>0</v>
          </cell>
        </row>
        <row r="5147">
          <cell r="E5147">
            <v>10530103</v>
          </cell>
          <cell r="F5147" t="str">
            <v>0028</v>
          </cell>
          <cell r="G5147">
            <v>7</v>
          </cell>
          <cell r="H5147">
            <v>19.299999999999997</v>
          </cell>
          <cell r="I5147">
            <v>1620.2779904120994</v>
          </cell>
          <cell r="J5147">
            <v>0</v>
          </cell>
        </row>
        <row r="5148">
          <cell r="E5148">
            <v>10530103</v>
          </cell>
          <cell r="F5148" t="str">
            <v>0029</v>
          </cell>
          <cell r="G5148">
            <v>14</v>
          </cell>
          <cell r="H5148">
            <v>38.599999999999994</v>
          </cell>
          <cell r="I5148">
            <v>1493.5298043600001</v>
          </cell>
          <cell r="J5148">
            <v>0</v>
          </cell>
        </row>
        <row r="5149">
          <cell r="E5149">
            <v>10530103</v>
          </cell>
          <cell r="F5149" t="str">
            <v>0030</v>
          </cell>
          <cell r="G5149">
            <v>14</v>
          </cell>
          <cell r="H5149">
            <v>45.8</v>
          </cell>
          <cell r="I5149">
            <v>2161.068833154</v>
          </cell>
          <cell r="J5149">
            <v>0</v>
          </cell>
        </row>
        <row r="5150">
          <cell r="E5150">
            <v>10530103</v>
          </cell>
          <cell r="F5150" t="str">
            <v>0031</v>
          </cell>
          <cell r="G5150">
            <v>14</v>
          </cell>
          <cell r="H5150">
            <v>75.899999999999991</v>
          </cell>
          <cell r="I5150">
            <v>2837.99174868</v>
          </cell>
          <cell r="J5150">
            <v>0</v>
          </cell>
        </row>
        <row r="5151">
          <cell r="E5151">
            <v>10530103</v>
          </cell>
          <cell r="F5151" t="str">
            <v>0032</v>
          </cell>
          <cell r="G5151">
            <v>12</v>
          </cell>
          <cell r="H5151">
            <v>45.3</v>
          </cell>
          <cell r="I5151">
            <v>1780.1630748000002</v>
          </cell>
          <cell r="J5151">
            <v>0</v>
          </cell>
        </row>
        <row r="5152">
          <cell r="E5152">
            <v>10530103</v>
          </cell>
          <cell r="F5152" t="str">
            <v>0033</v>
          </cell>
          <cell r="G5152">
            <v>14</v>
          </cell>
          <cell r="H5152">
            <v>48.400000000000006</v>
          </cell>
          <cell r="I5152">
            <v>1870.7178204000002</v>
          </cell>
          <cell r="J5152">
            <v>0</v>
          </cell>
        </row>
        <row r="5153">
          <cell r="E5153">
            <v>10530103</v>
          </cell>
          <cell r="F5153" t="str">
            <v>0034</v>
          </cell>
          <cell r="G5153">
            <v>14</v>
          </cell>
          <cell r="H5153">
            <v>47.199999999999996</v>
          </cell>
          <cell r="I5153">
            <v>1949.5477584</v>
          </cell>
          <cell r="J5153">
            <v>0</v>
          </cell>
        </row>
        <row r="5154">
          <cell r="E5154">
            <v>10530103</v>
          </cell>
          <cell r="F5154" t="str">
            <v>0035</v>
          </cell>
          <cell r="G5154">
            <v>7</v>
          </cell>
          <cell r="H5154">
            <v>18.8</v>
          </cell>
          <cell r="I5154">
            <v>746.01909360000002</v>
          </cell>
          <cell r="J5154">
            <v>0</v>
          </cell>
        </row>
        <row r="5155">
          <cell r="E5155">
            <v>10530103</v>
          </cell>
          <cell r="F5155" t="str">
            <v>0036</v>
          </cell>
          <cell r="G5155">
            <v>6</v>
          </cell>
          <cell r="H5155">
            <v>6.1999999999999993</v>
          </cell>
          <cell r="I5155">
            <v>282.16596042000003</v>
          </cell>
          <cell r="J5155">
            <v>0</v>
          </cell>
        </row>
        <row r="5156">
          <cell r="E5156">
            <v>10530103</v>
          </cell>
          <cell r="F5156" t="str">
            <v>0038</v>
          </cell>
          <cell r="G5156">
            <v>7</v>
          </cell>
          <cell r="H5156">
            <v>17</v>
          </cell>
          <cell r="I5156">
            <v>862.71476997139996</v>
          </cell>
          <cell r="J5156">
            <v>0</v>
          </cell>
        </row>
        <row r="5157">
          <cell r="E5157">
            <v>10530105</v>
          </cell>
          <cell r="F5157" t="str">
            <v>0001</v>
          </cell>
          <cell r="G5157">
            <v>13</v>
          </cell>
          <cell r="H5157">
            <v>4.58</v>
          </cell>
          <cell r="I5157">
            <v>190.85334285600001</v>
          </cell>
          <cell r="J5157">
            <v>0</v>
          </cell>
        </row>
        <row r="5158">
          <cell r="E5158">
            <v>10530105</v>
          </cell>
          <cell r="F5158" t="str">
            <v>0002</v>
          </cell>
          <cell r="G5158">
            <v>14</v>
          </cell>
          <cell r="H5158">
            <v>158.54999999999998</v>
          </cell>
          <cell r="I5158">
            <v>6723.9854593560003</v>
          </cell>
          <cell r="J5158">
            <v>0</v>
          </cell>
        </row>
        <row r="5159">
          <cell r="E5159">
            <v>10530105</v>
          </cell>
          <cell r="F5159" t="str">
            <v>0003</v>
          </cell>
          <cell r="G5159">
            <v>7</v>
          </cell>
          <cell r="H5159">
            <v>26.79</v>
          </cell>
          <cell r="I5159">
            <v>1133.4374983800001</v>
          </cell>
          <cell r="J5159">
            <v>0</v>
          </cell>
        </row>
        <row r="5160">
          <cell r="E5160">
            <v>10530105</v>
          </cell>
          <cell r="F5160" t="str">
            <v>0005</v>
          </cell>
          <cell r="G5160">
            <v>14</v>
          </cell>
          <cell r="H5160">
            <v>55.010000000000005</v>
          </cell>
          <cell r="I5160">
            <v>2129.4819600119999</v>
          </cell>
          <cell r="J5160">
            <v>0</v>
          </cell>
        </row>
        <row r="5161">
          <cell r="E5161">
            <v>10530105</v>
          </cell>
          <cell r="F5161" t="str">
            <v>0009</v>
          </cell>
          <cell r="G5161">
            <v>3</v>
          </cell>
          <cell r="H5161">
            <v>3.4799999999999995</v>
          </cell>
          <cell r="I5161">
            <v>150.35184489600002</v>
          </cell>
          <cell r="J5161">
            <v>0</v>
          </cell>
        </row>
        <row r="5162">
          <cell r="E5162">
            <v>10530105</v>
          </cell>
          <cell r="F5162" t="str">
            <v>0010</v>
          </cell>
          <cell r="G5162">
            <v>12</v>
          </cell>
          <cell r="H5162">
            <v>49.95</v>
          </cell>
          <cell r="I5162">
            <v>1863.6330267720002</v>
          </cell>
          <cell r="J5162">
            <v>0</v>
          </cell>
        </row>
        <row r="5163">
          <cell r="E5163">
            <v>10530105</v>
          </cell>
          <cell r="F5163" t="str">
            <v>0011</v>
          </cell>
          <cell r="G5163">
            <v>6</v>
          </cell>
          <cell r="H5163">
            <v>18.47</v>
          </cell>
          <cell r="I5163">
            <v>674.87396692319999</v>
          </cell>
          <cell r="J5163">
            <v>0</v>
          </cell>
        </row>
        <row r="5164">
          <cell r="E5164">
            <v>10530105</v>
          </cell>
          <cell r="F5164" t="str">
            <v>0014</v>
          </cell>
          <cell r="G5164">
            <v>7</v>
          </cell>
          <cell r="H5164">
            <v>25.03</v>
          </cell>
          <cell r="I5164">
            <v>1527.6097786846999</v>
          </cell>
          <cell r="J5164">
            <v>0</v>
          </cell>
        </row>
        <row r="5165">
          <cell r="E5165">
            <v>10530106</v>
          </cell>
          <cell r="F5165" t="str">
            <v>0001</v>
          </cell>
          <cell r="G5165">
            <v>3</v>
          </cell>
          <cell r="H5165">
            <v>0.63</v>
          </cell>
          <cell r="I5165">
            <v>24.6882362562</v>
          </cell>
          <cell r="J5165">
            <v>0</v>
          </cell>
        </row>
        <row r="5166">
          <cell r="E5166">
            <v>10530106</v>
          </cell>
          <cell r="F5166" t="str">
            <v>0002</v>
          </cell>
          <cell r="G5166">
            <v>5</v>
          </cell>
          <cell r="H5166">
            <v>34.22</v>
          </cell>
          <cell r="I5166">
            <v>1247.4083746080003</v>
          </cell>
          <cell r="J5166">
            <v>0</v>
          </cell>
        </row>
        <row r="5167">
          <cell r="E5167">
            <v>10530106</v>
          </cell>
          <cell r="F5167" t="str">
            <v>0004</v>
          </cell>
          <cell r="G5167">
            <v>1</v>
          </cell>
          <cell r="H5167">
            <v>2.08</v>
          </cell>
          <cell r="I5167">
            <v>87.861533760000015</v>
          </cell>
          <cell r="J5167">
            <v>0</v>
          </cell>
        </row>
        <row r="5168">
          <cell r="E5168">
            <v>10530106</v>
          </cell>
          <cell r="F5168" t="str">
            <v>0005</v>
          </cell>
          <cell r="G5168">
            <v>2</v>
          </cell>
          <cell r="H5168">
            <v>5.9499999999999993</v>
          </cell>
          <cell r="I5168">
            <v>190.15218837840001</v>
          </cell>
          <cell r="J5168">
            <v>0</v>
          </cell>
        </row>
        <row r="5169">
          <cell r="E5169">
            <v>10530106</v>
          </cell>
          <cell r="F5169" t="str">
            <v>0009</v>
          </cell>
          <cell r="G5169">
            <v>3</v>
          </cell>
          <cell r="H5169">
            <v>7.16</v>
          </cell>
          <cell r="I5169">
            <v>256.65387145200003</v>
          </cell>
          <cell r="J5169">
            <v>0</v>
          </cell>
        </row>
        <row r="5170">
          <cell r="E5170">
            <v>10530108</v>
          </cell>
          <cell r="F5170" t="str">
            <v>0002</v>
          </cell>
          <cell r="G5170">
            <v>6</v>
          </cell>
          <cell r="H5170">
            <v>50.8</v>
          </cell>
          <cell r="I5170">
            <v>1827.8720202600002</v>
          </cell>
          <cell r="J5170">
            <v>0</v>
          </cell>
        </row>
        <row r="5171">
          <cell r="E5171">
            <v>10530108</v>
          </cell>
          <cell r="F5171" t="str">
            <v>0003</v>
          </cell>
          <cell r="G5171">
            <v>2</v>
          </cell>
          <cell r="H5171">
            <v>11.36</v>
          </cell>
          <cell r="I5171">
            <v>393.7900863996</v>
          </cell>
          <cell r="J5171">
            <v>0</v>
          </cell>
        </row>
        <row r="5172">
          <cell r="E5172">
            <v>10530109</v>
          </cell>
          <cell r="F5172" t="str">
            <v>0001</v>
          </cell>
          <cell r="G5172">
            <v>13</v>
          </cell>
          <cell r="H5172">
            <v>15.729999999999999</v>
          </cell>
          <cell r="I5172">
            <v>809.40552658143019</v>
          </cell>
          <cell r="J5172">
            <v>0</v>
          </cell>
        </row>
        <row r="5173">
          <cell r="E5173">
            <v>10530109</v>
          </cell>
          <cell r="F5173" t="str">
            <v>0002</v>
          </cell>
          <cell r="G5173">
            <v>8</v>
          </cell>
          <cell r="H5173">
            <v>78.97999999999999</v>
          </cell>
          <cell r="I5173">
            <v>3395.1353561728001</v>
          </cell>
          <cell r="J5173">
            <v>0</v>
          </cell>
        </row>
        <row r="5174">
          <cell r="E5174">
            <v>10530109</v>
          </cell>
          <cell r="F5174" t="str">
            <v>0003</v>
          </cell>
          <cell r="G5174">
            <v>13</v>
          </cell>
          <cell r="H5174">
            <v>93.410000000000011</v>
          </cell>
          <cell r="I5174">
            <v>4183.2548712691287</v>
          </cell>
          <cell r="J5174">
            <v>0</v>
          </cell>
        </row>
        <row r="5175">
          <cell r="E5175">
            <v>10530109</v>
          </cell>
          <cell r="F5175" t="str">
            <v>0004</v>
          </cell>
          <cell r="G5175">
            <v>14</v>
          </cell>
          <cell r="H5175">
            <v>554.16999999999996</v>
          </cell>
          <cell r="I5175">
            <v>23531.546240289099</v>
          </cell>
          <cell r="J5175">
            <v>0</v>
          </cell>
        </row>
        <row r="5176">
          <cell r="E5176">
            <v>10530109</v>
          </cell>
          <cell r="F5176" t="str">
            <v>0005</v>
          </cell>
          <cell r="G5176">
            <v>14</v>
          </cell>
          <cell r="H5176">
            <v>404.13</v>
          </cell>
          <cell r="I5176">
            <v>20648.155545490772</v>
          </cell>
          <cell r="J5176">
            <v>0</v>
          </cell>
        </row>
        <row r="5177">
          <cell r="E5177">
            <v>10530109</v>
          </cell>
          <cell r="F5177" t="str">
            <v>0006</v>
          </cell>
          <cell r="G5177">
            <v>14</v>
          </cell>
          <cell r="H5177">
            <v>94.04000000000002</v>
          </cell>
          <cell r="I5177">
            <v>4211.7141941891405</v>
          </cell>
          <cell r="J5177">
            <v>0</v>
          </cell>
        </row>
        <row r="5178">
          <cell r="E5178">
            <v>10530109</v>
          </cell>
          <cell r="F5178" t="str">
            <v>0007</v>
          </cell>
          <cell r="G5178">
            <v>1</v>
          </cell>
          <cell r="H5178">
            <v>0.57999999999999996</v>
          </cell>
          <cell r="I5178">
            <v>25.495123103999997</v>
          </cell>
          <cell r="J5178">
            <v>0</v>
          </cell>
        </row>
        <row r="5179">
          <cell r="E5179">
            <v>10530109</v>
          </cell>
          <cell r="F5179" t="str">
            <v>0008</v>
          </cell>
          <cell r="G5179">
            <v>2</v>
          </cell>
          <cell r="H5179">
            <v>6.07</v>
          </cell>
          <cell r="I5179">
            <v>345.05907611712007</v>
          </cell>
          <cell r="J5179">
            <v>0</v>
          </cell>
        </row>
        <row r="5180">
          <cell r="E5180">
            <v>10530109</v>
          </cell>
          <cell r="F5180" t="str">
            <v>0009</v>
          </cell>
          <cell r="G5180">
            <v>2</v>
          </cell>
          <cell r="H5180">
            <v>5.65</v>
          </cell>
          <cell r="I5180">
            <v>245.63907949680004</v>
          </cell>
          <cell r="J5180">
            <v>0</v>
          </cell>
        </row>
        <row r="5181">
          <cell r="E5181">
            <v>10530109</v>
          </cell>
          <cell r="F5181" t="str">
            <v>0010</v>
          </cell>
          <cell r="G5181">
            <v>1</v>
          </cell>
          <cell r="H5181">
            <v>0.98</v>
          </cell>
          <cell r="I5181">
            <v>55.741595992320008</v>
          </cell>
          <cell r="J5181">
            <v>0</v>
          </cell>
        </row>
        <row r="5182">
          <cell r="E5182">
            <v>10530109</v>
          </cell>
          <cell r="F5182" t="str">
            <v>0011</v>
          </cell>
          <cell r="G5182">
            <v>2</v>
          </cell>
          <cell r="H5182">
            <v>7.76</v>
          </cell>
          <cell r="I5182">
            <v>332.913246595776</v>
          </cell>
          <cell r="J5182">
            <v>0</v>
          </cell>
        </row>
        <row r="5183">
          <cell r="E5183">
            <v>10530110</v>
          </cell>
          <cell r="F5183" t="str">
            <v>0001</v>
          </cell>
          <cell r="G5183">
            <v>4</v>
          </cell>
          <cell r="H5183">
            <v>3.6999999999999997</v>
          </cell>
          <cell r="I5183">
            <v>147.34504303200004</v>
          </cell>
          <cell r="J5183">
            <v>0</v>
          </cell>
        </row>
        <row r="5184">
          <cell r="E5184">
            <v>10530110</v>
          </cell>
          <cell r="F5184" t="str">
            <v>0002</v>
          </cell>
          <cell r="G5184">
            <v>4</v>
          </cell>
          <cell r="H5184">
            <v>179.69</v>
          </cell>
          <cell r="I5184">
            <v>6986.6017954920007</v>
          </cell>
          <cell r="J5184">
            <v>0</v>
          </cell>
        </row>
        <row r="5185">
          <cell r="E5185">
            <v>10530110</v>
          </cell>
          <cell r="F5185" t="str">
            <v>0005</v>
          </cell>
          <cell r="G5185">
            <v>3</v>
          </cell>
          <cell r="H5185">
            <v>19.87</v>
          </cell>
          <cell r="I5185">
            <v>695.19908264399999</v>
          </cell>
          <cell r="J5185">
            <v>0</v>
          </cell>
        </row>
        <row r="5186">
          <cell r="E5186">
            <v>10530110</v>
          </cell>
          <cell r="F5186" t="str">
            <v>0006</v>
          </cell>
          <cell r="G5186">
            <v>2</v>
          </cell>
          <cell r="H5186">
            <v>7.41</v>
          </cell>
          <cell r="I5186">
            <v>322.76953486799999</v>
          </cell>
          <cell r="J5186">
            <v>0</v>
          </cell>
        </row>
        <row r="5187">
          <cell r="E5187">
            <v>10530110</v>
          </cell>
          <cell r="F5187" t="str">
            <v>0007</v>
          </cell>
          <cell r="G5187">
            <v>2</v>
          </cell>
          <cell r="H5187">
            <v>5.41</v>
          </cell>
          <cell r="I5187">
            <v>292.00218307220001</v>
          </cell>
          <cell r="J5187">
            <v>0</v>
          </cell>
        </row>
        <row r="5188">
          <cell r="E5188">
            <v>10530110</v>
          </cell>
          <cell r="F5188" t="str">
            <v>0008</v>
          </cell>
          <cell r="G5188">
            <v>3</v>
          </cell>
          <cell r="H5188">
            <v>8.0399999999999991</v>
          </cell>
          <cell r="I5188">
            <v>329.61527319600003</v>
          </cell>
          <cell r="J5188">
            <v>0</v>
          </cell>
        </row>
        <row r="5189">
          <cell r="E5189">
            <v>10530110</v>
          </cell>
          <cell r="F5189" t="str">
            <v>0009</v>
          </cell>
          <cell r="G5189">
            <v>3</v>
          </cell>
          <cell r="H5189">
            <v>14.43</v>
          </cell>
          <cell r="I5189">
            <v>578.05128493200004</v>
          </cell>
          <cell r="J5189">
            <v>0</v>
          </cell>
        </row>
        <row r="5190">
          <cell r="E5190">
            <v>10530110</v>
          </cell>
          <cell r="F5190" t="str">
            <v>0010</v>
          </cell>
          <cell r="G5190">
            <v>2</v>
          </cell>
          <cell r="H5190">
            <v>2.72</v>
          </cell>
          <cell r="I5190">
            <v>109.18688425920001</v>
          </cell>
          <cell r="J5190">
            <v>0</v>
          </cell>
        </row>
        <row r="5191">
          <cell r="E5191">
            <v>10540003</v>
          </cell>
          <cell r="F5191" t="str">
            <v>0002</v>
          </cell>
          <cell r="G5191">
            <v>6</v>
          </cell>
          <cell r="H5191">
            <v>2956.9</v>
          </cell>
          <cell r="I5191">
            <v>122951.53333386002</v>
          </cell>
          <cell r="J5191">
            <v>0</v>
          </cell>
        </row>
        <row r="5192">
          <cell r="E5192">
            <v>10540005</v>
          </cell>
          <cell r="F5192" t="str">
            <v>0003</v>
          </cell>
          <cell r="G5192">
            <v>14</v>
          </cell>
          <cell r="H5192">
            <v>59.860000000000007</v>
          </cell>
          <cell r="I5192">
            <v>2859.6067333171522</v>
          </cell>
          <cell r="J5192">
            <v>0</v>
          </cell>
        </row>
        <row r="5193">
          <cell r="E5193">
            <v>10540005</v>
          </cell>
          <cell r="F5193" t="str">
            <v>0005</v>
          </cell>
          <cell r="G5193">
            <v>14</v>
          </cell>
          <cell r="H5193">
            <v>85.019999999999982</v>
          </cell>
          <cell r="I5193">
            <v>3461.6343524400008</v>
          </cell>
          <cell r="J5193">
            <v>0</v>
          </cell>
        </row>
        <row r="5194">
          <cell r="E5194">
            <v>10540005</v>
          </cell>
          <cell r="F5194" t="str">
            <v>0006</v>
          </cell>
          <cell r="G5194">
            <v>13</v>
          </cell>
          <cell r="H5194">
            <v>30.040000000000003</v>
          </cell>
          <cell r="I5194">
            <v>1076.5483639218</v>
          </cell>
          <cell r="J5194">
            <v>0</v>
          </cell>
        </row>
        <row r="5195">
          <cell r="E5195">
            <v>10540005</v>
          </cell>
          <cell r="F5195" t="str">
            <v>0010</v>
          </cell>
          <cell r="G5195">
            <v>14</v>
          </cell>
          <cell r="H5195">
            <v>43.99</v>
          </cell>
          <cell r="I5195">
            <v>1385.4224043000002</v>
          </cell>
          <cell r="J5195">
            <v>0</v>
          </cell>
        </row>
        <row r="5196">
          <cell r="E5196">
            <v>10540005</v>
          </cell>
          <cell r="F5196" t="str">
            <v>0015</v>
          </cell>
          <cell r="G5196">
            <v>12</v>
          </cell>
          <cell r="H5196">
            <v>48.739999999999995</v>
          </cell>
          <cell r="I5196">
            <v>1731.2529788136001</v>
          </cell>
          <cell r="J5196">
            <v>0</v>
          </cell>
        </row>
        <row r="5197">
          <cell r="E5197">
            <v>10540005</v>
          </cell>
          <cell r="F5197" t="str">
            <v>0016</v>
          </cell>
          <cell r="G5197">
            <v>14</v>
          </cell>
          <cell r="H5197">
            <v>57.550000000000011</v>
          </cell>
          <cell r="I5197">
            <v>2932.5234084945805</v>
          </cell>
          <cell r="J5197">
            <v>0</v>
          </cell>
        </row>
        <row r="5198">
          <cell r="E5198">
            <v>10540005</v>
          </cell>
          <cell r="F5198" t="str">
            <v>0023</v>
          </cell>
          <cell r="G5198">
            <v>11</v>
          </cell>
          <cell r="H5198">
            <v>22.83</v>
          </cell>
          <cell r="I5198">
            <v>694.84108254659998</v>
          </cell>
          <cell r="J5198">
            <v>0</v>
          </cell>
        </row>
        <row r="5199">
          <cell r="E5199">
            <v>10540005</v>
          </cell>
          <cell r="F5199" t="str">
            <v>0024</v>
          </cell>
          <cell r="G5199">
            <v>14</v>
          </cell>
          <cell r="H5199">
            <v>41.67</v>
          </cell>
          <cell r="I5199">
            <v>2722.3860475188503</v>
          </cell>
          <cell r="J5199">
            <v>0</v>
          </cell>
        </row>
        <row r="5200">
          <cell r="E5200">
            <v>10540005</v>
          </cell>
          <cell r="F5200" t="str">
            <v>0028</v>
          </cell>
          <cell r="G5200">
            <v>1</v>
          </cell>
          <cell r="H5200">
            <v>0.06</v>
          </cell>
          <cell r="I5200">
            <v>3.0607124460000001</v>
          </cell>
          <cell r="J5200">
            <v>0</v>
          </cell>
        </row>
        <row r="5201">
          <cell r="E5201">
            <v>10540005</v>
          </cell>
          <cell r="F5201" t="str">
            <v>0029</v>
          </cell>
          <cell r="G5201">
            <v>7</v>
          </cell>
          <cell r="H5201">
            <v>13.379999999999999</v>
          </cell>
          <cell r="I5201">
            <v>584.23378112740704</v>
          </cell>
          <cell r="J5201">
            <v>0</v>
          </cell>
        </row>
        <row r="5202">
          <cell r="E5202">
            <v>10540005</v>
          </cell>
          <cell r="F5202" t="str">
            <v>0030</v>
          </cell>
          <cell r="G5202">
            <v>6</v>
          </cell>
          <cell r="H5202">
            <v>13</v>
          </cell>
          <cell r="I5202">
            <v>701.89910156800011</v>
          </cell>
          <cell r="J5202">
            <v>0</v>
          </cell>
        </row>
        <row r="5203">
          <cell r="E5203">
            <v>10540005</v>
          </cell>
          <cell r="F5203" t="str">
            <v>0033</v>
          </cell>
          <cell r="G5203">
            <v>13</v>
          </cell>
          <cell r="H5203">
            <v>58.319999999999993</v>
          </cell>
          <cell r="I5203">
            <v>4097.4329702432497</v>
          </cell>
          <cell r="J5203">
            <v>0</v>
          </cell>
        </row>
        <row r="5204">
          <cell r="E5204">
            <v>10540005</v>
          </cell>
          <cell r="F5204" t="str">
            <v>0037</v>
          </cell>
          <cell r="G5204">
            <v>14</v>
          </cell>
          <cell r="H5204">
            <v>30.72</v>
          </cell>
          <cell r="I5204">
            <v>1185.4987673364001</v>
          </cell>
          <cell r="J5204">
            <v>0</v>
          </cell>
        </row>
        <row r="5205">
          <cell r="E5205">
            <v>10540005</v>
          </cell>
          <cell r="F5205" t="str">
            <v>0039</v>
          </cell>
          <cell r="G5205">
            <v>13</v>
          </cell>
          <cell r="H5205">
            <v>29.490000000000002</v>
          </cell>
          <cell r="I5205">
            <v>1164.8444844554399</v>
          </cell>
          <cell r="J5205">
            <v>0</v>
          </cell>
        </row>
        <row r="5206">
          <cell r="E5206">
            <v>10540007</v>
          </cell>
          <cell r="F5206" t="str">
            <v>0002</v>
          </cell>
          <cell r="G5206">
            <v>1</v>
          </cell>
          <cell r="H5206">
            <v>18.12</v>
          </cell>
          <cell r="I5206">
            <v>662.5588147200001</v>
          </cell>
          <cell r="J5206">
            <v>0</v>
          </cell>
        </row>
        <row r="5207">
          <cell r="E5207">
            <v>10540008</v>
          </cell>
          <cell r="F5207" t="str">
            <v>0006</v>
          </cell>
          <cell r="G5207">
            <v>13</v>
          </cell>
          <cell r="H5207">
            <v>15.689999999999998</v>
          </cell>
          <cell r="I5207">
            <v>856.27328575076001</v>
          </cell>
          <cell r="J5207">
            <v>0</v>
          </cell>
        </row>
        <row r="5208">
          <cell r="E5208">
            <v>10540008</v>
          </cell>
          <cell r="F5208" t="str">
            <v>0009</v>
          </cell>
          <cell r="G5208">
            <v>7</v>
          </cell>
          <cell r="H5208">
            <v>19.239999999999998</v>
          </cell>
          <cell r="I5208">
            <v>1137.1553151184</v>
          </cell>
          <cell r="J5208">
            <v>0</v>
          </cell>
        </row>
        <row r="5209">
          <cell r="E5209">
            <v>10540008</v>
          </cell>
          <cell r="F5209" t="str">
            <v>0010</v>
          </cell>
          <cell r="G5209">
            <v>14</v>
          </cell>
          <cell r="H5209">
            <v>43.37</v>
          </cell>
          <cell r="I5209">
            <v>2570.1363229328399</v>
          </cell>
          <cell r="J5209">
            <v>0</v>
          </cell>
        </row>
        <row r="5210">
          <cell r="E5210">
            <v>10540008</v>
          </cell>
          <cell r="F5210" t="str">
            <v>0011</v>
          </cell>
          <cell r="G5210">
            <v>14</v>
          </cell>
          <cell r="H5210">
            <v>115.21999999999998</v>
          </cell>
          <cell r="I5210">
            <v>6918.6351217264109</v>
          </cell>
          <cell r="J5210">
            <v>0</v>
          </cell>
        </row>
        <row r="5211">
          <cell r="E5211">
            <v>10540008</v>
          </cell>
          <cell r="F5211" t="str">
            <v>0013</v>
          </cell>
          <cell r="G5211">
            <v>12</v>
          </cell>
          <cell r="H5211">
            <v>16.009999999999998</v>
          </cell>
          <cell r="I5211">
            <v>1172.7273858567</v>
          </cell>
          <cell r="J5211">
            <v>0</v>
          </cell>
        </row>
        <row r="5212">
          <cell r="E5212">
            <v>10540008</v>
          </cell>
          <cell r="F5212" t="str">
            <v>0015</v>
          </cell>
          <cell r="G5212">
            <v>13</v>
          </cell>
          <cell r="H5212">
            <v>41.65</v>
          </cell>
          <cell r="I5212">
            <v>1657.5825069936</v>
          </cell>
          <cell r="J5212">
            <v>0</v>
          </cell>
        </row>
        <row r="5213">
          <cell r="E5213">
            <v>10540008</v>
          </cell>
          <cell r="F5213" t="str">
            <v>0029</v>
          </cell>
          <cell r="G5213">
            <v>11</v>
          </cell>
          <cell r="H5213">
            <v>12.52</v>
          </cell>
          <cell r="I5213">
            <v>471.25792850400012</v>
          </cell>
          <cell r="J5213">
            <v>0</v>
          </cell>
        </row>
        <row r="5214">
          <cell r="E5214">
            <v>10540008</v>
          </cell>
          <cell r="F5214" t="str">
            <v>0032</v>
          </cell>
          <cell r="G5214">
            <v>7</v>
          </cell>
          <cell r="H5214">
            <v>12.39</v>
          </cell>
          <cell r="I5214">
            <v>480.75214888800008</v>
          </cell>
          <cell r="J5214">
            <v>0</v>
          </cell>
        </row>
        <row r="5215">
          <cell r="E5215">
            <v>10540008</v>
          </cell>
          <cell r="F5215" t="str">
            <v>0036</v>
          </cell>
          <cell r="G5215">
            <v>13</v>
          </cell>
          <cell r="H5215">
            <v>24.94</v>
          </cell>
          <cell r="I5215">
            <v>1527.3647540134798</v>
          </cell>
          <cell r="J5215">
            <v>0</v>
          </cell>
        </row>
        <row r="5216">
          <cell r="E5216">
            <v>10540008</v>
          </cell>
          <cell r="F5216" t="str">
            <v>0039</v>
          </cell>
          <cell r="G5216">
            <v>11</v>
          </cell>
          <cell r="H5216">
            <v>18.059999999999999</v>
          </cell>
          <cell r="I5216">
            <v>755.64845730000013</v>
          </cell>
          <cell r="J5216">
            <v>0</v>
          </cell>
        </row>
        <row r="5217">
          <cell r="E5217">
            <v>10540009</v>
          </cell>
          <cell r="F5217" t="str">
            <v>0004</v>
          </cell>
          <cell r="G5217">
            <v>7</v>
          </cell>
          <cell r="H5217">
            <v>14.14</v>
          </cell>
          <cell r="I5217">
            <v>518.14303833600002</v>
          </cell>
          <cell r="J5217">
            <v>0</v>
          </cell>
        </row>
        <row r="5218">
          <cell r="E5218">
            <v>10540009</v>
          </cell>
          <cell r="F5218" t="str">
            <v>0005</v>
          </cell>
          <cell r="G5218">
            <v>13</v>
          </cell>
          <cell r="H5218">
            <v>22.160000000000004</v>
          </cell>
          <cell r="I5218">
            <v>926.45386232220005</v>
          </cell>
          <cell r="J5218">
            <v>0</v>
          </cell>
        </row>
        <row r="5219">
          <cell r="E5219">
            <v>10540009</v>
          </cell>
          <cell r="F5219" t="str">
            <v>0006</v>
          </cell>
          <cell r="G5219">
            <v>5</v>
          </cell>
          <cell r="H5219">
            <v>11.6</v>
          </cell>
          <cell r="I5219">
            <v>627.93156585391807</v>
          </cell>
          <cell r="J5219">
            <v>0</v>
          </cell>
        </row>
        <row r="5220">
          <cell r="E5220">
            <v>10540009</v>
          </cell>
          <cell r="F5220" t="str">
            <v>0009</v>
          </cell>
          <cell r="G5220">
            <v>14</v>
          </cell>
          <cell r="H5220">
            <v>40.959999999999994</v>
          </cell>
          <cell r="I5220">
            <v>1837.486290912</v>
          </cell>
          <cell r="J5220">
            <v>0</v>
          </cell>
        </row>
        <row r="5221">
          <cell r="E5221">
            <v>10540009</v>
          </cell>
          <cell r="F5221" t="str">
            <v>0012</v>
          </cell>
          <cell r="G5221">
            <v>14</v>
          </cell>
          <cell r="H5221">
            <v>49.89</v>
          </cell>
          <cell r="I5221">
            <v>2224.8471542220004</v>
          </cell>
          <cell r="J5221">
            <v>0</v>
          </cell>
        </row>
        <row r="5222">
          <cell r="E5222">
            <v>10540009</v>
          </cell>
          <cell r="F5222" t="str">
            <v>0013</v>
          </cell>
          <cell r="G5222">
            <v>12</v>
          </cell>
          <cell r="H5222">
            <v>36.330000000000005</v>
          </cell>
          <cell r="I5222">
            <v>1608.7426813290003</v>
          </cell>
          <cell r="J5222">
            <v>0</v>
          </cell>
        </row>
        <row r="5223">
          <cell r="E5223">
            <v>10540009</v>
          </cell>
          <cell r="F5223" t="str">
            <v>0014</v>
          </cell>
          <cell r="G5223">
            <v>14</v>
          </cell>
          <cell r="H5223">
            <v>44.14</v>
          </cell>
          <cell r="I5223">
            <v>2404.3875014228142</v>
          </cell>
          <cell r="J5223">
            <v>0</v>
          </cell>
        </row>
        <row r="5224">
          <cell r="E5224">
            <v>10540009</v>
          </cell>
          <cell r="F5224" t="str">
            <v>0020</v>
          </cell>
          <cell r="G5224">
            <v>7</v>
          </cell>
          <cell r="H5224">
            <v>39.75</v>
          </cell>
          <cell r="I5224">
            <v>2606.7319616465802</v>
          </cell>
          <cell r="J5224">
            <v>0</v>
          </cell>
        </row>
        <row r="5225">
          <cell r="E5225">
            <v>10540009</v>
          </cell>
          <cell r="F5225" t="str">
            <v>0022</v>
          </cell>
          <cell r="G5225">
            <v>14</v>
          </cell>
          <cell r="H5225">
            <v>68.36999999999999</v>
          </cell>
          <cell r="I5225">
            <v>2305.8804468941998</v>
          </cell>
          <cell r="J5225">
            <v>0</v>
          </cell>
        </row>
        <row r="5226">
          <cell r="E5226">
            <v>10540009</v>
          </cell>
          <cell r="F5226" t="str">
            <v>0025</v>
          </cell>
          <cell r="G5226">
            <v>8</v>
          </cell>
          <cell r="H5226">
            <v>13.64</v>
          </cell>
          <cell r="I5226">
            <v>539.01617592240007</v>
          </cell>
          <cell r="J5226">
            <v>0</v>
          </cell>
        </row>
        <row r="5227">
          <cell r="E5227">
            <v>10540009</v>
          </cell>
          <cell r="F5227" t="str">
            <v>0033</v>
          </cell>
          <cell r="G5227">
            <v>7</v>
          </cell>
          <cell r="H5227">
            <v>48.220000000000006</v>
          </cell>
          <cell r="I5227">
            <v>1820.4015820320003</v>
          </cell>
          <cell r="J5227">
            <v>0</v>
          </cell>
        </row>
        <row r="5228">
          <cell r="E5228">
            <v>10540009</v>
          </cell>
          <cell r="F5228" t="str">
            <v>0034</v>
          </cell>
          <cell r="G5228">
            <v>3</v>
          </cell>
          <cell r="H5228">
            <v>34.849999999999994</v>
          </cell>
          <cell r="I5228">
            <v>1346.1670424862</v>
          </cell>
          <cell r="J5228">
            <v>0</v>
          </cell>
        </row>
        <row r="5229">
          <cell r="E5229">
            <v>10540009</v>
          </cell>
          <cell r="F5229" t="str">
            <v>0038</v>
          </cell>
          <cell r="G5229">
            <v>14</v>
          </cell>
          <cell r="H5229">
            <v>365.02999999999992</v>
          </cell>
          <cell r="I5229">
            <v>17198.164771527354</v>
          </cell>
          <cell r="J5229">
            <v>0</v>
          </cell>
        </row>
        <row r="5230">
          <cell r="E5230">
            <v>10540009</v>
          </cell>
          <cell r="F5230" t="str">
            <v>0040</v>
          </cell>
          <cell r="G5230">
            <v>14</v>
          </cell>
          <cell r="H5230">
            <v>25.7</v>
          </cell>
          <cell r="I5230">
            <v>1067.5911105446401</v>
          </cell>
          <cell r="J5230">
            <v>0</v>
          </cell>
        </row>
        <row r="5231">
          <cell r="E5231">
            <v>10540009</v>
          </cell>
          <cell r="F5231" t="str">
            <v>0041</v>
          </cell>
          <cell r="G5231">
            <v>6</v>
          </cell>
          <cell r="H5231">
            <v>23.28</v>
          </cell>
          <cell r="I5231">
            <v>1584.1604592249698</v>
          </cell>
          <cell r="J5231">
            <v>0</v>
          </cell>
        </row>
        <row r="5232">
          <cell r="E5232">
            <v>10540009</v>
          </cell>
          <cell r="F5232" t="str">
            <v>0042</v>
          </cell>
          <cell r="G5232">
            <v>7</v>
          </cell>
          <cell r="H5232">
            <v>15.819999999999999</v>
          </cell>
          <cell r="I5232">
            <v>609.42158798399998</v>
          </cell>
          <cell r="J5232">
            <v>0</v>
          </cell>
        </row>
        <row r="5233">
          <cell r="E5233">
            <v>10540009</v>
          </cell>
          <cell r="F5233" t="str">
            <v>0043</v>
          </cell>
          <cell r="G5233">
            <v>10</v>
          </cell>
          <cell r="H5233">
            <v>21.939999999999998</v>
          </cell>
          <cell r="I5233">
            <v>868.77965631600011</v>
          </cell>
          <cell r="J5233">
            <v>0</v>
          </cell>
        </row>
        <row r="5234">
          <cell r="E5234">
            <v>10540009</v>
          </cell>
          <cell r="F5234" t="str">
            <v>0044</v>
          </cell>
          <cell r="G5234">
            <v>7</v>
          </cell>
          <cell r="H5234">
            <v>5.2200000000000006</v>
          </cell>
          <cell r="I5234">
            <v>212.20281081624603</v>
          </cell>
          <cell r="J5234">
            <v>0</v>
          </cell>
        </row>
        <row r="5235">
          <cell r="E5235">
            <v>10540009</v>
          </cell>
          <cell r="F5235" t="str">
            <v>0045</v>
          </cell>
          <cell r="G5235">
            <v>6</v>
          </cell>
          <cell r="H5235">
            <v>9.6300000000000008</v>
          </cell>
          <cell r="I5235">
            <v>629.28141451186309</v>
          </cell>
          <cell r="J5235">
            <v>0</v>
          </cell>
        </row>
        <row r="5236">
          <cell r="E5236">
            <v>10540009</v>
          </cell>
          <cell r="F5236" t="str">
            <v>0048</v>
          </cell>
          <cell r="G5236">
            <v>5</v>
          </cell>
          <cell r="H5236">
            <v>8.07</v>
          </cell>
          <cell r="I5236">
            <v>468.27255826445992</v>
          </cell>
          <cell r="J5236">
            <v>0</v>
          </cell>
        </row>
        <row r="5237">
          <cell r="E5237">
            <v>10540009</v>
          </cell>
          <cell r="F5237" t="str">
            <v>0049</v>
          </cell>
          <cell r="G5237">
            <v>4</v>
          </cell>
          <cell r="H5237">
            <v>17.670000000000002</v>
          </cell>
          <cell r="I5237">
            <v>662.26594341600003</v>
          </cell>
          <cell r="J5237">
            <v>0</v>
          </cell>
        </row>
        <row r="5238">
          <cell r="E5238">
            <v>10540009</v>
          </cell>
          <cell r="F5238" t="str">
            <v>0050</v>
          </cell>
          <cell r="G5238">
            <v>4</v>
          </cell>
          <cell r="H5238">
            <v>38.19</v>
          </cell>
          <cell r="I5238">
            <v>1269.9271652760001</v>
          </cell>
          <cell r="J5238">
            <v>0</v>
          </cell>
        </row>
        <row r="5239">
          <cell r="E5239">
            <v>10540009</v>
          </cell>
          <cell r="F5239" t="str">
            <v>0052</v>
          </cell>
          <cell r="G5239">
            <v>14</v>
          </cell>
          <cell r="H5239">
            <v>382.65999999999997</v>
          </cell>
          <cell r="I5239">
            <v>21943.759784253587</v>
          </cell>
          <cell r="J5239">
            <v>0</v>
          </cell>
        </row>
        <row r="5240">
          <cell r="E5240">
            <v>10540009</v>
          </cell>
          <cell r="F5240" t="str">
            <v>0054</v>
          </cell>
          <cell r="G5240">
            <v>7</v>
          </cell>
          <cell r="H5240">
            <v>21.889999999999997</v>
          </cell>
          <cell r="I5240">
            <v>1309.7204663334601</v>
          </cell>
          <cell r="J5240">
            <v>0</v>
          </cell>
        </row>
        <row r="5241">
          <cell r="E5241">
            <v>10540009</v>
          </cell>
          <cell r="F5241" t="str">
            <v>0055</v>
          </cell>
          <cell r="G5241">
            <v>14</v>
          </cell>
          <cell r="H5241">
            <v>247.40999999999997</v>
          </cell>
          <cell r="I5241">
            <v>10206.36209928348</v>
          </cell>
          <cell r="J5241">
            <v>0</v>
          </cell>
        </row>
        <row r="5242">
          <cell r="E5242">
            <v>10540009</v>
          </cell>
          <cell r="F5242" t="str">
            <v>0058</v>
          </cell>
          <cell r="G5242">
            <v>6</v>
          </cell>
          <cell r="H5242">
            <v>67.430000000000007</v>
          </cell>
          <cell r="I5242">
            <v>3232.7032025136273</v>
          </cell>
          <cell r="J5242">
            <v>0</v>
          </cell>
        </row>
        <row r="5243">
          <cell r="E5243">
            <v>10540009</v>
          </cell>
          <cell r="F5243" t="str">
            <v>0059</v>
          </cell>
          <cell r="G5243">
            <v>14</v>
          </cell>
          <cell r="H5243">
            <v>113.72</v>
          </cell>
          <cell r="I5243">
            <v>4649.8514158498892</v>
          </cell>
          <cell r="J5243">
            <v>0</v>
          </cell>
        </row>
        <row r="5244">
          <cell r="E5244">
            <v>10540009</v>
          </cell>
          <cell r="F5244" t="str">
            <v>0061</v>
          </cell>
          <cell r="G5244">
            <v>14</v>
          </cell>
          <cell r="H5244">
            <v>37.38000000000001</v>
          </cell>
          <cell r="I5244">
            <v>1719.0979057740001</v>
          </cell>
          <cell r="J5244">
            <v>0</v>
          </cell>
        </row>
        <row r="5245">
          <cell r="E5245">
            <v>10540009</v>
          </cell>
          <cell r="F5245" t="str">
            <v>0062</v>
          </cell>
          <cell r="G5245">
            <v>8</v>
          </cell>
          <cell r="H5245">
            <v>17.13</v>
          </cell>
          <cell r="I5245">
            <v>587.60990768699992</v>
          </cell>
          <cell r="J5245">
            <v>0</v>
          </cell>
        </row>
        <row r="5246">
          <cell r="E5246">
            <v>10540009</v>
          </cell>
          <cell r="F5246" t="str">
            <v>0065</v>
          </cell>
          <cell r="G5246">
            <v>5</v>
          </cell>
          <cell r="H5246">
            <v>89.75</v>
          </cell>
          <cell r="I5246">
            <v>3616.0967911068001</v>
          </cell>
          <cell r="J5246">
            <v>0</v>
          </cell>
        </row>
        <row r="5247">
          <cell r="E5247">
            <v>10540009</v>
          </cell>
          <cell r="F5247" t="str">
            <v>0066</v>
          </cell>
          <cell r="G5247">
            <v>13</v>
          </cell>
          <cell r="H5247">
            <v>51.28</v>
          </cell>
          <cell r="I5247">
            <v>2548.640457992291</v>
          </cell>
          <cell r="J5247">
            <v>0</v>
          </cell>
        </row>
        <row r="5248">
          <cell r="E5248">
            <v>10540009</v>
          </cell>
          <cell r="F5248" t="str">
            <v>0070</v>
          </cell>
          <cell r="G5248">
            <v>13</v>
          </cell>
          <cell r="H5248">
            <v>49.989999999999988</v>
          </cell>
          <cell r="I5248">
            <v>2048.3882187119998</v>
          </cell>
          <cell r="J5248">
            <v>0</v>
          </cell>
        </row>
        <row r="5249">
          <cell r="E5249">
            <v>10540009</v>
          </cell>
          <cell r="F5249" t="str">
            <v>0071</v>
          </cell>
          <cell r="G5249">
            <v>3</v>
          </cell>
          <cell r="H5249">
            <v>4.9800000000000004</v>
          </cell>
          <cell r="I5249">
            <v>203.98623260400001</v>
          </cell>
          <cell r="J5249">
            <v>0</v>
          </cell>
        </row>
        <row r="5250">
          <cell r="E5250">
            <v>10540009</v>
          </cell>
          <cell r="F5250" t="str">
            <v>0072</v>
          </cell>
          <cell r="G5250">
            <v>7</v>
          </cell>
          <cell r="H5250">
            <v>10.32</v>
          </cell>
          <cell r="I5250">
            <v>653.52597561467201</v>
          </cell>
          <cell r="J5250">
            <v>0</v>
          </cell>
        </row>
        <row r="5251">
          <cell r="E5251">
            <v>10540009</v>
          </cell>
          <cell r="F5251" t="str">
            <v>0073</v>
          </cell>
          <cell r="G5251">
            <v>10</v>
          </cell>
          <cell r="H5251">
            <v>53.09</v>
          </cell>
          <cell r="I5251">
            <v>2215.5464200320002</v>
          </cell>
          <cell r="J5251">
            <v>0</v>
          </cell>
        </row>
        <row r="5252">
          <cell r="E5252">
            <v>10540009</v>
          </cell>
          <cell r="F5252" t="str">
            <v>0075</v>
          </cell>
          <cell r="G5252">
            <v>12</v>
          </cell>
          <cell r="H5252">
            <v>40.75</v>
          </cell>
          <cell r="I5252">
            <v>1683.623827116</v>
          </cell>
          <cell r="J5252">
            <v>0</v>
          </cell>
        </row>
        <row r="5253">
          <cell r="E5253">
            <v>10540009</v>
          </cell>
          <cell r="F5253" t="str">
            <v>0077</v>
          </cell>
          <cell r="G5253">
            <v>2</v>
          </cell>
          <cell r="H5253">
            <v>14.98</v>
          </cell>
          <cell r="I5253">
            <v>605.12598828</v>
          </cell>
          <cell r="J5253">
            <v>0</v>
          </cell>
        </row>
        <row r="5254">
          <cell r="E5254">
            <v>10540009</v>
          </cell>
          <cell r="F5254" t="str">
            <v>0078</v>
          </cell>
          <cell r="G5254">
            <v>12</v>
          </cell>
          <cell r="H5254">
            <v>40.22</v>
          </cell>
          <cell r="I5254">
            <v>2011.532476016728</v>
          </cell>
          <cell r="J5254">
            <v>0</v>
          </cell>
        </row>
        <row r="5255">
          <cell r="E5255">
            <v>10540009</v>
          </cell>
          <cell r="F5255" t="str">
            <v>0080</v>
          </cell>
          <cell r="G5255">
            <v>12</v>
          </cell>
          <cell r="H5255">
            <v>16.14</v>
          </cell>
          <cell r="I5255">
            <v>641.47912796880007</v>
          </cell>
          <cell r="J5255">
            <v>0</v>
          </cell>
        </row>
        <row r="5256">
          <cell r="E5256">
            <v>10540009</v>
          </cell>
          <cell r="F5256" t="str">
            <v>0082</v>
          </cell>
          <cell r="G5256">
            <v>12</v>
          </cell>
          <cell r="H5256">
            <v>20.509999999999998</v>
          </cell>
          <cell r="I5256">
            <v>1258.9231138859602</v>
          </cell>
          <cell r="J5256">
            <v>0</v>
          </cell>
        </row>
        <row r="5257">
          <cell r="E5257">
            <v>10540009</v>
          </cell>
          <cell r="F5257" t="str">
            <v>0083</v>
          </cell>
          <cell r="G5257">
            <v>14</v>
          </cell>
          <cell r="H5257">
            <v>34.6</v>
          </cell>
          <cell r="I5257">
            <v>1297.3716153474004</v>
          </cell>
          <cell r="J5257">
            <v>0</v>
          </cell>
        </row>
        <row r="5258">
          <cell r="E5258">
            <v>10540009</v>
          </cell>
          <cell r="F5258" t="str">
            <v>0086</v>
          </cell>
          <cell r="G5258">
            <v>3</v>
          </cell>
          <cell r="H5258">
            <v>4.8900000000000006</v>
          </cell>
          <cell r="I5258">
            <v>359.96052460570002</v>
          </cell>
          <cell r="J5258">
            <v>0</v>
          </cell>
        </row>
        <row r="5259">
          <cell r="E5259">
            <v>10540009</v>
          </cell>
          <cell r="F5259" t="str">
            <v>0088</v>
          </cell>
          <cell r="G5259">
            <v>14</v>
          </cell>
          <cell r="H5259">
            <v>38.869999999999997</v>
          </cell>
          <cell r="I5259">
            <v>1469.8474427142007</v>
          </cell>
          <cell r="J5259">
            <v>0</v>
          </cell>
        </row>
        <row r="5260">
          <cell r="E5260">
            <v>10540009</v>
          </cell>
          <cell r="F5260" t="str">
            <v>0090</v>
          </cell>
          <cell r="G5260">
            <v>12</v>
          </cell>
          <cell r="H5260">
            <v>30.57</v>
          </cell>
          <cell r="I5260">
            <v>1204.7899146040561</v>
          </cell>
          <cell r="J5260">
            <v>0</v>
          </cell>
        </row>
        <row r="5261">
          <cell r="E5261">
            <v>10540009</v>
          </cell>
          <cell r="F5261" t="str">
            <v>0092</v>
          </cell>
          <cell r="G5261">
            <v>2</v>
          </cell>
          <cell r="H5261">
            <v>10.57</v>
          </cell>
          <cell r="I5261">
            <v>561.98268626508002</v>
          </cell>
          <cell r="J5261">
            <v>0</v>
          </cell>
        </row>
        <row r="5262">
          <cell r="E5262">
            <v>10540009</v>
          </cell>
          <cell r="F5262" t="str">
            <v>0094</v>
          </cell>
          <cell r="G5262">
            <v>14</v>
          </cell>
          <cell r="H5262">
            <v>39.94</v>
          </cell>
          <cell r="I5262">
            <v>1354.924829115</v>
          </cell>
          <cell r="J5262">
            <v>0</v>
          </cell>
        </row>
        <row r="5263">
          <cell r="E5263">
            <v>10540009</v>
          </cell>
          <cell r="F5263" t="str">
            <v>0096</v>
          </cell>
          <cell r="G5263">
            <v>11</v>
          </cell>
          <cell r="H5263">
            <v>22.93</v>
          </cell>
          <cell r="I5263">
            <v>817.78406539499997</v>
          </cell>
          <cell r="J5263">
            <v>0</v>
          </cell>
        </row>
        <row r="5264">
          <cell r="E5264">
            <v>10540009</v>
          </cell>
          <cell r="F5264" t="str">
            <v>0097</v>
          </cell>
          <cell r="G5264">
            <v>14</v>
          </cell>
          <cell r="H5264">
            <v>32.009999999999991</v>
          </cell>
          <cell r="I5264">
            <v>1225.7237434068002</v>
          </cell>
          <cell r="J5264">
            <v>0</v>
          </cell>
        </row>
        <row r="5265">
          <cell r="E5265">
            <v>10540009</v>
          </cell>
          <cell r="F5265" t="str">
            <v>0098</v>
          </cell>
          <cell r="G5265">
            <v>9</v>
          </cell>
          <cell r="H5265">
            <v>19.559999999999995</v>
          </cell>
          <cell r="I5265">
            <v>815.16942393418003</v>
          </cell>
          <cell r="J5265">
            <v>0</v>
          </cell>
        </row>
        <row r="5266">
          <cell r="E5266">
            <v>10540009</v>
          </cell>
          <cell r="F5266" t="str">
            <v>0099</v>
          </cell>
          <cell r="G5266">
            <v>7</v>
          </cell>
          <cell r="H5266">
            <v>9.48</v>
          </cell>
          <cell r="I5266">
            <v>580.65571913528004</v>
          </cell>
          <cell r="J5266">
            <v>0</v>
          </cell>
        </row>
        <row r="5267">
          <cell r="E5267">
            <v>10540009</v>
          </cell>
          <cell r="F5267" t="str">
            <v>0101</v>
          </cell>
          <cell r="G5267">
            <v>14</v>
          </cell>
          <cell r="H5267">
            <v>99.740000000000009</v>
          </cell>
          <cell r="I5267">
            <v>3799.4006974968006</v>
          </cell>
          <cell r="J5267">
            <v>0</v>
          </cell>
        </row>
        <row r="5268">
          <cell r="E5268">
            <v>10540009</v>
          </cell>
          <cell r="F5268" t="str">
            <v>0102</v>
          </cell>
          <cell r="G5268">
            <v>2</v>
          </cell>
          <cell r="H5268">
            <v>1.04</v>
          </cell>
          <cell r="I5268">
            <v>63.521555082368998</v>
          </cell>
          <cell r="J5268">
            <v>0</v>
          </cell>
        </row>
        <row r="5269">
          <cell r="E5269">
            <v>10540016</v>
          </cell>
          <cell r="F5269" t="str">
            <v>0001</v>
          </cell>
          <cell r="G5269">
            <v>12</v>
          </cell>
          <cell r="H5269">
            <v>1.7400000000000002</v>
          </cell>
          <cell r="I5269">
            <v>92.852622884839988</v>
          </cell>
          <cell r="J5269">
            <v>0</v>
          </cell>
        </row>
        <row r="5270">
          <cell r="E5270">
            <v>10540016</v>
          </cell>
          <cell r="F5270" t="str">
            <v>0002</v>
          </cell>
          <cell r="G5270">
            <v>14</v>
          </cell>
          <cell r="H5270">
            <v>173.14000000000001</v>
          </cell>
          <cell r="I5270">
            <v>8380.2809963527998</v>
          </cell>
          <cell r="J5270">
            <v>0</v>
          </cell>
        </row>
        <row r="5271">
          <cell r="E5271">
            <v>10540016</v>
          </cell>
          <cell r="F5271" t="str">
            <v>0003</v>
          </cell>
          <cell r="G5271">
            <v>14</v>
          </cell>
          <cell r="H5271">
            <v>78.150000000000006</v>
          </cell>
          <cell r="I5271">
            <v>3887.8929385311299</v>
          </cell>
          <cell r="J5271">
            <v>0</v>
          </cell>
        </row>
        <row r="5272">
          <cell r="E5272">
            <v>10540016</v>
          </cell>
          <cell r="F5272" t="str">
            <v>0004</v>
          </cell>
          <cell r="G5272">
            <v>10</v>
          </cell>
          <cell r="H5272">
            <v>65.640000000000015</v>
          </cell>
          <cell r="I5272">
            <v>3137.7709123374802</v>
          </cell>
          <cell r="J5272">
            <v>0</v>
          </cell>
        </row>
        <row r="5273">
          <cell r="E5273">
            <v>10540016</v>
          </cell>
          <cell r="F5273" t="str">
            <v>0005</v>
          </cell>
          <cell r="G5273">
            <v>8</v>
          </cell>
          <cell r="H5273">
            <v>9.6300000000000008</v>
          </cell>
          <cell r="I5273">
            <v>620.99230552953009</v>
          </cell>
          <cell r="J5273">
            <v>0</v>
          </cell>
        </row>
        <row r="5274">
          <cell r="E5274">
            <v>10540016</v>
          </cell>
          <cell r="F5274" t="str">
            <v>0006</v>
          </cell>
          <cell r="G5274">
            <v>14</v>
          </cell>
          <cell r="H5274">
            <v>70.45</v>
          </cell>
          <cell r="I5274">
            <v>3327.532339664263</v>
          </cell>
          <cell r="J5274">
            <v>0</v>
          </cell>
        </row>
        <row r="5275">
          <cell r="E5275">
            <v>10540016</v>
          </cell>
          <cell r="F5275" t="str">
            <v>0008</v>
          </cell>
          <cell r="G5275">
            <v>1</v>
          </cell>
          <cell r="H5275">
            <v>2.2799999999999998</v>
          </cell>
          <cell r="I5275">
            <v>150.50102643701999</v>
          </cell>
          <cell r="J5275">
            <v>0</v>
          </cell>
        </row>
        <row r="5276">
          <cell r="E5276">
            <v>10540016</v>
          </cell>
          <cell r="F5276" t="str">
            <v>0009</v>
          </cell>
          <cell r="G5276">
            <v>2</v>
          </cell>
          <cell r="H5276">
            <v>5.16</v>
          </cell>
          <cell r="I5276">
            <v>196.82570952000003</v>
          </cell>
          <cell r="J5276">
            <v>0</v>
          </cell>
        </row>
        <row r="5277">
          <cell r="E5277">
            <v>10540016</v>
          </cell>
          <cell r="F5277" t="str">
            <v>0011</v>
          </cell>
          <cell r="G5277">
            <v>14</v>
          </cell>
          <cell r="H5277">
            <v>95.860000000000014</v>
          </cell>
          <cell r="I5277">
            <v>4308.9040272570401</v>
          </cell>
          <cell r="J5277">
            <v>0</v>
          </cell>
        </row>
        <row r="5278">
          <cell r="E5278">
            <v>10540016</v>
          </cell>
          <cell r="F5278" t="str">
            <v>0015</v>
          </cell>
          <cell r="G5278">
            <v>12</v>
          </cell>
          <cell r="H5278">
            <v>11.690000000000001</v>
          </cell>
          <cell r="I5278">
            <v>548.23426754461013</v>
          </cell>
          <cell r="J5278">
            <v>0</v>
          </cell>
        </row>
        <row r="5279">
          <cell r="E5279">
            <v>10540016</v>
          </cell>
          <cell r="F5279" t="str">
            <v>0020</v>
          </cell>
          <cell r="G5279">
            <v>7</v>
          </cell>
          <cell r="H5279">
            <v>16.32</v>
          </cell>
          <cell r="I5279">
            <v>775.42811592220005</v>
          </cell>
          <cell r="J5279">
            <v>0</v>
          </cell>
        </row>
        <row r="5280">
          <cell r="E5280">
            <v>10540016</v>
          </cell>
          <cell r="F5280" t="str">
            <v>0021</v>
          </cell>
          <cell r="G5280">
            <v>7</v>
          </cell>
          <cell r="H5280">
            <v>9.6900000000000013</v>
          </cell>
          <cell r="I5280">
            <v>382.5513029448</v>
          </cell>
          <cell r="J5280">
            <v>0</v>
          </cell>
        </row>
        <row r="5281">
          <cell r="E5281">
            <v>10540017</v>
          </cell>
          <cell r="F5281" t="str">
            <v>0002</v>
          </cell>
          <cell r="G5281">
            <v>5</v>
          </cell>
          <cell r="H5281">
            <v>579.16000000000008</v>
          </cell>
          <cell r="I5281">
            <v>24113.915837655</v>
          </cell>
          <cell r="J5281">
            <v>0</v>
          </cell>
        </row>
        <row r="5282">
          <cell r="E5282">
            <v>10540017</v>
          </cell>
          <cell r="F5282" t="str">
            <v>0004</v>
          </cell>
          <cell r="G5282">
            <v>2</v>
          </cell>
          <cell r="H5282">
            <v>35.11</v>
          </cell>
          <cell r="I5282">
            <v>1430.665659324</v>
          </cell>
          <cell r="J5282">
            <v>0</v>
          </cell>
        </row>
        <row r="5283">
          <cell r="E5283">
            <v>10540018</v>
          </cell>
          <cell r="F5283" t="str">
            <v>0002</v>
          </cell>
          <cell r="G5283">
            <v>14</v>
          </cell>
          <cell r="H5283">
            <v>99.49</v>
          </cell>
          <cell r="I5283">
            <v>4139.3454220874546</v>
          </cell>
          <cell r="J5283">
            <v>0</v>
          </cell>
        </row>
        <row r="5284">
          <cell r="E5284">
            <v>10540018</v>
          </cell>
          <cell r="F5284" t="str">
            <v>0005</v>
          </cell>
          <cell r="G5284">
            <v>5</v>
          </cell>
          <cell r="H5284">
            <v>6.39</v>
          </cell>
          <cell r="I5284">
            <v>362.95095741019804</v>
          </cell>
          <cell r="J5284">
            <v>0</v>
          </cell>
        </row>
        <row r="5285">
          <cell r="E5285">
            <v>10540018</v>
          </cell>
          <cell r="F5285" t="str">
            <v>0009</v>
          </cell>
          <cell r="G5285">
            <v>8</v>
          </cell>
          <cell r="H5285">
            <v>14.620000000000001</v>
          </cell>
          <cell r="I5285">
            <v>605.2329823275461</v>
          </cell>
          <cell r="J5285">
            <v>0</v>
          </cell>
        </row>
        <row r="5286">
          <cell r="E5286">
            <v>10540018</v>
          </cell>
          <cell r="F5286" t="str">
            <v>0010</v>
          </cell>
          <cell r="G5286">
            <v>7</v>
          </cell>
          <cell r="H5286">
            <v>10.510000000000002</v>
          </cell>
          <cell r="I5286">
            <v>525.80530870666007</v>
          </cell>
          <cell r="J5286">
            <v>0</v>
          </cell>
        </row>
        <row r="5287">
          <cell r="E5287">
            <v>10540018</v>
          </cell>
          <cell r="F5287" t="str">
            <v>0011</v>
          </cell>
          <cell r="G5287">
            <v>5</v>
          </cell>
          <cell r="H5287">
            <v>11.97</v>
          </cell>
          <cell r="I5287">
            <v>530.25876926842761</v>
          </cell>
          <cell r="J5287">
            <v>0</v>
          </cell>
        </row>
        <row r="5288">
          <cell r="E5288">
            <v>10540018</v>
          </cell>
          <cell r="F5288" t="str">
            <v>0012</v>
          </cell>
          <cell r="G5288">
            <v>9</v>
          </cell>
          <cell r="H5288">
            <v>19.2</v>
          </cell>
          <cell r="I5288">
            <v>819.27973695235005</v>
          </cell>
          <cell r="J5288">
            <v>0</v>
          </cell>
        </row>
        <row r="5289">
          <cell r="E5289">
            <v>10540018</v>
          </cell>
          <cell r="F5289" t="str">
            <v>0015</v>
          </cell>
          <cell r="G5289">
            <v>5</v>
          </cell>
          <cell r="H5289">
            <v>5</v>
          </cell>
          <cell r="I5289">
            <v>188.95934526915599</v>
          </cell>
          <cell r="J5289">
            <v>0</v>
          </cell>
        </row>
        <row r="5290">
          <cell r="E5290">
            <v>10540019</v>
          </cell>
          <cell r="F5290" t="str">
            <v>0002</v>
          </cell>
          <cell r="G5290">
            <v>1</v>
          </cell>
          <cell r="H5290">
            <v>2.14</v>
          </cell>
          <cell r="I5290">
            <v>85.085069176800005</v>
          </cell>
          <cell r="J5290">
            <v>0</v>
          </cell>
        </row>
        <row r="5291">
          <cell r="E5291">
            <v>10540019</v>
          </cell>
          <cell r="F5291" t="str">
            <v>0004</v>
          </cell>
          <cell r="G5291">
            <v>14</v>
          </cell>
          <cell r="H5291">
            <v>190.71</v>
          </cell>
          <cell r="I5291">
            <v>7224.9433638822002</v>
          </cell>
          <cell r="J5291">
            <v>0</v>
          </cell>
        </row>
        <row r="5292">
          <cell r="E5292">
            <v>10540020</v>
          </cell>
          <cell r="F5292" t="str">
            <v>0003</v>
          </cell>
          <cell r="G5292">
            <v>14</v>
          </cell>
          <cell r="H5292">
            <v>53.390000000000008</v>
          </cell>
          <cell r="I5292">
            <v>2248.2789012978915</v>
          </cell>
          <cell r="J5292">
            <v>0</v>
          </cell>
        </row>
        <row r="5293">
          <cell r="E5293">
            <v>10540020</v>
          </cell>
          <cell r="F5293" t="str">
            <v>0004</v>
          </cell>
          <cell r="G5293">
            <v>10</v>
          </cell>
          <cell r="H5293">
            <v>11.25</v>
          </cell>
          <cell r="I5293">
            <v>427.00232284920008</v>
          </cell>
          <cell r="J5293">
            <v>0</v>
          </cell>
        </row>
        <row r="5294">
          <cell r="E5294">
            <v>10540020</v>
          </cell>
          <cell r="F5294" t="str">
            <v>0006</v>
          </cell>
          <cell r="G5294">
            <v>10</v>
          </cell>
          <cell r="H5294">
            <v>25.949999999999996</v>
          </cell>
          <cell r="I5294">
            <v>1897.3897359549551</v>
          </cell>
          <cell r="J5294">
            <v>0</v>
          </cell>
        </row>
        <row r="5295">
          <cell r="E5295">
            <v>10540020</v>
          </cell>
          <cell r="F5295" t="str">
            <v>0008</v>
          </cell>
          <cell r="G5295">
            <v>10</v>
          </cell>
          <cell r="H5295">
            <v>17.45</v>
          </cell>
          <cell r="I5295">
            <v>686.28562873200008</v>
          </cell>
          <cell r="J5295">
            <v>0</v>
          </cell>
        </row>
        <row r="5296">
          <cell r="E5296">
            <v>10540020</v>
          </cell>
          <cell r="F5296" t="str">
            <v>0015</v>
          </cell>
          <cell r="G5296">
            <v>7</v>
          </cell>
          <cell r="H5296">
            <v>11.99</v>
          </cell>
          <cell r="I5296">
            <v>453.51872373060002</v>
          </cell>
          <cell r="J5296">
            <v>0</v>
          </cell>
        </row>
        <row r="5297">
          <cell r="E5297">
            <v>10540020</v>
          </cell>
          <cell r="F5297" t="str">
            <v>0016</v>
          </cell>
          <cell r="G5297">
            <v>13</v>
          </cell>
          <cell r="H5297">
            <v>21.490000000000002</v>
          </cell>
          <cell r="I5297">
            <v>763.74487666620007</v>
          </cell>
          <cell r="J5297">
            <v>0</v>
          </cell>
        </row>
        <row r="5298">
          <cell r="E5298">
            <v>10540020</v>
          </cell>
          <cell r="F5298" t="str">
            <v>0017</v>
          </cell>
          <cell r="G5298">
            <v>14</v>
          </cell>
          <cell r="H5298">
            <v>33.159999999999997</v>
          </cell>
          <cell r="I5298">
            <v>1326.621781584</v>
          </cell>
          <cell r="J5298">
            <v>0</v>
          </cell>
        </row>
        <row r="5299">
          <cell r="E5299">
            <v>10540020</v>
          </cell>
          <cell r="F5299" t="str">
            <v>0018</v>
          </cell>
          <cell r="G5299">
            <v>7</v>
          </cell>
          <cell r="H5299">
            <v>24.63</v>
          </cell>
          <cell r="I5299">
            <v>929.31077676888003</v>
          </cell>
          <cell r="J5299">
            <v>0</v>
          </cell>
        </row>
        <row r="5300">
          <cell r="E5300">
            <v>10540020</v>
          </cell>
          <cell r="F5300" t="str">
            <v>0019</v>
          </cell>
          <cell r="G5300">
            <v>5</v>
          </cell>
          <cell r="H5300">
            <v>5.5500000000000007</v>
          </cell>
          <cell r="I5300">
            <v>234.02906370360003</v>
          </cell>
          <cell r="J5300">
            <v>0</v>
          </cell>
        </row>
        <row r="5301">
          <cell r="E5301">
            <v>10540021</v>
          </cell>
          <cell r="F5301" t="str">
            <v>0002</v>
          </cell>
          <cell r="G5301">
            <v>14</v>
          </cell>
          <cell r="H5301">
            <v>981.19999999999993</v>
          </cell>
          <cell r="I5301">
            <v>35766.748643075996</v>
          </cell>
          <cell r="J5301">
            <v>0</v>
          </cell>
        </row>
        <row r="5302">
          <cell r="E5302">
            <v>10540026</v>
          </cell>
          <cell r="F5302" t="str">
            <v>0002</v>
          </cell>
          <cell r="G5302">
            <v>5</v>
          </cell>
          <cell r="H5302">
            <v>179.8</v>
          </cell>
          <cell r="I5302">
            <v>7853.8583059200009</v>
          </cell>
          <cell r="J5302">
            <v>0</v>
          </cell>
        </row>
        <row r="5303">
          <cell r="E5303">
            <v>10540026</v>
          </cell>
          <cell r="F5303" t="str">
            <v>0003</v>
          </cell>
          <cell r="G5303">
            <v>8</v>
          </cell>
          <cell r="H5303">
            <v>376.9</v>
          </cell>
          <cell r="I5303">
            <v>16887.592828770001</v>
          </cell>
          <cell r="J5303">
            <v>0</v>
          </cell>
        </row>
        <row r="5304">
          <cell r="E5304">
            <v>10540026</v>
          </cell>
          <cell r="F5304" t="str">
            <v>0004</v>
          </cell>
          <cell r="G5304">
            <v>3</v>
          </cell>
          <cell r="H5304">
            <v>132.4</v>
          </cell>
          <cell r="I5304">
            <v>5824.5839229600006</v>
          </cell>
          <cell r="J5304">
            <v>0</v>
          </cell>
        </row>
        <row r="5305">
          <cell r="E5305">
            <v>10540032</v>
          </cell>
          <cell r="F5305" t="str">
            <v>0002</v>
          </cell>
          <cell r="G5305">
            <v>2</v>
          </cell>
          <cell r="H5305">
            <v>361</v>
          </cell>
          <cell r="I5305">
            <v>14963.133042000001</v>
          </cell>
          <cell r="J5305">
            <v>0</v>
          </cell>
        </row>
        <row r="5306">
          <cell r="E5306">
            <v>10540034</v>
          </cell>
          <cell r="F5306" t="str">
            <v>0002</v>
          </cell>
          <cell r="G5306">
            <v>1</v>
          </cell>
          <cell r="H5306">
            <v>500</v>
          </cell>
          <cell r="I5306">
            <v>23034.567600000002</v>
          </cell>
          <cell r="J5306">
            <v>0</v>
          </cell>
        </row>
        <row r="5307">
          <cell r="E5307">
            <v>10540037</v>
          </cell>
          <cell r="F5307" t="str">
            <v>0002</v>
          </cell>
          <cell r="G5307">
            <v>1</v>
          </cell>
          <cell r="H5307">
            <v>1400</v>
          </cell>
          <cell r="I5307">
            <v>63203.207759999998</v>
          </cell>
          <cell r="J5307">
            <v>0</v>
          </cell>
        </row>
        <row r="5308">
          <cell r="E5308">
            <v>10540041</v>
          </cell>
          <cell r="F5308" t="str">
            <v>0002</v>
          </cell>
          <cell r="G5308">
            <v>1</v>
          </cell>
          <cell r="H5308">
            <v>1200</v>
          </cell>
          <cell r="I5308">
            <v>61214.248920000005</v>
          </cell>
          <cell r="J5308">
            <v>0</v>
          </cell>
        </row>
        <row r="5309">
          <cell r="E5309">
            <v>10540042</v>
          </cell>
          <cell r="F5309" t="str">
            <v>0002</v>
          </cell>
          <cell r="G5309">
            <v>1</v>
          </cell>
          <cell r="H5309">
            <v>1600</v>
          </cell>
          <cell r="I5309">
            <v>82053.153599999991</v>
          </cell>
          <cell r="J5309">
            <v>0</v>
          </cell>
        </row>
        <row r="5310">
          <cell r="E5310">
            <v>10540044</v>
          </cell>
          <cell r="F5310" t="str">
            <v>0002</v>
          </cell>
          <cell r="G5310">
            <v>2</v>
          </cell>
          <cell r="H5310">
            <v>366</v>
          </cell>
          <cell r="I5310">
            <v>15013.562652000001</v>
          </cell>
          <cell r="J5310">
            <v>0</v>
          </cell>
        </row>
        <row r="5311">
          <cell r="E5311">
            <v>10550004</v>
          </cell>
          <cell r="F5311" t="str">
            <v>0001</v>
          </cell>
          <cell r="G5311">
            <v>2</v>
          </cell>
          <cell r="H5311">
            <v>0.21000000000000002</v>
          </cell>
          <cell r="I5311">
            <v>9.1438744320000005</v>
          </cell>
          <cell r="J5311">
            <v>0</v>
          </cell>
        </row>
        <row r="5312">
          <cell r="E5312">
            <v>10550004</v>
          </cell>
          <cell r="F5312" t="str">
            <v>0002</v>
          </cell>
          <cell r="G5312">
            <v>8</v>
          </cell>
          <cell r="H5312">
            <v>47.5</v>
          </cell>
          <cell r="I5312">
            <v>2400.8395857690002</v>
          </cell>
          <cell r="J5312">
            <v>0</v>
          </cell>
        </row>
        <row r="5313">
          <cell r="E5313">
            <v>10550004</v>
          </cell>
          <cell r="F5313" t="str">
            <v>0003</v>
          </cell>
          <cell r="G5313">
            <v>1</v>
          </cell>
          <cell r="H5313">
            <v>1.31</v>
          </cell>
          <cell r="I5313">
            <v>74.574630249840013</v>
          </cell>
          <cell r="J5313">
            <v>0</v>
          </cell>
        </row>
        <row r="5314">
          <cell r="E5314">
            <v>10550004</v>
          </cell>
          <cell r="F5314" t="str">
            <v>0005</v>
          </cell>
          <cell r="G5314">
            <v>2</v>
          </cell>
          <cell r="H5314">
            <v>3.59</v>
          </cell>
          <cell r="I5314">
            <v>139.78260806400002</v>
          </cell>
          <cell r="J5314">
            <v>0</v>
          </cell>
        </row>
        <row r="5315">
          <cell r="E5315">
            <v>10550005</v>
          </cell>
          <cell r="F5315" t="str">
            <v>0002</v>
          </cell>
          <cell r="G5315">
            <v>14</v>
          </cell>
          <cell r="H5315">
            <v>115.91</v>
          </cell>
          <cell r="I5315">
            <v>4275.2213951040003</v>
          </cell>
          <cell r="J5315">
            <v>0</v>
          </cell>
        </row>
        <row r="5316">
          <cell r="E5316">
            <v>10550005</v>
          </cell>
          <cell r="F5316" t="str">
            <v>0004</v>
          </cell>
          <cell r="G5316">
            <v>7</v>
          </cell>
          <cell r="H5316">
            <v>41.72</v>
          </cell>
          <cell r="I5316">
            <v>1507.5587759760003</v>
          </cell>
          <cell r="J5316">
            <v>0</v>
          </cell>
        </row>
        <row r="5317">
          <cell r="E5317">
            <v>10560002</v>
          </cell>
          <cell r="F5317" t="str">
            <v>0002</v>
          </cell>
          <cell r="G5317">
            <v>1</v>
          </cell>
          <cell r="H5317">
            <v>724.98</v>
          </cell>
          <cell r="I5317">
            <v>33799.412564190003</v>
          </cell>
          <cell r="J5317">
            <v>0</v>
          </cell>
        </row>
        <row r="5318">
          <cell r="E5318">
            <v>10560004</v>
          </cell>
          <cell r="F5318" t="str">
            <v>0002</v>
          </cell>
          <cell r="G5318">
            <v>14</v>
          </cell>
          <cell r="H5318">
            <v>811.67999999999984</v>
          </cell>
          <cell r="I5318">
            <v>30371.770799409602</v>
          </cell>
          <cell r="J5318">
            <v>0</v>
          </cell>
        </row>
        <row r="5319">
          <cell r="E5319">
            <v>10560005</v>
          </cell>
          <cell r="F5319" t="str">
            <v>0002</v>
          </cell>
          <cell r="G5319">
            <v>14</v>
          </cell>
          <cell r="H5319">
            <v>39.119999999999997</v>
          </cell>
          <cell r="I5319">
            <v>1724.1775877033401</v>
          </cell>
          <cell r="J5319">
            <v>0</v>
          </cell>
        </row>
        <row r="5320">
          <cell r="E5320">
            <v>10560005</v>
          </cell>
          <cell r="F5320" t="str">
            <v>0003</v>
          </cell>
          <cell r="G5320">
            <v>14</v>
          </cell>
          <cell r="H5320">
            <v>1215</v>
          </cell>
          <cell r="I5320">
            <v>53519.926358520002</v>
          </cell>
          <cell r="J5320">
            <v>0</v>
          </cell>
        </row>
        <row r="5321">
          <cell r="E5321">
            <v>10560005</v>
          </cell>
          <cell r="F5321" t="str">
            <v>0004</v>
          </cell>
          <cell r="G5321">
            <v>14</v>
          </cell>
          <cell r="H5321">
            <v>648</v>
          </cell>
          <cell r="I5321">
            <v>28478.557047329996</v>
          </cell>
          <cell r="J5321">
            <v>0</v>
          </cell>
        </row>
        <row r="5322">
          <cell r="E5322">
            <v>10560006</v>
          </cell>
          <cell r="F5322" t="str">
            <v>0003</v>
          </cell>
          <cell r="G5322">
            <v>3</v>
          </cell>
          <cell r="H5322">
            <v>10.3</v>
          </cell>
          <cell r="I5322">
            <v>681.05014093199998</v>
          </cell>
          <cell r="J5322">
            <v>0</v>
          </cell>
        </row>
        <row r="5323">
          <cell r="E5323">
            <v>10560006</v>
          </cell>
          <cell r="F5323" t="str">
            <v>0004</v>
          </cell>
          <cell r="G5323">
            <v>3</v>
          </cell>
          <cell r="H5323">
            <v>45.019999999999996</v>
          </cell>
          <cell r="I5323">
            <v>2980.4417234568</v>
          </cell>
          <cell r="J5323">
            <v>0</v>
          </cell>
        </row>
        <row r="5324">
          <cell r="E5324">
            <v>10560007</v>
          </cell>
          <cell r="F5324" t="str">
            <v>0002</v>
          </cell>
          <cell r="G5324">
            <v>14</v>
          </cell>
          <cell r="H5324">
            <v>242.82000000000002</v>
          </cell>
          <cell r="I5324">
            <v>11035.425573491268</v>
          </cell>
          <cell r="J5324">
            <v>0</v>
          </cell>
        </row>
        <row r="5325">
          <cell r="E5325">
            <v>10560011</v>
          </cell>
          <cell r="F5325" t="str">
            <v>0002</v>
          </cell>
          <cell r="G5325">
            <v>14</v>
          </cell>
          <cell r="H5325">
            <v>176.77</v>
          </cell>
          <cell r="I5325">
            <v>6912.5274309960005</v>
          </cell>
          <cell r="J5325">
            <v>0</v>
          </cell>
        </row>
        <row r="5326">
          <cell r="E5326">
            <v>10560011</v>
          </cell>
          <cell r="F5326" t="str">
            <v>0003</v>
          </cell>
          <cell r="G5326">
            <v>13</v>
          </cell>
          <cell r="H5326">
            <v>36.97</v>
          </cell>
          <cell r="I5326">
            <v>1426.6764760446003</v>
          </cell>
          <cell r="J5326">
            <v>0</v>
          </cell>
        </row>
        <row r="5327">
          <cell r="E5327">
            <v>10560011</v>
          </cell>
          <cell r="F5327" t="str">
            <v>0004</v>
          </cell>
          <cell r="G5327">
            <v>14</v>
          </cell>
          <cell r="H5327">
            <v>748.06</v>
          </cell>
          <cell r="I5327">
            <v>29479.596508692008</v>
          </cell>
          <cell r="J5327">
            <v>0</v>
          </cell>
        </row>
        <row r="5328">
          <cell r="E5328">
            <v>10560011</v>
          </cell>
          <cell r="F5328" t="str">
            <v>0005</v>
          </cell>
          <cell r="G5328">
            <v>6</v>
          </cell>
          <cell r="H5328">
            <v>14.66</v>
          </cell>
          <cell r="I5328">
            <v>589.71573856800001</v>
          </cell>
          <cell r="J5328">
            <v>0</v>
          </cell>
        </row>
        <row r="5329">
          <cell r="E5329">
            <v>10560011</v>
          </cell>
          <cell r="F5329" t="str">
            <v>0007</v>
          </cell>
          <cell r="G5329">
            <v>14</v>
          </cell>
          <cell r="H5329">
            <v>114.31</v>
          </cell>
          <cell r="I5329">
            <v>4099.6907265600012</v>
          </cell>
          <cell r="J5329">
            <v>0</v>
          </cell>
        </row>
        <row r="5330">
          <cell r="E5330">
            <v>10560011</v>
          </cell>
          <cell r="F5330" t="str">
            <v>0009</v>
          </cell>
          <cell r="G5330">
            <v>6</v>
          </cell>
          <cell r="H5330">
            <v>23.29</v>
          </cell>
          <cell r="I5330">
            <v>891.76724564400001</v>
          </cell>
          <cell r="J5330">
            <v>0</v>
          </cell>
        </row>
        <row r="5331">
          <cell r="E5331">
            <v>10560011</v>
          </cell>
          <cell r="F5331" t="str">
            <v>0010</v>
          </cell>
          <cell r="G5331">
            <v>6</v>
          </cell>
          <cell r="H5331">
            <v>9.1100000000000012</v>
          </cell>
          <cell r="I5331">
            <v>408.11827173987001</v>
          </cell>
          <cell r="J5331">
            <v>0</v>
          </cell>
        </row>
        <row r="5332">
          <cell r="E5332">
            <v>10560011</v>
          </cell>
          <cell r="F5332" t="str">
            <v>0012</v>
          </cell>
          <cell r="G5332">
            <v>11</v>
          </cell>
          <cell r="H5332">
            <v>53.94</v>
          </cell>
          <cell r="I5332">
            <v>2193.2017842240002</v>
          </cell>
          <cell r="J5332">
            <v>0</v>
          </cell>
        </row>
        <row r="5333">
          <cell r="E5333">
            <v>10560011</v>
          </cell>
          <cell r="F5333" t="str">
            <v>0014</v>
          </cell>
          <cell r="G5333">
            <v>7</v>
          </cell>
          <cell r="H5333">
            <v>43.6</v>
          </cell>
          <cell r="I5333">
            <v>1543.5708811776001</v>
          </cell>
          <cell r="J5333">
            <v>0</v>
          </cell>
        </row>
        <row r="5334">
          <cell r="E5334">
            <v>10560011</v>
          </cell>
          <cell r="F5334" t="str">
            <v>0025</v>
          </cell>
          <cell r="G5334">
            <v>14</v>
          </cell>
          <cell r="H5334">
            <v>73.63000000000001</v>
          </cell>
          <cell r="I5334">
            <v>2991.1247328600002</v>
          </cell>
          <cell r="J5334">
            <v>0</v>
          </cell>
        </row>
        <row r="5335">
          <cell r="E5335">
            <v>10560011</v>
          </cell>
          <cell r="F5335" t="str">
            <v>0026</v>
          </cell>
          <cell r="G5335">
            <v>11</v>
          </cell>
          <cell r="H5335">
            <v>29.2</v>
          </cell>
          <cell r="I5335">
            <v>1148.0971617720002</v>
          </cell>
          <cell r="J5335">
            <v>0</v>
          </cell>
        </row>
        <row r="5336">
          <cell r="E5336">
            <v>10560011</v>
          </cell>
          <cell r="F5336" t="str">
            <v>0027</v>
          </cell>
          <cell r="G5336">
            <v>14</v>
          </cell>
          <cell r="H5336">
            <v>51.500000000000007</v>
          </cell>
          <cell r="I5336">
            <v>2892.8040448550996</v>
          </cell>
          <cell r="J5336">
            <v>0</v>
          </cell>
        </row>
        <row r="5337">
          <cell r="E5337">
            <v>10560012</v>
          </cell>
          <cell r="F5337" t="str">
            <v>0002</v>
          </cell>
          <cell r="G5337">
            <v>14</v>
          </cell>
          <cell r="H5337">
            <v>639.13999999999987</v>
          </cell>
          <cell r="I5337">
            <v>25443.84346294219</v>
          </cell>
          <cell r="J5337">
            <v>0</v>
          </cell>
        </row>
        <row r="5338">
          <cell r="E5338">
            <v>10560012</v>
          </cell>
          <cell r="F5338" t="str">
            <v>0003</v>
          </cell>
          <cell r="G5338">
            <v>3</v>
          </cell>
          <cell r="H5338">
            <v>7.4</v>
          </cell>
          <cell r="I5338">
            <v>292.295819376</v>
          </cell>
          <cell r="J5338">
            <v>0</v>
          </cell>
        </row>
        <row r="5339">
          <cell r="E5339">
            <v>10560016</v>
          </cell>
          <cell r="F5339" t="str">
            <v>0002</v>
          </cell>
          <cell r="G5339">
            <v>14</v>
          </cell>
          <cell r="H5339">
            <v>610.66000000000008</v>
          </cell>
          <cell r="I5339">
            <v>23229.35458656336</v>
          </cell>
          <cell r="J5339">
            <v>0</v>
          </cell>
        </row>
        <row r="5340">
          <cell r="E5340">
            <v>10560017</v>
          </cell>
          <cell r="F5340" t="str">
            <v>0003</v>
          </cell>
          <cell r="G5340">
            <v>4</v>
          </cell>
          <cell r="H5340">
            <v>42.17</v>
          </cell>
          <cell r="I5340">
            <v>1643.3650734336002</v>
          </cell>
          <cell r="J5340">
            <v>0</v>
          </cell>
        </row>
        <row r="5341">
          <cell r="E5341">
            <v>10560017</v>
          </cell>
          <cell r="F5341" t="str">
            <v>0005</v>
          </cell>
          <cell r="G5341">
            <v>14</v>
          </cell>
          <cell r="H5341">
            <v>168.97</v>
          </cell>
          <cell r="I5341">
            <v>6349.821215878801</v>
          </cell>
          <cell r="J5341">
            <v>0</v>
          </cell>
        </row>
        <row r="5342">
          <cell r="E5342">
            <v>10560017</v>
          </cell>
          <cell r="F5342" t="str">
            <v>0006</v>
          </cell>
          <cell r="G5342">
            <v>14</v>
          </cell>
          <cell r="H5342">
            <v>298.62</v>
          </cell>
          <cell r="I5342">
            <v>11240.974250171397</v>
          </cell>
          <cell r="J5342">
            <v>0</v>
          </cell>
        </row>
        <row r="5343">
          <cell r="E5343">
            <v>10560017</v>
          </cell>
          <cell r="F5343" t="str">
            <v>0007</v>
          </cell>
          <cell r="G5343">
            <v>14</v>
          </cell>
          <cell r="H5343">
            <v>140.07</v>
          </cell>
          <cell r="I5343">
            <v>5247.5530642128006</v>
          </cell>
          <cell r="J5343">
            <v>0</v>
          </cell>
        </row>
        <row r="5344">
          <cell r="E5344">
            <v>10560017</v>
          </cell>
          <cell r="F5344" t="str">
            <v>0008</v>
          </cell>
          <cell r="G5344">
            <v>14</v>
          </cell>
          <cell r="H5344">
            <v>64.539999999999992</v>
          </cell>
          <cell r="I5344">
            <v>2319.6879221670001</v>
          </cell>
          <cell r="J5344">
            <v>0</v>
          </cell>
        </row>
        <row r="5345">
          <cell r="E5345">
            <v>10560017</v>
          </cell>
          <cell r="F5345" t="str">
            <v>0009</v>
          </cell>
          <cell r="G5345">
            <v>12</v>
          </cell>
          <cell r="H5345">
            <v>42.64</v>
          </cell>
          <cell r="I5345">
            <v>1517.3244140274005</v>
          </cell>
          <cell r="J5345">
            <v>0</v>
          </cell>
        </row>
        <row r="5346">
          <cell r="E5346">
            <v>10560017</v>
          </cell>
          <cell r="F5346" t="str">
            <v>0010</v>
          </cell>
          <cell r="G5346">
            <v>12</v>
          </cell>
          <cell r="H5346">
            <v>15.06</v>
          </cell>
          <cell r="I5346">
            <v>719.35445313951016</v>
          </cell>
          <cell r="J5346">
            <v>0</v>
          </cell>
        </row>
        <row r="5347">
          <cell r="E5347">
            <v>10560017</v>
          </cell>
          <cell r="F5347" t="str">
            <v>0011</v>
          </cell>
          <cell r="G5347">
            <v>14</v>
          </cell>
          <cell r="H5347">
            <v>56.120000000000005</v>
          </cell>
          <cell r="I5347">
            <v>3712.5424730383002</v>
          </cell>
          <cell r="J5347">
            <v>0</v>
          </cell>
        </row>
        <row r="5348">
          <cell r="E5348">
            <v>10560017</v>
          </cell>
          <cell r="F5348" t="str">
            <v>0012</v>
          </cell>
          <cell r="G5348">
            <v>14</v>
          </cell>
          <cell r="H5348">
            <v>43.16</v>
          </cell>
          <cell r="I5348">
            <v>1606.9485861000003</v>
          </cell>
          <cell r="J5348">
            <v>0</v>
          </cell>
        </row>
        <row r="5349">
          <cell r="E5349">
            <v>10560017</v>
          </cell>
          <cell r="F5349" t="str">
            <v>0013</v>
          </cell>
          <cell r="G5349">
            <v>14</v>
          </cell>
          <cell r="H5349">
            <v>42.87</v>
          </cell>
          <cell r="I5349">
            <v>1934.46575847695</v>
          </cell>
          <cell r="J5349">
            <v>0</v>
          </cell>
        </row>
        <row r="5350">
          <cell r="E5350">
            <v>10560017</v>
          </cell>
          <cell r="F5350" t="str">
            <v>0014</v>
          </cell>
          <cell r="G5350">
            <v>14</v>
          </cell>
          <cell r="H5350">
            <v>51.22</v>
          </cell>
          <cell r="I5350">
            <v>1914.1000767108001</v>
          </cell>
          <cell r="J5350">
            <v>0</v>
          </cell>
        </row>
        <row r="5351">
          <cell r="E5351">
            <v>10560017</v>
          </cell>
          <cell r="F5351" t="str">
            <v>0015</v>
          </cell>
          <cell r="G5351">
            <v>13</v>
          </cell>
          <cell r="H5351">
            <v>31.93</v>
          </cell>
          <cell r="I5351">
            <v>1204.5871639098002</v>
          </cell>
          <cell r="J5351">
            <v>0</v>
          </cell>
        </row>
        <row r="5352">
          <cell r="E5352">
            <v>10560017</v>
          </cell>
          <cell r="F5352" t="str">
            <v>0016</v>
          </cell>
          <cell r="G5352">
            <v>14</v>
          </cell>
          <cell r="H5352">
            <v>37.47</v>
          </cell>
          <cell r="I5352">
            <v>1890.0422509429</v>
          </cell>
          <cell r="J5352">
            <v>0</v>
          </cell>
        </row>
        <row r="5353">
          <cell r="E5353">
            <v>10560017</v>
          </cell>
          <cell r="F5353" t="str">
            <v>0018</v>
          </cell>
          <cell r="G5353">
            <v>14</v>
          </cell>
          <cell r="H5353">
            <v>122.8</v>
          </cell>
          <cell r="I5353">
            <v>4337.6155128504006</v>
          </cell>
          <cell r="J5353">
            <v>0</v>
          </cell>
        </row>
        <row r="5354">
          <cell r="E5354">
            <v>10560017</v>
          </cell>
          <cell r="F5354" t="str">
            <v>0021</v>
          </cell>
          <cell r="G5354">
            <v>14</v>
          </cell>
          <cell r="H5354">
            <v>27.59</v>
          </cell>
          <cell r="I5354">
            <v>1492.3684851497999</v>
          </cell>
          <cell r="J5354">
            <v>0</v>
          </cell>
        </row>
        <row r="5355">
          <cell r="E5355">
            <v>10560017</v>
          </cell>
          <cell r="F5355" t="str">
            <v>0022</v>
          </cell>
          <cell r="G5355">
            <v>8</v>
          </cell>
          <cell r="H5355">
            <v>22.659999999999997</v>
          </cell>
          <cell r="I5355">
            <v>1402.9191326354</v>
          </cell>
          <cell r="J5355">
            <v>0</v>
          </cell>
        </row>
        <row r="5356">
          <cell r="E5356">
            <v>10560017</v>
          </cell>
          <cell r="F5356" t="str">
            <v>0023</v>
          </cell>
          <cell r="G5356">
            <v>12</v>
          </cell>
          <cell r="H5356">
            <v>107.95</v>
          </cell>
          <cell r="I5356">
            <v>3993.1394663160004</v>
          </cell>
          <cell r="J5356">
            <v>0</v>
          </cell>
        </row>
        <row r="5357">
          <cell r="E5357">
            <v>10560017</v>
          </cell>
          <cell r="F5357" t="str">
            <v>0024</v>
          </cell>
          <cell r="G5357">
            <v>7</v>
          </cell>
          <cell r="H5357">
            <v>22.73</v>
          </cell>
          <cell r="I5357">
            <v>827.49056494500019</v>
          </cell>
          <cell r="J5357">
            <v>0</v>
          </cell>
        </row>
        <row r="5358">
          <cell r="E5358">
            <v>10560017</v>
          </cell>
          <cell r="F5358" t="str">
            <v>0025</v>
          </cell>
          <cell r="G5358">
            <v>14</v>
          </cell>
          <cell r="H5358">
            <v>157.76</v>
          </cell>
          <cell r="I5358">
            <v>5724.617363249401</v>
          </cell>
          <cell r="J5358">
            <v>0</v>
          </cell>
        </row>
        <row r="5359">
          <cell r="E5359">
            <v>10560017</v>
          </cell>
          <cell r="F5359" t="str">
            <v>0032</v>
          </cell>
          <cell r="G5359">
            <v>14</v>
          </cell>
          <cell r="H5359">
            <v>139.13</v>
          </cell>
          <cell r="I5359">
            <v>5583.3903463139986</v>
          </cell>
          <cell r="J5359">
            <v>0</v>
          </cell>
        </row>
        <row r="5360">
          <cell r="E5360">
            <v>10560017</v>
          </cell>
          <cell r="F5360" t="str">
            <v>0034</v>
          </cell>
          <cell r="G5360">
            <v>14</v>
          </cell>
          <cell r="H5360">
            <v>41.260000000000005</v>
          </cell>
          <cell r="I5360">
            <v>1622.7975337200003</v>
          </cell>
          <cell r="J5360">
            <v>0</v>
          </cell>
        </row>
        <row r="5361">
          <cell r="E5361">
            <v>10560019</v>
          </cell>
          <cell r="F5361" t="str">
            <v>0002</v>
          </cell>
          <cell r="G5361">
            <v>14</v>
          </cell>
          <cell r="H5361">
            <v>1476</v>
          </cell>
          <cell r="I5361">
            <v>53652.329874000003</v>
          </cell>
          <cell r="J5361">
            <v>0</v>
          </cell>
        </row>
        <row r="5362">
          <cell r="E5362">
            <v>10560019</v>
          </cell>
          <cell r="F5362" t="str">
            <v>0003</v>
          </cell>
          <cell r="G5362">
            <v>14</v>
          </cell>
          <cell r="H5362">
            <v>82.080000000000013</v>
          </cell>
          <cell r="I5362">
            <v>2986.5672397440007</v>
          </cell>
          <cell r="J5362">
            <v>0</v>
          </cell>
        </row>
        <row r="5363">
          <cell r="E5363">
            <v>10560022</v>
          </cell>
          <cell r="F5363" t="str">
            <v>0002</v>
          </cell>
          <cell r="G5363">
            <v>14</v>
          </cell>
          <cell r="H5363">
            <v>2257.39</v>
          </cell>
          <cell r="I5363">
            <v>96316.419616163999</v>
          </cell>
          <cell r="J5363">
            <v>0</v>
          </cell>
        </row>
        <row r="5364">
          <cell r="E5364">
            <v>10560026</v>
          </cell>
          <cell r="F5364" t="str">
            <v>0002</v>
          </cell>
          <cell r="G5364">
            <v>14</v>
          </cell>
          <cell r="H5364">
            <v>315.42</v>
          </cell>
          <cell r="I5364">
            <v>11707.650085259922</v>
          </cell>
          <cell r="J5364">
            <v>0</v>
          </cell>
        </row>
        <row r="5365">
          <cell r="E5365">
            <v>10560026</v>
          </cell>
          <cell r="F5365" t="str">
            <v>0003</v>
          </cell>
          <cell r="G5365">
            <v>14</v>
          </cell>
          <cell r="H5365">
            <v>85.12</v>
          </cell>
          <cell r="I5365">
            <v>3103.2243964260001</v>
          </cell>
          <cell r="J5365">
            <v>0</v>
          </cell>
        </row>
        <row r="5366">
          <cell r="E5366">
            <v>10560026</v>
          </cell>
          <cell r="F5366" t="str">
            <v>0004</v>
          </cell>
          <cell r="G5366">
            <v>14</v>
          </cell>
          <cell r="H5366">
            <v>44.08</v>
          </cell>
          <cell r="I5366">
            <v>2364.0501010458102</v>
          </cell>
          <cell r="J5366">
            <v>0</v>
          </cell>
        </row>
        <row r="5367">
          <cell r="E5367">
            <v>10560026</v>
          </cell>
          <cell r="F5367" t="str">
            <v>0005</v>
          </cell>
          <cell r="G5367">
            <v>13</v>
          </cell>
          <cell r="H5367">
            <v>41.409999999999989</v>
          </cell>
          <cell r="I5367">
            <v>2213.3526032011005</v>
          </cell>
          <cell r="J5367">
            <v>0</v>
          </cell>
        </row>
        <row r="5368">
          <cell r="E5368">
            <v>10560026</v>
          </cell>
          <cell r="F5368" t="str">
            <v>0006</v>
          </cell>
          <cell r="G5368">
            <v>14</v>
          </cell>
          <cell r="H5368">
            <v>63.42</v>
          </cell>
          <cell r="I5368">
            <v>2354.9581044000006</v>
          </cell>
          <cell r="J5368">
            <v>0</v>
          </cell>
        </row>
        <row r="5369">
          <cell r="E5369">
            <v>10560026</v>
          </cell>
          <cell r="F5369" t="str">
            <v>0007</v>
          </cell>
          <cell r="G5369">
            <v>12</v>
          </cell>
          <cell r="H5369">
            <v>66.110000000000014</v>
          </cell>
          <cell r="I5369">
            <v>2419.1118147240009</v>
          </cell>
          <cell r="J5369">
            <v>0</v>
          </cell>
        </row>
        <row r="5370">
          <cell r="E5370">
            <v>10560026</v>
          </cell>
          <cell r="F5370" t="str">
            <v>0008</v>
          </cell>
          <cell r="G5370">
            <v>13</v>
          </cell>
          <cell r="H5370">
            <v>33.49</v>
          </cell>
          <cell r="I5370">
            <v>1291.5561094920004</v>
          </cell>
          <cell r="J5370">
            <v>0</v>
          </cell>
        </row>
        <row r="5371">
          <cell r="E5371">
            <v>10560026</v>
          </cell>
          <cell r="F5371" t="str">
            <v>0010</v>
          </cell>
          <cell r="G5371">
            <v>7</v>
          </cell>
          <cell r="H5371">
            <v>13.57</v>
          </cell>
          <cell r="I5371">
            <v>546.93581223600006</v>
          </cell>
          <cell r="J5371">
            <v>0</v>
          </cell>
        </row>
        <row r="5372">
          <cell r="E5372">
            <v>10560026</v>
          </cell>
          <cell r="F5372" t="str">
            <v>0014</v>
          </cell>
          <cell r="G5372">
            <v>3</v>
          </cell>
          <cell r="H5372">
            <v>11.59</v>
          </cell>
          <cell r="I5372">
            <v>410.61309854400008</v>
          </cell>
          <cell r="J5372">
            <v>0</v>
          </cell>
        </row>
        <row r="5373">
          <cell r="E5373">
            <v>10560026</v>
          </cell>
          <cell r="F5373" t="str">
            <v>0015</v>
          </cell>
          <cell r="G5373">
            <v>14</v>
          </cell>
          <cell r="H5373">
            <v>19.679999999999996</v>
          </cell>
          <cell r="I5373">
            <v>776.40994371600004</v>
          </cell>
          <cell r="J5373">
            <v>0</v>
          </cell>
        </row>
        <row r="5374">
          <cell r="E5374">
            <v>10560026</v>
          </cell>
          <cell r="F5374" t="str">
            <v>0016</v>
          </cell>
          <cell r="G5374">
            <v>14</v>
          </cell>
          <cell r="H5374">
            <v>27.77</v>
          </cell>
          <cell r="I5374">
            <v>996.1530741360001</v>
          </cell>
          <cell r="J5374">
            <v>0</v>
          </cell>
        </row>
        <row r="5375">
          <cell r="E5375">
            <v>10560026</v>
          </cell>
          <cell r="F5375" t="str">
            <v>0017</v>
          </cell>
          <cell r="G5375">
            <v>13</v>
          </cell>
          <cell r="H5375">
            <v>22.1</v>
          </cell>
          <cell r="I5375">
            <v>865.55359440000007</v>
          </cell>
          <cell r="J5375">
            <v>0</v>
          </cell>
        </row>
        <row r="5376">
          <cell r="E5376">
            <v>10560026</v>
          </cell>
          <cell r="F5376" t="str">
            <v>0023</v>
          </cell>
          <cell r="G5376">
            <v>5</v>
          </cell>
          <cell r="H5376">
            <v>12.14</v>
          </cell>
          <cell r="I5376">
            <v>504.54099431999998</v>
          </cell>
          <cell r="J5376">
            <v>0</v>
          </cell>
        </row>
        <row r="5377">
          <cell r="E5377">
            <v>10560026</v>
          </cell>
          <cell r="F5377" t="str">
            <v>0024</v>
          </cell>
          <cell r="G5377">
            <v>9</v>
          </cell>
          <cell r="H5377">
            <v>29.549999999999997</v>
          </cell>
          <cell r="I5377">
            <v>1058.5190610720001</v>
          </cell>
          <cell r="J5377">
            <v>0</v>
          </cell>
        </row>
        <row r="5378">
          <cell r="E5378">
            <v>10560026</v>
          </cell>
          <cell r="F5378" t="str">
            <v>0025</v>
          </cell>
          <cell r="G5378">
            <v>14</v>
          </cell>
          <cell r="H5378">
            <v>110.94</v>
          </cell>
          <cell r="I5378">
            <v>3963.7781648190007</v>
          </cell>
          <cell r="J5378">
            <v>0</v>
          </cell>
        </row>
        <row r="5379">
          <cell r="E5379">
            <v>10560027</v>
          </cell>
          <cell r="F5379" t="str">
            <v>0002</v>
          </cell>
          <cell r="G5379">
            <v>13</v>
          </cell>
          <cell r="H5379">
            <v>399.7</v>
          </cell>
          <cell r="I5379">
            <v>16825.149792792003</v>
          </cell>
          <cell r="J5379">
            <v>0</v>
          </cell>
        </row>
        <row r="5380">
          <cell r="E5380">
            <v>10560029</v>
          </cell>
          <cell r="F5380" t="str">
            <v>0002</v>
          </cell>
          <cell r="G5380">
            <v>13</v>
          </cell>
          <cell r="H5380">
            <v>124.62</v>
          </cell>
          <cell r="I5380">
            <v>4980.7767358203</v>
          </cell>
          <cell r="J5380">
            <v>0</v>
          </cell>
        </row>
        <row r="5381">
          <cell r="E5381">
            <v>10570001</v>
          </cell>
          <cell r="F5381" t="str">
            <v>0002</v>
          </cell>
          <cell r="G5381">
            <v>13</v>
          </cell>
          <cell r="H5381">
            <v>148.59999999999997</v>
          </cell>
          <cell r="I5381">
            <v>7034.6512620675003</v>
          </cell>
          <cell r="J5381">
            <v>0</v>
          </cell>
        </row>
        <row r="5382">
          <cell r="E5382">
            <v>10570002</v>
          </cell>
          <cell r="F5382" t="str">
            <v>0001</v>
          </cell>
          <cell r="G5382">
            <v>4</v>
          </cell>
          <cell r="H5382">
            <v>0.6</v>
          </cell>
          <cell r="I5382">
            <v>23.079499344000002</v>
          </cell>
          <cell r="J5382">
            <v>0</v>
          </cell>
        </row>
        <row r="5383">
          <cell r="E5383">
            <v>10570002</v>
          </cell>
          <cell r="F5383" t="str">
            <v>0002</v>
          </cell>
          <cell r="G5383">
            <v>6</v>
          </cell>
          <cell r="H5383">
            <v>8.5</v>
          </cell>
          <cell r="I5383">
            <v>353.99386836000002</v>
          </cell>
          <cell r="J5383">
            <v>0</v>
          </cell>
        </row>
        <row r="5384">
          <cell r="E5384">
            <v>10570002</v>
          </cell>
          <cell r="F5384" t="str">
            <v>0003</v>
          </cell>
          <cell r="G5384">
            <v>5</v>
          </cell>
          <cell r="H5384">
            <v>7.2000000000000011</v>
          </cell>
          <cell r="I5384">
            <v>252.25010533800003</v>
          </cell>
          <cell r="J5384">
            <v>0</v>
          </cell>
        </row>
        <row r="5385">
          <cell r="E5385">
            <v>10570002</v>
          </cell>
          <cell r="F5385" t="str">
            <v>0004</v>
          </cell>
          <cell r="G5385">
            <v>8</v>
          </cell>
          <cell r="H5385">
            <v>13.5</v>
          </cell>
          <cell r="I5385">
            <v>512.39542582800004</v>
          </cell>
          <cell r="J5385">
            <v>0</v>
          </cell>
        </row>
        <row r="5386">
          <cell r="E5386">
            <v>10570002</v>
          </cell>
          <cell r="F5386" t="str">
            <v>0006</v>
          </cell>
          <cell r="G5386">
            <v>4</v>
          </cell>
          <cell r="H5386">
            <v>5.5</v>
          </cell>
          <cell r="I5386">
            <v>229.65969708</v>
          </cell>
          <cell r="J5386">
            <v>0</v>
          </cell>
        </row>
        <row r="5387">
          <cell r="E5387">
            <v>10570003</v>
          </cell>
          <cell r="F5387" t="str">
            <v>0002</v>
          </cell>
          <cell r="G5387">
            <v>14</v>
          </cell>
          <cell r="H5387">
            <v>182.29999999999998</v>
          </cell>
          <cell r="I5387">
            <v>7273.9299676908004</v>
          </cell>
          <cell r="J5387">
            <v>0</v>
          </cell>
        </row>
        <row r="5388">
          <cell r="E5388">
            <v>10570007</v>
          </cell>
          <cell r="F5388" t="str">
            <v>0002</v>
          </cell>
          <cell r="G5388">
            <v>14</v>
          </cell>
          <cell r="H5388">
            <v>1039.0999999999999</v>
          </cell>
          <cell r="I5388">
            <v>44356.659889725001</v>
          </cell>
          <cell r="J5388">
            <v>0</v>
          </cell>
        </row>
        <row r="5389">
          <cell r="E5389">
            <v>10570007</v>
          </cell>
          <cell r="F5389" t="str">
            <v>0003</v>
          </cell>
          <cell r="G5389">
            <v>6</v>
          </cell>
          <cell r="H5389">
            <v>263.39999999999998</v>
          </cell>
          <cell r="I5389">
            <v>9944.1653810400021</v>
          </cell>
          <cell r="J5389">
            <v>0</v>
          </cell>
        </row>
        <row r="5390">
          <cell r="E5390">
            <v>10570008</v>
          </cell>
          <cell r="F5390" t="str">
            <v>0001</v>
          </cell>
          <cell r="G5390">
            <v>13</v>
          </cell>
          <cell r="H5390">
            <v>17.5</v>
          </cell>
          <cell r="I5390">
            <v>689.83892742600005</v>
          </cell>
          <cell r="J5390">
            <v>0</v>
          </cell>
        </row>
        <row r="5391">
          <cell r="E5391">
            <v>10570008</v>
          </cell>
          <cell r="F5391" t="str">
            <v>0002</v>
          </cell>
          <cell r="G5391">
            <v>11</v>
          </cell>
          <cell r="H5391">
            <v>128.9</v>
          </cell>
          <cell r="I5391">
            <v>4749.8357098503002</v>
          </cell>
          <cell r="J5391">
            <v>0</v>
          </cell>
        </row>
        <row r="5392">
          <cell r="E5392">
            <v>10570008</v>
          </cell>
          <cell r="F5392" t="str">
            <v>0003</v>
          </cell>
          <cell r="G5392">
            <v>14</v>
          </cell>
          <cell r="H5392">
            <v>136.10000000000002</v>
          </cell>
          <cell r="I5392">
            <v>5071.9585404500003</v>
          </cell>
          <cell r="J5392">
            <v>0</v>
          </cell>
        </row>
        <row r="5393">
          <cell r="E5393">
            <v>10570008</v>
          </cell>
          <cell r="F5393" t="str">
            <v>0004</v>
          </cell>
          <cell r="G5393">
            <v>14</v>
          </cell>
          <cell r="H5393">
            <v>166.5</v>
          </cell>
          <cell r="I5393">
            <v>6543.1704351553008</v>
          </cell>
          <cell r="J5393">
            <v>0</v>
          </cell>
        </row>
        <row r="5394">
          <cell r="E5394">
            <v>10570008</v>
          </cell>
          <cell r="F5394" t="str">
            <v>0005</v>
          </cell>
          <cell r="G5394">
            <v>14</v>
          </cell>
          <cell r="H5394">
            <v>153.49999999999997</v>
          </cell>
          <cell r="I5394">
            <v>5601.7521420300009</v>
          </cell>
          <cell r="J5394">
            <v>0</v>
          </cell>
        </row>
        <row r="5395">
          <cell r="E5395">
            <v>10570008</v>
          </cell>
          <cell r="F5395" t="str">
            <v>0006</v>
          </cell>
          <cell r="G5395">
            <v>14</v>
          </cell>
          <cell r="H5395">
            <v>172.00000000000003</v>
          </cell>
          <cell r="I5395">
            <v>6517.2505655884015</v>
          </cell>
          <cell r="J5395">
            <v>0</v>
          </cell>
        </row>
        <row r="5396">
          <cell r="E5396">
            <v>10570008</v>
          </cell>
          <cell r="F5396" t="str">
            <v>0008</v>
          </cell>
          <cell r="G5396">
            <v>14</v>
          </cell>
          <cell r="H5396">
            <v>179.49999999999997</v>
          </cell>
          <cell r="I5396">
            <v>6733.6518447523003</v>
          </cell>
          <cell r="J5396">
            <v>0</v>
          </cell>
        </row>
        <row r="5397">
          <cell r="E5397">
            <v>10570008</v>
          </cell>
          <cell r="F5397" t="str">
            <v>0009</v>
          </cell>
          <cell r="G5397">
            <v>14</v>
          </cell>
          <cell r="H5397">
            <v>175.79999999999998</v>
          </cell>
          <cell r="I5397">
            <v>6695.3515802353013</v>
          </cell>
          <cell r="J5397">
            <v>0</v>
          </cell>
        </row>
        <row r="5398">
          <cell r="E5398">
            <v>10570008</v>
          </cell>
          <cell r="F5398" t="str">
            <v>0010</v>
          </cell>
          <cell r="G5398">
            <v>14</v>
          </cell>
          <cell r="H5398">
            <v>144.19999999999999</v>
          </cell>
          <cell r="I5398">
            <v>5462.9070062812407</v>
          </cell>
          <cell r="J5398">
            <v>0</v>
          </cell>
        </row>
        <row r="5399">
          <cell r="E5399">
            <v>10570008</v>
          </cell>
          <cell r="F5399" t="str">
            <v>0011</v>
          </cell>
          <cell r="G5399">
            <v>14</v>
          </cell>
          <cell r="H5399">
            <v>92.699999999999989</v>
          </cell>
          <cell r="I5399">
            <v>4018.7522612509993</v>
          </cell>
          <cell r="J5399">
            <v>0</v>
          </cell>
        </row>
        <row r="5400">
          <cell r="E5400">
            <v>10570008</v>
          </cell>
          <cell r="F5400" t="str">
            <v>0012</v>
          </cell>
          <cell r="G5400">
            <v>14</v>
          </cell>
          <cell r="H5400">
            <v>136</v>
          </cell>
          <cell r="I5400">
            <v>5383.9811344319996</v>
          </cell>
          <cell r="J5400">
            <v>0</v>
          </cell>
        </row>
        <row r="5401">
          <cell r="E5401">
            <v>10570008</v>
          </cell>
          <cell r="F5401" t="str">
            <v>0013</v>
          </cell>
          <cell r="G5401">
            <v>14</v>
          </cell>
          <cell r="H5401">
            <v>125.30000000000001</v>
          </cell>
          <cell r="I5401">
            <v>4835.575200221102</v>
          </cell>
          <cell r="J5401">
            <v>0</v>
          </cell>
        </row>
        <row r="5402">
          <cell r="E5402">
            <v>10570008</v>
          </cell>
          <cell r="F5402" t="str">
            <v>0014</v>
          </cell>
          <cell r="G5402">
            <v>14</v>
          </cell>
          <cell r="H5402">
            <v>115.10000000000001</v>
          </cell>
          <cell r="I5402">
            <v>4089.9215982240003</v>
          </cell>
          <cell r="J5402">
            <v>0</v>
          </cell>
        </row>
        <row r="5403">
          <cell r="E5403">
            <v>10570008</v>
          </cell>
          <cell r="F5403" t="str">
            <v>0015</v>
          </cell>
          <cell r="G5403">
            <v>12</v>
          </cell>
          <cell r="H5403">
            <v>60.79999999999999</v>
          </cell>
          <cell r="I5403">
            <v>2290.9890985739999</v>
          </cell>
          <cell r="J5403">
            <v>0</v>
          </cell>
        </row>
        <row r="5404">
          <cell r="E5404">
            <v>10570008</v>
          </cell>
          <cell r="F5404" t="str">
            <v>0016</v>
          </cell>
          <cell r="G5404">
            <v>10</v>
          </cell>
          <cell r="H5404">
            <v>67.8</v>
          </cell>
          <cell r="I5404">
            <v>2599.0290610020002</v>
          </cell>
          <cell r="J5404">
            <v>0</v>
          </cell>
        </row>
        <row r="5405">
          <cell r="E5405">
            <v>10570008</v>
          </cell>
          <cell r="F5405" t="str">
            <v>0017</v>
          </cell>
          <cell r="G5405">
            <v>9</v>
          </cell>
          <cell r="H5405">
            <v>43.5</v>
          </cell>
          <cell r="I5405">
            <v>1733.6614636439999</v>
          </cell>
          <cell r="J5405">
            <v>0</v>
          </cell>
        </row>
        <row r="5406">
          <cell r="E5406">
            <v>10570009</v>
          </cell>
          <cell r="F5406" t="str">
            <v>0002</v>
          </cell>
          <cell r="G5406">
            <v>14</v>
          </cell>
          <cell r="H5406">
            <v>1034.1000000000001</v>
          </cell>
          <cell r="I5406">
            <v>38674.876775040007</v>
          </cell>
          <cell r="J5406">
            <v>0</v>
          </cell>
        </row>
        <row r="5407">
          <cell r="E5407">
            <v>10570017</v>
          </cell>
          <cell r="F5407" t="str">
            <v>0001</v>
          </cell>
          <cell r="G5407">
            <v>8</v>
          </cell>
          <cell r="H5407">
            <v>4.7</v>
          </cell>
          <cell r="I5407">
            <v>205.69553823660002</v>
          </cell>
          <cell r="J5407">
            <v>0</v>
          </cell>
        </row>
        <row r="5408">
          <cell r="E5408">
            <v>10570017</v>
          </cell>
          <cell r="F5408" t="str">
            <v>0002</v>
          </cell>
          <cell r="G5408">
            <v>14</v>
          </cell>
          <cell r="H5408">
            <v>60.999999999999993</v>
          </cell>
          <cell r="I5408">
            <v>3095.6869967150997</v>
          </cell>
          <cell r="J5408">
            <v>0</v>
          </cell>
        </row>
        <row r="5409">
          <cell r="E5409">
            <v>10570017</v>
          </cell>
          <cell r="F5409" t="str">
            <v>0003</v>
          </cell>
          <cell r="G5409">
            <v>12</v>
          </cell>
          <cell r="H5409">
            <v>23.3</v>
          </cell>
          <cell r="I5409">
            <v>1195.7812829367601</v>
          </cell>
          <cell r="J5409">
            <v>0</v>
          </cell>
        </row>
        <row r="5410">
          <cell r="E5410">
            <v>10570017</v>
          </cell>
          <cell r="F5410" t="str">
            <v>0005</v>
          </cell>
          <cell r="G5410">
            <v>13</v>
          </cell>
          <cell r="H5410">
            <v>26.3</v>
          </cell>
          <cell r="I5410">
            <v>1325.0930177964001</v>
          </cell>
          <cell r="J5410">
            <v>0</v>
          </cell>
        </row>
        <row r="5411">
          <cell r="E5411">
            <v>10570017</v>
          </cell>
          <cell r="F5411" t="str">
            <v>0006</v>
          </cell>
          <cell r="G5411">
            <v>11</v>
          </cell>
          <cell r="H5411">
            <v>28</v>
          </cell>
          <cell r="I5411">
            <v>1642.6856379437004</v>
          </cell>
          <cell r="J5411">
            <v>0</v>
          </cell>
        </row>
        <row r="5412">
          <cell r="E5412">
            <v>10570017</v>
          </cell>
          <cell r="F5412" t="str">
            <v>0007</v>
          </cell>
          <cell r="G5412">
            <v>13</v>
          </cell>
          <cell r="H5412">
            <v>29.9</v>
          </cell>
          <cell r="I5412">
            <v>1426.4675919182998</v>
          </cell>
          <cell r="J5412">
            <v>0</v>
          </cell>
        </row>
        <row r="5413">
          <cell r="E5413">
            <v>10570017</v>
          </cell>
          <cell r="F5413" t="str">
            <v>0009</v>
          </cell>
          <cell r="G5413">
            <v>11</v>
          </cell>
          <cell r="H5413">
            <v>22</v>
          </cell>
          <cell r="I5413">
            <v>1137.5096037307303</v>
          </cell>
          <cell r="J5413">
            <v>0</v>
          </cell>
        </row>
        <row r="5414">
          <cell r="E5414">
            <v>10570017</v>
          </cell>
          <cell r="F5414" t="str">
            <v>0010</v>
          </cell>
          <cell r="G5414">
            <v>9</v>
          </cell>
          <cell r="H5414">
            <v>18.200000000000003</v>
          </cell>
          <cell r="I5414">
            <v>699.71182930704026</v>
          </cell>
          <cell r="J5414">
            <v>0</v>
          </cell>
        </row>
        <row r="5415">
          <cell r="E5415">
            <v>10570017</v>
          </cell>
          <cell r="F5415" t="str">
            <v>0011</v>
          </cell>
          <cell r="G5415">
            <v>11</v>
          </cell>
          <cell r="H5415">
            <v>22.899999999999995</v>
          </cell>
          <cell r="I5415">
            <v>1178.4445663454201</v>
          </cell>
          <cell r="J5415">
            <v>0</v>
          </cell>
        </row>
        <row r="5416">
          <cell r="E5416">
            <v>10570017</v>
          </cell>
          <cell r="F5416" t="str">
            <v>0012</v>
          </cell>
          <cell r="G5416">
            <v>6</v>
          </cell>
          <cell r="H5416">
            <v>13.3</v>
          </cell>
          <cell r="I5416">
            <v>564.2628602108</v>
          </cell>
          <cell r="J5416">
            <v>0</v>
          </cell>
        </row>
        <row r="5417">
          <cell r="E5417">
            <v>10570017</v>
          </cell>
          <cell r="F5417" t="str">
            <v>0013</v>
          </cell>
          <cell r="G5417">
            <v>6</v>
          </cell>
          <cell r="H5417">
            <v>20.100000000000001</v>
          </cell>
          <cell r="I5417">
            <v>885.34571244299991</v>
          </cell>
          <cell r="J5417">
            <v>0</v>
          </cell>
        </row>
        <row r="5418">
          <cell r="E5418">
            <v>10570017</v>
          </cell>
          <cell r="F5418" t="str">
            <v>0014</v>
          </cell>
          <cell r="G5418">
            <v>11</v>
          </cell>
          <cell r="H5418">
            <v>16.399999999999999</v>
          </cell>
          <cell r="I5418">
            <v>619.37795259029997</v>
          </cell>
          <cell r="J5418">
            <v>0</v>
          </cell>
        </row>
        <row r="5419">
          <cell r="E5419">
            <v>10570017</v>
          </cell>
          <cell r="F5419" t="str">
            <v>0015</v>
          </cell>
          <cell r="G5419">
            <v>6</v>
          </cell>
          <cell r="H5419">
            <v>11.100000000000001</v>
          </cell>
          <cell r="I5419">
            <v>442.40416095600006</v>
          </cell>
          <cell r="J5419">
            <v>0</v>
          </cell>
        </row>
        <row r="5420">
          <cell r="E5420">
            <v>10570018</v>
          </cell>
          <cell r="F5420" t="str">
            <v>0001</v>
          </cell>
          <cell r="G5420">
            <v>14</v>
          </cell>
          <cell r="H5420">
            <v>7.9999999999999982</v>
          </cell>
          <cell r="I5420">
            <v>302.7638829600001</v>
          </cell>
          <cell r="J5420">
            <v>0</v>
          </cell>
        </row>
        <row r="5421">
          <cell r="E5421">
            <v>10570018</v>
          </cell>
          <cell r="F5421" t="str">
            <v>0002</v>
          </cell>
          <cell r="G5421">
            <v>14</v>
          </cell>
          <cell r="H5421">
            <v>39.800000000000004</v>
          </cell>
          <cell r="I5421">
            <v>1497.7680181200005</v>
          </cell>
          <cell r="J5421">
            <v>0</v>
          </cell>
        </row>
        <row r="5422">
          <cell r="E5422">
            <v>10570018</v>
          </cell>
          <cell r="F5422" t="str">
            <v>0003</v>
          </cell>
          <cell r="G5422">
            <v>14</v>
          </cell>
          <cell r="H5422">
            <v>43.9</v>
          </cell>
          <cell r="I5422">
            <v>1590.50258532</v>
          </cell>
          <cell r="J5422">
            <v>0</v>
          </cell>
        </row>
        <row r="5423">
          <cell r="E5423">
            <v>10570018</v>
          </cell>
          <cell r="F5423" t="str">
            <v>0004</v>
          </cell>
          <cell r="G5423">
            <v>14</v>
          </cell>
          <cell r="H5423">
            <v>39.200000000000003</v>
          </cell>
          <cell r="I5423">
            <v>1500.67076148</v>
          </cell>
          <cell r="J5423">
            <v>0</v>
          </cell>
        </row>
        <row r="5424">
          <cell r="E5424">
            <v>10570018</v>
          </cell>
          <cell r="F5424" t="str">
            <v>0005</v>
          </cell>
          <cell r="G5424">
            <v>14</v>
          </cell>
          <cell r="H5424">
            <v>35.300000000000004</v>
          </cell>
          <cell r="I5424">
            <v>1244.1572302500001</v>
          </cell>
          <cell r="J5424">
            <v>0</v>
          </cell>
        </row>
        <row r="5425">
          <cell r="E5425">
            <v>10570018</v>
          </cell>
          <cell r="F5425" t="str">
            <v>0006</v>
          </cell>
          <cell r="G5425">
            <v>14</v>
          </cell>
          <cell r="H5425">
            <v>141.6</v>
          </cell>
          <cell r="I5425">
            <v>5889.6128683260013</v>
          </cell>
          <cell r="J5425">
            <v>0</v>
          </cell>
        </row>
        <row r="5426">
          <cell r="E5426">
            <v>10570018</v>
          </cell>
          <cell r="F5426" t="str">
            <v>0007</v>
          </cell>
          <cell r="G5426">
            <v>14</v>
          </cell>
          <cell r="H5426">
            <v>45.5</v>
          </cell>
          <cell r="I5426">
            <v>2220.0935317099998</v>
          </cell>
          <cell r="J5426">
            <v>0</v>
          </cell>
        </row>
        <row r="5427">
          <cell r="E5427">
            <v>10570018</v>
          </cell>
          <cell r="F5427" t="str">
            <v>0008</v>
          </cell>
          <cell r="G5427">
            <v>14</v>
          </cell>
          <cell r="H5427">
            <v>36.4</v>
          </cell>
          <cell r="I5427">
            <v>1228.0643775180004</v>
          </cell>
          <cell r="J5427">
            <v>0</v>
          </cell>
        </row>
        <row r="5428">
          <cell r="E5428">
            <v>10570018</v>
          </cell>
          <cell r="F5428" t="str">
            <v>0009</v>
          </cell>
          <cell r="G5428">
            <v>14</v>
          </cell>
          <cell r="H5428">
            <v>43</v>
          </cell>
          <cell r="I5428">
            <v>1454.2401061980004</v>
          </cell>
          <cell r="J5428">
            <v>0</v>
          </cell>
        </row>
        <row r="5429">
          <cell r="E5429">
            <v>10570018</v>
          </cell>
          <cell r="F5429" t="str">
            <v>0010</v>
          </cell>
          <cell r="G5429">
            <v>14</v>
          </cell>
          <cell r="H5429">
            <v>32.900000000000006</v>
          </cell>
          <cell r="I5429">
            <v>1579.5848242900001</v>
          </cell>
          <cell r="J5429">
            <v>0</v>
          </cell>
        </row>
        <row r="5430">
          <cell r="E5430">
            <v>10570018</v>
          </cell>
          <cell r="F5430" t="str">
            <v>0011</v>
          </cell>
          <cell r="G5430">
            <v>14</v>
          </cell>
          <cell r="H5430">
            <v>32.300000000000004</v>
          </cell>
          <cell r="I5430">
            <v>1177.293639258</v>
          </cell>
          <cell r="J5430">
            <v>0</v>
          </cell>
        </row>
        <row r="5431">
          <cell r="E5431">
            <v>10570018</v>
          </cell>
          <cell r="F5431" t="str">
            <v>0012</v>
          </cell>
          <cell r="G5431">
            <v>14</v>
          </cell>
          <cell r="H5431">
            <v>38</v>
          </cell>
          <cell r="I5431">
            <v>1333.198529388</v>
          </cell>
          <cell r="J5431">
            <v>0</v>
          </cell>
        </row>
        <row r="5432">
          <cell r="E5432">
            <v>10570018</v>
          </cell>
          <cell r="F5432" t="str">
            <v>0013</v>
          </cell>
          <cell r="G5432">
            <v>14</v>
          </cell>
          <cell r="H5432">
            <v>44.900000000000006</v>
          </cell>
          <cell r="I5432">
            <v>1504.5412878540001</v>
          </cell>
          <cell r="J5432">
            <v>0</v>
          </cell>
        </row>
        <row r="5433">
          <cell r="E5433">
            <v>10570019</v>
          </cell>
          <cell r="F5433" t="str">
            <v>0001</v>
          </cell>
          <cell r="G5433">
            <v>12</v>
          </cell>
          <cell r="H5433">
            <v>2.8</v>
          </cell>
          <cell r="I5433">
            <v>117.7077183</v>
          </cell>
          <cell r="J5433">
            <v>0</v>
          </cell>
        </row>
        <row r="5434">
          <cell r="E5434">
            <v>10570019</v>
          </cell>
          <cell r="F5434" t="str">
            <v>0002</v>
          </cell>
          <cell r="G5434">
            <v>14</v>
          </cell>
          <cell r="H5434">
            <v>216.80000000000007</v>
          </cell>
          <cell r="I5434">
            <v>9681.2129247863395</v>
          </cell>
          <cell r="J5434">
            <v>0</v>
          </cell>
        </row>
        <row r="5435">
          <cell r="E5435">
            <v>10570019</v>
          </cell>
          <cell r="F5435" t="str">
            <v>0003</v>
          </cell>
          <cell r="G5435">
            <v>8</v>
          </cell>
          <cell r="H5435">
            <v>20.400000000000002</v>
          </cell>
          <cell r="I5435">
            <v>704.83588164000003</v>
          </cell>
          <cell r="J5435">
            <v>0</v>
          </cell>
        </row>
        <row r="5436">
          <cell r="E5436">
            <v>10570019</v>
          </cell>
          <cell r="F5436" t="str">
            <v>0004</v>
          </cell>
          <cell r="G5436">
            <v>12</v>
          </cell>
          <cell r="H5436">
            <v>27.100000000000005</v>
          </cell>
          <cell r="I5436">
            <v>967.11336552600005</v>
          </cell>
          <cell r="J5436">
            <v>0</v>
          </cell>
        </row>
        <row r="5437">
          <cell r="E5437">
            <v>10570019</v>
          </cell>
          <cell r="F5437" t="str">
            <v>0005</v>
          </cell>
          <cell r="G5437">
            <v>11</v>
          </cell>
          <cell r="H5437">
            <v>58.600000000000009</v>
          </cell>
          <cell r="I5437">
            <v>2370.8114649060003</v>
          </cell>
          <cell r="J5437">
            <v>0</v>
          </cell>
        </row>
        <row r="5438">
          <cell r="E5438">
            <v>10570019</v>
          </cell>
          <cell r="F5438" t="str">
            <v>0006</v>
          </cell>
          <cell r="G5438">
            <v>4</v>
          </cell>
          <cell r="H5438">
            <v>163.5</v>
          </cell>
          <cell r="I5438">
            <v>7912.1066471474996</v>
          </cell>
          <cell r="J5438">
            <v>0</v>
          </cell>
        </row>
        <row r="5439">
          <cell r="E5439">
            <v>10570019</v>
          </cell>
          <cell r="F5439" t="str">
            <v>0007</v>
          </cell>
          <cell r="G5439">
            <v>14</v>
          </cell>
          <cell r="H5439">
            <v>38.9</v>
          </cell>
          <cell r="I5439">
            <v>2060.4793823720001</v>
          </cell>
          <cell r="J5439">
            <v>0</v>
          </cell>
        </row>
        <row r="5440">
          <cell r="E5440">
            <v>10570020</v>
          </cell>
          <cell r="F5440" t="str">
            <v>0002</v>
          </cell>
          <cell r="G5440">
            <v>13</v>
          </cell>
          <cell r="H5440">
            <v>417.70000000000005</v>
          </cell>
          <cell r="I5440">
            <v>25020.924853520206</v>
          </cell>
          <cell r="J5440">
            <v>0</v>
          </cell>
        </row>
        <row r="5441">
          <cell r="E5441">
            <v>10570021</v>
          </cell>
          <cell r="F5441" t="str">
            <v>0001</v>
          </cell>
          <cell r="G5441">
            <v>12</v>
          </cell>
          <cell r="H5441">
            <v>4.5999999999999996</v>
          </cell>
          <cell r="I5441">
            <v>168.64012004399999</v>
          </cell>
          <cell r="J5441">
            <v>0</v>
          </cell>
        </row>
        <row r="5442">
          <cell r="E5442">
            <v>10570021</v>
          </cell>
          <cell r="F5442" t="str">
            <v>0002</v>
          </cell>
          <cell r="G5442">
            <v>14</v>
          </cell>
          <cell r="H5442">
            <v>88.6</v>
          </cell>
          <cell r="I5442">
            <v>3133.221558192</v>
          </cell>
          <cell r="J5442">
            <v>0</v>
          </cell>
        </row>
        <row r="5443">
          <cell r="E5443">
            <v>10570021</v>
          </cell>
          <cell r="F5443" t="str">
            <v>0003</v>
          </cell>
          <cell r="G5443">
            <v>13</v>
          </cell>
          <cell r="H5443">
            <v>175.1</v>
          </cell>
          <cell r="I5443">
            <v>6226.9727968799989</v>
          </cell>
          <cell r="J5443">
            <v>0</v>
          </cell>
        </row>
        <row r="5444">
          <cell r="E5444">
            <v>10570021</v>
          </cell>
          <cell r="F5444" t="str">
            <v>0004</v>
          </cell>
          <cell r="G5444">
            <v>8</v>
          </cell>
          <cell r="H5444">
            <v>39.299999999999997</v>
          </cell>
          <cell r="I5444">
            <v>1482.6925872000002</v>
          </cell>
          <cell r="J5444">
            <v>0</v>
          </cell>
        </row>
        <row r="5445">
          <cell r="E5445">
            <v>10570021</v>
          </cell>
          <cell r="F5445" t="str">
            <v>0006</v>
          </cell>
          <cell r="G5445">
            <v>13</v>
          </cell>
          <cell r="H5445">
            <v>78.2</v>
          </cell>
          <cell r="I5445">
            <v>2683.317240450001</v>
          </cell>
          <cell r="J5445">
            <v>0</v>
          </cell>
        </row>
        <row r="5446">
          <cell r="E5446">
            <v>10570021</v>
          </cell>
          <cell r="F5446" t="str">
            <v>0007</v>
          </cell>
          <cell r="G5446">
            <v>12</v>
          </cell>
          <cell r="H5446">
            <v>54.499999999999993</v>
          </cell>
          <cell r="I5446">
            <v>1886.9111351640001</v>
          </cell>
          <cell r="J5446">
            <v>0</v>
          </cell>
        </row>
        <row r="5447">
          <cell r="E5447">
            <v>10570021</v>
          </cell>
          <cell r="F5447" t="str">
            <v>0010</v>
          </cell>
          <cell r="G5447">
            <v>13</v>
          </cell>
          <cell r="H5447">
            <v>51.800000000000004</v>
          </cell>
          <cell r="I5447">
            <v>1801.4916959820002</v>
          </cell>
          <cell r="J5447">
            <v>0</v>
          </cell>
        </row>
        <row r="5448">
          <cell r="E5448">
            <v>10570021</v>
          </cell>
          <cell r="F5448" t="str">
            <v>0011</v>
          </cell>
          <cell r="G5448">
            <v>4</v>
          </cell>
          <cell r="H5448">
            <v>6.5</v>
          </cell>
          <cell r="I5448">
            <v>266.22273906974999</v>
          </cell>
          <cell r="J5448">
            <v>0</v>
          </cell>
        </row>
        <row r="5449">
          <cell r="E5449">
            <v>10570021</v>
          </cell>
          <cell r="F5449" t="str">
            <v>0012</v>
          </cell>
          <cell r="G5449">
            <v>13</v>
          </cell>
          <cell r="H5449">
            <v>60.499999999999993</v>
          </cell>
          <cell r="I5449">
            <v>2035.7485701300002</v>
          </cell>
          <cell r="J5449">
            <v>0</v>
          </cell>
        </row>
        <row r="5450">
          <cell r="E5450">
            <v>10570021</v>
          </cell>
          <cell r="F5450" t="str">
            <v>0013</v>
          </cell>
          <cell r="G5450">
            <v>11</v>
          </cell>
          <cell r="H5450">
            <v>33.1</v>
          </cell>
          <cell r="I5450">
            <v>1153.4192120150001</v>
          </cell>
          <cell r="J5450">
            <v>0</v>
          </cell>
        </row>
        <row r="5451">
          <cell r="E5451">
            <v>10570021</v>
          </cell>
          <cell r="F5451" t="str">
            <v>0014</v>
          </cell>
          <cell r="G5451">
            <v>11</v>
          </cell>
          <cell r="H5451">
            <v>33.5</v>
          </cell>
          <cell r="I5451">
            <v>1191.5334517083249</v>
          </cell>
          <cell r="J5451">
            <v>0</v>
          </cell>
        </row>
        <row r="5452">
          <cell r="E5452">
            <v>10570021</v>
          </cell>
          <cell r="F5452" t="str">
            <v>0015</v>
          </cell>
          <cell r="G5452">
            <v>9</v>
          </cell>
          <cell r="H5452">
            <v>31.9</v>
          </cell>
          <cell r="I5452">
            <v>1284.1256057108001</v>
          </cell>
          <cell r="J5452">
            <v>0</v>
          </cell>
        </row>
        <row r="5453">
          <cell r="E5453">
            <v>10570028</v>
          </cell>
          <cell r="F5453" t="str">
            <v>0001</v>
          </cell>
          <cell r="G5453">
            <v>6</v>
          </cell>
          <cell r="H5453">
            <v>71.100000000000009</v>
          </cell>
          <cell r="I5453">
            <v>2768.7229495199995</v>
          </cell>
          <cell r="J5453">
            <v>0</v>
          </cell>
        </row>
        <row r="5454">
          <cell r="E5454">
            <v>10570028</v>
          </cell>
          <cell r="F5454" t="str">
            <v>0002</v>
          </cell>
          <cell r="G5454">
            <v>10</v>
          </cell>
          <cell r="H5454">
            <v>280.2</v>
          </cell>
          <cell r="I5454">
            <v>11334.402715680002</v>
          </cell>
          <cell r="J5454">
            <v>0</v>
          </cell>
        </row>
        <row r="5455">
          <cell r="E5455">
            <v>10570029</v>
          </cell>
          <cell r="F5455" t="str">
            <v>0002</v>
          </cell>
          <cell r="G5455">
            <v>14</v>
          </cell>
          <cell r="H5455">
            <v>287.5</v>
          </cell>
          <cell r="I5455">
            <v>11344.063719583601</v>
          </cell>
          <cell r="J5455">
            <v>0</v>
          </cell>
        </row>
        <row r="5456">
          <cell r="E5456">
            <v>10570030</v>
          </cell>
          <cell r="F5456" t="str">
            <v>0002</v>
          </cell>
          <cell r="G5456">
            <v>14</v>
          </cell>
          <cell r="H5456">
            <v>620.49999999999989</v>
          </cell>
          <cell r="I5456">
            <v>21796.180239239995</v>
          </cell>
          <cell r="J5456">
            <v>0</v>
          </cell>
        </row>
        <row r="5457">
          <cell r="E5457">
            <v>10570031</v>
          </cell>
          <cell r="F5457" t="str">
            <v>0001</v>
          </cell>
          <cell r="G5457">
            <v>9</v>
          </cell>
          <cell r="H5457">
            <v>0.89999999999999991</v>
          </cell>
          <cell r="I5457">
            <v>38.554191720000006</v>
          </cell>
          <cell r="J5457">
            <v>0</v>
          </cell>
        </row>
        <row r="5458">
          <cell r="E5458">
            <v>10570031</v>
          </cell>
          <cell r="F5458" t="str">
            <v>0002</v>
          </cell>
          <cell r="G5458">
            <v>14</v>
          </cell>
          <cell r="H5458">
            <v>153.6</v>
          </cell>
          <cell r="I5458">
            <v>6215.5889241472014</v>
          </cell>
          <cell r="J5458">
            <v>0</v>
          </cell>
        </row>
        <row r="5459">
          <cell r="E5459">
            <v>10570036</v>
          </cell>
          <cell r="F5459" t="str">
            <v>0002</v>
          </cell>
          <cell r="G5459">
            <v>10</v>
          </cell>
          <cell r="H5459">
            <v>263.10000000000002</v>
          </cell>
          <cell r="I5459">
            <v>11473.904558519902</v>
          </cell>
          <cell r="J5459">
            <v>0</v>
          </cell>
        </row>
        <row r="5460">
          <cell r="E5460">
            <v>10570045</v>
          </cell>
          <cell r="F5460" t="str">
            <v>0002</v>
          </cell>
          <cell r="G5460">
            <v>8</v>
          </cell>
          <cell r="H5460">
            <v>552.15</v>
          </cell>
          <cell r="I5460">
            <v>19642.522792140007</v>
          </cell>
          <cell r="J5460">
            <v>0</v>
          </cell>
        </row>
        <row r="5461">
          <cell r="E5461">
            <v>10570045</v>
          </cell>
          <cell r="F5461" t="str">
            <v>0003</v>
          </cell>
          <cell r="G5461">
            <v>6</v>
          </cell>
          <cell r="H5461">
            <v>108.7</v>
          </cell>
          <cell r="I5461">
            <v>6067.1025031554991</v>
          </cell>
          <cell r="J5461">
            <v>0</v>
          </cell>
        </row>
        <row r="5462">
          <cell r="E5462">
            <v>10570045</v>
          </cell>
          <cell r="F5462" t="str">
            <v>0004</v>
          </cell>
          <cell r="G5462">
            <v>4</v>
          </cell>
          <cell r="H5462">
            <v>16.7</v>
          </cell>
          <cell r="I5462">
            <v>679.40953740000009</v>
          </cell>
          <cell r="J5462">
            <v>0</v>
          </cell>
        </row>
        <row r="5463">
          <cell r="E5463">
            <v>10570045</v>
          </cell>
          <cell r="F5463" t="str">
            <v>0006</v>
          </cell>
          <cell r="G5463">
            <v>8</v>
          </cell>
          <cell r="H5463">
            <v>42.300000000000004</v>
          </cell>
          <cell r="I5463">
            <v>1700.0754606000003</v>
          </cell>
          <cell r="J5463">
            <v>0</v>
          </cell>
        </row>
        <row r="5464">
          <cell r="E5464">
            <v>10570045</v>
          </cell>
          <cell r="F5464" t="str">
            <v>0012</v>
          </cell>
          <cell r="G5464">
            <v>8</v>
          </cell>
          <cell r="H5464">
            <v>32.5</v>
          </cell>
          <cell r="I5464">
            <v>1392.9930115200002</v>
          </cell>
          <cell r="J5464">
            <v>0</v>
          </cell>
        </row>
        <row r="5465">
          <cell r="E5465">
            <v>10570045</v>
          </cell>
          <cell r="F5465" t="str">
            <v>0015</v>
          </cell>
          <cell r="G5465">
            <v>5</v>
          </cell>
          <cell r="H5465">
            <v>11.1</v>
          </cell>
          <cell r="I5465">
            <v>467.88645420000012</v>
          </cell>
          <cell r="J5465">
            <v>0</v>
          </cell>
        </row>
        <row r="5466">
          <cell r="E5466">
            <v>10570045</v>
          </cell>
          <cell r="F5466" t="str">
            <v>0017</v>
          </cell>
          <cell r="G5466">
            <v>4</v>
          </cell>
          <cell r="H5466">
            <v>7.8</v>
          </cell>
          <cell r="I5466">
            <v>548.80293730100004</v>
          </cell>
          <cell r="J5466">
            <v>0</v>
          </cell>
        </row>
        <row r="5467">
          <cell r="E5467">
            <v>10570047</v>
          </cell>
          <cell r="F5467" t="str">
            <v>0002</v>
          </cell>
          <cell r="G5467">
            <v>4</v>
          </cell>
          <cell r="H5467">
            <v>137.19999999999999</v>
          </cell>
          <cell r="I5467">
            <v>5107.4646836400007</v>
          </cell>
          <cell r="J5467">
            <v>0</v>
          </cell>
        </row>
        <row r="5468">
          <cell r="E5468">
            <v>10590001</v>
          </cell>
          <cell r="F5468" t="str">
            <v>0001</v>
          </cell>
          <cell r="G5468">
            <v>8</v>
          </cell>
          <cell r="H5468">
            <v>6.38</v>
          </cell>
          <cell r="I5468">
            <v>262.40656849944008</v>
          </cell>
          <cell r="J5468">
            <v>0</v>
          </cell>
        </row>
        <row r="5469">
          <cell r="E5469">
            <v>10590001</v>
          </cell>
          <cell r="F5469" t="str">
            <v>0002</v>
          </cell>
          <cell r="G5469">
            <v>14</v>
          </cell>
          <cell r="H5469">
            <v>381.53</v>
          </cell>
          <cell r="I5469">
            <v>23288.80499636232</v>
          </cell>
          <cell r="J5469">
            <v>0</v>
          </cell>
        </row>
        <row r="5470">
          <cell r="E5470">
            <v>10590001</v>
          </cell>
          <cell r="F5470" t="str">
            <v>0003</v>
          </cell>
          <cell r="G5470">
            <v>14</v>
          </cell>
          <cell r="H5470">
            <v>53.85</v>
          </cell>
          <cell r="I5470">
            <v>3593.25311876872</v>
          </cell>
          <cell r="J5470">
            <v>0</v>
          </cell>
        </row>
        <row r="5471">
          <cell r="E5471">
            <v>10590001</v>
          </cell>
          <cell r="F5471" t="str">
            <v>0004</v>
          </cell>
          <cell r="G5471">
            <v>14</v>
          </cell>
          <cell r="H5471">
            <v>19.93</v>
          </cell>
          <cell r="I5471">
            <v>1444.1724401721999</v>
          </cell>
          <cell r="J5471">
            <v>0</v>
          </cell>
        </row>
        <row r="5472">
          <cell r="E5472">
            <v>10590001</v>
          </cell>
          <cell r="F5472" t="str">
            <v>0005</v>
          </cell>
          <cell r="G5472">
            <v>7</v>
          </cell>
          <cell r="H5472">
            <v>23.470000000000002</v>
          </cell>
          <cell r="I5472">
            <v>1824.0520632738999</v>
          </cell>
          <cell r="J5472">
            <v>0</v>
          </cell>
        </row>
        <row r="5473">
          <cell r="E5473">
            <v>10590001</v>
          </cell>
          <cell r="F5473" t="str">
            <v>0007</v>
          </cell>
          <cell r="G5473">
            <v>1</v>
          </cell>
          <cell r="H5473">
            <v>1.82</v>
          </cell>
          <cell r="I5473">
            <v>89.960267211360005</v>
          </cell>
          <cell r="J5473">
            <v>0</v>
          </cell>
        </row>
        <row r="5474">
          <cell r="E5474">
            <v>10590001</v>
          </cell>
          <cell r="F5474" t="str">
            <v>0008</v>
          </cell>
          <cell r="G5474">
            <v>13</v>
          </cell>
          <cell r="H5474">
            <v>36.480000000000004</v>
          </cell>
          <cell r="I5474">
            <v>2479.9573088321999</v>
          </cell>
          <cell r="J5474">
            <v>0</v>
          </cell>
        </row>
        <row r="5475">
          <cell r="E5475">
            <v>10590001</v>
          </cell>
          <cell r="F5475" t="str">
            <v>0011</v>
          </cell>
          <cell r="G5475">
            <v>7</v>
          </cell>
          <cell r="H5475">
            <v>19.96</v>
          </cell>
          <cell r="I5475">
            <v>803.38088318400003</v>
          </cell>
          <cell r="J5475">
            <v>0</v>
          </cell>
        </row>
        <row r="5476">
          <cell r="E5476">
            <v>10590002</v>
          </cell>
          <cell r="F5476" t="str">
            <v>0002</v>
          </cell>
          <cell r="G5476">
            <v>7</v>
          </cell>
          <cell r="H5476">
            <v>163.30000000000001</v>
          </cell>
          <cell r="I5476">
            <v>10341.928084965779</v>
          </cell>
          <cell r="J5476">
            <v>0</v>
          </cell>
        </row>
        <row r="5477">
          <cell r="E5477">
            <v>10590004</v>
          </cell>
          <cell r="F5477" t="str">
            <v>0002</v>
          </cell>
          <cell r="G5477">
            <v>14</v>
          </cell>
          <cell r="H5477">
            <v>1132.6999999999998</v>
          </cell>
          <cell r="I5477">
            <v>43306.362289713601</v>
          </cell>
          <cell r="J5477">
            <v>0</v>
          </cell>
        </row>
        <row r="5478">
          <cell r="E5478">
            <v>10590006</v>
          </cell>
          <cell r="F5478" t="str">
            <v>0002</v>
          </cell>
          <cell r="G5478">
            <v>14</v>
          </cell>
          <cell r="H5478">
            <v>649.20000000000005</v>
          </cell>
          <cell r="I5478">
            <v>26513.47828404</v>
          </cell>
          <cell r="J5478">
            <v>0</v>
          </cell>
        </row>
        <row r="5479">
          <cell r="E5479">
            <v>10590008</v>
          </cell>
          <cell r="F5479" t="str">
            <v>0002</v>
          </cell>
          <cell r="G5479">
            <v>14</v>
          </cell>
          <cell r="H5479">
            <v>297.8</v>
          </cell>
          <cell r="I5479">
            <v>12504.81713976</v>
          </cell>
          <cell r="J5479">
            <v>0</v>
          </cell>
        </row>
        <row r="5480">
          <cell r="E5480">
            <v>10590009</v>
          </cell>
          <cell r="F5480" t="str">
            <v>0002</v>
          </cell>
          <cell r="G5480">
            <v>2</v>
          </cell>
          <cell r="H5480">
            <v>17.7</v>
          </cell>
          <cell r="I5480">
            <v>715.38392732400007</v>
          </cell>
          <cell r="J5480">
            <v>0</v>
          </cell>
        </row>
        <row r="5481">
          <cell r="E5481">
            <v>10590010</v>
          </cell>
          <cell r="F5481" t="str">
            <v>0002</v>
          </cell>
          <cell r="G5481">
            <v>14</v>
          </cell>
          <cell r="H5481">
            <v>562.95000000000005</v>
          </cell>
          <cell r="I5481">
            <v>28749.385403078202</v>
          </cell>
          <cell r="J5481">
            <v>0</v>
          </cell>
        </row>
        <row r="5482">
          <cell r="E5482">
            <v>10590011</v>
          </cell>
          <cell r="F5482" t="str">
            <v>0002</v>
          </cell>
          <cell r="G5482">
            <v>14</v>
          </cell>
          <cell r="H5482">
            <v>428.70000000000005</v>
          </cell>
          <cell r="I5482">
            <v>18384.336941769005</v>
          </cell>
          <cell r="J5482">
            <v>0</v>
          </cell>
        </row>
        <row r="5483">
          <cell r="E5483">
            <v>10590012</v>
          </cell>
          <cell r="F5483" t="str">
            <v>0002</v>
          </cell>
          <cell r="G5483">
            <v>14</v>
          </cell>
          <cell r="H5483">
            <v>241.69999999999993</v>
          </cell>
          <cell r="I5483">
            <v>9650.0996331300012</v>
          </cell>
          <cell r="J5483">
            <v>0</v>
          </cell>
        </row>
        <row r="5484">
          <cell r="E5484">
            <v>10600001</v>
          </cell>
          <cell r="F5484" t="str">
            <v>0002</v>
          </cell>
          <cell r="G5484">
            <v>11</v>
          </cell>
          <cell r="H5484">
            <v>378.42999999999995</v>
          </cell>
          <cell r="I5484">
            <v>15299.4535961568</v>
          </cell>
          <cell r="J5484">
            <v>0</v>
          </cell>
        </row>
        <row r="5485">
          <cell r="E5485">
            <v>10600001</v>
          </cell>
          <cell r="F5485" t="str">
            <v>0003</v>
          </cell>
          <cell r="G5485">
            <v>11</v>
          </cell>
          <cell r="H5485">
            <v>319.17999999999995</v>
          </cell>
          <cell r="I5485">
            <v>12934.812371580003</v>
          </cell>
          <cell r="J5485">
            <v>0</v>
          </cell>
        </row>
        <row r="5486">
          <cell r="E5486">
            <v>10600002</v>
          </cell>
          <cell r="F5486" t="str">
            <v>0002</v>
          </cell>
          <cell r="G5486">
            <v>14</v>
          </cell>
          <cell r="H5486">
            <v>731.3</v>
          </cell>
          <cell r="I5486">
            <v>30557.859002738554</v>
          </cell>
          <cell r="J5486">
            <v>0</v>
          </cell>
        </row>
        <row r="5487">
          <cell r="E5487">
            <v>10600004</v>
          </cell>
          <cell r="F5487" t="str">
            <v>0002</v>
          </cell>
          <cell r="G5487">
            <v>14</v>
          </cell>
          <cell r="H5487">
            <v>123.05</v>
          </cell>
          <cell r="I5487">
            <v>6044.7629747296014</v>
          </cell>
          <cell r="J5487">
            <v>0</v>
          </cell>
        </row>
        <row r="5488">
          <cell r="E5488">
            <v>10600004</v>
          </cell>
          <cell r="F5488" t="str">
            <v>0003</v>
          </cell>
          <cell r="G5488">
            <v>14</v>
          </cell>
          <cell r="H5488">
            <v>367.49000000000007</v>
          </cell>
          <cell r="I5488">
            <v>14809.7365067049</v>
          </cell>
          <cell r="J5488">
            <v>0</v>
          </cell>
        </row>
        <row r="5489">
          <cell r="E5489">
            <v>10600005</v>
          </cell>
          <cell r="F5489" t="str">
            <v>0001</v>
          </cell>
          <cell r="G5489">
            <v>1</v>
          </cell>
          <cell r="H5489">
            <v>0.34</v>
          </cell>
          <cell r="I5489">
            <v>12.306341044800003</v>
          </cell>
          <cell r="J5489">
            <v>0</v>
          </cell>
        </row>
        <row r="5490">
          <cell r="E5490">
            <v>10600005</v>
          </cell>
          <cell r="F5490" t="str">
            <v>0002</v>
          </cell>
          <cell r="G5490">
            <v>14</v>
          </cell>
          <cell r="H5490">
            <v>109.2</v>
          </cell>
          <cell r="I5490">
            <v>4977.2484926442539</v>
          </cell>
          <cell r="J5490">
            <v>0</v>
          </cell>
        </row>
        <row r="5491">
          <cell r="E5491">
            <v>10600006</v>
          </cell>
          <cell r="F5491" t="str">
            <v>0001</v>
          </cell>
          <cell r="G5491">
            <v>12</v>
          </cell>
          <cell r="H5491">
            <v>2.83</v>
          </cell>
          <cell r="I5491">
            <v>116.85879374400002</v>
          </cell>
          <cell r="J5491">
            <v>0</v>
          </cell>
        </row>
        <row r="5492">
          <cell r="E5492">
            <v>10600006</v>
          </cell>
          <cell r="F5492" t="str">
            <v>0002</v>
          </cell>
          <cell r="G5492">
            <v>12</v>
          </cell>
          <cell r="H5492">
            <v>323.33</v>
          </cell>
          <cell r="I5492">
            <v>13513.537091379141</v>
          </cell>
          <cell r="J5492">
            <v>0</v>
          </cell>
        </row>
        <row r="5493">
          <cell r="E5493">
            <v>10600006</v>
          </cell>
          <cell r="F5493" t="str">
            <v>0004</v>
          </cell>
          <cell r="G5493">
            <v>12</v>
          </cell>
          <cell r="H5493">
            <v>230.15</v>
          </cell>
          <cell r="I5493">
            <v>9044.8013155860008</v>
          </cell>
          <cell r="J5493">
            <v>0</v>
          </cell>
        </row>
        <row r="5494">
          <cell r="E5494">
            <v>10600006</v>
          </cell>
          <cell r="F5494" t="str">
            <v>0006</v>
          </cell>
          <cell r="G5494">
            <v>6</v>
          </cell>
          <cell r="H5494">
            <v>14.75</v>
          </cell>
          <cell r="I5494">
            <v>855.10027380322413</v>
          </cell>
          <cell r="J5494">
            <v>0</v>
          </cell>
        </row>
        <row r="5495">
          <cell r="E5495">
            <v>10600006</v>
          </cell>
          <cell r="F5495" t="str">
            <v>0011</v>
          </cell>
          <cell r="G5495">
            <v>12</v>
          </cell>
          <cell r="H5495">
            <v>26.7</v>
          </cell>
          <cell r="I5495">
            <v>1137.8950751519999</v>
          </cell>
          <cell r="J5495">
            <v>0</v>
          </cell>
        </row>
        <row r="5496">
          <cell r="E5496">
            <v>10600008</v>
          </cell>
          <cell r="F5496" t="str">
            <v>0002</v>
          </cell>
          <cell r="G5496">
            <v>14</v>
          </cell>
          <cell r="H5496">
            <v>206.45999999999995</v>
          </cell>
          <cell r="I5496">
            <v>6936.5425830624017</v>
          </cell>
          <cell r="J5496">
            <v>0</v>
          </cell>
        </row>
        <row r="5497">
          <cell r="E5497">
            <v>10600009</v>
          </cell>
          <cell r="F5497" t="str">
            <v>0002</v>
          </cell>
          <cell r="G5497">
            <v>13</v>
          </cell>
          <cell r="H5497">
            <v>398.59</v>
          </cell>
          <cell r="I5497">
            <v>16218.612896232004</v>
          </cell>
          <cell r="J5497">
            <v>0</v>
          </cell>
        </row>
        <row r="5498">
          <cell r="E5498">
            <v>10600009</v>
          </cell>
          <cell r="F5498" t="str">
            <v>0003</v>
          </cell>
          <cell r="G5498">
            <v>4</v>
          </cell>
          <cell r="H5498">
            <v>16.559999999999999</v>
          </cell>
          <cell r="I5498">
            <v>637.11438793200011</v>
          </cell>
          <cell r="J5498">
            <v>0</v>
          </cell>
        </row>
        <row r="5499">
          <cell r="E5499">
            <v>10600009</v>
          </cell>
          <cell r="F5499" t="str">
            <v>0004</v>
          </cell>
          <cell r="G5499">
            <v>6</v>
          </cell>
          <cell r="H5499">
            <v>20.84</v>
          </cell>
          <cell r="I5499">
            <v>770.19936364800014</v>
          </cell>
          <cell r="J5499">
            <v>0</v>
          </cell>
        </row>
        <row r="5500">
          <cell r="E5500">
            <v>10600009</v>
          </cell>
          <cell r="F5500" t="str">
            <v>0005</v>
          </cell>
          <cell r="G5500">
            <v>5</v>
          </cell>
          <cell r="H5500">
            <v>14.450000000000001</v>
          </cell>
          <cell r="I5500">
            <v>506.64221308800006</v>
          </cell>
          <cell r="J5500">
            <v>0</v>
          </cell>
        </row>
        <row r="5501">
          <cell r="E5501">
            <v>10600009</v>
          </cell>
          <cell r="F5501" t="str">
            <v>0006</v>
          </cell>
          <cell r="G5501">
            <v>6</v>
          </cell>
          <cell r="H5501">
            <v>14.400000000000002</v>
          </cell>
          <cell r="I5501">
            <v>617.29953758050203</v>
          </cell>
          <cell r="J5501">
            <v>0</v>
          </cell>
        </row>
        <row r="5502">
          <cell r="E5502">
            <v>10600009</v>
          </cell>
          <cell r="F5502" t="str">
            <v>0007</v>
          </cell>
          <cell r="G5502">
            <v>6</v>
          </cell>
          <cell r="H5502">
            <v>50.69</v>
          </cell>
          <cell r="I5502">
            <v>1824.1568928000002</v>
          </cell>
          <cell r="J5502">
            <v>0</v>
          </cell>
        </row>
        <row r="5503">
          <cell r="E5503">
            <v>10600009</v>
          </cell>
          <cell r="F5503" t="str">
            <v>0009</v>
          </cell>
          <cell r="G5503">
            <v>5</v>
          </cell>
          <cell r="H5503">
            <v>20.09</v>
          </cell>
          <cell r="I5503">
            <v>701.198237124</v>
          </cell>
          <cell r="J5503">
            <v>0</v>
          </cell>
        </row>
        <row r="5504">
          <cell r="E5504">
            <v>10600009</v>
          </cell>
          <cell r="F5504" t="str">
            <v>0011</v>
          </cell>
          <cell r="G5504">
            <v>6</v>
          </cell>
          <cell r="H5504">
            <v>53.150000000000006</v>
          </cell>
          <cell r="I5504">
            <v>2003.8231390320002</v>
          </cell>
          <cell r="J5504">
            <v>0</v>
          </cell>
        </row>
        <row r="5505">
          <cell r="E5505">
            <v>10600010</v>
          </cell>
          <cell r="F5505" t="str">
            <v>0001</v>
          </cell>
          <cell r="G5505">
            <v>7</v>
          </cell>
          <cell r="H5505">
            <v>3.54</v>
          </cell>
          <cell r="I5505">
            <v>125.62043630400002</v>
          </cell>
          <cell r="J5505">
            <v>0</v>
          </cell>
        </row>
        <row r="5506">
          <cell r="E5506">
            <v>10600010</v>
          </cell>
          <cell r="F5506" t="str">
            <v>0002</v>
          </cell>
          <cell r="G5506">
            <v>8</v>
          </cell>
          <cell r="H5506">
            <v>423.5</v>
          </cell>
          <cell r="I5506">
            <v>15989.230380816001</v>
          </cell>
          <cell r="J5506">
            <v>0</v>
          </cell>
        </row>
        <row r="5507">
          <cell r="E5507">
            <v>10610002</v>
          </cell>
          <cell r="F5507" t="str">
            <v>0001</v>
          </cell>
          <cell r="G5507">
            <v>12</v>
          </cell>
          <cell r="H5507">
            <v>3.6999999999999993</v>
          </cell>
          <cell r="I5507">
            <v>183.03496343380002</v>
          </cell>
          <cell r="J5507">
            <v>0</v>
          </cell>
        </row>
        <row r="5508">
          <cell r="E5508">
            <v>10610002</v>
          </cell>
          <cell r="F5508" t="str">
            <v>0002</v>
          </cell>
          <cell r="G5508">
            <v>13</v>
          </cell>
          <cell r="H5508">
            <v>141.60000000000002</v>
          </cell>
          <cell r="I5508">
            <v>6856.7452688575995</v>
          </cell>
          <cell r="J5508">
            <v>0</v>
          </cell>
        </row>
        <row r="5509">
          <cell r="E5509">
            <v>10610002</v>
          </cell>
          <cell r="F5509" t="str">
            <v>0003</v>
          </cell>
          <cell r="G5509">
            <v>6</v>
          </cell>
          <cell r="H5509">
            <v>17.899999999999999</v>
          </cell>
          <cell r="I5509">
            <v>1470.5049989909999</v>
          </cell>
          <cell r="J5509">
            <v>0</v>
          </cell>
        </row>
        <row r="5510">
          <cell r="E5510">
            <v>10610002</v>
          </cell>
          <cell r="F5510" t="str">
            <v>0005</v>
          </cell>
          <cell r="G5510">
            <v>13</v>
          </cell>
          <cell r="H5510">
            <v>35.699999999999996</v>
          </cell>
          <cell r="I5510">
            <v>2049.4925537415002</v>
          </cell>
          <cell r="J5510">
            <v>0</v>
          </cell>
        </row>
        <row r="5511">
          <cell r="E5511">
            <v>10610002</v>
          </cell>
          <cell r="F5511" t="str">
            <v>0006</v>
          </cell>
          <cell r="G5511">
            <v>13</v>
          </cell>
          <cell r="H5511">
            <v>34</v>
          </cell>
          <cell r="I5511">
            <v>2067.4606726336006</v>
          </cell>
          <cell r="J5511">
            <v>0</v>
          </cell>
        </row>
        <row r="5512">
          <cell r="E5512">
            <v>10610002</v>
          </cell>
          <cell r="F5512" t="str">
            <v>0007</v>
          </cell>
          <cell r="G5512">
            <v>14</v>
          </cell>
          <cell r="H5512">
            <v>91.5</v>
          </cell>
          <cell r="I5512">
            <v>4733.7792480546004</v>
          </cell>
          <cell r="J5512">
            <v>0</v>
          </cell>
        </row>
        <row r="5513">
          <cell r="E5513">
            <v>10610002</v>
          </cell>
          <cell r="F5513" t="str">
            <v>0008</v>
          </cell>
          <cell r="G5513">
            <v>13</v>
          </cell>
          <cell r="H5513">
            <v>28.8</v>
          </cell>
          <cell r="I5513">
            <v>1538.3026119335</v>
          </cell>
          <cell r="J5513">
            <v>0</v>
          </cell>
        </row>
        <row r="5514">
          <cell r="E5514">
            <v>10610002</v>
          </cell>
          <cell r="F5514" t="str">
            <v>0009</v>
          </cell>
          <cell r="G5514">
            <v>7</v>
          </cell>
          <cell r="H5514">
            <v>27.799999999999997</v>
          </cell>
          <cell r="I5514">
            <v>1232.5817138550001</v>
          </cell>
          <cell r="J5514">
            <v>0</v>
          </cell>
        </row>
        <row r="5515">
          <cell r="E5515">
            <v>10610006</v>
          </cell>
          <cell r="F5515" t="str">
            <v>0001</v>
          </cell>
          <cell r="G5515">
            <v>8</v>
          </cell>
          <cell r="H5515">
            <v>4.2</v>
          </cell>
          <cell r="I5515">
            <v>213.3642006929</v>
          </cell>
          <cell r="J5515">
            <v>0</v>
          </cell>
        </row>
        <row r="5516">
          <cell r="E5516">
            <v>10610006</v>
          </cell>
          <cell r="F5516" t="str">
            <v>0002</v>
          </cell>
          <cell r="G5516">
            <v>14</v>
          </cell>
          <cell r="H5516">
            <v>201.00000000000006</v>
          </cell>
          <cell r="I5516">
            <v>9247.6462855640984</v>
          </cell>
          <cell r="J5516">
            <v>0</v>
          </cell>
        </row>
        <row r="5517">
          <cell r="E5517">
            <v>10610006</v>
          </cell>
          <cell r="F5517" t="str">
            <v>0003</v>
          </cell>
          <cell r="G5517">
            <v>7</v>
          </cell>
          <cell r="H5517">
            <v>16</v>
          </cell>
          <cell r="I5517">
            <v>1149.0524161230001</v>
          </cell>
          <cell r="J5517">
            <v>0</v>
          </cell>
        </row>
        <row r="5518">
          <cell r="E5518">
            <v>10610006</v>
          </cell>
          <cell r="F5518" t="str">
            <v>0005</v>
          </cell>
          <cell r="G5518">
            <v>6</v>
          </cell>
          <cell r="H5518">
            <v>7.3999999999999995</v>
          </cell>
          <cell r="I5518">
            <v>291.52983024000002</v>
          </cell>
          <cell r="J5518">
            <v>0</v>
          </cell>
        </row>
        <row r="5519">
          <cell r="E5519">
            <v>10610006</v>
          </cell>
          <cell r="F5519" t="str">
            <v>0006</v>
          </cell>
          <cell r="G5519">
            <v>7</v>
          </cell>
          <cell r="H5519">
            <v>24.3</v>
          </cell>
          <cell r="I5519">
            <v>942.90721430400004</v>
          </cell>
          <cell r="J5519">
            <v>0</v>
          </cell>
        </row>
        <row r="5520">
          <cell r="E5520">
            <v>10610006</v>
          </cell>
          <cell r="F5520" t="str">
            <v>0008</v>
          </cell>
          <cell r="G5520">
            <v>7</v>
          </cell>
          <cell r="H5520">
            <v>22.9</v>
          </cell>
          <cell r="I5520">
            <v>1780.948904335</v>
          </cell>
          <cell r="J5520">
            <v>0</v>
          </cell>
        </row>
        <row r="5521">
          <cell r="E5521">
            <v>10610006</v>
          </cell>
          <cell r="F5521" t="str">
            <v>0009</v>
          </cell>
          <cell r="G5521">
            <v>13</v>
          </cell>
          <cell r="H5521">
            <v>29.5</v>
          </cell>
          <cell r="I5521">
            <v>1107.6700852800002</v>
          </cell>
          <cell r="J5521">
            <v>0</v>
          </cell>
        </row>
        <row r="5522">
          <cell r="E5522">
            <v>10610006</v>
          </cell>
          <cell r="F5522" t="str">
            <v>0010</v>
          </cell>
          <cell r="G5522">
            <v>11</v>
          </cell>
          <cell r="H5522">
            <v>47.2</v>
          </cell>
          <cell r="I5522">
            <v>2443.0118306421209</v>
          </cell>
          <cell r="J5522">
            <v>0</v>
          </cell>
        </row>
        <row r="5523">
          <cell r="E5523">
            <v>10610006</v>
          </cell>
          <cell r="F5523" t="str">
            <v>0011</v>
          </cell>
          <cell r="G5523">
            <v>4</v>
          </cell>
          <cell r="H5523">
            <v>4.5999999999999996</v>
          </cell>
          <cell r="I5523">
            <v>213.19876710400001</v>
          </cell>
          <cell r="J5523">
            <v>0</v>
          </cell>
        </row>
        <row r="5524">
          <cell r="E5524">
            <v>10610006</v>
          </cell>
          <cell r="F5524" t="str">
            <v>0012</v>
          </cell>
          <cell r="G5524">
            <v>13</v>
          </cell>
          <cell r="H5524">
            <v>31.599999999999994</v>
          </cell>
          <cell r="I5524">
            <v>1727.9912969339998</v>
          </cell>
          <cell r="J5524">
            <v>0</v>
          </cell>
        </row>
        <row r="5525">
          <cell r="E5525">
            <v>10610006</v>
          </cell>
          <cell r="F5525" t="str">
            <v>0013</v>
          </cell>
          <cell r="G5525">
            <v>7</v>
          </cell>
          <cell r="H5525">
            <v>8.5</v>
          </cell>
          <cell r="I5525">
            <v>667.78301563479999</v>
          </cell>
          <cell r="J5525">
            <v>0</v>
          </cell>
        </row>
        <row r="5526">
          <cell r="E5526">
            <v>10610006</v>
          </cell>
          <cell r="F5526" t="str">
            <v>0014</v>
          </cell>
          <cell r="G5526">
            <v>13</v>
          </cell>
          <cell r="H5526">
            <v>74.099999999999994</v>
          </cell>
          <cell r="I5526">
            <v>4222.1629871660998</v>
          </cell>
          <cell r="J5526">
            <v>0</v>
          </cell>
        </row>
        <row r="5527">
          <cell r="E5527">
            <v>10610006</v>
          </cell>
          <cell r="F5527" t="str">
            <v>0018</v>
          </cell>
          <cell r="G5527">
            <v>11</v>
          </cell>
          <cell r="H5527">
            <v>27.5</v>
          </cell>
          <cell r="I5527">
            <v>1855.3491572609998</v>
          </cell>
          <cell r="J5527">
            <v>0</v>
          </cell>
        </row>
        <row r="5528">
          <cell r="E5528">
            <v>10610007</v>
          </cell>
          <cell r="F5528" t="str">
            <v>0001</v>
          </cell>
          <cell r="G5528">
            <v>14</v>
          </cell>
          <cell r="H5528">
            <v>7.2999999999999989</v>
          </cell>
          <cell r="I5528">
            <v>378.78758810065</v>
          </cell>
          <cell r="J5528">
            <v>0</v>
          </cell>
        </row>
        <row r="5529">
          <cell r="E5529">
            <v>10610007</v>
          </cell>
          <cell r="F5529" t="str">
            <v>0002</v>
          </cell>
          <cell r="G5529">
            <v>10</v>
          </cell>
          <cell r="H5529">
            <v>46.3</v>
          </cell>
          <cell r="I5529">
            <v>2001.1814063296799</v>
          </cell>
          <cell r="J5529">
            <v>0</v>
          </cell>
        </row>
        <row r="5530">
          <cell r="E5530">
            <v>10610007</v>
          </cell>
          <cell r="F5530" t="str">
            <v>0003</v>
          </cell>
          <cell r="G5530">
            <v>7</v>
          </cell>
          <cell r="H5530">
            <v>14.600000000000001</v>
          </cell>
          <cell r="I5530">
            <v>1133.1387877249997</v>
          </cell>
          <cell r="J5530">
            <v>0</v>
          </cell>
        </row>
        <row r="5531">
          <cell r="E5531">
            <v>10610007</v>
          </cell>
          <cell r="F5531" t="str">
            <v>0004</v>
          </cell>
          <cell r="G5531">
            <v>6</v>
          </cell>
          <cell r="H5531">
            <v>6.4</v>
          </cell>
          <cell r="I5531">
            <v>326.41514572300008</v>
          </cell>
          <cell r="J5531">
            <v>0</v>
          </cell>
        </row>
        <row r="5532">
          <cell r="E5532">
            <v>10610007</v>
          </cell>
          <cell r="F5532" t="str">
            <v>0005</v>
          </cell>
          <cell r="G5532">
            <v>13</v>
          </cell>
          <cell r="H5532">
            <v>24.700000000000003</v>
          </cell>
          <cell r="I5532">
            <v>1355.2395833715002</v>
          </cell>
          <cell r="J5532">
            <v>0</v>
          </cell>
        </row>
        <row r="5533">
          <cell r="E5533">
            <v>10610007</v>
          </cell>
          <cell r="F5533" t="str">
            <v>0006</v>
          </cell>
          <cell r="G5533">
            <v>11</v>
          </cell>
          <cell r="H5533">
            <v>19.5</v>
          </cell>
          <cell r="I5533">
            <v>1260.8102962400001</v>
          </cell>
          <cell r="J5533">
            <v>0</v>
          </cell>
        </row>
        <row r="5534">
          <cell r="E5534">
            <v>10610007</v>
          </cell>
          <cell r="F5534" t="str">
            <v>0007</v>
          </cell>
          <cell r="G5534">
            <v>12</v>
          </cell>
          <cell r="H5534">
            <v>33.900000000000006</v>
          </cell>
          <cell r="I5534">
            <v>1158.0161295780001</v>
          </cell>
          <cell r="J5534">
            <v>0</v>
          </cell>
        </row>
        <row r="5535">
          <cell r="E5535">
            <v>10610007</v>
          </cell>
          <cell r="F5535" t="str">
            <v>0008</v>
          </cell>
          <cell r="G5535">
            <v>14</v>
          </cell>
          <cell r="H5535">
            <v>30.4</v>
          </cell>
          <cell r="I5535">
            <v>1074.7299742740001</v>
          </cell>
          <cell r="J5535">
            <v>0</v>
          </cell>
        </row>
        <row r="5536">
          <cell r="E5536">
            <v>10610007</v>
          </cell>
          <cell r="F5536" t="str">
            <v>0010</v>
          </cell>
          <cell r="G5536">
            <v>14</v>
          </cell>
          <cell r="H5536">
            <v>30.499999999999996</v>
          </cell>
          <cell r="I5536">
            <v>1916.0249209024</v>
          </cell>
          <cell r="J5536">
            <v>0</v>
          </cell>
        </row>
        <row r="5537">
          <cell r="E5537">
            <v>10610007</v>
          </cell>
          <cell r="F5537" t="str">
            <v>0012</v>
          </cell>
          <cell r="G5537">
            <v>7</v>
          </cell>
          <cell r="H5537">
            <v>29.299999999999997</v>
          </cell>
          <cell r="I5537">
            <v>1011.200904054</v>
          </cell>
          <cell r="J5537">
            <v>0</v>
          </cell>
        </row>
        <row r="5538">
          <cell r="E5538">
            <v>10610007</v>
          </cell>
          <cell r="F5538" t="str">
            <v>0013</v>
          </cell>
          <cell r="G5538">
            <v>14</v>
          </cell>
          <cell r="H5538">
            <v>48.199999999999989</v>
          </cell>
          <cell r="I5538">
            <v>3029.2427659879004</v>
          </cell>
          <cell r="J5538">
            <v>0</v>
          </cell>
        </row>
        <row r="5539">
          <cell r="E5539">
            <v>10610007</v>
          </cell>
          <cell r="F5539" t="str">
            <v>0014</v>
          </cell>
          <cell r="G5539">
            <v>8</v>
          </cell>
          <cell r="H5539">
            <v>16.5</v>
          </cell>
          <cell r="I5539">
            <v>1228.1588060883</v>
          </cell>
          <cell r="J5539">
            <v>0</v>
          </cell>
        </row>
        <row r="5540">
          <cell r="E5540">
            <v>10610007</v>
          </cell>
          <cell r="F5540" t="str">
            <v>0017</v>
          </cell>
          <cell r="G5540">
            <v>10</v>
          </cell>
          <cell r="H5540">
            <v>26.899999999999995</v>
          </cell>
          <cell r="I5540">
            <v>1203.1427802343001</v>
          </cell>
          <cell r="J5540">
            <v>0</v>
          </cell>
        </row>
        <row r="5541">
          <cell r="E5541">
            <v>10610007</v>
          </cell>
          <cell r="F5541" t="str">
            <v>0019</v>
          </cell>
          <cell r="G5541">
            <v>7</v>
          </cell>
          <cell r="H5541">
            <v>23.8</v>
          </cell>
          <cell r="I5541">
            <v>927.10923742800014</v>
          </cell>
          <cell r="J5541">
            <v>0</v>
          </cell>
        </row>
        <row r="5542">
          <cell r="E5542">
            <v>10610007</v>
          </cell>
          <cell r="F5542" t="str">
            <v>0021</v>
          </cell>
          <cell r="G5542">
            <v>14</v>
          </cell>
          <cell r="H5542">
            <v>35.300000000000004</v>
          </cell>
          <cell r="I5542">
            <v>1977.1780550068002</v>
          </cell>
          <cell r="J5542">
            <v>0</v>
          </cell>
        </row>
        <row r="5543">
          <cell r="E5543">
            <v>10610008</v>
          </cell>
          <cell r="F5543" t="str">
            <v>0002</v>
          </cell>
          <cell r="G5543">
            <v>13</v>
          </cell>
          <cell r="H5543">
            <v>362.60000000000008</v>
          </cell>
          <cell r="I5543">
            <v>17631.585353544502</v>
          </cell>
          <cell r="J5543">
            <v>0</v>
          </cell>
        </row>
        <row r="5544">
          <cell r="E5544">
            <v>10610008</v>
          </cell>
          <cell r="F5544" t="str">
            <v>0004</v>
          </cell>
          <cell r="G5544">
            <v>13</v>
          </cell>
          <cell r="H5544">
            <v>35.599999999999994</v>
          </cell>
          <cell r="I5544">
            <v>1844.3854351290001</v>
          </cell>
          <cell r="J5544">
            <v>0</v>
          </cell>
        </row>
        <row r="5545">
          <cell r="E5545">
            <v>10610009</v>
          </cell>
          <cell r="F5545" t="str">
            <v>0001</v>
          </cell>
          <cell r="G5545">
            <v>11</v>
          </cell>
          <cell r="H5545">
            <v>7.1</v>
          </cell>
          <cell r="I5545">
            <v>291.39784344000009</v>
          </cell>
          <cell r="J5545">
            <v>0</v>
          </cell>
        </row>
        <row r="5546">
          <cell r="E5546">
            <v>10610009</v>
          </cell>
          <cell r="F5546" t="str">
            <v>0002</v>
          </cell>
          <cell r="G5546">
            <v>13</v>
          </cell>
          <cell r="H5546">
            <v>132.9</v>
          </cell>
          <cell r="I5546">
            <v>5331.7434416960014</v>
          </cell>
          <cell r="J5546">
            <v>0</v>
          </cell>
        </row>
        <row r="5547">
          <cell r="E5547">
            <v>10610009</v>
          </cell>
          <cell r="F5547" t="str">
            <v>0003</v>
          </cell>
          <cell r="G5547">
            <v>7</v>
          </cell>
          <cell r="H5547">
            <v>12.500000000000002</v>
          </cell>
          <cell r="I5547">
            <v>671.64977415270005</v>
          </cell>
          <cell r="J5547">
            <v>0</v>
          </cell>
        </row>
        <row r="5548">
          <cell r="E5548">
            <v>10610009</v>
          </cell>
          <cell r="F5548" t="str">
            <v>0004</v>
          </cell>
          <cell r="G5548">
            <v>7</v>
          </cell>
          <cell r="H5548">
            <v>42.300000000000004</v>
          </cell>
          <cell r="I5548">
            <v>2217.2239388846001</v>
          </cell>
          <cell r="J5548">
            <v>0</v>
          </cell>
        </row>
        <row r="5549">
          <cell r="E5549">
            <v>10610009</v>
          </cell>
          <cell r="F5549" t="str">
            <v>0005</v>
          </cell>
          <cell r="G5549">
            <v>7</v>
          </cell>
          <cell r="H5549">
            <v>23.1</v>
          </cell>
          <cell r="I5549">
            <v>860.70487536000019</v>
          </cell>
          <cell r="J5549">
            <v>0</v>
          </cell>
        </row>
        <row r="5550">
          <cell r="E5550">
            <v>10610009</v>
          </cell>
          <cell r="F5550" t="str">
            <v>0009</v>
          </cell>
          <cell r="G5550">
            <v>7</v>
          </cell>
          <cell r="H5550">
            <v>13.600000000000001</v>
          </cell>
          <cell r="I5550">
            <v>447.65298606600004</v>
          </cell>
          <cell r="J5550">
            <v>0</v>
          </cell>
        </row>
        <row r="5551">
          <cell r="E5551">
            <v>10610009</v>
          </cell>
          <cell r="F5551" t="str">
            <v>0011</v>
          </cell>
          <cell r="G5551">
            <v>12</v>
          </cell>
          <cell r="H5551">
            <v>13.3</v>
          </cell>
          <cell r="I5551">
            <v>703.3679779831001</v>
          </cell>
          <cell r="J5551">
            <v>0</v>
          </cell>
        </row>
        <row r="5552">
          <cell r="E5552">
            <v>10610009</v>
          </cell>
          <cell r="F5552" t="str">
            <v>0013</v>
          </cell>
          <cell r="G5552">
            <v>14</v>
          </cell>
          <cell r="H5552">
            <v>40.199999999999996</v>
          </cell>
          <cell r="I5552">
            <v>1409.2287307560002</v>
          </cell>
          <cell r="J5552">
            <v>0</v>
          </cell>
        </row>
        <row r="5553">
          <cell r="E5553">
            <v>10610009</v>
          </cell>
          <cell r="F5553" t="str">
            <v>0014</v>
          </cell>
          <cell r="G5553">
            <v>14</v>
          </cell>
          <cell r="H5553">
            <v>37.200000000000003</v>
          </cell>
          <cell r="I5553">
            <v>1543.6490453999997</v>
          </cell>
          <cell r="J5553">
            <v>0</v>
          </cell>
        </row>
        <row r="5554">
          <cell r="E5554">
            <v>10610009</v>
          </cell>
          <cell r="F5554" t="str">
            <v>0018</v>
          </cell>
          <cell r="G5554">
            <v>6</v>
          </cell>
          <cell r="H5554">
            <v>12</v>
          </cell>
          <cell r="I5554">
            <v>624.74078208460003</v>
          </cell>
          <cell r="J5554">
            <v>0</v>
          </cell>
        </row>
        <row r="5555">
          <cell r="E5555">
            <v>10610009</v>
          </cell>
          <cell r="F5555" t="str">
            <v>0020</v>
          </cell>
          <cell r="G5555">
            <v>8</v>
          </cell>
          <cell r="H5555">
            <v>17.7</v>
          </cell>
          <cell r="I5555">
            <v>589.32496953000009</v>
          </cell>
          <cell r="J5555">
            <v>0</v>
          </cell>
        </row>
        <row r="5556">
          <cell r="E5556">
            <v>10610009</v>
          </cell>
          <cell r="F5556" t="str">
            <v>0021</v>
          </cell>
          <cell r="G5556">
            <v>2</v>
          </cell>
          <cell r="H5556">
            <v>10.4</v>
          </cell>
          <cell r="I5556">
            <v>430.43726880000008</v>
          </cell>
          <cell r="J5556">
            <v>0</v>
          </cell>
        </row>
        <row r="5557">
          <cell r="E5557">
            <v>10610009</v>
          </cell>
          <cell r="F5557" t="str">
            <v>0023</v>
          </cell>
          <cell r="G5557">
            <v>2</v>
          </cell>
          <cell r="H5557">
            <v>3.7</v>
          </cell>
          <cell r="I5557">
            <v>180.40158783000001</v>
          </cell>
          <cell r="J5557">
            <v>0</v>
          </cell>
        </row>
        <row r="5558">
          <cell r="E5558">
            <v>10610009</v>
          </cell>
          <cell r="F5558" t="str">
            <v>0025</v>
          </cell>
          <cell r="G5558">
            <v>1</v>
          </cell>
          <cell r="H5558">
            <v>1.6</v>
          </cell>
          <cell r="I5558">
            <v>90.754863056000005</v>
          </cell>
          <cell r="J5558">
            <v>0</v>
          </cell>
        </row>
        <row r="5559">
          <cell r="E5559">
            <v>10610009</v>
          </cell>
          <cell r="F5559" t="str">
            <v>0030</v>
          </cell>
          <cell r="G5559">
            <v>4</v>
          </cell>
          <cell r="H5559">
            <v>6</v>
          </cell>
          <cell r="I5559">
            <v>269.60345280000001</v>
          </cell>
          <cell r="J5559">
            <v>0</v>
          </cell>
        </row>
        <row r="5560">
          <cell r="E5560">
            <v>10610009</v>
          </cell>
          <cell r="F5560" t="str">
            <v>0031</v>
          </cell>
          <cell r="G5560">
            <v>9</v>
          </cell>
          <cell r="H5560">
            <v>27.5</v>
          </cell>
          <cell r="I5560">
            <v>932.34364344000005</v>
          </cell>
          <cell r="J5560">
            <v>0</v>
          </cell>
        </row>
        <row r="5561">
          <cell r="E5561">
            <v>10610009</v>
          </cell>
          <cell r="F5561" t="str">
            <v>0034</v>
          </cell>
          <cell r="G5561">
            <v>12</v>
          </cell>
          <cell r="H5561">
            <v>53.499999999999993</v>
          </cell>
          <cell r="I5561">
            <v>1833.1947849600001</v>
          </cell>
          <cell r="J5561">
            <v>0</v>
          </cell>
        </row>
        <row r="5562">
          <cell r="E5562">
            <v>10610009</v>
          </cell>
          <cell r="F5562" t="str">
            <v>0035</v>
          </cell>
          <cell r="G5562">
            <v>8</v>
          </cell>
          <cell r="H5562">
            <v>33.699999999999996</v>
          </cell>
          <cell r="I5562">
            <v>1201.5017625600001</v>
          </cell>
          <cell r="J5562">
            <v>0</v>
          </cell>
        </row>
        <row r="5563">
          <cell r="E5563">
            <v>10610009</v>
          </cell>
          <cell r="F5563" t="str">
            <v>0037</v>
          </cell>
          <cell r="G5563">
            <v>7</v>
          </cell>
          <cell r="H5563">
            <v>29.699999999999996</v>
          </cell>
          <cell r="I5563">
            <v>1506.5417847092999</v>
          </cell>
          <cell r="J5563">
            <v>0</v>
          </cell>
        </row>
        <row r="5564">
          <cell r="E5564">
            <v>10610009</v>
          </cell>
          <cell r="F5564" t="str">
            <v>0042</v>
          </cell>
          <cell r="G5564">
            <v>7</v>
          </cell>
          <cell r="H5564">
            <v>10.8</v>
          </cell>
          <cell r="I5564">
            <v>431.75092059000002</v>
          </cell>
          <cell r="J5564">
            <v>0</v>
          </cell>
        </row>
        <row r="5565">
          <cell r="E5565">
            <v>10610009</v>
          </cell>
          <cell r="F5565" t="str">
            <v>0044</v>
          </cell>
          <cell r="G5565">
            <v>1</v>
          </cell>
          <cell r="H5565">
            <v>4.7</v>
          </cell>
          <cell r="I5565">
            <v>231.86705096160006</v>
          </cell>
          <cell r="J5565">
            <v>0</v>
          </cell>
        </row>
        <row r="5566">
          <cell r="E5566">
            <v>10610009</v>
          </cell>
          <cell r="F5566" t="str">
            <v>0051</v>
          </cell>
          <cell r="G5566">
            <v>3</v>
          </cell>
          <cell r="H5566">
            <v>7.4</v>
          </cell>
          <cell r="I5566">
            <v>380.62442972600007</v>
          </cell>
          <cell r="J5566">
            <v>0</v>
          </cell>
        </row>
        <row r="5567">
          <cell r="E5567">
            <v>10610009</v>
          </cell>
          <cell r="F5567" t="str">
            <v>0056</v>
          </cell>
          <cell r="G5567">
            <v>9</v>
          </cell>
          <cell r="H5567">
            <v>30.7</v>
          </cell>
          <cell r="I5567">
            <v>1472.8233357874003</v>
          </cell>
          <cell r="J5567">
            <v>0</v>
          </cell>
        </row>
        <row r="5568">
          <cell r="E5568">
            <v>10610010</v>
          </cell>
          <cell r="F5568" t="str">
            <v>0001</v>
          </cell>
          <cell r="G5568">
            <v>11</v>
          </cell>
          <cell r="H5568">
            <v>6.3</v>
          </cell>
          <cell r="I5568">
            <v>265.51562591999999</v>
          </cell>
          <cell r="J5568">
            <v>0</v>
          </cell>
        </row>
        <row r="5569">
          <cell r="E5569">
            <v>10610010</v>
          </cell>
          <cell r="F5569" t="str">
            <v>0002</v>
          </cell>
          <cell r="G5569">
            <v>14</v>
          </cell>
          <cell r="H5569">
            <v>205.39999999999998</v>
          </cell>
          <cell r="I5569">
            <v>9214.5970406308006</v>
          </cell>
          <cell r="J5569">
            <v>0</v>
          </cell>
        </row>
        <row r="5570">
          <cell r="E5570">
            <v>10610010</v>
          </cell>
          <cell r="F5570" t="str">
            <v>0003</v>
          </cell>
          <cell r="G5570">
            <v>13</v>
          </cell>
          <cell r="H5570">
            <v>112.10000000000001</v>
          </cell>
          <cell r="I5570">
            <v>4418.2270107906006</v>
          </cell>
          <cell r="J5570">
            <v>0</v>
          </cell>
        </row>
        <row r="5571">
          <cell r="E5571">
            <v>10610010</v>
          </cell>
          <cell r="F5571" t="str">
            <v>0004</v>
          </cell>
          <cell r="G5571">
            <v>14</v>
          </cell>
          <cell r="H5571">
            <v>27.500000000000004</v>
          </cell>
          <cell r="I5571">
            <v>1188.7960233600002</v>
          </cell>
          <cell r="J5571">
            <v>0</v>
          </cell>
        </row>
        <row r="5572">
          <cell r="E5572">
            <v>10610010</v>
          </cell>
          <cell r="F5572" t="str">
            <v>0005</v>
          </cell>
          <cell r="G5572">
            <v>7</v>
          </cell>
          <cell r="H5572">
            <v>18.899999999999999</v>
          </cell>
          <cell r="I5572">
            <v>789.05120580000016</v>
          </cell>
          <cell r="J5572">
            <v>0</v>
          </cell>
        </row>
        <row r="5573">
          <cell r="E5573">
            <v>10610010</v>
          </cell>
          <cell r="F5573" t="str">
            <v>0006</v>
          </cell>
          <cell r="G5573">
            <v>14</v>
          </cell>
          <cell r="H5573">
            <v>59.699999999999996</v>
          </cell>
          <cell r="I5573">
            <v>2297.6056303200003</v>
          </cell>
          <cell r="J5573">
            <v>0</v>
          </cell>
        </row>
        <row r="5574">
          <cell r="E5574">
            <v>10610010</v>
          </cell>
          <cell r="F5574" t="str">
            <v>0007</v>
          </cell>
          <cell r="G5574">
            <v>8</v>
          </cell>
          <cell r="H5574">
            <v>38.5</v>
          </cell>
          <cell r="I5574">
            <v>2326.6903675340004</v>
          </cell>
          <cell r="J5574">
            <v>0</v>
          </cell>
        </row>
        <row r="5575">
          <cell r="E5575">
            <v>10610010</v>
          </cell>
          <cell r="F5575" t="str">
            <v>0011</v>
          </cell>
          <cell r="G5575">
            <v>7</v>
          </cell>
          <cell r="H5575">
            <v>22.9</v>
          </cell>
          <cell r="I5575">
            <v>971.62485156000025</v>
          </cell>
          <cell r="J5575">
            <v>0</v>
          </cell>
        </row>
        <row r="5576">
          <cell r="E5576">
            <v>10610010</v>
          </cell>
          <cell r="F5576" t="str">
            <v>0012</v>
          </cell>
          <cell r="G5576">
            <v>7</v>
          </cell>
          <cell r="H5576">
            <v>16.3</v>
          </cell>
          <cell r="I5576">
            <v>857.30153607300008</v>
          </cell>
          <cell r="J5576">
            <v>0</v>
          </cell>
        </row>
        <row r="5577">
          <cell r="E5577">
            <v>10610010</v>
          </cell>
          <cell r="F5577" t="str">
            <v>0014</v>
          </cell>
          <cell r="G5577">
            <v>14</v>
          </cell>
          <cell r="H5577">
            <v>38.299999999999997</v>
          </cell>
          <cell r="I5577">
            <v>1636.5392683200002</v>
          </cell>
          <cell r="J5577">
            <v>0</v>
          </cell>
        </row>
        <row r="5578">
          <cell r="E5578">
            <v>10610010</v>
          </cell>
          <cell r="F5578" t="str">
            <v>0021</v>
          </cell>
          <cell r="G5578">
            <v>14</v>
          </cell>
          <cell r="H5578">
            <v>40.099999999999994</v>
          </cell>
          <cell r="I5578">
            <v>1608.2110111200004</v>
          </cell>
          <cell r="J5578">
            <v>0</v>
          </cell>
        </row>
        <row r="5579">
          <cell r="E5579">
            <v>10630003</v>
          </cell>
          <cell r="F5579" t="str">
            <v>0002</v>
          </cell>
          <cell r="G5579">
            <v>14</v>
          </cell>
          <cell r="H5579">
            <v>102.39999999999999</v>
          </cell>
          <cell r="I5579">
            <v>4949.4648036232002</v>
          </cell>
          <cell r="J5579">
            <v>0</v>
          </cell>
        </row>
        <row r="5580">
          <cell r="E5580">
            <v>10630004</v>
          </cell>
          <cell r="F5580" t="str">
            <v>0002</v>
          </cell>
          <cell r="G5580">
            <v>13</v>
          </cell>
          <cell r="H5580">
            <v>139.1</v>
          </cell>
          <cell r="I5580">
            <v>6476.5041921289003</v>
          </cell>
          <cell r="J5580">
            <v>0</v>
          </cell>
        </row>
        <row r="5581">
          <cell r="E5581">
            <v>10630007</v>
          </cell>
          <cell r="F5581" t="str">
            <v>0002</v>
          </cell>
          <cell r="G5581">
            <v>14</v>
          </cell>
          <cell r="H5581">
            <v>208.4</v>
          </cell>
          <cell r="I5581">
            <v>9073.6526277137982</v>
          </cell>
          <cell r="J5581">
            <v>0</v>
          </cell>
        </row>
        <row r="5582">
          <cell r="E5582">
            <v>10630008</v>
          </cell>
          <cell r="F5582" t="str">
            <v>0002</v>
          </cell>
          <cell r="G5582">
            <v>14</v>
          </cell>
          <cell r="H5582">
            <v>413.3</v>
          </cell>
          <cell r="I5582">
            <v>16918.845980815604</v>
          </cell>
          <cell r="J5582">
            <v>0</v>
          </cell>
        </row>
        <row r="5583">
          <cell r="E5583">
            <v>10630009</v>
          </cell>
          <cell r="F5583" t="str">
            <v>0002</v>
          </cell>
          <cell r="G5583">
            <v>14</v>
          </cell>
          <cell r="H5583">
            <v>222.70000000000002</v>
          </cell>
          <cell r="I5583">
            <v>9932.9578175872011</v>
          </cell>
          <cell r="J5583">
            <v>0</v>
          </cell>
        </row>
        <row r="5584">
          <cell r="E5584">
            <v>10010038</v>
          </cell>
          <cell r="F5584" t="str">
            <v>0002</v>
          </cell>
          <cell r="G5584">
            <v>13</v>
          </cell>
          <cell r="H5584">
            <v>346</v>
          </cell>
          <cell r="I5584">
            <v>13912.789096800001</v>
          </cell>
          <cell r="J5584">
            <v>615.96</v>
          </cell>
        </row>
        <row r="5585">
          <cell r="E5585">
            <v>10010038</v>
          </cell>
          <cell r="F5585" t="str">
            <v>0021</v>
          </cell>
          <cell r="G5585">
            <v>12</v>
          </cell>
          <cell r="H5585">
            <v>326</v>
          </cell>
          <cell r="I5585">
            <v>13085.25966</v>
          </cell>
          <cell r="J5585">
            <v>0</v>
          </cell>
        </row>
        <row r="5586">
          <cell r="E5586">
            <v>10010038</v>
          </cell>
          <cell r="F5586" t="str">
            <v>0022</v>
          </cell>
          <cell r="G5586">
            <v>11</v>
          </cell>
          <cell r="H5586">
            <v>255</v>
          </cell>
          <cell r="I5586">
            <v>10220.646942000001</v>
          </cell>
          <cell r="J5586">
            <v>0</v>
          </cell>
        </row>
        <row r="5587">
          <cell r="E5587">
            <v>10010038</v>
          </cell>
          <cell r="F5587" t="str">
            <v>0023</v>
          </cell>
          <cell r="G5587">
            <v>1</v>
          </cell>
          <cell r="H5587">
            <v>30</v>
          </cell>
          <cell r="I5587">
            <v>1243.4736600000001</v>
          </cell>
          <cell r="J5587">
            <v>0</v>
          </cell>
        </row>
        <row r="5588">
          <cell r="E5588">
            <v>10010038</v>
          </cell>
          <cell r="F5588" t="str">
            <v>0024</v>
          </cell>
          <cell r="G5588">
            <v>1</v>
          </cell>
          <cell r="H5588">
            <v>30</v>
          </cell>
          <cell r="I5588">
            <v>1207.83366</v>
          </cell>
          <cell r="J5588">
            <v>0</v>
          </cell>
        </row>
        <row r="5589">
          <cell r="E5589">
            <v>10010038</v>
          </cell>
          <cell r="F5589" t="str">
            <v>0025</v>
          </cell>
          <cell r="G5589">
            <v>1</v>
          </cell>
          <cell r="H5589">
            <v>10</v>
          </cell>
          <cell r="I5589">
            <v>402.61122</v>
          </cell>
          <cell r="J5589">
            <v>0</v>
          </cell>
        </row>
        <row r="5590">
          <cell r="E5590">
            <v>10010038</v>
          </cell>
          <cell r="F5590" t="str">
            <v>0026</v>
          </cell>
          <cell r="G5590">
            <v>1</v>
          </cell>
          <cell r="H5590">
            <v>20</v>
          </cell>
          <cell r="I5590">
            <v>828.98244</v>
          </cell>
          <cell r="J5590">
            <v>0</v>
          </cell>
        </row>
        <row r="5591">
          <cell r="E5591">
            <v>10010038</v>
          </cell>
          <cell r="F5591" t="str">
            <v>0027</v>
          </cell>
          <cell r="G5591">
            <v>1</v>
          </cell>
          <cell r="H5591">
            <v>20</v>
          </cell>
          <cell r="I5591">
            <v>828.98244</v>
          </cell>
          <cell r="J5591">
            <v>0</v>
          </cell>
        </row>
        <row r="5592">
          <cell r="E5592">
            <v>10010038</v>
          </cell>
          <cell r="F5592" t="str">
            <v>0028</v>
          </cell>
          <cell r="G5592">
            <v>1</v>
          </cell>
          <cell r="H5592">
            <v>20</v>
          </cell>
          <cell r="I5592">
            <v>828.98244</v>
          </cell>
          <cell r="J5592">
            <v>0</v>
          </cell>
        </row>
        <row r="5593">
          <cell r="E5593">
            <v>10010038</v>
          </cell>
          <cell r="F5593" t="str">
            <v>0029</v>
          </cell>
          <cell r="G5593">
            <v>1</v>
          </cell>
          <cell r="H5593">
            <v>5</v>
          </cell>
          <cell r="I5593">
            <v>184.80527999999998</v>
          </cell>
          <cell r="J5593">
            <v>0</v>
          </cell>
        </row>
        <row r="5594">
          <cell r="E5594">
            <v>10010038</v>
          </cell>
          <cell r="F5594" t="str">
            <v>0030</v>
          </cell>
          <cell r="G5594">
            <v>1</v>
          </cell>
          <cell r="H5594">
            <v>5</v>
          </cell>
          <cell r="I5594">
            <v>184.80527999999998</v>
          </cell>
          <cell r="J5594">
            <v>0</v>
          </cell>
        </row>
        <row r="5595">
          <cell r="E5595">
            <v>10010044</v>
          </cell>
          <cell r="F5595" t="str">
            <v>0001</v>
          </cell>
          <cell r="G5595">
            <v>1</v>
          </cell>
          <cell r="H5595">
            <v>5</v>
          </cell>
          <cell r="I5595">
            <v>201.30561</v>
          </cell>
          <cell r="J5595">
            <v>0</v>
          </cell>
        </row>
        <row r="5596">
          <cell r="E5596">
            <v>10010044</v>
          </cell>
          <cell r="F5596" t="str">
            <v>0002</v>
          </cell>
          <cell r="G5596">
            <v>8</v>
          </cell>
          <cell r="H5596">
            <v>133</v>
          </cell>
          <cell r="I5596">
            <v>5439.8692259999998</v>
          </cell>
          <cell r="J5596">
            <v>932.2</v>
          </cell>
        </row>
        <row r="5597">
          <cell r="E5597">
            <v>10010044</v>
          </cell>
          <cell r="F5597" t="str">
            <v>0004</v>
          </cell>
          <cell r="G5597">
            <v>8</v>
          </cell>
          <cell r="H5597">
            <v>129</v>
          </cell>
          <cell r="I5597">
            <v>5255.064738</v>
          </cell>
          <cell r="J5597">
            <v>0</v>
          </cell>
        </row>
        <row r="5598">
          <cell r="E5598">
            <v>10010044</v>
          </cell>
          <cell r="F5598" t="str">
            <v>0006</v>
          </cell>
          <cell r="G5598">
            <v>1</v>
          </cell>
          <cell r="H5598">
            <v>20</v>
          </cell>
          <cell r="I5598">
            <v>828.98244</v>
          </cell>
          <cell r="J5598">
            <v>0</v>
          </cell>
        </row>
        <row r="5599">
          <cell r="E5599">
            <v>10010044</v>
          </cell>
          <cell r="F5599" t="str">
            <v>0008</v>
          </cell>
          <cell r="G5599">
            <v>1</v>
          </cell>
          <cell r="H5599">
            <v>20</v>
          </cell>
          <cell r="I5599">
            <v>828.98244</v>
          </cell>
          <cell r="J5599">
            <v>0</v>
          </cell>
        </row>
        <row r="5600">
          <cell r="E5600">
            <v>10010044</v>
          </cell>
          <cell r="F5600" t="str">
            <v>0010</v>
          </cell>
          <cell r="G5600">
            <v>2</v>
          </cell>
          <cell r="H5600">
            <v>34</v>
          </cell>
          <cell r="I5600">
            <v>1398.1821479999999</v>
          </cell>
          <cell r="J5600">
            <v>0</v>
          </cell>
        </row>
        <row r="5601">
          <cell r="E5601">
            <v>10010044</v>
          </cell>
          <cell r="F5601" t="str">
            <v>0011</v>
          </cell>
          <cell r="G5601">
            <v>2</v>
          </cell>
          <cell r="H5601">
            <v>31</v>
          </cell>
          <cell r="I5601">
            <v>1254.8267820000001</v>
          </cell>
          <cell r="J5601">
            <v>0</v>
          </cell>
        </row>
        <row r="5602">
          <cell r="E5602">
            <v>10010044</v>
          </cell>
          <cell r="F5602" t="str">
            <v>0012</v>
          </cell>
          <cell r="G5602">
            <v>1</v>
          </cell>
          <cell r="H5602">
            <v>17</v>
          </cell>
          <cell r="I5602">
            <v>704.63507400000003</v>
          </cell>
          <cell r="J5602">
            <v>0</v>
          </cell>
        </row>
        <row r="5603">
          <cell r="E5603">
            <v>10010044</v>
          </cell>
          <cell r="F5603" t="str">
            <v>0013</v>
          </cell>
          <cell r="G5603">
            <v>1</v>
          </cell>
          <cell r="H5603">
            <v>17</v>
          </cell>
          <cell r="I5603">
            <v>697.90307400000006</v>
          </cell>
          <cell r="J5603">
            <v>0</v>
          </cell>
        </row>
        <row r="5604">
          <cell r="E5604">
            <v>10010044</v>
          </cell>
          <cell r="F5604" t="str">
            <v>0014</v>
          </cell>
          <cell r="G5604">
            <v>1</v>
          </cell>
          <cell r="H5604">
            <v>16</v>
          </cell>
          <cell r="I5604">
            <v>650.51395200000002</v>
          </cell>
          <cell r="J5604">
            <v>0</v>
          </cell>
        </row>
        <row r="5605">
          <cell r="E5605">
            <v>10010044</v>
          </cell>
          <cell r="F5605" t="str">
            <v>0015</v>
          </cell>
          <cell r="G5605">
            <v>1</v>
          </cell>
          <cell r="H5605">
            <v>9</v>
          </cell>
          <cell r="I5605">
            <v>373.04209800000001</v>
          </cell>
          <cell r="J5605">
            <v>0</v>
          </cell>
        </row>
        <row r="5606">
          <cell r="E5606">
            <v>10010044</v>
          </cell>
          <cell r="F5606" t="str">
            <v>0016</v>
          </cell>
          <cell r="G5606">
            <v>1</v>
          </cell>
          <cell r="H5606">
            <v>15</v>
          </cell>
          <cell r="I5606">
            <v>584.11643400000003</v>
          </cell>
          <cell r="J5606">
            <v>0</v>
          </cell>
        </row>
        <row r="5607">
          <cell r="E5607">
            <v>10010044</v>
          </cell>
          <cell r="F5607" t="str">
            <v>0017</v>
          </cell>
          <cell r="G5607">
            <v>1</v>
          </cell>
          <cell r="H5607">
            <v>15</v>
          </cell>
          <cell r="I5607">
            <v>621.73683000000005</v>
          </cell>
          <cell r="J5607">
            <v>0</v>
          </cell>
        </row>
        <row r="5608">
          <cell r="E5608">
            <v>10010051</v>
          </cell>
          <cell r="F5608" t="str">
            <v>0001</v>
          </cell>
          <cell r="G5608">
            <v>2</v>
          </cell>
          <cell r="H5608">
            <v>7</v>
          </cell>
          <cell r="I5608">
            <v>274.303854</v>
          </cell>
          <cell r="J5608">
            <v>0</v>
          </cell>
        </row>
        <row r="5609">
          <cell r="E5609">
            <v>10010051</v>
          </cell>
          <cell r="F5609" t="str">
            <v>0002</v>
          </cell>
          <cell r="G5609">
            <v>10</v>
          </cell>
          <cell r="H5609">
            <v>215</v>
          </cell>
          <cell r="I5609">
            <v>8911.5612299999993</v>
          </cell>
          <cell r="J5609">
            <v>0</v>
          </cell>
        </row>
        <row r="5610">
          <cell r="E5610">
            <v>10010051</v>
          </cell>
          <cell r="F5610" t="str">
            <v>0004</v>
          </cell>
          <cell r="G5610">
            <v>7</v>
          </cell>
          <cell r="H5610">
            <v>160</v>
          </cell>
          <cell r="I5610">
            <v>6631.8595199999991</v>
          </cell>
          <cell r="J5610">
            <v>0</v>
          </cell>
        </row>
        <row r="5611">
          <cell r="E5611">
            <v>10010051</v>
          </cell>
          <cell r="F5611" t="str">
            <v>0023</v>
          </cell>
          <cell r="G5611">
            <v>4</v>
          </cell>
          <cell r="H5611">
            <v>80</v>
          </cell>
          <cell r="I5611">
            <v>3315.92976</v>
          </cell>
          <cell r="J5611">
            <v>0</v>
          </cell>
        </row>
        <row r="5612">
          <cell r="E5612">
            <v>10010051</v>
          </cell>
          <cell r="F5612" t="str">
            <v>0024</v>
          </cell>
          <cell r="G5612">
            <v>4</v>
          </cell>
          <cell r="H5612">
            <v>80</v>
          </cell>
          <cell r="I5612">
            <v>3315.92976</v>
          </cell>
          <cell r="J5612">
            <v>0</v>
          </cell>
        </row>
        <row r="5613">
          <cell r="E5613">
            <v>10010051</v>
          </cell>
          <cell r="F5613" t="str">
            <v>0025</v>
          </cell>
          <cell r="G5613">
            <v>4</v>
          </cell>
          <cell r="H5613">
            <v>100</v>
          </cell>
          <cell r="I5613">
            <v>4144.9121999999998</v>
          </cell>
          <cell r="J5613">
            <v>0</v>
          </cell>
        </row>
        <row r="5614">
          <cell r="E5614">
            <v>10010051</v>
          </cell>
          <cell r="F5614" t="str">
            <v>0026</v>
          </cell>
          <cell r="G5614">
            <v>3</v>
          </cell>
          <cell r="H5614">
            <v>60</v>
          </cell>
          <cell r="I5614">
            <v>2486.9473200000002</v>
          </cell>
          <cell r="J5614">
            <v>0</v>
          </cell>
        </row>
        <row r="5615">
          <cell r="E5615">
            <v>10010051</v>
          </cell>
          <cell r="F5615" t="str">
            <v>0027</v>
          </cell>
          <cell r="G5615">
            <v>3</v>
          </cell>
          <cell r="H5615">
            <v>60</v>
          </cell>
          <cell r="I5615">
            <v>2486.9473200000002</v>
          </cell>
          <cell r="J5615">
            <v>0</v>
          </cell>
        </row>
        <row r="5616">
          <cell r="E5616">
            <v>10010051</v>
          </cell>
          <cell r="F5616" t="str">
            <v>0028</v>
          </cell>
          <cell r="G5616">
            <v>2</v>
          </cell>
          <cell r="H5616">
            <v>60</v>
          </cell>
          <cell r="I5616">
            <v>2486.9473200000002</v>
          </cell>
          <cell r="J5616">
            <v>0</v>
          </cell>
        </row>
        <row r="5617">
          <cell r="E5617">
            <v>10010051</v>
          </cell>
          <cell r="F5617" t="str">
            <v>0029</v>
          </cell>
          <cell r="G5617">
            <v>1</v>
          </cell>
          <cell r="H5617">
            <v>20</v>
          </cell>
          <cell r="I5617">
            <v>828.98244</v>
          </cell>
          <cell r="J5617">
            <v>0</v>
          </cell>
        </row>
        <row r="5618">
          <cell r="E5618">
            <v>10010051</v>
          </cell>
          <cell r="F5618" t="str">
            <v>0030</v>
          </cell>
          <cell r="G5618">
            <v>1</v>
          </cell>
          <cell r="H5618">
            <v>40</v>
          </cell>
          <cell r="I5618">
            <v>1657.96488</v>
          </cell>
          <cell r="J5618">
            <v>0</v>
          </cell>
        </row>
        <row r="5619">
          <cell r="E5619">
            <v>10010089</v>
          </cell>
          <cell r="F5619" t="str">
            <v>0001</v>
          </cell>
          <cell r="G5619">
            <v>6</v>
          </cell>
          <cell r="H5619">
            <v>4.3</v>
          </cell>
          <cell r="I5619">
            <v>163.58143586400001</v>
          </cell>
          <cell r="J5619">
            <v>0</v>
          </cell>
        </row>
        <row r="5620">
          <cell r="E5620">
            <v>10010089</v>
          </cell>
          <cell r="F5620" t="str">
            <v>0002</v>
          </cell>
          <cell r="G5620">
            <v>14</v>
          </cell>
          <cell r="H5620">
            <v>269.64</v>
          </cell>
          <cell r="I5620">
            <v>10840.629958488003</v>
          </cell>
          <cell r="J5620">
            <v>0</v>
          </cell>
        </row>
        <row r="5621">
          <cell r="E5621">
            <v>10010089</v>
          </cell>
          <cell r="F5621" t="str">
            <v>0006</v>
          </cell>
          <cell r="G5621">
            <v>1</v>
          </cell>
          <cell r="H5621">
            <v>2.2400000000000002</v>
          </cell>
          <cell r="I5621">
            <v>75.755406988800019</v>
          </cell>
          <cell r="J5621">
            <v>0</v>
          </cell>
        </row>
        <row r="5622">
          <cell r="E5622">
            <v>10010089</v>
          </cell>
          <cell r="F5622" t="str">
            <v>0007</v>
          </cell>
          <cell r="G5622">
            <v>2</v>
          </cell>
          <cell r="H5622">
            <v>4.7799999999999994</v>
          </cell>
          <cell r="I5622">
            <v>151.99948233360001</v>
          </cell>
          <cell r="J5622">
            <v>0</v>
          </cell>
        </row>
        <row r="5623">
          <cell r="E5623">
            <v>10010089</v>
          </cell>
          <cell r="F5623" t="str">
            <v>0008</v>
          </cell>
          <cell r="G5623">
            <v>2</v>
          </cell>
          <cell r="H5623">
            <v>3.8</v>
          </cell>
          <cell r="I5623">
            <v>234.46680566615998</v>
          </cell>
          <cell r="J5623">
            <v>0</v>
          </cell>
        </row>
        <row r="5624">
          <cell r="E5624">
            <v>10010089</v>
          </cell>
          <cell r="F5624" t="str">
            <v>0010</v>
          </cell>
          <cell r="G5624">
            <v>3</v>
          </cell>
          <cell r="H5624">
            <v>4.4399999999999995</v>
          </cell>
          <cell r="I5624">
            <v>134.32751877600003</v>
          </cell>
          <cell r="J5624">
            <v>0</v>
          </cell>
        </row>
        <row r="5625">
          <cell r="E5625">
            <v>10010089</v>
          </cell>
          <cell r="F5625" t="str">
            <v>0012</v>
          </cell>
          <cell r="G5625">
            <v>1</v>
          </cell>
          <cell r="H5625">
            <v>2.64</v>
          </cell>
          <cell r="I5625">
            <v>111.51645753600002</v>
          </cell>
          <cell r="J5625">
            <v>0</v>
          </cell>
        </row>
        <row r="5626">
          <cell r="E5626">
            <v>10010089</v>
          </cell>
          <cell r="F5626" t="str">
            <v>0013</v>
          </cell>
          <cell r="G5626">
            <v>4</v>
          </cell>
          <cell r="H5626">
            <v>6.7</v>
          </cell>
          <cell r="I5626">
            <v>223.37789364000002</v>
          </cell>
          <cell r="J5626">
            <v>0</v>
          </cell>
        </row>
        <row r="5627">
          <cell r="E5627">
            <v>10010089</v>
          </cell>
          <cell r="F5627" t="str">
            <v>0014</v>
          </cell>
          <cell r="G5627">
            <v>3</v>
          </cell>
          <cell r="H5627">
            <v>5.84</v>
          </cell>
          <cell r="I5627">
            <v>207.27124038720004</v>
          </cell>
          <cell r="J5627">
            <v>0</v>
          </cell>
        </row>
        <row r="5628">
          <cell r="E5628">
            <v>10010089</v>
          </cell>
          <cell r="F5628" t="str">
            <v>0015</v>
          </cell>
          <cell r="G5628">
            <v>5</v>
          </cell>
          <cell r="H5628">
            <v>6.96</v>
          </cell>
          <cell r="I5628">
            <v>421.87653932702005</v>
          </cell>
          <cell r="J5628">
            <v>0</v>
          </cell>
        </row>
        <row r="5629">
          <cell r="E5629">
            <v>10010089</v>
          </cell>
          <cell r="F5629" t="str">
            <v>0016</v>
          </cell>
          <cell r="G5629">
            <v>1</v>
          </cell>
          <cell r="H5629">
            <v>4.42</v>
          </cell>
          <cell r="I5629">
            <v>174.45351923999999</v>
          </cell>
          <cell r="J5629">
            <v>0</v>
          </cell>
        </row>
        <row r="5630">
          <cell r="E5630">
            <v>10010089</v>
          </cell>
          <cell r="F5630" t="str">
            <v>0018</v>
          </cell>
          <cell r="G5630">
            <v>3</v>
          </cell>
          <cell r="H5630">
            <v>5.6</v>
          </cell>
          <cell r="I5630">
            <v>288.72743035048001</v>
          </cell>
          <cell r="J5630">
            <v>0</v>
          </cell>
        </row>
        <row r="5631">
          <cell r="E5631">
            <v>10010089</v>
          </cell>
          <cell r="F5631" t="str">
            <v>0020</v>
          </cell>
          <cell r="G5631">
            <v>1</v>
          </cell>
          <cell r="H5631">
            <v>2.08</v>
          </cell>
          <cell r="I5631">
            <v>133.58582711552</v>
          </cell>
          <cell r="J5631">
            <v>0</v>
          </cell>
        </row>
        <row r="5632">
          <cell r="E5632">
            <v>10010089</v>
          </cell>
          <cell r="F5632" t="str">
            <v>0022</v>
          </cell>
          <cell r="G5632">
            <v>3</v>
          </cell>
          <cell r="H5632">
            <v>8.1999999999999993</v>
          </cell>
          <cell r="I5632">
            <v>311.27814036000001</v>
          </cell>
          <cell r="J5632">
            <v>0</v>
          </cell>
        </row>
        <row r="5633">
          <cell r="E5633">
            <v>10010089</v>
          </cell>
          <cell r="F5633" t="str">
            <v>0023</v>
          </cell>
          <cell r="G5633">
            <v>2</v>
          </cell>
          <cell r="H5633">
            <v>3.08</v>
          </cell>
          <cell r="I5633">
            <v>122.531039136</v>
          </cell>
          <cell r="J5633">
            <v>0</v>
          </cell>
        </row>
        <row r="5634">
          <cell r="E5634">
            <v>10010089</v>
          </cell>
          <cell r="F5634" t="str">
            <v>0024</v>
          </cell>
          <cell r="G5634">
            <v>1</v>
          </cell>
          <cell r="H5634">
            <v>2.98</v>
          </cell>
          <cell r="I5634">
            <v>136.49938156800002</v>
          </cell>
          <cell r="J5634">
            <v>0</v>
          </cell>
        </row>
        <row r="5635">
          <cell r="E5635">
            <v>10010089</v>
          </cell>
          <cell r="F5635" t="str">
            <v>0026</v>
          </cell>
          <cell r="G5635">
            <v>1</v>
          </cell>
          <cell r="H5635">
            <v>1.28</v>
          </cell>
          <cell r="I5635">
            <v>64.750520672319993</v>
          </cell>
          <cell r="J5635">
            <v>0</v>
          </cell>
        </row>
        <row r="5636">
          <cell r="E5636">
            <v>10010089</v>
          </cell>
          <cell r="F5636" t="str">
            <v>0028</v>
          </cell>
          <cell r="G5636">
            <v>5</v>
          </cell>
          <cell r="H5636">
            <v>10.16</v>
          </cell>
          <cell r="I5636">
            <v>431.20777788000004</v>
          </cell>
          <cell r="J5636">
            <v>0</v>
          </cell>
        </row>
        <row r="5637">
          <cell r="E5637">
            <v>10010089</v>
          </cell>
          <cell r="F5637" t="str">
            <v>0029</v>
          </cell>
          <cell r="G5637">
            <v>1</v>
          </cell>
          <cell r="H5637">
            <v>1.24</v>
          </cell>
          <cell r="I5637">
            <v>69.27732038612001</v>
          </cell>
          <cell r="J5637">
            <v>0</v>
          </cell>
        </row>
        <row r="5638">
          <cell r="E5638">
            <v>10010089</v>
          </cell>
          <cell r="F5638" t="str">
            <v>0033</v>
          </cell>
          <cell r="G5638">
            <v>1</v>
          </cell>
          <cell r="H5638">
            <v>1.96</v>
          </cell>
          <cell r="I5638">
            <v>100.458941360064</v>
          </cell>
          <cell r="J5638">
            <v>0</v>
          </cell>
        </row>
        <row r="5639">
          <cell r="E5639">
            <v>10010095</v>
          </cell>
          <cell r="F5639" t="str">
            <v>0002</v>
          </cell>
          <cell r="G5639">
            <v>14</v>
          </cell>
          <cell r="H5639">
            <v>262</v>
          </cell>
          <cell r="I5639">
            <v>10543.6612116</v>
          </cell>
          <cell r="J5639">
            <v>413</v>
          </cell>
        </row>
        <row r="5640">
          <cell r="E5640">
            <v>10010095</v>
          </cell>
          <cell r="F5640" t="str">
            <v>0003</v>
          </cell>
          <cell r="G5640">
            <v>13</v>
          </cell>
          <cell r="H5640">
            <v>237</v>
          </cell>
          <cell r="I5640">
            <v>9570.7939139999999</v>
          </cell>
          <cell r="J5640">
            <v>0</v>
          </cell>
        </row>
        <row r="5641">
          <cell r="E5641">
            <v>10010095</v>
          </cell>
          <cell r="F5641" t="str">
            <v>0004</v>
          </cell>
          <cell r="G5641">
            <v>1</v>
          </cell>
          <cell r="H5641">
            <v>0.1</v>
          </cell>
          <cell r="I5641">
            <v>3.3001056000000006</v>
          </cell>
          <cell r="J5641">
            <v>0</v>
          </cell>
        </row>
        <row r="5642">
          <cell r="E5642">
            <v>10010095</v>
          </cell>
          <cell r="F5642" t="str">
            <v>0005</v>
          </cell>
          <cell r="G5642">
            <v>1</v>
          </cell>
          <cell r="H5642">
            <v>0.1</v>
          </cell>
          <cell r="I5642">
            <v>3.3001056000000006</v>
          </cell>
          <cell r="J5642">
            <v>0</v>
          </cell>
        </row>
        <row r="5643">
          <cell r="E5643">
            <v>10010095</v>
          </cell>
          <cell r="F5643" t="str">
            <v>0006</v>
          </cell>
          <cell r="G5643">
            <v>1</v>
          </cell>
          <cell r="H5643">
            <v>0.1</v>
          </cell>
          <cell r="I5643">
            <v>3.3001056000000006</v>
          </cell>
          <cell r="J5643">
            <v>0</v>
          </cell>
        </row>
        <row r="5644">
          <cell r="E5644">
            <v>10010095</v>
          </cell>
          <cell r="F5644" t="str">
            <v>0007</v>
          </cell>
          <cell r="G5644">
            <v>1</v>
          </cell>
          <cell r="H5644">
            <v>0.1</v>
          </cell>
          <cell r="I5644">
            <v>2.7932002560000004</v>
          </cell>
          <cell r="J5644">
            <v>0</v>
          </cell>
        </row>
        <row r="5645">
          <cell r="E5645">
            <v>10010095</v>
          </cell>
          <cell r="F5645" t="str">
            <v>0008</v>
          </cell>
          <cell r="G5645">
            <v>1</v>
          </cell>
          <cell r="H5645">
            <v>0.1</v>
          </cell>
          <cell r="I5645">
            <v>3.3001056000000006</v>
          </cell>
          <cell r="J5645">
            <v>0</v>
          </cell>
        </row>
        <row r="5646">
          <cell r="E5646">
            <v>10010095</v>
          </cell>
          <cell r="F5646" t="str">
            <v>0009</v>
          </cell>
          <cell r="G5646">
            <v>1</v>
          </cell>
          <cell r="H5646">
            <v>0.1</v>
          </cell>
          <cell r="I5646">
            <v>3.3001056000000006</v>
          </cell>
          <cell r="J5646">
            <v>0</v>
          </cell>
        </row>
        <row r="5647">
          <cell r="E5647">
            <v>10010098</v>
          </cell>
          <cell r="F5647" t="str">
            <v>0001</v>
          </cell>
          <cell r="G5647">
            <v>14</v>
          </cell>
          <cell r="H5647">
            <v>8.9599999999999991</v>
          </cell>
          <cell r="I5647">
            <v>425.56412197824</v>
          </cell>
          <cell r="J5647">
            <v>0</v>
          </cell>
        </row>
        <row r="5648">
          <cell r="E5648">
            <v>10010098</v>
          </cell>
          <cell r="F5648" t="str">
            <v>0002</v>
          </cell>
          <cell r="G5648">
            <v>14</v>
          </cell>
          <cell r="H5648">
            <v>101.06000000000002</v>
          </cell>
          <cell r="I5648">
            <v>3849.5566668240003</v>
          </cell>
          <cell r="J5648">
            <v>0</v>
          </cell>
        </row>
        <row r="5649">
          <cell r="E5649">
            <v>10010098</v>
          </cell>
          <cell r="F5649" t="str">
            <v>0003</v>
          </cell>
          <cell r="G5649">
            <v>14</v>
          </cell>
          <cell r="H5649">
            <v>110.02</v>
          </cell>
          <cell r="I5649">
            <v>6531.4841632043999</v>
          </cell>
          <cell r="J5649">
            <v>0</v>
          </cell>
        </row>
        <row r="5650">
          <cell r="E5650">
            <v>10010098</v>
          </cell>
          <cell r="F5650" t="str">
            <v>0005</v>
          </cell>
          <cell r="G5650">
            <v>6</v>
          </cell>
          <cell r="H5650">
            <v>12.38</v>
          </cell>
          <cell r="I5650">
            <v>774.12876268440004</v>
          </cell>
          <cell r="J5650">
            <v>0</v>
          </cell>
        </row>
        <row r="5651">
          <cell r="E5651">
            <v>10010098</v>
          </cell>
          <cell r="F5651" t="str">
            <v>0014</v>
          </cell>
          <cell r="G5651">
            <v>14</v>
          </cell>
          <cell r="H5651">
            <v>119.4</v>
          </cell>
          <cell r="I5651">
            <v>4874.6100808440005</v>
          </cell>
          <cell r="J5651">
            <v>0</v>
          </cell>
        </row>
        <row r="5652">
          <cell r="E5652">
            <v>10010098</v>
          </cell>
          <cell r="F5652" t="str">
            <v>0015</v>
          </cell>
          <cell r="G5652">
            <v>6</v>
          </cell>
          <cell r="H5652">
            <v>12.420000000000002</v>
          </cell>
          <cell r="I5652">
            <v>637.84815045641994</v>
          </cell>
          <cell r="J5652">
            <v>0</v>
          </cell>
        </row>
        <row r="5653">
          <cell r="E5653">
            <v>10010098</v>
          </cell>
          <cell r="F5653" t="str">
            <v>0017</v>
          </cell>
          <cell r="G5653">
            <v>13</v>
          </cell>
          <cell r="H5653">
            <v>87.64</v>
          </cell>
          <cell r="I5653">
            <v>3527.3816202240005</v>
          </cell>
          <cell r="J5653">
            <v>0</v>
          </cell>
        </row>
        <row r="5654">
          <cell r="E5654">
            <v>10010099</v>
          </cell>
          <cell r="F5654" t="str">
            <v>0002</v>
          </cell>
          <cell r="G5654">
            <v>7</v>
          </cell>
          <cell r="H5654">
            <v>105</v>
          </cell>
          <cell r="I5654">
            <v>4257.9098099999992</v>
          </cell>
          <cell r="J5654">
            <v>0</v>
          </cell>
        </row>
        <row r="5655">
          <cell r="E5655">
            <v>10010099</v>
          </cell>
          <cell r="F5655" t="str">
            <v>0009</v>
          </cell>
          <cell r="G5655">
            <v>2</v>
          </cell>
          <cell r="H5655">
            <v>40</v>
          </cell>
          <cell r="I5655">
            <v>1610.44488</v>
          </cell>
          <cell r="J5655">
            <v>0</v>
          </cell>
        </row>
        <row r="5656">
          <cell r="E5656">
            <v>10010099</v>
          </cell>
          <cell r="F5656" t="str">
            <v>0010</v>
          </cell>
          <cell r="G5656">
            <v>2</v>
          </cell>
          <cell r="H5656">
            <v>30</v>
          </cell>
          <cell r="I5656">
            <v>1207.83366</v>
          </cell>
          <cell r="J5656">
            <v>0</v>
          </cell>
        </row>
        <row r="5657">
          <cell r="E5657">
            <v>10010099</v>
          </cell>
          <cell r="F5657" t="str">
            <v>0011</v>
          </cell>
          <cell r="G5657">
            <v>1</v>
          </cell>
          <cell r="H5657">
            <v>10</v>
          </cell>
          <cell r="I5657">
            <v>402.61122</v>
          </cell>
          <cell r="J5657">
            <v>0</v>
          </cell>
        </row>
        <row r="5658">
          <cell r="E5658">
            <v>10010099</v>
          </cell>
          <cell r="F5658" t="str">
            <v>0013</v>
          </cell>
          <cell r="G5658">
            <v>1</v>
          </cell>
          <cell r="H5658">
            <v>10</v>
          </cell>
          <cell r="I5658">
            <v>402.61122</v>
          </cell>
          <cell r="J5658">
            <v>0</v>
          </cell>
        </row>
        <row r="5659">
          <cell r="E5659">
            <v>10010099</v>
          </cell>
          <cell r="F5659" t="str">
            <v>0014</v>
          </cell>
          <cell r="G5659">
            <v>1</v>
          </cell>
          <cell r="H5659">
            <v>10</v>
          </cell>
          <cell r="I5659">
            <v>402.61122</v>
          </cell>
          <cell r="J5659">
            <v>0</v>
          </cell>
        </row>
        <row r="5660">
          <cell r="E5660">
            <v>10010103</v>
          </cell>
          <cell r="F5660" t="str">
            <v>0002</v>
          </cell>
          <cell r="G5660">
            <v>11</v>
          </cell>
          <cell r="H5660">
            <v>115</v>
          </cell>
          <cell r="I5660">
            <v>4653.789029999999</v>
          </cell>
          <cell r="J5660">
            <v>165.2</v>
          </cell>
        </row>
        <row r="5661">
          <cell r="E5661">
            <v>10010137</v>
          </cell>
          <cell r="F5661" t="str">
            <v>0001</v>
          </cell>
          <cell r="G5661">
            <v>12</v>
          </cell>
          <cell r="H5661">
            <v>7.7</v>
          </cell>
          <cell r="I5661">
            <v>316.33267831011</v>
          </cell>
          <cell r="J5661">
            <v>0</v>
          </cell>
        </row>
        <row r="5662">
          <cell r="E5662">
            <v>10010137</v>
          </cell>
          <cell r="F5662" t="str">
            <v>0003</v>
          </cell>
          <cell r="G5662">
            <v>9</v>
          </cell>
          <cell r="H5662">
            <v>59.7</v>
          </cell>
          <cell r="I5662">
            <v>2448.5204383200003</v>
          </cell>
          <cell r="J5662">
            <v>0</v>
          </cell>
        </row>
        <row r="5663">
          <cell r="E5663">
            <v>10010137</v>
          </cell>
          <cell r="F5663" t="str">
            <v>0004</v>
          </cell>
          <cell r="G5663">
            <v>1</v>
          </cell>
          <cell r="H5663">
            <v>50</v>
          </cell>
          <cell r="I5663">
            <v>2368.0367172000006</v>
          </cell>
          <cell r="J5663">
            <v>0</v>
          </cell>
        </row>
        <row r="5664">
          <cell r="E5664">
            <v>10010137</v>
          </cell>
          <cell r="F5664" t="str">
            <v>0005</v>
          </cell>
          <cell r="G5664">
            <v>10</v>
          </cell>
          <cell r="H5664">
            <v>33.4</v>
          </cell>
          <cell r="I5664">
            <v>1329.4413212445002</v>
          </cell>
          <cell r="J5664">
            <v>0</v>
          </cell>
        </row>
        <row r="5665">
          <cell r="E5665">
            <v>10010137</v>
          </cell>
          <cell r="F5665" t="str">
            <v>0006</v>
          </cell>
          <cell r="G5665">
            <v>11</v>
          </cell>
          <cell r="H5665">
            <v>42.5</v>
          </cell>
          <cell r="I5665">
            <v>1924.4290510144201</v>
          </cell>
          <cell r="J5665">
            <v>0</v>
          </cell>
        </row>
        <row r="5666">
          <cell r="E5666">
            <v>10010137</v>
          </cell>
          <cell r="F5666" t="str">
            <v>0007</v>
          </cell>
          <cell r="G5666">
            <v>7</v>
          </cell>
          <cell r="H5666">
            <v>24.700000000000003</v>
          </cell>
          <cell r="I5666">
            <v>1162.5807037754701</v>
          </cell>
          <cell r="J5666">
            <v>0</v>
          </cell>
        </row>
        <row r="5667">
          <cell r="E5667">
            <v>10010137</v>
          </cell>
          <cell r="F5667" t="str">
            <v>0008</v>
          </cell>
          <cell r="G5667">
            <v>13</v>
          </cell>
          <cell r="H5667">
            <v>37</v>
          </cell>
          <cell r="I5667">
            <v>1886.2241579066404</v>
          </cell>
          <cell r="J5667">
            <v>0</v>
          </cell>
        </row>
        <row r="5668">
          <cell r="E5668">
            <v>10010137</v>
          </cell>
          <cell r="F5668" t="str">
            <v>0012</v>
          </cell>
          <cell r="G5668">
            <v>7</v>
          </cell>
          <cell r="H5668">
            <v>10.1</v>
          </cell>
          <cell r="I5668">
            <v>507.06101052101002</v>
          </cell>
          <cell r="J5668">
            <v>0</v>
          </cell>
        </row>
        <row r="5669">
          <cell r="E5669">
            <v>10010137</v>
          </cell>
          <cell r="F5669" t="str">
            <v>0013</v>
          </cell>
          <cell r="G5669">
            <v>4</v>
          </cell>
          <cell r="H5669">
            <v>14.099999999999998</v>
          </cell>
          <cell r="I5669">
            <v>719.70760000240011</v>
          </cell>
          <cell r="J5669">
            <v>0</v>
          </cell>
        </row>
        <row r="5670">
          <cell r="E5670">
            <v>10010137</v>
          </cell>
          <cell r="F5670" t="str">
            <v>0017</v>
          </cell>
          <cell r="G5670">
            <v>7</v>
          </cell>
          <cell r="H5670">
            <v>10.7</v>
          </cell>
          <cell r="I5670">
            <v>683.84053723090017</v>
          </cell>
          <cell r="J5670">
            <v>0</v>
          </cell>
        </row>
        <row r="5671">
          <cell r="E5671">
            <v>10010137</v>
          </cell>
          <cell r="F5671" t="str">
            <v>0019</v>
          </cell>
          <cell r="G5671">
            <v>5</v>
          </cell>
          <cell r="H5671">
            <v>11.399999999999999</v>
          </cell>
          <cell r="I5671">
            <v>626.47872604379995</v>
          </cell>
          <cell r="J5671">
            <v>0</v>
          </cell>
        </row>
        <row r="5672">
          <cell r="E5672">
            <v>10010137</v>
          </cell>
          <cell r="F5672" t="str">
            <v>0021</v>
          </cell>
          <cell r="G5672">
            <v>5</v>
          </cell>
          <cell r="H5672">
            <v>9.5</v>
          </cell>
          <cell r="I5672">
            <v>496.62620340820007</v>
          </cell>
          <cell r="J5672">
            <v>0</v>
          </cell>
        </row>
        <row r="5673">
          <cell r="E5673">
            <v>10010137</v>
          </cell>
          <cell r="F5673" t="str">
            <v>0022</v>
          </cell>
          <cell r="G5673">
            <v>3</v>
          </cell>
          <cell r="H5673">
            <v>8.5</v>
          </cell>
          <cell r="I5673">
            <v>308.45674549800003</v>
          </cell>
          <cell r="J5673">
            <v>0</v>
          </cell>
        </row>
        <row r="5674">
          <cell r="E5674">
            <v>10010137</v>
          </cell>
          <cell r="F5674" t="str">
            <v>0025</v>
          </cell>
          <cell r="G5674">
            <v>8</v>
          </cell>
          <cell r="H5674">
            <v>19.8</v>
          </cell>
          <cell r="I5674">
            <v>1263.5537033572</v>
          </cell>
          <cell r="J5674">
            <v>0</v>
          </cell>
        </row>
        <row r="5675">
          <cell r="E5675">
            <v>10580001</v>
          </cell>
          <cell r="F5675" t="str">
            <v>0001</v>
          </cell>
          <cell r="G5675">
            <v>14</v>
          </cell>
          <cell r="H5675">
            <v>8.5</v>
          </cell>
          <cell r="I5675">
            <v>410.1952402979</v>
          </cell>
          <cell r="J5675">
            <v>0</v>
          </cell>
        </row>
        <row r="5676">
          <cell r="E5676">
            <v>10580001</v>
          </cell>
          <cell r="F5676" t="str">
            <v>0002</v>
          </cell>
          <cell r="G5676">
            <v>13</v>
          </cell>
          <cell r="H5676">
            <v>51.1</v>
          </cell>
          <cell r="I5676">
            <v>2309.2735713768002</v>
          </cell>
          <cell r="J5676">
            <v>0</v>
          </cell>
        </row>
        <row r="5677">
          <cell r="E5677">
            <v>10580001</v>
          </cell>
          <cell r="F5677" t="str">
            <v>0003</v>
          </cell>
          <cell r="G5677">
            <v>12</v>
          </cell>
          <cell r="H5677">
            <v>24.4</v>
          </cell>
          <cell r="I5677">
            <v>1420.2906485570004</v>
          </cell>
          <cell r="J5677">
            <v>0</v>
          </cell>
        </row>
        <row r="5678">
          <cell r="E5678">
            <v>10580001</v>
          </cell>
          <cell r="F5678" t="str">
            <v>0007</v>
          </cell>
          <cell r="G5678">
            <v>7</v>
          </cell>
          <cell r="H5678">
            <v>16.5</v>
          </cell>
          <cell r="I5678">
            <v>1175.5158395410001</v>
          </cell>
          <cell r="J5678">
            <v>0</v>
          </cell>
        </row>
        <row r="5679">
          <cell r="E5679">
            <v>10580001</v>
          </cell>
          <cell r="F5679" t="str">
            <v>0010</v>
          </cell>
          <cell r="G5679">
            <v>12</v>
          </cell>
          <cell r="H5679">
            <v>21.7</v>
          </cell>
          <cell r="I5679">
            <v>902.93068403999996</v>
          </cell>
          <cell r="J5679">
            <v>0</v>
          </cell>
        </row>
        <row r="5680">
          <cell r="E5680">
            <v>10580001</v>
          </cell>
          <cell r="F5680" t="str">
            <v>0012</v>
          </cell>
          <cell r="G5680">
            <v>13</v>
          </cell>
          <cell r="H5680">
            <v>27.5</v>
          </cell>
          <cell r="I5680">
            <v>1900.3429238215001</v>
          </cell>
          <cell r="J5680">
            <v>0</v>
          </cell>
        </row>
        <row r="5681">
          <cell r="E5681">
            <v>10580001</v>
          </cell>
          <cell r="F5681" t="str">
            <v>0013</v>
          </cell>
          <cell r="G5681">
            <v>4</v>
          </cell>
          <cell r="H5681">
            <v>6.4</v>
          </cell>
          <cell r="I5681">
            <v>453.62321653399999</v>
          </cell>
          <cell r="J5681">
            <v>0</v>
          </cell>
        </row>
        <row r="5682">
          <cell r="E5682">
            <v>10580001</v>
          </cell>
          <cell r="F5682" t="str">
            <v>0014</v>
          </cell>
          <cell r="G5682">
            <v>13</v>
          </cell>
          <cell r="H5682">
            <v>19.899999999999999</v>
          </cell>
          <cell r="I5682">
            <v>895.40173161000018</v>
          </cell>
          <cell r="J5682">
            <v>0</v>
          </cell>
        </row>
        <row r="5683">
          <cell r="E5683">
            <v>10580001</v>
          </cell>
          <cell r="F5683" t="str">
            <v>0016</v>
          </cell>
          <cell r="G5683">
            <v>14</v>
          </cell>
          <cell r="H5683">
            <v>47.400000000000006</v>
          </cell>
          <cell r="I5683">
            <v>1997.1199373907</v>
          </cell>
          <cell r="J5683">
            <v>0</v>
          </cell>
        </row>
        <row r="5684">
          <cell r="E5684">
            <v>10580001</v>
          </cell>
          <cell r="F5684" t="str">
            <v>0019</v>
          </cell>
          <cell r="G5684">
            <v>4</v>
          </cell>
          <cell r="H5684">
            <v>10.3</v>
          </cell>
          <cell r="I5684">
            <v>477.81066187878008</v>
          </cell>
          <cell r="J5684">
            <v>0</v>
          </cell>
        </row>
        <row r="5685">
          <cell r="E5685">
            <v>10580001</v>
          </cell>
          <cell r="F5685" t="str">
            <v>0020</v>
          </cell>
          <cell r="G5685">
            <v>12</v>
          </cell>
          <cell r="H5685">
            <v>20.400000000000002</v>
          </cell>
          <cell r="I5685">
            <v>946.17765763738009</v>
          </cell>
          <cell r="J5685">
            <v>0</v>
          </cell>
        </row>
        <row r="5686">
          <cell r="E5686">
            <v>10580001</v>
          </cell>
          <cell r="F5686" t="str">
            <v>0021</v>
          </cell>
          <cell r="G5686">
            <v>13</v>
          </cell>
          <cell r="H5686">
            <v>32.300000000000004</v>
          </cell>
          <cell r="I5686">
            <v>1296.1970960400001</v>
          </cell>
          <cell r="J5686">
            <v>0</v>
          </cell>
        </row>
        <row r="5687">
          <cell r="E5687">
            <v>10580001</v>
          </cell>
          <cell r="F5687" t="str">
            <v>0022</v>
          </cell>
          <cell r="G5687">
            <v>4</v>
          </cell>
          <cell r="H5687">
            <v>5.4</v>
          </cell>
          <cell r="I5687">
            <v>346.93716727599997</v>
          </cell>
          <cell r="J5687">
            <v>0</v>
          </cell>
        </row>
        <row r="5688">
          <cell r="E5688">
            <v>10580001</v>
          </cell>
          <cell r="F5688" t="str">
            <v>0024</v>
          </cell>
          <cell r="G5688">
            <v>7</v>
          </cell>
          <cell r="H5688">
            <v>25.4</v>
          </cell>
          <cell r="I5688">
            <v>1060.33104144</v>
          </cell>
          <cell r="J5688">
            <v>0</v>
          </cell>
        </row>
        <row r="5689">
          <cell r="E5689">
            <v>10580002</v>
          </cell>
          <cell r="F5689" t="str">
            <v>0001</v>
          </cell>
          <cell r="G5689">
            <v>9</v>
          </cell>
          <cell r="H5689">
            <v>5.9</v>
          </cell>
          <cell r="I5689">
            <v>245.40772212000005</v>
          </cell>
          <cell r="J5689">
            <v>0</v>
          </cell>
        </row>
        <row r="5690">
          <cell r="E5690">
            <v>10580002</v>
          </cell>
          <cell r="F5690" t="str">
            <v>0002</v>
          </cell>
          <cell r="G5690">
            <v>10</v>
          </cell>
          <cell r="H5690">
            <v>52.500000000000007</v>
          </cell>
          <cell r="I5690">
            <v>2289.4358528540001</v>
          </cell>
          <cell r="J5690">
            <v>0</v>
          </cell>
        </row>
        <row r="5691">
          <cell r="E5691">
            <v>10580002</v>
          </cell>
          <cell r="F5691" t="str">
            <v>0003</v>
          </cell>
          <cell r="G5691">
            <v>13</v>
          </cell>
          <cell r="H5691">
            <v>118.39999999999999</v>
          </cell>
          <cell r="I5691">
            <v>4695.0182674560001</v>
          </cell>
          <cell r="J5691">
            <v>0</v>
          </cell>
        </row>
        <row r="5692">
          <cell r="E5692">
            <v>10580002</v>
          </cell>
          <cell r="F5692" t="str">
            <v>0012</v>
          </cell>
          <cell r="G5692">
            <v>8</v>
          </cell>
          <cell r="H5692">
            <v>7.9</v>
          </cell>
          <cell r="I5692">
            <v>329.82352128000002</v>
          </cell>
          <cell r="J5692">
            <v>0</v>
          </cell>
        </row>
        <row r="5693">
          <cell r="E5693">
            <v>10580002</v>
          </cell>
          <cell r="F5693" t="str">
            <v>0014</v>
          </cell>
          <cell r="G5693">
            <v>3</v>
          </cell>
          <cell r="H5693">
            <v>6.1</v>
          </cell>
          <cell r="I5693">
            <v>266.72593464000005</v>
          </cell>
          <cell r="J5693">
            <v>0</v>
          </cell>
        </row>
        <row r="5694">
          <cell r="E5694">
            <v>10580002</v>
          </cell>
          <cell r="F5694" t="str">
            <v>0016</v>
          </cell>
          <cell r="G5694">
            <v>6</v>
          </cell>
          <cell r="H5694">
            <v>6</v>
          </cell>
          <cell r="I5694">
            <v>491.82564374000003</v>
          </cell>
          <cell r="J5694">
            <v>0</v>
          </cell>
        </row>
        <row r="5695">
          <cell r="E5695">
            <v>10580002</v>
          </cell>
          <cell r="F5695" t="str">
            <v>0017</v>
          </cell>
          <cell r="G5695">
            <v>13</v>
          </cell>
          <cell r="H5695">
            <v>35.9</v>
          </cell>
          <cell r="I5695">
            <v>1644.7168680904001</v>
          </cell>
          <cell r="J5695">
            <v>0</v>
          </cell>
        </row>
        <row r="5696">
          <cell r="E5696">
            <v>10580002</v>
          </cell>
          <cell r="F5696" t="str">
            <v>0019</v>
          </cell>
          <cell r="G5696">
            <v>4</v>
          </cell>
          <cell r="H5696">
            <v>4.2</v>
          </cell>
          <cell r="I5696">
            <v>187.06199985000003</v>
          </cell>
          <cell r="J5696">
            <v>0</v>
          </cell>
        </row>
        <row r="5697">
          <cell r="E5697">
            <v>10580004</v>
          </cell>
          <cell r="F5697" t="str">
            <v>0001</v>
          </cell>
          <cell r="G5697">
            <v>11</v>
          </cell>
          <cell r="H5697">
            <v>1.9000000000000004</v>
          </cell>
          <cell r="I5697">
            <v>86.110202114020012</v>
          </cell>
          <cell r="J5697">
            <v>0</v>
          </cell>
        </row>
        <row r="5698">
          <cell r="E5698">
            <v>10580004</v>
          </cell>
          <cell r="F5698" t="str">
            <v>0002</v>
          </cell>
          <cell r="G5698">
            <v>14</v>
          </cell>
          <cell r="H5698">
            <v>233.59999999999997</v>
          </cell>
          <cell r="I5698">
            <v>10609.1491973224</v>
          </cell>
          <cell r="J5698">
            <v>0</v>
          </cell>
        </row>
        <row r="5699">
          <cell r="E5699">
            <v>10580004</v>
          </cell>
          <cell r="F5699" t="str">
            <v>0010</v>
          </cell>
          <cell r="G5699">
            <v>10</v>
          </cell>
          <cell r="H5699">
            <v>7</v>
          </cell>
          <cell r="I5699">
            <v>567.795712159</v>
          </cell>
          <cell r="J5699">
            <v>0</v>
          </cell>
        </row>
        <row r="5700">
          <cell r="E5700">
            <v>10580004</v>
          </cell>
          <cell r="F5700" t="str">
            <v>0013</v>
          </cell>
          <cell r="G5700">
            <v>7</v>
          </cell>
          <cell r="H5700">
            <v>15.2</v>
          </cell>
          <cell r="I5700">
            <v>640.78450920000012</v>
          </cell>
          <cell r="J5700">
            <v>0</v>
          </cell>
        </row>
        <row r="5701">
          <cell r="E5701">
            <v>10580005</v>
          </cell>
          <cell r="F5701" t="str">
            <v>0001</v>
          </cell>
          <cell r="G5701">
            <v>14</v>
          </cell>
          <cell r="H5701">
            <v>4.0999999999999996</v>
          </cell>
          <cell r="I5701">
            <v>174.78577116</v>
          </cell>
          <cell r="J5701">
            <v>0</v>
          </cell>
        </row>
        <row r="5702">
          <cell r="E5702">
            <v>10580005</v>
          </cell>
          <cell r="F5702" t="str">
            <v>0002</v>
          </cell>
          <cell r="G5702">
            <v>11</v>
          </cell>
          <cell r="H5702">
            <v>97.7</v>
          </cell>
          <cell r="I5702">
            <v>4365.3390414994401</v>
          </cell>
          <cell r="J5702">
            <v>0</v>
          </cell>
        </row>
        <row r="5703">
          <cell r="E5703">
            <v>10580005</v>
          </cell>
          <cell r="F5703" t="str">
            <v>0003</v>
          </cell>
          <cell r="G5703">
            <v>13</v>
          </cell>
          <cell r="H5703">
            <v>51.6</v>
          </cell>
          <cell r="I5703">
            <v>2204.1042216875003</v>
          </cell>
          <cell r="J5703">
            <v>0</v>
          </cell>
        </row>
        <row r="5704">
          <cell r="E5704">
            <v>10580005</v>
          </cell>
          <cell r="F5704" t="str">
            <v>0004</v>
          </cell>
          <cell r="G5704">
            <v>14</v>
          </cell>
          <cell r="H5704">
            <v>37.6</v>
          </cell>
          <cell r="I5704">
            <v>1377.58005</v>
          </cell>
          <cell r="J5704">
            <v>0</v>
          </cell>
        </row>
        <row r="5705">
          <cell r="E5705">
            <v>10580005</v>
          </cell>
          <cell r="F5705" t="str">
            <v>0008</v>
          </cell>
          <cell r="G5705">
            <v>5</v>
          </cell>
          <cell r="H5705">
            <v>10.4</v>
          </cell>
          <cell r="I5705">
            <v>512.35695852100002</v>
          </cell>
          <cell r="J5705">
            <v>0</v>
          </cell>
        </row>
        <row r="5706">
          <cell r="E5706">
            <v>10580005</v>
          </cell>
          <cell r="F5706" t="str">
            <v>0009</v>
          </cell>
          <cell r="G5706">
            <v>14</v>
          </cell>
          <cell r="H5706">
            <v>77</v>
          </cell>
          <cell r="I5706">
            <v>3251.4570855820002</v>
          </cell>
          <cell r="J5706">
            <v>0</v>
          </cell>
        </row>
        <row r="5707">
          <cell r="E5707">
            <v>10580005</v>
          </cell>
          <cell r="F5707" t="str">
            <v>0011</v>
          </cell>
          <cell r="G5707">
            <v>13</v>
          </cell>
          <cell r="H5707">
            <v>37.999999999999993</v>
          </cell>
          <cell r="I5707">
            <v>2182.8578738730002</v>
          </cell>
          <cell r="J5707">
            <v>0</v>
          </cell>
        </row>
        <row r="5708">
          <cell r="E5708">
            <v>10580005</v>
          </cell>
          <cell r="F5708" t="str">
            <v>0012</v>
          </cell>
          <cell r="G5708">
            <v>14</v>
          </cell>
          <cell r="H5708">
            <v>49.9</v>
          </cell>
          <cell r="I5708">
            <v>2026.4336476560002</v>
          </cell>
          <cell r="J5708">
            <v>0</v>
          </cell>
        </row>
        <row r="5709">
          <cell r="E5709">
            <v>10580005</v>
          </cell>
          <cell r="F5709" t="str">
            <v>0013</v>
          </cell>
          <cell r="G5709">
            <v>3</v>
          </cell>
          <cell r="H5709">
            <v>5.3</v>
          </cell>
          <cell r="I5709">
            <v>204.42102120000004</v>
          </cell>
          <cell r="J5709">
            <v>0</v>
          </cell>
        </row>
        <row r="5710">
          <cell r="E5710">
            <v>10580005</v>
          </cell>
          <cell r="F5710" t="str">
            <v>0015</v>
          </cell>
          <cell r="G5710">
            <v>12</v>
          </cell>
          <cell r="H5710">
            <v>18.100000000000001</v>
          </cell>
          <cell r="I5710">
            <v>809.0093211750002</v>
          </cell>
          <cell r="J5710">
            <v>0</v>
          </cell>
        </row>
        <row r="5711">
          <cell r="E5711">
            <v>10580005</v>
          </cell>
          <cell r="F5711" t="str">
            <v>0016</v>
          </cell>
          <cell r="G5711">
            <v>7</v>
          </cell>
          <cell r="H5711">
            <v>19.200000000000003</v>
          </cell>
          <cell r="I5711">
            <v>820.24299324000003</v>
          </cell>
          <cell r="J5711">
            <v>0</v>
          </cell>
        </row>
        <row r="5712">
          <cell r="E5712">
            <v>10580005</v>
          </cell>
          <cell r="F5712" t="str">
            <v>0018</v>
          </cell>
          <cell r="G5712">
            <v>12</v>
          </cell>
          <cell r="H5712">
            <v>50.300000000000004</v>
          </cell>
          <cell r="I5712">
            <v>1721.4800539860003</v>
          </cell>
          <cell r="J5712">
            <v>0</v>
          </cell>
        </row>
        <row r="5713">
          <cell r="E5713">
            <v>10580005</v>
          </cell>
          <cell r="F5713" t="str">
            <v>0019</v>
          </cell>
          <cell r="G5713">
            <v>5</v>
          </cell>
          <cell r="H5713">
            <v>4.8</v>
          </cell>
          <cell r="I5713">
            <v>209.74452978000002</v>
          </cell>
          <cell r="J5713">
            <v>0</v>
          </cell>
        </row>
        <row r="5714">
          <cell r="E5714">
            <v>10580007</v>
          </cell>
          <cell r="F5714" t="str">
            <v>0001</v>
          </cell>
          <cell r="G5714">
            <v>7</v>
          </cell>
          <cell r="H5714">
            <v>8.5</v>
          </cell>
          <cell r="I5714">
            <v>576.99983148462002</v>
          </cell>
          <cell r="J5714">
            <v>0</v>
          </cell>
        </row>
        <row r="5715">
          <cell r="E5715">
            <v>10580007</v>
          </cell>
          <cell r="F5715" t="str">
            <v>0002</v>
          </cell>
          <cell r="G5715">
            <v>14</v>
          </cell>
          <cell r="H5715">
            <v>185.29999999999998</v>
          </cell>
          <cell r="I5715">
            <v>8058.607370961603</v>
          </cell>
          <cell r="J5715">
            <v>0</v>
          </cell>
        </row>
        <row r="5716">
          <cell r="E5716">
            <v>10580007</v>
          </cell>
          <cell r="F5716" t="str">
            <v>0005</v>
          </cell>
          <cell r="G5716">
            <v>5</v>
          </cell>
          <cell r="H5716">
            <v>5.4</v>
          </cell>
          <cell r="I5716">
            <v>386.26019875459997</v>
          </cell>
          <cell r="J5716">
            <v>0</v>
          </cell>
        </row>
        <row r="5717">
          <cell r="E5717">
            <v>10580007</v>
          </cell>
          <cell r="F5717" t="str">
            <v>0008</v>
          </cell>
          <cell r="G5717">
            <v>14</v>
          </cell>
          <cell r="H5717">
            <v>26.599999999999998</v>
          </cell>
          <cell r="I5717">
            <v>1095.243039594</v>
          </cell>
          <cell r="J5717">
            <v>0</v>
          </cell>
        </row>
        <row r="5718">
          <cell r="E5718">
            <v>10580007</v>
          </cell>
          <cell r="F5718" t="str">
            <v>0009</v>
          </cell>
          <cell r="G5718">
            <v>9</v>
          </cell>
          <cell r="H5718">
            <v>18.899999999999999</v>
          </cell>
          <cell r="I5718">
            <v>1330.584079512</v>
          </cell>
          <cell r="J5718">
            <v>0</v>
          </cell>
        </row>
        <row r="5719">
          <cell r="E5719">
            <v>10580007</v>
          </cell>
          <cell r="F5719" t="str">
            <v>0017</v>
          </cell>
          <cell r="G5719">
            <v>7</v>
          </cell>
          <cell r="H5719">
            <v>6.4</v>
          </cell>
          <cell r="I5719">
            <v>260.37716771587498</v>
          </cell>
          <cell r="J5719">
            <v>0</v>
          </cell>
        </row>
        <row r="5720">
          <cell r="E5720">
            <v>10580007</v>
          </cell>
          <cell r="F5720" t="str">
            <v>0018</v>
          </cell>
          <cell r="G5720">
            <v>6</v>
          </cell>
          <cell r="H5720">
            <v>19.2</v>
          </cell>
          <cell r="I5720">
            <v>747.74975040480001</v>
          </cell>
          <cell r="J5720">
            <v>0</v>
          </cell>
        </row>
        <row r="5721">
          <cell r="E5721">
            <v>10580007</v>
          </cell>
          <cell r="F5721" t="str">
            <v>0021</v>
          </cell>
          <cell r="G5721">
            <v>6</v>
          </cell>
          <cell r="H5721">
            <v>9.6999999999999993</v>
          </cell>
          <cell r="I5721">
            <v>647.34645712530005</v>
          </cell>
          <cell r="J5721">
            <v>0</v>
          </cell>
        </row>
        <row r="5722">
          <cell r="E5722">
            <v>10580007</v>
          </cell>
          <cell r="F5722" t="str">
            <v>0022</v>
          </cell>
          <cell r="G5722">
            <v>4</v>
          </cell>
          <cell r="H5722">
            <v>6.5</v>
          </cell>
          <cell r="I5722">
            <v>380.17772562020002</v>
          </cell>
          <cell r="J5722">
            <v>0</v>
          </cell>
        </row>
        <row r="5723">
          <cell r="E5723">
            <v>10580008</v>
          </cell>
          <cell r="F5723" t="str">
            <v>0002</v>
          </cell>
          <cell r="G5723">
            <v>13</v>
          </cell>
          <cell r="H5723">
            <v>195.49999999999997</v>
          </cell>
          <cell r="I5723">
            <v>9489.1779972509503</v>
          </cell>
          <cell r="J5723">
            <v>0</v>
          </cell>
        </row>
        <row r="5724">
          <cell r="E5724">
            <v>10580009</v>
          </cell>
          <cell r="F5724" t="str">
            <v>0002</v>
          </cell>
          <cell r="G5724">
            <v>12</v>
          </cell>
          <cell r="H5724">
            <v>194.2</v>
          </cell>
          <cell r="I5724">
            <v>9107.3808724896007</v>
          </cell>
          <cell r="J5724">
            <v>0</v>
          </cell>
        </row>
        <row r="5725">
          <cell r="E5725">
            <v>10580009</v>
          </cell>
          <cell r="F5725" t="str">
            <v>0004</v>
          </cell>
          <cell r="G5725">
            <v>2</v>
          </cell>
          <cell r="H5725">
            <v>4.2</v>
          </cell>
          <cell r="I5725">
            <v>157.53331440000005</v>
          </cell>
          <cell r="J5725">
            <v>0</v>
          </cell>
        </row>
        <row r="5726">
          <cell r="E5726">
            <v>10580009</v>
          </cell>
          <cell r="F5726" t="str">
            <v>0007</v>
          </cell>
          <cell r="G5726">
            <v>8</v>
          </cell>
          <cell r="H5726">
            <v>13.5</v>
          </cell>
          <cell r="I5726">
            <v>733.80176805150018</v>
          </cell>
          <cell r="J5726">
            <v>0</v>
          </cell>
        </row>
        <row r="5727">
          <cell r="E5727">
            <v>10580009</v>
          </cell>
          <cell r="F5727" t="str">
            <v>0008</v>
          </cell>
          <cell r="G5727">
            <v>5</v>
          </cell>
          <cell r="H5727">
            <v>7.8</v>
          </cell>
          <cell r="I5727">
            <v>439.17899275116008</v>
          </cell>
          <cell r="J5727">
            <v>0</v>
          </cell>
        </row>
        <row r="5728">
          <cell r="E5728">
            <v>10580009</v>
          </cell>
          <cell r="F5728" t="str">
            <v>0009</v>
          </cell>
          <cell r="G5728">
            <v>13</v>
          </cell>
          <cell r="H5728">
            <v>69.2</v>
          </cell>
          <cell r="I5728">
            <v>3194.3359882000004</v>
          </cell>
          <cell r="J5728">
            <v>0</v>
          </cell>
        </row>
        <row r="5729">
          <cell r="E5729">
            <v>10580009</v>
          </cell>
          <cell r="F5729" t="str">
            <v>0010</v>
          </cell>
          <cell r="G5729">
            <v>7</v>
          </cell>
          <cell r="H5729">
            <v>14.799999999999999</v>
          </cell>
          <cell r="I5729">
            <v>850.39335676559995</v>
          </cell>
          <cell r="J5729">
            <v>0</v>
          </cell>
        </row>
        <row r="5730">
          <cell r="E5730">
            <v>10580009</v>
          </cell>
          <cell r="F5730" t="str">
            <v>0011</v>
          </cell>
          <cell r="G5730">
            <v>3</v>
          </cell>
          <cell r="H5730">
            <v>3.7</v>
          </cell>
          <cell r="I5730">
            <v>235.30584302300002</v>
          </cell>
          <cell r="J5730">
            <v>0</v>
          </cell>
        </row>
        <row r="5731">
          <cell r="E5731">
            <v>10580009</v>
          </cell>
          <cell r="F5731" t="str">
            <v>0013</v>
          </cell>
          <cell r="G5731">
            <v>7</v>
          </cell>
          <cell r="H5731">
            <v>23.200000000000003</v>
          </cell>
          <cell r="I5731">
            <v>1877.3705701279998</v>
          </cell>
          <cell r="J5731">
            <v>0</v>
          </cell>
        </row>
        <row r="5732">
          <cell r="E5732">
            <v>10580009</v>
          </cell>
          <cell r="F5732" t="str">
            <v>0017</v>
          </cell>
          <cell r="G5732">
            <v>14</v>
          </cell>
          <cell r="H5732">
            <v>51.900000000000006</v>
          </cell>
          <cell r="I5732">
            <v>2063.91602736</v>
          </cell>
          <cell r="J5732">
            <v>0</v>
          </cell>
        </row>
        <row r="5733">
          <cell r="E5733">
            <v>10580009</v>
          </cell>
          <cell r="F5733" t="str">
            <v>0018</v>
          </cell>
          <cell r="G5733">
            <v>13</v>
          </cell>
          <cell r="H5733">
            <v>62.9</v>
          </cell>
          <cell r="I5733">
            <v>2548.6851376800005</v>
          </cell>
          <cell r="J5733">
            <v>0</v>
          </cell>
        </row>
        <row r="5734">
          <cell r="E5734">
            <v>10580009</v>
          </cell>
          <cell r="F5734" t="str">
            <v>0019</v>
          </cell>
          <cell r="G5734">
            <v>13</v>
          </cell>
          <cell r="H5734">
            <v>33.6</v>
          </cell>
          <cell r="I5734">
            <v>1590.6979414823004</v>
          </cell>
          <cell r="J5734">
            <v>0</v>
          </cell>
        </row>
        <row r="5735">
          <cell r="E5735">
            <v>10580009</v>
          </cell>
          <cell r="F5735" t="str">
            <v>0021</v>
          </cell>
          <cell r="G5735">
            <v>14</v>
          </cell>
          <cell r="H5735">
            <v>28.9</v>
          </cell>
          <cell r="I5735">
            <v>1991.9368211723997</v>
          </cell>
          <cell r="J5735">
            <v>0</v>
          </cell>
        </row>
        <row r="5736">
          <cell r="E5736">
            <v>10580009</v>
          </cell>
          <cell r="F5736" t="str">
            <v>0022</v>
          </cell>
          <cell r="G5736">
            <v>1</v>
          </cell>
          <cell r="H5736">
            <v>12.4</v>
          </cell>
          <cell r="I5736">
            <v>500.8745491200001</v>
          </cell>
          <cell r="J5736">
            <v>0</v>
          </cell>
        </row>
        <row r="5737">
          <cell r="E5737">
            <v>10580009</v>
          </cell>
          <cell r="F5737" t="str">
            <v>0025</v>
          </cell>
          <cell r="G5737">
            <v>7</v>
          </cell>
          <cell r="H5737">
            <v>20.6</v>
          </cell>
          <cell r="I5737">
            <v>729.27413024400005</v>
          </cell>
          <cell r="J5737">
            <v>0</v>
          </cell>
        </row>
        <row r="5738">
          <cell r="E5738">
            <v>10580009</v>
          </cell>
          <cell r="F5738" t="str">
            <v>0026</v>
          </cell>
          <cell r="G5738">
            <v>4</v>
          </cell>
          <cell r="H5738">
            <v>10</v>
          </cell>
          <cell r="I5738">
            <v>729.04746847209992</v>
          </cell>
          <cell r="J5738">
            <v>0</v>
          </cell>
        </row>
        <row r="5739">
          <cell r="E5739">
            <v>10580009</v>
          </cell>
          <cell r="F5739" t="str">
            <v>0027</v>
          </cell>
          <cell r="G5739">
            <v>5</v>
          </cell>
          <cell r="H5739">
            <v>13.4</v>
          </cell>
          <cell r="I5739">
            <v>471.73930768800005</v>
          </cell>
          <cell r="J5739">
            <v>0</v>
          </cell>
        </row>
        <row r="5740">
          <cell r="E5740">
            <v>10580010</v>
          </cell>
          <cell r="F5740" t="str">
            <v>0002</v>
          </cell>
          <cell r="G5740">
            <v>14</v>
          </cell>
          <cell r="H5740">
            <v>401.5</v>
          </cell>
          <cell r="I5740">
            <v>15493.540415760002</v>
          </cell>
          <cell r="J5740">
            <v>0</v>
          </cell>
        </row>
        <row r="5741">
          <cell r="E5741">
            <v>10580010</v>
          </cell>
          <cell r="F5741" t="str">
            <v>0005</v>
          </cell>
          <cell r="G5741">
            <v>1</v>
          </cell>
          <cell r="H5741">
            <v>1.6</v>
          </cell>
          <cell r="I5741">
            <v>63.784131840000015</v>
          </cell>
          <cell r="J5741">
            <v>0</v>
          </cell>
        </row>
        <row r="5742">
          <cell r="E5742">
            <v>10580010</v>
          </cell>
          <cell r="F5742" t="str">
            <v>0012</v>
          </cell>
          <cell r="G5742">
            <v>11</v>
          </cell>
          <cell r="H5742">
            <v>28.1</v>
          </cell>
          <cell r="I5742">
            <v>1103.9334451200004</v>
          </cell>
          <cell r="J5742">
            <v>0</v>
          </cell>
        </row>
        <row r="5743">
          <cell r="E5743">
            <v>10580010</v>
          </cell>
          <cell r="F5743" t="str">
            <v>0013</v>
          </cell>
          <cell r="G5743">
            <v>8</v>
          </cell>
          <cell r="H5743">
            <v>12.6</v>
          </cell>
          <cell r="I5743">
            <v>482.07796956000004</v>
          </cell>
          <cell r="J5743">
            <v>0</v>
          </cell>
        </row>
        <row r="5744">
          <cell r="E5744">
            <v>10580010</v>
          </cell>
          <cell r="F5744" t="str">
            <v>0014</v>
          </cell>
          <cell r="G5744">
            <v>11</v>
          </cell>
          <cell r="H5744">
            <v>69.300000000000011</v>
          </cell>
          <cell r="I5744">
            <v>2583.06169176</v>
          </cell>
          <cell r="J5744">
            <v>0</v>
          </cell>
        </row>
        <row r="5745">
          <cell r="E5745">
            <v>10580010</v>
          </cell>
          <cell r="F5745" t="str">
            <v>0018</v>
          </cell>
          <cell r="G5745">
            <v>11</v>
          </cell>
          <cell r="H5745">
            <v>31.099999999999998</v>
          </cell>
          <cell r="I5745">
            <v>1080.9083805300002</v>
          </cell>
          <cell r="J5745">
            <v>0</v>
          </cell>
        </row>
        <row r="5746">
          <cell r="E5746">
            <v>10580015</v>
          </cell>
          <cell r="F5746" t="str">
            <v>0002</v>
          </cell>
          <cell r="G5746">
            <v>14</v>
          </cell>
          <cell r="H5746">
            <v>133.48999999999998</v>
          </cell>
          <cell r="I5746">
            <v>4539.9991378896002</v>
          </cell>
          <cell r="J5746">
            <v>0</v>
          </cell>
        </row>
        <row r="5747">
          <cell r="E5747">
            <v>10580015</v>
          </cell>
          <cell r="F5747" t="str">
            <v>0003</v>
          </cell>
          <cell r="G5747">
            <v>12</v>
          </cell>
          <cell r="H5747">
            <v>40.380000000000003</v>
          </cell>
          <cell r="I5747">
            <v>1476.9997721226</v>
          </cell>
          <cell r="J5747">
            <v>0</v>
          </cell>
        </row>
        <row r="5748">
          <cell r="E5748">
            <v>10580015</v>
          </cell>
          <cell r="F5748" t="str">
            <v>0004</v>
          </cell>
          <cell r="G5748">
            <v>13</v>
          </cell>
          <cell r="H5748">
            <v>31.83</v>
          </cell>
          <cell r="I5748">
            <v>1056.6154991898002</v>
          </cell>
          <cell r="J5748">
            <v>0</v>
          </cell>
        </row>
        <row r="5749">
          <cell r="E5749">
            <v>10580015</v>
          </cell>
          <cell r="F5749" t="str">
            <v>0005</v>
          </cell>
          <cell r="G5749">
            <v>13</v>
          </cell>
          <cell r="H5749">
            <v>30.79</v>
          </cell>
          <cell r="I5749">
            <v>971.74227094560024</v>
          </cell>
          <cell r="J5749">
            <v>0</v>
          </cell>
        </row>
        <row r="5750">
          <cell r="E5750">
            <v>10580015</v>
          </cell>
          <cell r="F5750" t="str">
            <v>0006</v>
          </cell>
          <cell r="G5750">
            <v>14</v>
          </cell>
          <cell r="H5750">
            <v>148.05000000000001</v>
          </cell>
          <cell r="I5750">
            <v>5746.4264477397455</v>
          </cell>
          <cell r="J5750">
            <v>0</v>
          </cell>
        </row>
        <row r="5751">
          <cell r="E5751">
            <v>10580015</v>
          </cell>
          <cell r="F5751" t="str">
            <v>0007</v>
          </cell>
          <cell r="G5751">
            <v>14</v>
          </cell>
          <cell r="H5751">
            <v>128.49</v>
          </cell>
          <cell r="I5751">
            <v>5017.9165497594722</v>
          </cell>
          <cell r="J5751">
            <v>0</v>
          </cell>
        </row>
        <row r="5752">
          <cell r="E5752">
            <v>10580015</v>
          </cell>
          <cell r="F5752" t="str">
            <v>0008</v>
          </cell>
          <cell r="G5752">
            <v>14</v>
          </cell>
          <cell r="H5752">
            <v>93.56</v>
          </cell>
          <cell r="I5752">
            <v>3171.3301602378001</v>
          </cell>
          <cell r="J5752">
            <v>0</v>
          </cell>
        </row>
        <row r="5753">
          <cell r="E5753">
            <v>10580015</v>
          </cell>
          <cell r="F5753" t="str">
            <v>0009</v>
          </cell>
          <cell r="G5753">
            <v>12</v>
          </cell>
          <cell r="H5753">
            <v>12.400000000000002</v>
          </cell>
          <cell r="I5753">
            <v>396.41808244500004</v>
          </cell>
          <cell r="J5753">
            <v>0</v>
          </cell>
        </row>
        <row r="5754">
          <cell r="E5754">
            <v>10580017</v>
          </cell>
          <cell r="F5754" t="str">
            <v>0002</v>
          </cell>
          <cell r="G5754">
            <v>14</v>
          </cell>
          <cell r="H5754">
            <v>276.7</v>
          </cell>
          <cell r="I5754">
            <v>11694.637967963303</v>
          </cell>
          <cell r="J5754">
            <v>0</v>
          </cell>
        </row>
        <row r="5755">
          <cell r="E5755">
            <v>10580017</v>
          </cell>
          <cell r="F5755" t="str">
            <v>0003</v>
          </cell>
          <cell r="G5755">
            <v>12</v>
          </cell>
          <cell r="H5755">
            <v>280.8</v>
          </cell>
          <cell r="I5755">
            <v>11849.630181741602</v>
          </cell>
          <cell r="J5755">
            <v>0</v>
          </cell>
        </row>
        <row r="5756">
          <cell r="E5756">
            <v>10580018</v>
          </cell>
          <cell r="F5756" t="str">
            <v>0001</v>
          </cell>
          <cell r="G5756">
            <v>1</v>
          </cell>
          <cell r="H5756">
            <v>1.6</v>
          </cell>
          <cell r="I5756">
            <v>91.998955632000005</v>
          </cell>
          <cell r="J5756">
            <v>0</v>
          </cell>
        </row>
        <row r="5757">
          <cell r="E5757">
            <v>10580018</v>
          </cell>
          <cell r="F5757" t="str">
            <v>0002</v>
          </cell>
          <cell r="G5757">
            <v>4</v>
          </cell>
          <cell r="H5757">
            <v>5.14</v>
          </cell>
          <cell r="I5757">
            <v>238.16121116632002</v>
          </cell>
          <cell r="J5757">
            <v>0</v>
          </cell>
        </row>
        <row r="5758">
          <cell r="E5758">
            <v>10580018</v>
          </cell>
          <cell r="F5758" t="str">
            <v>0004</v>
          </cell>
          <cell r="G5758">
            <v>14</v>
          </cell>
          <cell r="H5758">
            <v>97.330000000000013</v>
          </cell>
          <cell r="I5758">
            <v>4275.9367685569805</v>
          </cell>
          <cell r="J5758">
            <v>0</v>
          </cell>
        </row>
        <row r="5759">
          <cell r="E5759">
            <v>10580018</v>
          </cell>
          <cell r="F5759" t="str">
            <v>0005</v>
          </cell>
          <cell r="G5759">
            <v>13</v>
          </cell>
          <cell r="H5759">
            <v>23.35</v>
          </cell>
          <cell r="I5759">
            <v>1112.1214053919598</v>
          </cell>
          <cell r="J5759">
            <v>0</v>
          </cell>
        </row>
        <row r="5760">
          <cell r="E5760">
            <v>10580018</v>
          </cell>
          <cell r="F5760" t="str">
            <v>0006</v>
          </cell>
          <cell r="G5760">
            <v>14</v>
          </cell>
          <cell r="H5760">
            <v>30.33</v>
          </cell>
          <cell r="I5760">
            <v>1634.0984768910396</v>
          </cell>
          <cell r="J5760">
            <v>0</v>
          </cell>
        </row>
        <row r="5761">
          <cell r="E5761">
            <v>10580018</v>
          </cell>
          <cell r="F5761" t="str">
            <v>0007</v>
          </cell>
          <cell r="G5761">
            <v>11</v>
          </cell>
          <cell r="H5761">
            <v>14.4</v>
          </cell>
          <cell r="I5761">
            <v>515.12787487260016</v>
          </cell>
          <cell r="J5761">
            <v>0</v>
          </cell>
        </row>
        <row r="5762">
          <cell r="E5762">
            <v>10580018</v>
          </cell>
          <cell r="F5762" t="str">
            <v>0008</v>
          </cell>
          <cell r="G5762">
            <v>6</v>
          </cell>
          <cell r="H5762">
            <v>7.14</v>
          </cell>
          <cell r="I5762">
            <v>345.21671585942005</v>
          </cell>
          <cell r="J5762">
            <v>0</v>
          </cell>
        </row>
        <row r="5763">
          <cell r="E5763">
            <v>10580018</v>
          </cell>
          <cell r="F5763" t="str">
            <v>0009</v>
          </cell>
          <cell r="G5763">
            <v>11</v>
          </cell>
          <cell r="H5763">
            <v>19.7</v>
          </cell>
          <cell r="I5763">
            <v>973.28809331790001</v>
          </cell>
          <cell r="J5763">
            <v>0</v>
          </cell>
        </row>
        <row r="5764">
          <cell r="E5764">
            <v>10580018</v>
          </cell>
          <cell r="F5764" t="str">
            <v>0010</v>
          </cell>
          <cell r="G5764">
            <v>12</v>
          </cell>
          <cell r="H5764">
            <v>19.77</v>
          </cell>
          <cell r="I5764">
            <v>881.74602985059005</v>
          </cell>
          <cell r="J5764">
            <v>0</v>
          </cell>
        </row>
        <row r="5765">
          <cell r="E5765">
            <v>10580018</v>
          </cell>
          <cell r="F5765" t="str">
            <v>0011</v>
          </cell>
          <cell r="G5765">
            <v>5</v>
          </cell>
          <cell r="H5765">
            <v>10.02</v>
          </cell>
          <cell r="I5765">
            <v>524.82914095095498</v>
          </cell>
          <cell r="J5765">
            <v>0</v>
          </cell>
        </row>
        <row r="5766">
          <cell r="E5766">
            <v>10580018</v>
          </cell>
          <cell r="F5766" t="str">
            <v>0012</v>
          </cell>
          <cell r="G5766">
            <v>7</v>
          </cell>
          <cell r="H5766">
            <v>12.42</v>
          </cell>
          <cell r="I5766">
            <v>491.45335487419504</v>
          </cell>
          <cell r="J5766">
            <v>0</v>
          </cell>
        </row>
        <row r="5767">
          <cell r="E5767">
            <v>10580018</v>
          </cell>
          <cell r="F5767" t="str">
            <v>0014</v>
          </cell>
          <cell r="G5767">
            <v>14</v>
          </cell>
          <cell r="H5767">
            <v>28.3</v>
          </cell>
          <cell r="I5767">
            <v>1731.3087186395003</v>
          </cell>
          <cell r="J5767">
            <v>0</v>
          </cell>
        </row>
        <row r="5768">
          <cell r="E5768">
            <v>10580018</v>
          </cell>
          <cell r="F5768" t="str">
            <v>0015</v>
          </cell>
          <cell r="G5768">
            <v>6</v>
          </cell>
          <cell r="H5768">
            <v>6.99</v>
          </cell>
          <cell r="I5768">
            <v>304.21514545488003</v>
          </cell>
          <cell r="J5768">
            <v>0</v>
          </cell>
        </row>
        <row r="5769">
          <cell r="E5769">
            <v>10580018</v>
          </cell>
          <cell r="F5769" t="str">
            <v>0016</v>
          </cell>
          <cell r="G5769">
            <v>13</v>
          </cell>
          <cell r="H5769">
            <v>50.370000000000005</v>
          </cell>
          <cell r="I5769">
            <v>1812.897889807721</v>
          </cell>
          <cell r="J5769">
            <v>0</v>
          </cell>
        </row>
        <row r="5770">
          <cell r="E5770">
            <v>10580018</v>
          </cell>
          <cell r="F5770" t="str">
            <v>0017</v>
          </cell>
          <cell r="G5770">
            <v>6</v>
          </cell>
          <cell r="H5770">
            <v>6.3</v>
          </cell>
          <cell r="I5770">
            <v>271.49658148800006</v>
          </cell>
          <cell r="J5770">
            <v>0</v>
          </cell>
        </row>
        <row r="5771">
          <cell r="E5771">
            <v>10580018</v>
          </cell>
          <cell r="F5771" t="str">
            <v>0018</v>
          </cell>
          <cell r="G5771">
            <v>14</v>
          </cell>
          <cell r="H5771">
            <v>60.33</v>
          </cell>
          <cell r="I5771">
            <v>2517.9952675680006</v>
          </cell>
          <cell r="J5771">
            <v>0</v>
          </cell>
        </row>
        <row r="5772">
          <cell r="E5772">
            <v>10580018</v>
          </cell>
          <cell r="F5772" t="str">
            <v>0019</v>
          </cell>
          <cell r="G5772">
            <v>7</v>
          </cell>
          <cell r="H5772">
            <v>8.41</v>
          </cell>
          <cell r="I5772">
            <v>301.69510420500001</v>
          </cell>
          <cell r="J5772">
            <v>0</v>
          </cell>
        </row>
        <row r="5773">
          <cell r="E5773">
            <v>10580022</v>
          </cell>
          <cell r="F5773" t="str">
            <v>0002</v>
          </cell>
          <cell r="G5773">
            <v>13</v>
          </cell>
          <cell r="H5773">
            <v>146.6</v>
          </cell>
          <cell r="I5773">
            <v>6220.5606654557005</v>
          </cell>
          <cell r="J5773">
            <v>0</v>
          </cell>
        </row>
        <row r="5774">
          <cell r="E5774">
            <v>10640001</v>
          </cell>
          <cell r="F5774" t="str">
            <v>0002</v>
          </cell>
          <cell r="G5774">
            <v>8</v>
          </cell>
          <cell r="H5774">
            <v>147.1</v>
          </cell>
          <cell r="I5774">
            <v>5509.9336287599999</v>
          </cell>
          <cell r="J5774">
            <v>0</v>
          </cell>
        </row>
        <row r="5775">
          <cell r="E5775">
            <v>10640003</v>
          </cell>
          <cell r="F5775" t="str">
            <v>0001</v>
          </cell>
          <cell r="G5775">
            <v>8</v>
          </cell>
          <cell r="H5775">
            <v>0.39999999999999997</v>
          </cell>
          <cell r="I5775">
            <v>15.358636260000004</v>
          </cell>
          <cell r="J5775">
            <v>0</v>
          </cell>
        </row>
        <row r="5776">
          <cell r="E5776">
            <v>10640003</v>
          </cell>
          <cell r="F5776" t="str">
            <v>0002</v>
          </cell>
          <cell r="G5776">
            <v>8</v>
          </cell>
          <cell r="H5776">
            <v>243.29999999999998</v>
          </cell>
          <cell r="I5776">
            <v>9370.6154150400016</v>
          </cell>
          <cell r="J5776">
            <v>0</v>
          </cell>
        </row>
        <row r="5777">
          <cell r="E5777">
            <v>10640004</v>
          </cell>
          <cell r="F5777" t="str">
            <v>0002</v>
          </cell>
          <cell r="G5777">
            <v>6</v>
          </cell>
          <cell r="H5777">
            <v>25.7</v>
          </cell>
          <cell r="I5777">
            <v>986.23981764000007</v>
          </cell>
          <cell r="J5777">
            <v>0</v>
          </cell>
        </row>
        <row r="5778">
          <cell r="E5778">
            <v>10640005</v>
          </cell>
          <cell r="F5778" t="str">
            <v>0001</v>
          </cell>
          <cell r="G5778">
            <v>7</v>
          </cell>
          <cell r="H5778">
            <v>0.39999999999999997</v>
          </cell>
          <cell r="I5778">
            <v>19.562235628950003</v>
          </cell>
          <cell r="J5778">
            <v>0</v>
          </cell>
        </row>
        <row r="5779">
          <cell r="E5779">
            <v>10640005</v>
          </cell>
          <cell r="F5779" t="str">
            <v>0002</v>
          </cell>
          <cell r="G5779">
            <v>8</v>
          </cell>
          <cell r="H5779">
            <v>120.80000000000001</v>
          </cell>
          <cell r="I5779">
            <v>5746.0805726242497</v>
          </cell>
          <cell r="J5779">
            <v>0</v>
          </cell>
        </row>
        <row r="5780">
          <cell r="E5780">
            <v>10640006</v>
          </cell>
          <cell r="F5780" t="str">
            <v>0002</v>
          </cell>
          <cell r="G5780">
            <v>8</v>
          </cell>
          <cell r="H5780">
            <v>32.6</v>
          </cell>
          <cell r="I5780">
            <v>1415.6400429104997</v>
          </cell>
          <cell r="J5780">
            <v>0</v>
          </cell>
        </row>
      </sheetData>
      <sheetData sheetId="5"/>
      <sheetData sheetId="6"/>
      <sheetData sheetId="7"/>
      <sheetData sheetId="8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098.334467824076" createdVersion="8" refreshedVersion="8" minRefreshableVersion="3" recordCount="738" xr:uid="{00000000-000A-0000-FFFF-FFFF00000000}">
  <cacheSource type="worksheet">
    <worksheetSource name="Table1"/>
  </cacheSource>
  <cacheFields count="23">
    <cacheField name="L" numFmtId="14">
      <sharedItems containsSemiMixedTypes="0" containsNonDate="0" containsDate="1" containsString="0" minDate="2025-04-04T14:24:39" maxDate="2025-12-31T15:37:03"/>
    </cacheField>
    <cacheField name="Month" numFmtId="0">
      <sharedItems/>
    </cacheField>
    <cacheField name="State" numFmtId="0">
      <sharedItems count="3">
        <s v="Bihar"/>
        <s v="Jharkhand"/>
        <s v="West Bengal"/>
      </sharedItems>
    </cacheField>
    <cacheField name="Type" numFmtId="0">
      <sharedItems/>
    </cacheField>
    <cacheField name="MPG Ope Date" numFmtId="14">
      <sharedItems containsDate="1" containsMixedTypes="1" minDate="2017-09-01T00:00:00" maxDate="2025-11-30T00:00:00"/>
    </cacheField>
    <cacheField name="Complain Month" numFmtId="0">
      <sharedItems containsMixedTypes="1" containsNumber="1" containsInteger="1" minValue="0" maxValue="99"/>
    </cacheField>
    <cacheField name="VLCC_Code" numFmtId="0">
      <sharedItems containsSemiMixedTypes="0" containsString="0" containsNumber="1" containsInteger="1" minValue="0" maxValue="30200028" count="325">
        <n v="10410001"/>
        <n v="10400001"/>
        <n v="10120010"/>
        <n v="10010102"/>
        <n v="10030030"/>
        <n v="10120017"/>
        <n v="1008"/>
        <n v="10090023"/>
        <n v="10060073"/>
        <n v="10120029"/>
        <n v="10110105"/>
        <n v="10060033"/>
        <n v="10080032"/>
        <n v="10130090"/>
        <n v="10010100"/>
        <n v="10090039"/>
        <n v="10480008"/>
        <n v="10100014"/>
        <n v="10090064"/>
        <n v="1011"/>
        <n v="10070048"/>
        <n v="10180001"/>
        <n v="2001"/>
        <n v="1002"/>
        <n v="10140003"/>
        <n v="1001"/>
        <n v="1009"/>
        <n v="10060011"/>
        <n v="10100051"/>
        <n v="10130044"/>
        <n v="10090021"/>
        <n v="10130096"/>
        <n v="10060034"/>
        <n v="10140001"/>
        <n v="10030021"/>
        <n v="1013"/>
        <n v="10100021"/>
        <n v="10120083"/>
        <n v="10130012"/>
        <n v="10120023"/>
        <n v="10110055"/>
        <n v="10120022"/>
        <n v="10120013"/>
        <n v="10020042"/>
        <n v="10120025"/>
        <n v="10130085"/>
        <n v="10060058"/>
        <n v="10010071"/>
        <n v="10110116"/>
        <n v="10010013"/>
        <n v="10090030"/>
        <n v="10130013"/>
        <n v="10090057"/>
        <n v="10130007"/>
        <n v="10130026"/>
        <n v="10080093"/>
        <n v="10110111"/>
        <n v="10030037"/>
        <n v="10140032"/>
        <n v="10120094"/>
        <n v="10030064"/>
        <n v="10120014"/>
        <n v="10090006"/>
        <n v="10070063"/>
        <n v="10030003"/>
        <n v="10140010"/>
        <n v="10090036"/>
        <n v="20020002"/>
        <n v="2002"/>
        <n v="10480005"/>
        <n v="10080015"/>
        <n v="10120006"/>
        <n v="10010131"/>
        <n v="1007"/>
        <n v="10030032"/>
        <n v="10130003"/>
        <n v="10020068"/>
        <n v="10020022"/>
        <n v="10140034"/>
        <n v="10140129"/>
        <n v="10060036"/>
        <n v="10110113"/>
        <n v="10110044"/>
        <n v="10010076"/>
        <n v="10110021"/>
        <n v="10120005"/>
        <n v="10060069"/>
        <n v="10010097"/>
        <n v="10060049"/>
        <n v="10010044"/>
        <n v="10120104"/>
        <n v="10100015"/>
        <n v="10030035"/>
        <n v="10060074"/>
        <n v="10120035"/>
        <n v="10090008"/>
        <n v="2003"/>
        <n v="20010002"/>
        <n v="10020032"/>
        <n v="10130006"/>
        <n v="10060026"/>
        <n v="10130070"/>
        <n v="20020007"/>
        <n v="20010016"/>
        <n v="20010041"/>
        <n v="20020003"/>
        <n v="20020006"/>
        <n v="20030005"/>
        <n v="20060004"/>
        <n v="20010017"/>
        <n v="30200028"/>
        <n v="10140153"/>
        <n v="10140066"/>
        <n v="10480022"/>
        <n v="10140156"/>
        <n v="10080100"/>
        <n v="10020037"/>
        <n v="10030034"/>
        <n v="10140051"/>
        <n v="10140168"/>
        <n v="10060114"/>
        <n v="10030019"/>
        <n v="10120051"/>
        <n v="10030023"/>
        <n v="10140131"/>
        <n v="10120042"/>
        <n v="10120031"/>
        <n v="10100009"/>
        <n v="10070033"/>
        <n v="10250001"/>
        <n v="10060025"/>
        <n v="10010038"/>
        <n v="10070016"/>
        <n v="10030027"/>
        <n v="10130032"/>
        <n v="10140145"/>
        <n v="20060007"/>
        <n v="0"/>
        <n v="10030053"/>
        <n v="10060116"/>
        <n v="10020070"/>
        <n v="10330001"/>
        <n v="10030070"/>
        <n v="10030056"/>
        <n v="1014"/>
        <n v="10140058"/>
        <n v="20080018"/>
        <n v="10070013"/>
        <n v="10030010"/>
        <n v="10130030"/>
        <n v="20070010"/>
        <n v="10110049"/>
        <n v="20060009"/>
        <n v="20010012"/>
        <n v="10320001"/>
        <n v="10060031"/>
        <n v="10060022"/>
        <n v="10080106"/>
        <n v="10080055"/>
        <n v="10020041"/>
        <n v="10020002"/>
        <n v="10120065"/>
        <n v="10080087"/>
        <n v="2005"/>
        <n v="20010042"/>
        <n v="10090066"/>
        <n v="10090002"/>
        <n v="10120111"/>
        <n v="10020062"/>
        <n v="10020026"/>
        <n v="10020034"/>
        <n v="20010054"/>
        <n v="20010027"/>
        <n v="20010023"/>
        <n v="10060004"/>
        <n v="10090046"/>
        <n v="10080016"/>
        <n v="1012"/>
        <n v="10020076"/>
        <n v="10030065"/>
        <n v="10110056"/>
        <n v="10110094"/>
        <n v="10010103"/>
        <n v="10110017"/>
        <n v="10140126"/>
        <n v="20090014"/>
        <n v="10120001"/>
        <n v="10090007"/>
        <n v="10090015"/>
        <n v="10020023"/>
        <n v="20040006"/>
        <n v="10460001"/>
        <n v="10110065"/>
        <n v="10020029"/>
        <n v="10030013"/>
        <n v="10130073"/>
        <n v="10110078"/>
        <n v="10030062"/>
        <n v="10020078"/>
        <n v="20020014"/>
        <n v="20040004"/>
        <n v="20010004"/>
        <n v="10140033"/>
        <n v="10140155"/>
        <n v="10110066"/>
        <n v="20010051"/>
        <n v="10030067"/>
        <n v="10090065"/>
        <n v="10080070"/>
        <n v="10360001"/>
        <n v="10120082"/>
        <n v="10070049"/>
        <n v="10030031"/>
        <n v="10020028"/>
        <n v="10010082"/>
        <n v="10030025"/>
        <n v="20010003"/>
        <n v="10060032"/>
        <n v="20090012"/>
        <n v="10120089"/>
        <n v="10030063"/>
        <n v="10140018"/>
        <n v="10140179"/>
        <n v="10090001"/>
        <n v="10130025"/>
        <n v="10010095"/>
        <n v="10030071"/>
        <n v="10020008"/>
        <n v="10030038"/>
        <n v="10030051"/>
        <n v="10130108"/>
        <n v="10090004"/>
        <n v="10030018"/>
        <n v="10110043"/>
        <n v="10090042"/>
        <n v="10140012"/>
        <n v="10120114"/>
        <n v="10020035"/>
        <n v="10130016"/>
        <n v="10140098"/>
        <n v="10140047"/>
        <n v="10080077"/>
        <n v="10510001"/>
        <n v="10090024"/>
        <n v="10140069"/>
        <n v="10510004"/>
        <n v="10140041"/>
        <n v="10020063"/>
        <n v="10140004"/>
        <n v="10090029"/>
        <n v="10120030"/>
        <n v="10550003"/>
        <n v="10120034"/>
        <n v="10080088"/>
        <n v="10060121"/>
        <n v="10140043"/>
        <n v="10120018"/>
        <n v="10090047"/>
        <n v="10130015"/>
        <n v="10030066"/>
        <n v="10110164"/>
        <n v="10140119"/>
        <n v="10130091"/>
        <n v="10140008"/>
        <n v="10060029"/>
        <n v="10020025"/>
        <n v="10110146"/>
        <n v="10100004"/>
        <n v="20020004"/>
        <n v="10090033"/>
        <n v="10060109"/>
        <n v="10080048"/>
        <n v="10030026"/>
        <n v="10140159"/>
        <n v="10100056"/>
        <n v="1003"/>
        <n v="10020079"/>
        <n v="10140120"/>
        <n v="10480001"/>
        <n v="10120107"/>
        <n v="10020059"/>
        <n v="10110019"/>
        <n v="20010009"/>
        <n v="10140007"/>
        <n v="10020043"/>
        <n v="10130098"/>
        <n v="1054"/>
        <n v="10100049"/>
        <n v="10090059"/>
        <n v="10060064"/>
        <n v="10020005" u="1"/>
        <n v="10060024" u="1"/>
        <n v="2488" u="1"/>
        <n v="10010157" u="1"/>
        <n v="10010139" u="1"/>
        <n v="1236" u="1"/>
        <n v="1237" u="1"/>
        <n v="10060634" u="1"/>
        <n v="10060651" u="1"/>
        <n v="10060665" u="1"/>
        <n v="10060656" u="1"/>
        <n v="10010148" u="1"/>
        <n v="10010176" u="1"/>
        <n v="10010153" u="1"/>
        <n v="10010179" u="1"/>
        <n v="10060654" u="1"/>
        <n v="10010162" u="1"/>
        <n v="10242450" u="1"/>
        <n v="10460003" u="1"/>
        <n v="9752" u="1"/>
        <n v="10010146" u="1"/>
        <n v="10010159" u="1"/>
        <n v="10010174" u="1"/>
        <n v="10111197" u="1"/>
        <n v="10242449" u="1"/>
        <n v="1006021" u="1"/>
        <n v="10151568" u="1"/>
        <n v="10030058" u="1"/>
        <n v="10121225" u="1"/>
        <n v="10111167" u="1"/>
        <n v="10060626" u="1"/>
        <n v="10060843" u="1"/>
        <n v="10010147" u="1"/>
        <n v="10050523" u="1"/>
        <n v="18" u="1"/>
      </sharedItems>
    </cacheField>
    <cacheField name="vlcc_name" numFmtId="0">
      <sharedItems/>
    </cacheField>
    <cacheField name="Contact_Person" numFmtId="0">
      <sharedItems/>
    </cacheField>
    <cacheField name="Contact_Person_No" numFmtId="0">
      <sharedItems containsSemiMixedTypes="0" containsString="0" containsNumber="1" containsInteger="1" minValue="6200084384" maxValue="9973808926"/>
    </cacheField>
    <cacheField name="machine" numFmtId="0">
      <sharedItems/>
    </cacheField>
    <cacheField name="serial_no" numFmtId="0">
      <sharedItems containsMixedTypes="1" containsNumber="1" containsInteger="1" minValue="183572" maxValue="2352097"/>
    </cacheField>
    <cacheField name="Replace Parts" numFmtId="0">
      <sharedItems/>
    </cacheField>
    <cacheField name="SAP Code" numFmtId="0">
      <sharedItems/>
    </cacheField>
    <cacheField name="Invoice No" numFmtId="0">
      <sharedItems containsBlank="1" count="16">
        <s v="AR2526E1079"/>
        <s v="AR2526E1091"/>
        <s v="AR2526E1090"/>
        <s v="AR2526E1098"/>
        <s v="AR2526E1094"/>
        <s v="AR2526E1262"/>
        <s v="AR2526E1263"/>
        <s v="AR2526E1464"/>
        <s v="AR2526E1465"/>
        <s v="AR2526E2169"/>
        <s v="AR2526E2170"/>
        <s v="AR2526E2347"/>
        <s v="AR2526E2346"/>
        <s v="AR2526E2846"/>
        <s v="AR2526E2845"/>
        <m/>
      </sharedItems>
    </cacheField>
    <cacheField name="Invoice Date" numFmtId="0">
      <sharedItems containsNonDate="0" containsDate="1" containsString="0" containsBlank="1" minDate="2025-08-07T00:00:00" maxDate="2025-12-01T00:00:00" count="9">
        <d v="2025-08-07T00:00:00"/>
        <d v="2025-08-08T00:00:00"/>
        <d v="2025-08-11T00:00:00"/>
        <d v="2025-08-28T00:00:00"/>
        <d v="2025-09-18T00:00:00"/>
        <d v="2025-11-06T00:00:00"/>
        <d v="2025-11-25T00:00:00"/>
        <d v="2025-11-30T00:00:00"/>
        <m/>
      </sharedItems>
    </cacheField>
    <cacheField name="Qty" numFmtId="0">
      <sharedItems containsSemiMixedTypes="0" containsString="0" containsNumber="1" containsInteger="1" minValue="1" maxValue="1"/>
    </cacheField>
    <cacheField name="Rate" numFmtId="0">
      <sharedItems containsSemiMixedTypes="0" containsString="0" containsNumber="1" containsInteger="1" minValue="44" maxValue="9300"/>
    </cacheField>
    <cacheField name="Basic" numFmtId="0">
      <sharedItems containsSemiMixedTypes="0" containsString="0" containsNumber="1" containsInteger="1" minValue="44" maxValue="9300"/>
    </cacheField>
    <cacheField name="GST" numFmtId="0">
      <sharedItems containsSemiMixedTypes="0" containsString="0" containsNumber="1" minValue="7.92" maxValue="1674"/>
    </cacheField>
    <cacheField name="Total" numFmtId="0">
      <sharedItems containsSemiMixedTypes="0" containsString="0" containsNumber="1" minValue="51.92" maxValue="10974"/>
    </cacheField>
    <cacheField name="Recoverable" numFmtId="0">
      <sharedItems containsNonDate="0" containsString="0" containsBlank="1"/>
    </cacheField>
    <cacheField name="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8">
  <r>
    <d v="2025-04-26T15:28:05"/>
    <s v="Apr-25"/>
    <x v="0"/>
    <s v="MPG"/>
    <d v="2017-12-11T00:00:00"/>
    <n v="88"/>
    <x v="0"/>
    <s v="gomukh bharamahapur"/>
    <s v="chandan Kumar"/>
    <n v="7634979693"/>
    <s v="WEIGHING SCALE 60 KG"/>
    <s v="E-17116772"/>
    <s v="Keyboard For Weighing Scale (Repaired)"/>
    <s v="SF00048"/>
    <x v="0"/>
    <x v="0"/>
    <n v="1"/>
    <n v="360"/>
    <n v="360"/>
    <n v="64.8"/>
    <n v="424.8"/>
    <m/>
    <s v="Running"/>
  </r>
  <r>
    <d v="2025-04-26T14:42:10"/>
    <s v="Apr-25"/>
    <x v="0"/>
    <s v="BMC"/>
    <e v="#N/A"/>
    <s v=""/>
    <x v="1"/>
    <s v="Gauripur"/>
    <s v="Chandan Kumar "/>
    <n v="9534770675"/>
    <s v="WEIGHING SCALE 60 KG"/>
    <s v="E-215026635"/>
    <s v="Connector 5 Pin Metal M/F"/>
    <s v="RM00727"/>
    <x v="0"/>
    <x v="0"/>
    <n v="1"/>
    <n v="225"/>
    <n v="225"/>
    <n v="40.5"/>
    <n v="265.5"/>
    <m/>
    <s v="Running"/>
  </r>
  <r>
    <d v="2025-04-25T14:41:41"/>
    <s v="Apr-25"/>
    <x v="0"/>
    <s v="MPG"/>
    <d v="2020-03-13T00:00:00"/>
    <n v="61"/>
    <x v="2"/>
    <s v="Jaganathpur"/>
    <s v="Ram Prvesh Ray "/>
    <n v="8651133961"/>
    <s v="EKOMILK ULTRA PRO ANALYSER"/>
    <n v="277355"/>
    <s v="Ekomilk Keyboard"/>
    <s v="RM00512"/>
    <x v="0"/>
    <x v="0"/>
    <n v="1"/>
    <n v="770"/>
    <n v="770"/>
    <n v="138.6"/>
    <n v="908.6"/>
    <m/>
    <s v="Running"/>
  </r>
  <r>
    <d v="2025-04-25T14:41:41"/>
    <s v="Apr-25"/>
    <x v="0"/>
    <s v="MPG"/>
    <d v="2020-03-13T00:00:00"/>
    <n v="61"/>
    <x v="2"/>
    <s v="Jaganathpur"/>
    <s v="Ram Prvesh Ray "/>
    <n v="8651133961"/>
    <s v="EKOMILK ULTRA PRO ANALYSER"/>
    <n v="277355"/>
    <s v="Fatscan &quot; Y &quot; Pipe"/>
    <s v="SF00145"/>
    <x v="0"/>
    <x v="0"/>
    <n v="1"/>
    <n v="84"/>
    <n v="84"/>
    <n v="15.12"/>
    <n v="99.12"/>
    <m/>
    <s v="Running"/>
  </r>
  <r>
    <d v="2025-04-25T14:41:41"/>
    <s v="Apr-25"/>
    <x v="0"/>
    <s v="MPG"/>
    <d v="2020-03-13T00:00:00"/>
    <n v="61"/>
    <x v="2"/>
    <s v="Jaganathpur"/>
    <s v="Ram Prvesh Ray "/>
    <n v="8651133961"/>
    <s v="EKOMILK ULTRA PRO ANALYSER"/>
    <n v="277355"/>
    <s v="Ekomilk Sieringe With Plunger"/>
    <s v="RM00530"/>
    <x v="0"/>
    <x v="0"/>
    <n v="1"/>
    <n v="70"/>
    <n v="70"/>
    <n v="12.6"/>
    <n v="82.6"/>
    <m/>
    <s v="Running"/>
  </r>
  <r>
    <d v="2025-04-04T14:24:39"/>
    <s v="Apr-25"/>
    <x v="0"/>
    <s v="MPG"/>
    <d v="2025-03-29T00:00:00"/>
    <n v="0"/>
    <x v="3"/>
    <s v="gomukh khanjapur bangali tola"/>
    <s v="kumari asha varma"/>
    <n v="9931061141"/>
    <s v="Everest Smart Tab-based Android Terminal (Table-top) with Inbuilt Printer"/>
    <s v="GTD-23024219"/>
    <s v="Battery 3.7V/2600Mah"/>
    <s v="RM00980"/>
    <x v="0"/>
    <x v="0"/>
    <n v="1"/>
    <n v="350"/>
    <n v="350"/>
    <n v="63"/>
    <n v="413"/>
    <m/>
    <s v="Oct '25 Closed"/>
  </r>
  <r>
    <d v="2025-04-04T14:26:19"/>
    <s v="Apr-25"/>
    <x v="0"/>
    <s v="MPG"/>
    <d v="2023-03-30T00:00:00"/>
    <n v="24"/>
    <x v="4"/>
    <s v="gomukh Machidih"/>
    <s v="Bablu yadav"/>
    <n v="7462979872"/>
    <s v="Everest Smart Tab-based Android Terminal (Table-top) with Inbuilt Printer"/>
    <s v="GTD-22122525"/>
    <s v="Dongle with WiFi 12V ( Wysense  )"/>
    <s v="RM01543"/>
    <x v="0"/>
    <x v="0"/>
    <n v="1"/>
    <n v="770"/>
    <n v="770"/>
    <n v="138.6"/>
    <n v="908.6"/>
    <m/>
    <s v="Nov'25 Closed"/>
  </r>
  <r>
    <d v="2025-04-04T16:51:46"/>
    <s v="Apr-25"/>
    <x v="0"/>
    <s v="MPG"/>
    <d v="2020-10-31T00:00:00"/>
    <n v="53"/>
    <x v="5"/>
    <s v="Dumduma"/>
    <s v="Amod Bharti"/>
    <n v="7004274116"/>
    <s v="EKOMILK ULTRA PRO ANALYSER"/>
    <n v="195150"/>
    <s v="Ekomilk Sieringe With Plunger"/>
    <s v="RM00530"/>
    <x v="0"/>
    <x v="0"/>
    <n v="1"/>
    <n v="70"/>
    <n v="70"/>
    <n v="12.6"/>
    <n v="82.6"/>
    <m/>
    <s v="Running"/>
  </r>
  <r>
    <d v="2025-04-05T16:06:30"/>
    <s v="Apr-25"/>
    <x v="0"/>
    <s v="BMC"/>
    <e v="#N/A"/>
    <s v=""/>
    <x v="6"/>
    <s v="Teghra BMC in plant lab"/>
    <s v="Pirinc kumar"/>
    <n v="9113108485"/>
    <s v="Everest Smart Tab-based Android Terminal (Table-top) with Inbuilt Printer"/>
    <s v="GTD-23014060"/>
    <s v="Battery 3.7V/2600Mah"/>
    <s v="RM00980"/>
    <x v="0"/>
    <x v="0"/>
    <n v="1"/>
    <n v="350"/>
    <n v="350"/>
    <n v="63"/>
    <n v="413"/>
    <m/>
    <e v="#N/A"/>
  </r>
  <r>
    <d v="2025-04-05T16:02:31"/>
    <s v="Apr-25"/>
    <x v="0"/>
    <s v="MPG"/>
    <d v="2022-06-25T00:00:00"/>
    <n v="33"/>
    <x v="7"/>
    <s v="tetarhat"/>
    <s v="ravindar kumar"/>
    <n v="6206178216"/>
    <s v="EKOMILK ULTRA PRO ANALYSER"/>
    <n v="277383"/>
    <s v="Ekomilk Sensor To Sieringe Pipe"/>
    <s v="RM00528"/>
    <x v="0"/>
    <x v="0"/>
    <n v="1"/>
    <n v="44"/>
    <n v="44"/>
    <n v="7.92"/>
    <n v="51.92"/>
    <m/>
    <s v="Apr'25 Closed"/>
  </r>
  <r>
    <d v="2025-04-05T16:02:31"/>
    <s v="Apr-25"/>
    <x v="0"/>
    <s v="MPG"/>
    <d v="2022-06-25T00:00:00"/>
    <n v="33"/>
    <x v="7"/>
    <s v="tetarhat"/>
    <s v="ravindar kumar"/>
    <n v="6206178216"/>
    <s v="EKOMILK ULTRA PRO ANALYSER"/>
    <n v="277383"/>
    <s v="Ekomilk Sensor To Sieringe Pipe"/>
    <s v="RM00528"/>
    <x v="0"/>
    <x v="0"/>
    <n v="1"/>
    <n v="44"/>
    <n v="44"/>
    <n v="7.92"/>
    <n v="51.92"/>
    <m/>
    <s v="Apr'25 Closed"/>
  </r>
  <r>
    <d v="2025-04-25T16:27:35"/>
    <s v="Apr-25"/>
    <x v="0"/>
    <s v="MPG"/>
    <d v="2025-02-28T00:00:00"/>
    <n v="1"/>
    <x v="8"/>
    <s v="Jankidih"/>
    <s v="Mukesh Kumar"/>
    <n v="8360743292"/>
    <s v="Everest Smart Tab-based Android Terminal (Table-top) with Inbuilt Printer"/>
    <s v="gtd-22071326"/>
    <s v="Battery 3.7V/2600Mah"/>
    <s v="RM00980"/>
    <x v="0"/>
    <x v="0"/>
    <n v="1"/>
    <n v="350"/>
    <n v="350"/>
    <n v="63"/>
    <n v="413"/>
    <m/>
    <s v="Running"/>
  </r>
  <r>
    <d v="2025-04-25T13:50:17"/>
    <s v="Apr-25"/>
    <x v="0"/>
    <s v="MPG"/>
    <d v="2022-06-17T00:00:00"/>
    <n v="34"/>
    <x v="9"/>
    <s v="Ramanath pur"/>
    <s v="Birjnandan thakur "/>
    <n v="9304265355"/>
    <s v="STIRRER UNIT EV5600"/>
    <s v="S-22092422"/>
    <s v="Stirrer Power Board"/>
    <s v="RM00477"/>
    <x v="0"/>
    <x v="0"/>
    <n v="1"/>
    <n v="1750"/>
    <n v="1750"/>
    <n v="315"/>
    <n v="2065"/>
    <m/>
    <s v="Running"/>
  </r>
  <r>
    <d v="2025-04-05T10:50:14"/>
    <s v="Apr-25"/>
    <x v="0"/>
    <s v="MPG"/>
    <d v="2025-02-12T00:00:00"/>
    <n v="1"/>
    <x v="10"/>
    <s v="GOMUKH THATHA PURVI"/>
    <s v="Rajeev Kumar Ranjan "/>
    <n v="7550619014"/>
    <s v="Everest Smart Tab-based Android Terminal (Table-top) with Inbuilt Printer"/>
    <s v="GTD-23024152"/>
    <s v="DPU Thermal Printer EPM 207"/>
    <s v="RM00282"/>
    <x v="0"/>
    <x v="0"/>
    <n v="1"/>
    <n v="2800"/>
    <n v="2800"/>
    <n v="504"/>
    <n v="3304"/>
    <m/>
    <s v="Running"/>
  </r>
  <r>
    <d v="2025-04-24T07:30:11"/>
    <s v="Apr-25"/>
    <x v="0"/>
    <s v="MPG"/>
    <d v="2023-07-13T00:00:00"/>
    <n v="21"/>
    <x v="11"/>
    <s v="Darisir"/>
    <s v="Chandan Yadav"/>
    <n v="6205678289"/>
    <s v="Everest Smart Tab-based Android Terminal (Table-top) with Inbuilt Printer"/>
    <s v="GTD-23024139"/>
    <s v="Battery 3.7V/2600Mah"/>
    <s v="RM00980"/>
    <x v="0"/>
    <x v="0"/>
    <n v="1"/>
    <n v="350"/>
    <n v="350"/>
    <n v="63"/>
    <n v="413"/>
    <m/>
    <s v="Running"/>
  </r>
  <r>
    <d v="2025-04-23T14:53:08"/>
    <s v="Apr-25"/>
    <x v="0"/>
    <s v="MPG"/>
    <d v="2025-02-12T00:00:00"/>
    <n v="2"/>
    <x v="10"/>
    <s v="GOMUKH THATHA PURVI"/>
    <s v="Rajeev Kumar Ranjan "/>
    <n v="7550619014"/>
    <s v="WEIGHING SCALE 60 KG"/>
    <s v="GNE-23024512"/>
    <s v="SWS Motherboard (Version 1.1)"/>
    <s v="RM00973"/>
    <x v="0"/>
    <x v="0"/>
    <n v="1"/>
    <n v="2080"/>
    <n v="2080"/>
    <n v="374.4"/>
    <n v="2454.4"/>
    <m/>
    <s v="Running"/>
  </r>
  <r>
    <d v="2025-04-05T16:04:30"/>
    <s v="Apr-25"/>
    <x v="0"/>
    <s v="MPG"/>
    <d v="2023-08-10T00:00:00"/>
    <n v="19"/>
    <x v="12"/>
    <s v="Gomukh Beghamsarai "/>
    <s v="Ram Sundar kumar "/>
    <n v="7549658266"/>
    <s v="Everest Smart Tab-based Android Terminal (Table-top) with Inbuilt Printer"/>
    <s v="GTD-23024180"/>
    <s v="Battery 3.7V/2600Mah"/>
    <s v="RM00980"/>
    <x v="0"/>
    <x v="0"/>
    <n v="1"/>
    <n v="350"/>
    <n v="350"/>
    <n v="63"/>
    <n v="413"/>
    <m/>
    <s v="Running"/>
  </r>
  <r>
    <d v="2025-04-23T14:54:01"/>
    <s v="Apr-25"/>
    <x v="0"/>
    <s v="MPG"/>
    <d v="2025-02-12T00:00:00"/>
    <n v="2"/>
    <x v="10"/>
    <s v="GOMUKH THATHA PURVI"/>
    <s v="Rajeev Kumar Ranjan "/>
    <n v="7550619014"/>
    <s v="Everest Smart Tab-based Android Terminal (Table-top) with Inbuilt Printer"/>
    <s v="GTD-23024152"/>
    <s v="Battery 3.7V/2600Mah"/>
    <s v="RM00980"/>
    <x v="0"/>
    <x v="0"/>
    <n v="1"/>
    <n v="350"/>
    <n v="350"/>
    <n v="63"/>
    <n v="413"/>
    <m/>
    <s v="Running"/>
  </r>
  <r>
    <d v="2025-04-05T11:40:28"/>
    <s v="Apr-25"/>
    <x v="0"/>
    <s v="MPG"/>
    <d v="2025-03-24T00:00:00"/>
    <n v="0"/>
    <x v="13"/>
    <s v="AKOWAHI puri tol"/>
    <s v="kundan"/>
    <n v="7761001324"/>
    <s v="WEIGHING SCALE 60 KG"/>
    <s v="GE-20034016"/>
    <s v="EWS Battery Backup SMPS (BBLC)"/>
    <s v="RM00241"/>
    <x v="0"/>
    <x v="0"/>
    <n v="1"/>
    <n v="825"/>
    <n v="825"/>
    <n v="148.5"/>
    <n v="973.5"/>
    <m/>
    <s v="Running"/>
  </r>
  <r>
    <d v="2025-04-05T13:19:40"/>
    <s v="Apr-25"/>
    <x v="0"/>
    <s v="MPG"/>
    <d v="2025-03-29T00:00:00"/>
    <n v="0"/>
    <x v="14"/>
    <s v="malda babhangama"/>
    <s v="Manju devi"/>
    <n v="9570807681"/>
    <s v="STIRRER UNIT EV5600"/>
    <s v="GS-23022535"/>
    <s v="Stirrer Power Board"/>
    <s v="RM00477"/>
    <x v="0"/>
    <x v="0"/>
    <n v="1"/>
    <n v="1750"/>
    <n v="1750"/>
    <n v="315"/>
    <n v="2065"/>
    <m/>
    <s v="Apr'25 Closed"/>
  </r>
  <r>
    <d v="2025-04-23T15:56:10"/>
    <s v="Apr-25"/>
    <x v="0"/>
    <s v="MPG"/>
    <d v="2023-07-03T00:00:00"/>
    <n v="21"/>
    <x v="15"/>
    <s v="Sharma "/>
    <s v="bipin kumar "/>
    <n v="9006630290"/>
    <s v="WEIGHING SCALE 60 KG"/>
    <s v="gne-23024488"/>
    <s v="SWS Motherboard (Version 1.1)"/>
    <s v="RM00973"/>
    <x v="0"/>
    <x v="0"/>
    <n v="1"/>
    <n v="2080"/>
    <n v="2080"/>
    <n v="374.4"/>
    <n v="2454.4"/>
    <m/>
    <s v="Oct '25 Closed"/>
  </r>
  <r>
    <d v="2025-04-07T15:49:27"/>
    <s v="Apr-25"/>
    <x v="0"/>
    <s v="MPG"/>
    <d v="2025-03-29T00:00:00"/>
    <n v="0"/>
    <x v="14"/>
    <s v="malda babhangama"/>
    <s v="Manju devi"/>
    <n v="9570807681"/>
    <s v="Everest Smart Tab-based Android Terminal (Table-top) with Inbuilt Printer"/>
    <s v="GTD-23024204"/>
    <s v="Battery 3.7V/2600Mah"/>
    <s v="RM00980"/>
    <x v="0"/>
    <x v="0"/>
    <n v="1"/>
    <n v="350"/>
    <n v="350"/>
    <n v="63"/>
    <n v="413"/>
    <m/>
    <s v="Apr'25 Closed"/>
  </r>
  <r>
    <d v="2025-04-23T15:56:10"/>
    <s v="Apr-25"/>
    <x v="0"/>
    <s v="MPG"/>
    <d v="2023-07-03T00:00:00"/>
    <n v="21"/>
    <x v="15"/>
    <s v="Sharma "/>
    <s v="bipin kumar "/>
    <n v="9006630290"/>
    <s v="WEIGHING SCALE 60 KG"/>
    <s v="gne-23024488"/>
    <s v="Load Cell 100 Kg 60310"/>
    <s v="RM00006"/>
    <x v="0"/>
    <x v="0"/>
    <n v="1"/>
    <n v="2800"/>
    <n v="2800"/>
    <n v="504"/>
    <n v="3304"/>
    <m/>
    <s v="Oct '25 Closed"/>
  </r>
  <r>
    <d v="2025-04-08T13:33:32"/>
    <s v="Apr-25"/>
    <x v="0"/>
    <s v="MPG"/>
    <d v="2023-02-18T00:00:00"/>
    <n v="25"/>
    <x v="16"/>
    <s v="Sarswati nager"/>
    <s v="Monaj kumar"/>
    <n v="7250496761"/>
    <s v="WEIGHING SCALE 60 KG"/>
    <s v="GNE-22102090"/>
    <s v="Keyboard For Weighing Scale New Design"/>
    <s v="RM01176"/>
    <x v="0"/>
    <x v="0"/>
    <n v="1"/>
    <n v="1266"/>
    <n v="1266"/>
    <n v="227.88"/>
    <n v="1493.88"/>
    <m/>
    <s v="Running"/>
  </r>
  <r>
    <d v="2025-04-08T14:35:30"/>
    <s v="Apr-25"/>
    <x v="0"/>
    <s v="MPG"/>
    <d v="2023-03-31T00:00:00"/>
    <n v="24"/>
    <x v="17"/>
    <s v="Gomukh Shrirampur thuthi"/>
    <s v="Bhupesh kumar"/>
    <n v="9199517552"/>
    <s v="WEIGHING SCALE 60 KG"/>
    <s v="GNE-23024479"/>
    <s v="SWS Motherboard (Version 1.1)"/>
    <s v="RM00973"/>
    <x v="0"/>
    <x v="0"/>
    <n v="1"/>
    <n v="2080"/>
    <n v="2080"/>
    <n v="374.4"/>
    <n v="2454.4"/>
    <m/>
    <s v="Running"/>
  </r>
  <r>
    <d v="2025-04-09T17:11:58"/>
    <s v="Apr-25"/>
    <x v="0"/>
    <s v="MPG"/>
    <d v="2025-03-29T00:00:00"/>
    <n v="0"/>
    <x v="18"/>
    <s v="shijhauri"/>
    <s v="ranjay kumar sharma"/>
    <n v="7061352566"/>
    <s v="STIRRER UNIT EV5600"/>
    <s v="S-17096199"/>
    <s v="Stirrer Timer PCB"/>
    <s v="RM00478"/>
    <x v="0"/>
    <x v="0"/>
    <n v="1"/>
    <n v="900"/>
    <n v="900"/>
    <n v="162"/>
    <n v="1062"/>
    <m/>
    <s v="Running"/>
  </r>
  <r>
    <d v="2025-04-09T16:26:01"/>
    <s v="Apr-25"/>
    <x v="0"/>
    <s v="BMC"/>
    <e v="#N/A"/>
    <s v=""/>
    <x v="19"/>
    <s v="S Kamal bmc store "/>
    <s v="GAURAV SHARMA "/>
    <n v="7011134896"/>
    <s v="Everest Smart Tab-based Android Terminal (Table-top) with Inbuilt Printer"/>
    <s v="GTD-23024170"/>
    <s v="Battery 3.7V/2600Mah"/>
    <s v="RM00980"/>
    <x v="0"/>
    <x v="0"/>
    <n v="1"/>
    <n v="350"/>
    <n v="350"/>
    <n v="63"/>
    <n v="413"/>
    <m/>
    <e v="#N/A"/>
  </r>
  <r>
    <d v="2025-04-23T15:56:10"/>
    <s v="Apr-25"/>
    <x v="0"/>
    <s v="MPG"/>
    <d v="2023-07-03T00:00:00"/>
    <n v="21"/>
    <x v="15"/>
    <s v="Sharma "/>
    <s v="bipin kumar "/>
    <n v="9006630290"/>
    <s v="WEIGHING SCALE 60 KG"/>
    <s v="gne-23024488"/>
    <s v="Connector 5 Pin Metal M/F"/>
    <s v="RM00727"/>
    <x v="0"/>
    <x v="0"/>
    <n v="1"/>
    <n v="225"/>
    <n v="225"/>
    <n v="40.5"/>
    <n v="265.5"/>
    <m/>
    <s v="Oct '25 Closed"/>
  </r>
  <r>
    <d v="2025-04-09T15:29:27"/>
    <s v="Apr-25"/>
    <x v="0"/>
    <s v="BMC"/>
    <e v="#N/A"/>
    <s v=""/>
    <x v="19"/>
    <s v="S Kamal bmc store "/>
    <s v="GAURAV SHARMA "/>
    <n v="7011134896"/>
    <s v="EKOMILK ULTRA PRO ANALYSER"/>
    <n v="386968"/>
    <s v="Ekomilk Sieringe With Plunger"/>
    <s v="RM00530"/>
    <x v="0"/>
    <x v="0"/>
    <n v="1"/>
    <n v="70"/>
    <n v="70"/>
    <n v="12.6"/>
    <n v="82.6"/>
    <m/>
    <e v="#N/A"/>
  </r>
  <r>
    <d v="2025-04-09T15:29:27"/>
    <s v="Apr-25"/>
    <x v="0"/>
    <s v="BMC"/>
    <e v="#N/A"/>
    <s v=""/>
    <x v="19"/>
    <s v="S Kamal bmc store "/>
    <s v="GAURAV SHARMA "/>
    <n v="7011134896"/>
    <s v="EKOMILK ULTRA PRO ANALYSER"/>
    <n v="386968"/>
    <s v="Eko Motor Pump Pipe"/>
    <s v="RM00856"/>
    <x v="0"/>
    <x v="0"/>
    <n v="1"/>
    <n v="125"/>
    <n v="125"/>
    <n v="22.5"/>
    <n v="147.5"/>
    <m/>
    <e v="#N/A"/>
  </r>
  <r>
    <d v="2025-04-09T15:29:27"/>
    <s v="Apr-25"/>
    <x v="0"/>
    <s v="BMC"/>
    <e v="#N/A"/>
    <s v=""/>
    <x v="19"/>
    <s v="S Kamal bmc store "/>
    <s v="GAURAV SHARMA "/>
    <n v="7011134896"/>
    <s v="EKOMILK ULTRA PRO ANALYSER"/>
    <n v="386968"/>
    <s v="Fatscan &quot; Y &quot; Pipe"/>
    <s v="SF00145"/>
    <x v="0"/>
    <x v="0"/>
    <n v="1"/>
    <n v="84"/>
    <n v="84"/>
    <n v="15.12"/>
    <n v="99.12"/>
    <m/>
    <e v="#N/A"/>
  </r>
  <r>
    <d v="2025-04-09T15:29:27"/>
    <s v="Apr-25"/>
    <x v="0"/>
    <s v="BMC"/>
    <e v="#N/A"/>
    <s v=""/>
    <x v="19"/>
    <s v="S Kamal bmc store "/>
    <s v="GAURAV SHARMA "/>
    <n v="7011134896"/>
    <s v="EKOMILK ULTRA PRO ANALYSER"/>
    <n v="386968"/>
    <s v="Ekomilk Bush"/>
    <s v="RM00510"/>
    <x v="0"/>
    <x v="0"/>
    <n v="1"/>
    <n v="49"/>
    <n v="49"/>
    <n v="8.82"/>
    <n v="57.82"/>
    <m/>
    <e v="#N/A"/>
  </r>
  <r>
    <d v="2025-04-09T15:29:27"/>
    <s v="Apr-25"/>
    <x v="0"/>
    <s v="BMC"/>
    <e v="#N/A"/>
    <s v=""/>
    <x v="19"/>
    <s v="S Kamal bmc store "/>
    <s v="GAURAV SHARMA "/>
    <n v="7011134896"/>
    <s v="EKOMILK ULTRA PRO ANALYSER"/>
    <n v="386968"/>
    <s v="Ekomilk Bush"/>
    <s v="RM00510"/>
    <x v="0"/>
    <x v="0"/>
    <n v="1"/>
    <n v="49"/>
    <n v="49"/>
    <n v="8.82"/>
    <n v="57.82"/>
    <m/>
    <e v="#N/A"/>
  </r>
  <r>
    <d v="2025-04-22T11:43:05"/>
    <s v="Apr-25"/>
    <x v="0"/>
    <s v="MPG"/>
    <d v="2025-01-24T00:00:00"/>
    <n v="2"/>
    <x v="20"/>
    <s v="Gomukh Gauchhari"/>
    <s v="Khagesh"/>
    <n v="8084852614"/>
    <s v="Everest Smart Tab-based Android Terminal (Table-top) with Inbuilt Printer"/>
    <s v="GTD-23024122"/>
    <s v="Battery 3.7V/2600Mah"/>
    <s v="RM00980"/>
    <x v="0"/>
    <x v="0"/>
    <n v="1"/>
    <n v="350"/>
    <n v="350"/>
    <n v="63"/>
    <n v="413"/>
    <m/>
    <s v="Running"/>
  </r>
  <r>
    <d v="2025-04-09T15:50:30"/>
    <s v="Apr-25"/>
    <x v="0"/>
    <s v="BMC"/>
    <e v="#N/A"/>
    <s v=""/>
    <x v="19"/>
    <s v="S Kamal bmc store "/>
    <s v="GAURAV SHARMA "/>
    <n v="7011134896"/>
    <s v="EKOMILK ULTRA PRO ANALYSER"/>
    <n v="388115"/>
    <s v="Ekomilk Sieringe With Plunger"/>
    <s v="RM00530"/>
    <x v="0"/>
    <x v="0"/>
    <n v="1"/>
    <n v="70"/>
    <n v="70"/>
    <n v="12.6"/>
    <n v="82.6"/>
    <m/>
    <e v="#N/A"/>
  </r>
  <r>
    <d v="2025-04-09T15:50:30"/>
    <s v="Apr-25"/>
    <x v="0"/>
    <s v="BMC"/>
    <e v="#N/A"/>
    <s v=""/>
    <x v="19"/>
    <s v="S Kamal bmc store "/>
    <s v="GAURAV SHARMA "/>
    <n v="7011134896"/>
    <s v="EKOMILK ULTRA PRO ANALYSER"/>
    <n v="388115"/>
    <s v="Ekomilk Sensor To Sieringe Pipe"/>
    <s v="RM00528"/>
    <x v="0"/>
    <x v="0"/>
    <n v="1"/>
    <n v="44"/>
    <n v="44"/>
    <n v="7.92"/>
    <n v="51.92"/>
    <m/>
    <e v="#N/A"/>
  </r>
  <r>
    <d v="2025-04-09T15:50:30"/>
    <s v="Apr-25"/>
    <x v="0"/>
    <s v="BMC"/>
    <e v="#N/A"/>
    <s v=""/>
    <x v="19"/>
    <s v="S Kamal bmc store "/>
    <s v="GAURAV SHARMA "/>
    <n v="7011134896"/>
    <s v="EKOMILK ULTRA PRO ANALYSER"/>
    <n v="388115"/>
    <s v="Ekomilk Sensor To Sieringe Pipe"/>
    <s v="RM00528"/>
    <x v="0"/>
    <x v="0"/>
    <n v="1"/>
    <n v="44"/>
    <n v="44"/>
    <n v="7.92"/>
    <n v="51.92"/>
    <m/>
    <e v="#N/A"/>
  </r>
  <r>
    <d v="2025-04-22T17:09:50"/>
    <s v="Apr-25"/>
    <x v="0"/>
    <s v="MPG"/>
    <d v="2019-02-14T00:00:00"/>
    <n v="74"/>
    <x v="21"/>
    <s v="gachhi tola "/>
    <s v="vikash kumar "/>
    <n v="7903086209"/>
    <s v="WEIGHING SCALE 60 KG"/>
    <s v="E-214082399"/>
    <s v="Keyboard For Weighing Scale (Repaired)"/>
    <s v="SF00048"/>
    <x v="0"/>
    <x v="0"/>
    <n v="1"/>
    <n v="360"/>
    <n v="360"/>
    <n v="64.8"/>
    <n v="424.8"/>
    <m/>
    <s v="Running"/>
  </r>
  <r>
    <d v="2025-04-09T15:31:00"/>
    <s v="Apr-25"/>
    <x v="0"/>
    <s v="BMC"/>
    <e v="#N/A"/>
    <s v=""/>
    <x v="19"/>
    <s v="S Kamal bmc store "/>
    <s v="GAURAV SHARMA "/>
    <n v="7011134896"/>
    <s v="EKOMILK ULTRA PRO ANALYSER"/>
    <n v="384000"/>
    <s v="Ekomilk Sieringe With Plunger"/>
    <s v="RM00530"/>
    <x v="0"/>
    <x v="0"/>
    <n v="1"/>
    <n v="70"/>
    <n v="70"/>
    <n v="12.6"/>
    <n v="82.6"/>
    <m/>
    <e v="#N/A"/>
  </r>
  <r>
    <d v="2025-04-09T15:31:00"/>
    <s v="Apr-25"/>
    <x v="0"/>
    <s v="BMC"/>
    <e v="#N/A"/>
    <s v=""/>
    <x v="19"/>
    <s v="S Kamal bmc store "/>
    <s v="GAURAV SHARMA "/>
    <n v="7011134896"/>
    <s v="EKOMILK ULTRA PRO ANALYSER"/>
    <n v="384000"/>
    <s v="Ekomilk Sieringe With Plunger"/>
    <s v="RM00530"/>
    <x v="0"/>
    <x v="0"/>
    <n v="1"/>
    <n v="70"/>
    <n v="70"/>
    <n v="12.6"/>
    <n v="82.6"/>
    <m/>
    <e v="#N/A"/>
  </r>
  <r>
    <d v="2025-04-09T15:31:00"/>
    <s v="Apr-25"/>
    <x v="0"/>
    <s v="BMC"/>
    <e v="#N/A"/>
    <s v=""/>
    <x v="19"/>
    <s v="S Kamal bmc store "/>
    <s v="GAURAV SHARMA "/>
    <n v="7011134896"/>
    <s v="EKOMILK ULTRA PRO ANALYSER"/>
    <n v="384000"/>
    <s v="Fatscan &quot; Y &quot; Pipe"/>
    <s v="SF00145"/>
    <x v="0"/>
    <x v="0"/>
    <n v="1"/>
    <n v="84"/>
    <n v="84"/>
    <n v="15.12"/>
    <n v="99.12"/>
    <m/>
    <e v="#N/A"/>
  </r>
  <r>
    <d v="2025-04-09T15:31:00"/>
    <s v="Apr-25"/>
    <x v="0"/>
    <s v="BMC"/>
    <e v="#N/A"/>
    <s v=""/>
    <x v="19"/>
    <s v="S Kamal bmc store "/>
    <s v="GAURAV SHARMA "/>
    <n v="7011134896"/>
    <s v="EKOMILK ULTRA PRO ANALYSER"/>
    <n v="384000"/>
    <s v="Ekomilk Sensor To Sieringe Pipe"/>
    <s v="RM00528"/>
    <x v="0"/>
    <x v="0"/>
    <n v="1"/>
    <n v="44"/>
    <n v="44"/>
    <n v="7.92"/>
    <n v="51.92"/>
    <m/>
    <e v="#N/A"/>
  </r>
  <r>
    <d v="2025-04-09T15:31:00"/>
    <s v="Apr-25"/>
    <x v="0"/>
    <s v="BMC"/>
    <e v="#N/A"/>
    <s v=""/>
    <x v="19"/>
    <s v="S Kamal bmc store "/>
    <s v="GAURAV SHARMA "/>
    <n v="7011134896"/>
    <s v="EKOMILK ULTRA PRO ANALYSER"/>
    <n v="384000"/>
    <s v="Ekomilk Sensor To Sieringe Pipe"/>
    <s v="RM00528"/>
    <x v="0"/>
    <x v="0"/>
    <n v="1"/>
    <n v="44"/>
    <n v="44"/>
    <n v="7.92"/>
    <n v="51.92"/>
    <m/>
    <e v="#N/A"/>
  </r>
  <r>
    <d v="2025-04-22T17:09:50"/>
    <s v="Apr-25"/>
    <x v="0"/>
    <s v="MPG"/>
    <d v="2019-02-14T00:00:00"/>
    <n v="74"/>
    <x v="21"/>
    <s v="gachhi tola "/>
    <s v="vikash kumar "/>
    <n v="7903086209"/>
    <s v="WEIGHING SCALE 60 KG"/>
    <s v="E-214082399"/>
    <s v="Connector 5 Pin Metal M/F"/>
    <s v="RM00727"/>
    <x v="0"/>
    <x v="0"/>
    <n v="1"/>
    <n v="225"/>
    <n v="225"/>
    <n v="40.5"/>
    <n v="265.5"/>
    <m/>
    <s v="Running"/>
  </r>
  <r>
    <d v="2025-04-09T15:30:29"/>
    <s v="Apr-25"/>
    <x v="0"/>
    <s v="BMC"/>
    <e v="#N/A"/>
    <s v=""/>
    <x v="19"/>
    <s v="S Kamal bmc store "/>
    <s v="GAURAV SHARMA "/>
    <n v="7011134896"/>
    <s v="EKOMILK ULTRA PRO ANALYSER"/>
    <n v="388107"/>
    <s v="Fatscan &quot; Y &quot; Pipe"/>
    <s v="SF00145"/>
    <x v="0"/>
    <x v="0"/>
    <n v="1"/>
    <n v="84"/>
    <n v="84"/>
    <n v="15.12"/>
    <n v="99.12"/>
    <m/>
    <e v="#N/A"/>
  </r>
  <r>
    <d v="2025-04-09T15:30:29"/>
    <s v="Apr-25"/>
    <x v="0"/>
    <s v="BMC"/>
    <e v="#N/A"/>
    <s v=""/>
    <x v="19"/>
    <s v="S Kamal bmc store "/>
    <s v="GAURAV SHARMA "/>
    <n v="7011134896"/>
    <s v="EKOMILK ULTRA PRO ANALYSER"/>
    <n v="388107"/>
    <s v="Ekomilk Bush"/>
    <s v="RM00510"/>
    <x v="0"/>
    <x v="0"/>
    <n v="1"/>
    <n v="49"/>
    <n v="49"/>
    <n v="8.82"/>
    <n v="57.82"/>
    <m/>
    <e v="#N/A"/>
  </r>
  <r>
    <d v="2025-04-09T15:30:29"/>
    <s v="Apr-25"/>
    <x v="0"/>
    <s v="BMC"/>
    <e v="#N/A"/>
    <s v=""/>
    <x v="19"/>
    <s v="S Kamal bmc store "/>
    <s v="GAURAV SHARMA "/>
    <n v="7011134896"/>
    <s v="EKOMILK ULTRA PRO ANALYSER"/>
    <n v="388107"/>
    <s v="Ekomilk Bush"/>
    <s v="RM00510"/>
    <x v="0"/>
    <x v="0"/>
    <n v="1"/>
    <n v="49"/>
    <n v="49"/>
    <n v="8.82"/>
    <n v="57.82"/>
    <m/>
    <e v="#N/A"/>
  </r>
  <r>
    <d v="2025-04-22T17:27:47"/>
    <s v="Apr-25"/>
    <x v="1"/>
    <s v="BMC"/>
    <e v="#N/A"/>
    <s v=""/>
    <x v="22"/>
    <s v="Itki"/>
    <s v="Amit Tiwari "/>
    <n v="8210761749"/>
    <s v="Everest Smart Tab-based Android Terminal (Table-top) with Inbuilt Printer"/>
    <s v="GTD-23060345"/>
    <s v="Tablet 8 Inch"/>
    <s v="RM01369"/>
    <x v="1"/>
    <x v="1"/>
    <n v="1"/>
    <n v="9300"/>
    <n v="9300"/>
    <n v="1674"/>
    <n v="10974"/>
    <m/>
    <e v="#N/A"/>
  </r>
  <r>
    <d v="2025-04-22T16:37:03"/>
    <s v="Apr-25"/>
    <x v="0"/>
    <s v="BMC"/>
    <e v="#N/A"/>
    <s v=""/>
    <x v="23"/>
    <s v="laldiyara BMC"/>
    <s v="AKASH KUMAR"/>
    <n v="7061995502"/>
    <s v="EKOMILK ULTRA PRO ANALYSER"/>
    <n v="277102"/>
    <s v="Ekomilk Keyboard"/>
    <s v="RM00512"/>
    <x v="0"/>
    <x v="0"/>
    <n v="1"/>
    <n v="770"/>
    <n v="770"/>
    <n v="138.6"/>
    <n v="908.6"/>
    <m/>
    <e v="#N/A"/>
  </r>
  <r>
    <d v="2025-04-09T15:50:11"/>
    <s v="Apr-25"/>
    <x v="0"/>
    <s v="BMC"/>
    <e v="#N/A"/>
    <s v=""/>
    <x v="19"/>
    <s v="S Kamal bmc store "/>
    <s v="GAURAV SHARMA "/>
    <n v="7011134896"/>
    <s v="EKOMILK ULTRA PRO ANALYSER"/>
    <n v="387354"/>
    <s v="Ekomilk Sieringe With Plunger"/>
    <s v="RM00530"/>
    <x v="0"/>
    <x v="0"/>
    <n v="1"/>
    <n v="70"/>
    <n v="70"/>
    <n v="12.6"/>
    <n v="82.6"/>
    <m/>
    <e v="#N/A"/>
  </r>
  <r>
    <d v="2025-04-09T15:50:11"/>
    <s v="Apr-25"/>
    <x v="0"/>
    <s v="BMC"/>
    <e v="#N/A"/>
    <s v=""/>
    <x v="19"/>
    <s v="S Kamal bmc store "/>
    <s v="GAURAV SHARMA "/>
    <n v="7011134896"/>
    <s v="EKOMILK ULTRA PRO ANALYSER"/>
    <n v="387354"/>
    <s v="Ekomilk Sieringe With Plunger"/>
    <s v="RM00530"/>
    <x v="0"/>
    <x v="0"/>
    <n v="1"/>
    <n v="70"/>
    <n v="70"/>
    <n v="12.6"/>
    <n v="82.6"/>
    <m/>
    <e v="#N/A"/>
  </r>
  <r>
    <d v="2025-04-09T15:50:11"/>
    <s v="Apr-25"/>
    <x v="0"/>
    <s v="BMC"/>
    <e v="#N/A"/>
    <s v=""/>
    <x v="19"/>
    <s v="S Kamal bmc store "/>
    <s v="GAURAV SHARMA "/>
    <n v="7011134896"/>
    <s v="EKOMILK ULTRA PRO ANALYSER"/>
    <n v="387354"/>
    <s v="Ekomilk Sensor To Sieringe Pipe"/>
    <s v="RM00528"/>
    <x v="0"/>
    <x v="0"/>
    <n v="1"/>
    <n v="44"/>
    <n v="44"/>
    <n v="7.92"/>
    <n v="51.92"/>
    <m/>
    <e v="#N/A"/>
  </r>
  <r>
    <d v="2025-04-09T15:50:11"/>
    <s v="Apr-25"/>
    <x v="0"/>
    <s v="BMC"/>
    <e v="#N/A"/>
    <s v=""/>
    <x v="19"/>
    <s v="S Kamal bmc store "/>
    <s v="GAURAV SHARMA "/>
    <n v="7011134896"/>
    <s v="EKOMILK ULTRA PRO ANALYSER"/>
    <n v="387354"/>
    <s v="Ekomilk Sensor To Sieringe Pipe"/>
    <s v="RM00528"/>
    <x v="0"/>
    <x v="0"/>
    <n v="1"/>
    <n v="44"/>
    <n v="44"/>
    <n v="7.92"/>
    <n v="51.92"/>
    <m/>
    <e v="#N/A"/>
  </r>
  <r>
    <d v="2025-04-09T15:50:11"/>
    <s v="Apr-25"/>
    <x v="0"/>
    <s v="BMC"/>
    <e v="#N/A"/>
    <s v=""/>
    <x v="19"/>
    <s v="S Kamal bmc store "/>
    <s v="GAURAV SHARMA "/>
    <n v="7011134896"/>
    <s v="EKOMILK ULTRA PRO ANALYSER"/>
    <n v="387354"/>
    <s v="Fatscan &quot; Y &quot; Pipe"/>
    <s v="SF00145"/>
    <x v="0"/>
    <x v="0"/>
    <n v="1"/>
    <n v="84"/>
    <n v="84"/>
    <n v="15.12"/>
    <n v="99.12"/>
    <m/>
    <e v="#N/A"/>
  </r>
  <r>
    <d v="2025-04-09T15:59:46"/>
    <s v="Apr-25"/>
    <x v="0"/>
    <s v="MPG"/>
    <d v="2022-04-13T00:00:00"/>
    <n v="35"/>
    <x v="24"/>
    <s v="SAHIYAR"/>
    <s v="Satish Kumar Thakur"/>
    <n v="8709513821"/>
    <s v="EKOMILK ULTRA PRO ANALYSER"/>
    <n v="359707"/>
    <s v="Ekomilk Sieringe With Plunger"/>
    <s v="RM00530"/>
    <x v="0"/>
    <x v="0"/>
    <n v="1"/>
    <n v="70"/>
    <n v="70"/>
    <n v="12.6"/>
    <n v="82.6"/>
    <m/>
    <s v="Running"/>
  </r>
  <r>
    <d v="2025-04-09T15:59:46"/>
    <s v="Apr-25"/>
    <x v="0"/>
    <s v="MPG"/>
    <d v="2022-04-13T00:00:00"/>
    <n v="35"/>
    <x v="24"/>
    <s v="SAHIYAR"/>
    <s v="Satish Kumar Thakur"/>
    <n v="8709513821"/>
    <s v="EKOMILK ULTRA PRO ANALYSER"/>
    <n v="359707"/>
    <s v="Ekomilk Sieringe With Plunger"/>
    <s v="RM00530"/>
    <x v="0"/>
    <x v="0"/>
    <n v="1"/>
    <n v="70"/>
    <n v="70"/>
    <n v="12.6"/>
    <n v="82.6"/>
    <m/>
    <s v="Running"/>
  </r>
  <r>
    <d v="2025-04-09T17:12:24"/>
    <s v="Apr-25"/>
    <x v="0"/>
    <s v="MPG"/>
    <d v="2025-03-29T00:00:00"/>
    <n v="0"/>
    <x v="18"/>
    <s v="shijhauri"/>
    <s v="ranjay kumar sharma"/>
    <n v="7061352566"/>
    <s v="Everest Smart Tab-based Android Terminal (Table-top) with Inbuilt Printer"/>
    <s v="gtd-23014016"/>
    <s v="WiFi Serial Device (Wysence)"/>
    <s v="SF00056"/>
    <x v="0"/>
    <x v="0"/>
    <n v="1"/>
    <n v="925"/>
    <n v="925"/>
    <n v="166.5"/>
    <n v="1091.5"/>
    <m/>
    <s v="Running"/>
  </r>
  <r>
    <d v="2025-04-21T15:50:20"/>
    <s v="Apr-25"/>
    <x v="0"/>
    <s v="BMC"/>
    <e v="#N/A"/>
    <s v=""/>
    <x v="25"/>
    <s v="Manjhaul"/>
    <s v="chaitanya"/>
    <n v="9354051773"/>
    <s v="WEIGHING SCALE 60 KG"/>
    <s v="gne-23024491"/>
    <s v="Connector 5 Pin Metal M/F"/>
    <s v="RM00727"/>
    <x v="0"/>
    <x v="0"/>
    <n v="1"/>
    <n v="225"/>
    <n v="225"/>
    <n v="40.5"/>
    <n v="265.5"/>
    <m/>
    <e v="#N/A"/>
  </r>
  <r>
    <d v="2025-04-10T16:02:39"/>
    <s v="Apr-25"/>
    <x v="0"/>
    <s v="BMC"/>
    <e v="#N/A"/>
    <s v=""/>
    <x v="26"/>
    <s v="In Bmc Halsi"/>
    <s v="kunal kumar dev"/>
    <n v="7488561001"/>
    <s v="Indicator DC Powder Coated (Ver. 2)"/>
    <s v="GNIDP-23035429"/>
    <s v="SWS Motherboard (Version 1.1)"/>
    <s v="RM00973"/>
    <x v="0"/>
    <x v="0"/>
    <n v="1"/>
    <n v="2080"/>
    <n v="2080"/>
    <n v="374.4"/>
    <n v="2454.4"/>
    <m/>
    <e v="#N/A"/>
  </r>
  <r>
    <d v="2025-04-11T13:37:04"/>
    <s v="Apr-25"/>
    <x v="0"/>
    <s v="MPG"/>
    <d v="2020-11-26T00:00:00"/>
    <n v="52"/>
    <x v="27"/>
    <s v="balahpur "/>
    <s v="rambilash yadav "/>
    <n v="8210634651"/>
    <s v="WEIGHING SCALE 60 KG"/>
    <s v="GNE-23024496"/>
    <s v="SWS Motherboard (Version 1.1)"/>
    <s v="RM00973"/>
    <x v="0"/>
    <x v="0"/>
    <n v="1"/>
    <n v="2080"/>
    <n v="2080"/>
    <n v="374.4"/>
    <n v="2454.4"/>
    <m/>
    <s v="Running"/>
  </r>
  <r>
    <d v="2025-04-18T14:49:32"/>
    <s v="Apr-25"/>
    <x v="0"/>
    <s v="MPG"/>
    <d v="2024-09-21T00:00:00"/>
    <n v="6"/>
    <x v="28"/>
    <s v="Sondiya "/>
    <s v="Chandra shekher kuma"/>
    <n v="6200084384"/>
    <s v="EKOMILK ULTRA PRO ANALYSER"/>
    <n v="385565"/>
    <s v="Fatscan &quot; Y &quot; Pipe"/>
    <s v="SF00145"/>
    <x v="0"/>
    <x v="0"/>
    <n v="1"/>
    <n v="84"/>
    <n v="84"/>
    <n v="15.12"/>
    <n v="99.12"/>
    <m/>
    <s v="Running"/>
  </r>
  <r>
    <d v="2025-04-18T16:55:42"/>
    <s v="Apr-25"/>
    <x v="0"/>
    <s v="BMC"/>
    <e v="#N/A"/>
    <s v=""/>
    <x v="23"/>
    <s v="laldiyara BMC"/>
    <s v="AKASH KUMAR"/>
    <n v="7061995502"/>
    <s v="Everest Smart Tab-based Android Terminal (Table-top) with Inbuilt Printer"/>
    <s v="GTD-23014059"/>
    <s v="Battery 3.7V/2600Mah"/>
    <s v="RM00980"/>
    <x v="0"/>
    <x v="0"/>
    <n v="1"/>
    <n v="350"/>
    <n v="350"/>
    <n v="63"/>
    <n v="413"/>
    <m/>
    <e v="#N/A"/>
  </r>
  <r>
    <d v="2025-04-11T14:39:05"/>
    <s v="Apr-25"/>
    <x v="0"/>
    <s v="MPG"/>
    <d v="2021-06-25T00:00:00"/>
    <n v="45"/>
    <x v="29"/>
    <s v="Laxmipur"/>
    <s v="Rajive Kumar"/>
    <n v="7765934465"/>
    <s v="WEIGHING SCALE 60 KG"/>
    <s v="GE-19122123"/>
    <s v="Connector 5 Pin Metal M/F"/>
    <s v="RM00727"/>
    <x v="0"/>
    <x v="0"/>
    <n v="1"/>
    <n v="225"/>
    <n v="225"/>
    <n v="40.5"/>
    <n v="265.5"/>
    <m/>
    <s v="Running"/>
  </r>
  <r>
    <d v="2025-04-12T15:05:17"/>
    <s v="Apr-25"/>
    <x v="0"/>
    <s v="MPG"/>
    <e v="#N/A"/>
    <s v=""/>
    <x v="30"/>
    <s v="khuryari"/>
    <s v="Mantu Kumar"/>
    <n v="9031367424"/>
    <s v="Everest Smart Tab-based Android Terminal (Table-top) with Inbuilt Printer"/>
    <s v="GTD-23014014"/>
    <s v="Battery 3.7V/2600Mah"/>
    <s v="RM00980"/>
    <x v="0"/>
    <x v="0"/>
    <n v="1"/>
    <n v="350"/>
    <n v="350"/>
    <n v="63"/>
    <n v="413"/>
    <m/>
    <s v="Running"/>
  </r>
  <r>
    <d v="2025-04-17T11:00:05"/>
    <s v="Apr-25"/>
    <x v="0"/>
    <s v="MPG"/>
    <d v="2025-04-05T00:00:00"/>
    <n v="0"/>
    <x v="31"/>
    <s v="Basadhiya east"/>
    <s v="SONU KUMAR"/>
    <n v="6206932203"/>
    <s v="EKOMILK ULTRA PRO ANALYSER"/>
    <n v="322438"/>
    <s v="Fatscan &quot; Y &quot; Pipe"/>
    <s v="SF00145"/>
    <x v="0"/>
    <x v="0"/>
    <n v="1"/>
    <n v="84"/>
    <n v="84"/>
    <n v="15.12"/>
    <n v="99.12"/>
    <m/>
    <s v="Oct '25 Closed"/>
  </r>
  <r>
    <d v="2025-04-17T11:00:05"/>
    <s v="Apr-25"/>
    <x v="0"/>
    <s v="MPG"/>
    <d v="2025-04-05T00:00:00"/>
    <n v="0"/>
    <x v="31"/>
    <s v="Basadhiya east"/>
    <s v="SONU KUMAR"/>
    <n v="6206932203"/>
    <s v="EKOMILK ULTRA PRO ANALYSER"/>
    <n v="322438"/>
    <s v="Ekomilk Sieringe With Plunger"/>
    <s v="RM00530"/>
    <x v="0"/>
    <x v="0"/>
    <n v="1"/>
    <n v="70"/>
    <n v="70"/>
    <n v="12.6"/>
    <n v="82.6"/>
    <m/>
    <s v="Oct '25 Closed"/>
  </r>
  <r>
    <d v="2025-04-17T15:08:42"/>
    <s v="Apr-25"/>
    <x v="0"/>
    <s v="MPG"/>
    <d v="2023-07-13T00:00:00"/>
    <n v="21"/>
    <x v="32"/>
    <s v="gohri "/>
    <s v="jay nandan yadav "/>
    <n v="7543904926"/>
    <s v="Everest Smart Tab-based Android Terminal (Table-top) with Inbuilt Printer"/>
    <s v="GTD-23024176"/>
    <s v="Battery 3.7V/2600Mah"/>
    <s v="RM00980"/>
    <x v="0"/>
    <x v="0"/>
    <n v="1"/>
    <n v="350"/>
    <n v="350"/>
    <n v="63"/>
    <n v="413"/>
    <m/>
    <s v="Aug '25 closed"/>
  </r>
  <r>
    <d v="2025-05-26T12:48:16"/>
    <s v="May-25"/>
    <x v="0"/>
    <s v="MPG"/>
    <d v="2022-04-13T00:00:00"/>
    <n v="37"/>
    <x v="33"/>
    <s v="DUMRI PURVI"/>
    <s v="Dwarika Kumar"/>
    <n v="8292416721"/>
    <s v="EKOMILK ULTRA PRO ANALYSER"/>
    <n v="383534"/>
    <s v="Ekomilk Motorpump Set New"/>
    <s v="TR00181"/>
    <x v="2"/>
    <x v="1"/>
    <n v="1"/>
    <n v="2000"/>
    <n v="2000"/>
    <n v="360"/>
    <n v="2360"/>
    <m/>
    <s v="Running"/>
  </r>
  <r>
    <d v="2025-05-26T12:03:03"/>
    <s v="May-25"/>
    <x v="0"/>
    <s v="MPG"/>
    <e v="#N/A"/>
    <s v=""/>
    <x v="34"/>
    <s v="Gomukh Khaira "/>
    <s v="Bipin kumar"/>
    <n v="7631283573"/>
    <s v="EKOMILK ULTRA PRO ANALYSER"/>
    <n v="359379"/>
    <s v="Ekomilk Sensor To Sieringe Pipe"/>
    <s v="RM00528"/>
    <x v="2"/>
    <x v="1"/>
    <n v="1"/>
    <n v="44"/>
    <n v="44"/>
    <n v="7.92"/>
    <n v="51.92"/>
    <m/>
    <s v="Running"/>
  </r>
  <r>
    <d v="2025-05-26T13:38:44"/>
    <s v="May-25"/>
    <x v="0"/>
    <s v="BMC"/>
    <e v="#N/A"/>
    <s v=""/>
    <x v="35"/>
    <s v="musrigharai store"/>
    <s v="prakash"/>
    <n v="9608956246"/>
    <s v="EKOMILK ULTRA PRO ANALYSER"/>
    <n v="193333"/>
    <s v="Eko Motor Pump Pipe"/>
    <s v="RM00856"/>
    <x v="2"/>
    <x v="1"/>
    <n v="1"/>
    <n v="125"/>
    <n v="125"/>
    <n v="22.5"/>
    <n v="147.5"/>
    <m/>
    <e v="#N/A"/>
  </r>
  <r>
    <d v="2025-05-26T13:38:44"/>
    <s v="May-25"/>
    <x v="0"/>
    <s v="BMC"/>
    <e v="#N/A"/>
    <s v=""/>
    <x v="35"/>
    <s v="musrigharai store"/>
    <s v="prakash"/>
    <n v="9608956246"/>
    <s v="EKOMILK ULTRA PRO ANALYSER"/>
    <n v="193333"/>
    <s v="Eko Motor Pump Pipe"/>
    <s v="RM00856"/>
    <x v="2"/>
    <x v="1"/>
    <n v="1"/>
    <n v="125"/>
    <n v="125"/>
    <n v="22.5"/>
    <n v="147.5"/>
    <m/>
    <e v="#N/A"/>
  </r>
  <r>
    <d v="2025-05-26T13:38:44"/>
    <s v="May-25"/>
    <x v="0"/>
    <s v="BMC"/>
    <e v="#N/A"/>
    <s v=""/>
    <x v="35"/>
    <s v="musrigharai store"/>
    <s v="prakash"/>
    <n v="9608956246"/>
    <s v="EKOMILK ULTRA PRO ANALYSER"/>
    <n v="193333"/>
    <s v="Ekomilk Bush"/>
    <s v="RM00510"/>
    <x v="2"/>
    <x v="1"/>
    <n v="1"/>
    <n v="49"/>
    <n v="49"/>
    <n v="8.82"/>
    <n v="57.82"/>
    <m/>
    <e v="#N/A"/>
  </r>
  <r>
    <d v="2025-05-26T13:38:44"/>
    <s v="May-25"/>
    <x v="0"/>
    <s v="BMC"/>
    <e v="#N/A"/>
    <s v=""/>
    <x v="35"/>
    <s v="musrigharai store"/>
    <s v="prakash"/>
    <n v="9608956246"/>
    <s v="EKOMILK ULTRA PRO ANALYSER"/>
    <n v="193333"/>
    <s v="Ekomilk Bush"/>
    <s v="RM00510"/>
    <x v="2"/>
    <x v="1"/>
    <n v="1"/>
    <n v="49"/>
    <n v="49"/>
    <n v="8.82"/>
    <n v="57.82"/>
    <m/>
    <e v="#N/A"/>
  </r>
  <r>
    <d v="2025-05-23T13:59:21"/>
    <s v="May-25"/>
    <x v="0"/>
    <s v="MPG"/>
    <e v="#N/A"/>
    <s v=""/>
    <x v="36"/>
    <s v="Gomukh Bandhera"/>
    <s v="Jaikishan kumar"/>
    <n v="9113120295"/>
    <s v="WEIGHING SCALE 60 KG"/>
    <s v="GNE-23024422"/>
    <s v="Keyboard For Weighing Scale (Repaired)"/>
    <s v="SF00048"/>
    <x v="2"/>
    <x v="1"/>
    <n v="1"/>
    <n v="360"/>
    <n v="360"/>
    <n v="64.8"/>
    <n v="424.8"/>
    <m/>
    <s v="Running"/>
  </r>
  <r>
    <d v="2025-05-23T14:00:00"/>
    <s v="May-25"/>
    <x v="0"/>
    <s v="MPG"/>
    <e v="#N/A"/>
    <s v=""/>
    <x v="36"/>
    <s v="Gomukh Bandhera"/>
    <s v="Jaikishan kumar"/>
    <n v="9113120295"/>
    <s v="EKOMILK ULTRA PRO ANALYSER"/>
    <n v="388112"/>
    <s v="Ekomilk Sieringe With Plunger"/>
    <s v="RM00530"/>
    <x v="2"/>
    <x v="1"/>
    <n v="1"/>
    <n v="70"/>
    <n v="70"/>
    <n v="12.6"/>
    <n v="82.6"/>
    <m/>
    <s v="Running"/>
  </r>
  <r>
    <d v="2025-05-23T14:53:48"/>
    <s v="May-25"/>
    <x v="0"/>
    <s v="MPG"/>
    <d v="2024-08-26T00:00:00"/>
    <n v="8"/>
    <x v="37"/>
    <s v="Beri"/>
    <s v="pavan ray"/>
    <n v="9262776421"/>
    <s v="STIRRER UNIT EV5600"/>
    <s v="GS-23011720"/>
    <s v="Stirrer Timer PCB"/>
    <s v="RM00478"/>
    <x v="2"/>
    <x v="1"/>
    <n v="1"/>
    <n v="900"/>
    <n v="900"/>
    <n v="162"/>
    <n v="1062"/>
    <m/>
    <s v="Running"/>
  </r>
  <r>
    <d v="2025-05-22T14:55:57"/>
    <s v="May-25"/>
    <x v="0"/>
    <s v="MPG"/>
    <d v="2023-07-13T00:00:00"/>
    <n v="22"/>
    <x v="32"/>
    <s v="gohri "/>
    <s v="jay nandan yadav "/>
    <n v="7543904926"/>
    <s v="WEIGHING SCALE 60 KG"/>
    <s v="GNE-23024444"/>
    <s v="SWS Motherboard (Version 1.1)"/>
    <s v="RM00973"/>
    <x v="2"/>
    <x v="1"/>
    <n v="1"/>
    <n v="2080"/>
    <n v="2080"/>
    <n v="374.4"/>
    <n v="2454.4"/>
    <m/>
    <s v="Aug '25 closed"/>
  </r>
  <r>
    <d v="2025-05-22T15:56:35"/>
    <s v="May-25"/>
    <x v="0"/>
    <s v="MPG"/>
    <d v="2020-09-28T00:00:00"/>
    <n v="55"/>
    <x v="38"/>
    <s v="Arniya ganj"/>
    <s v="Navin Kumar ray"/>
    <n v="7017190104"/>
    <s v="WEIGHING SCALE 60 KG"/>
    <s v="E-17116795"/>
    <s v="Keyboard For Weighing Scale (Repaired)"/>
    <s v="SF00048"/>
    <x v="2"/>
    <x v="1"/>
    <n v="1"/>
    <n v="360"/>
    <n v="360"/>
    <n v="64.8"/>
    <n v="424.8"/>
    <m/>
    <s v="Running"/>
  </r>
  <r>
    <d v="2025-05-28T12:36:48"/>
    <s v="May-25"/>
    <x v="0"/>
    <s v="MPG"/>
    <d v="2020-12-25T00:00:00"/>
    <n v="53"/>
    <x v="39"/>
    <s v="pateliya"/>
    <s v="abhinish "/>
    <n v="9709668050"/>
    <s v="EKOMILK ULTRA PRO ANALYSER"/>
    <n v="322706"/>
    <s v="Ekomilk Sensor To Sieringe Pipe"/>
    <s v="RM00528"/>
    <x v="2"/>
    <x v="1"/>
    <n v="1"/>
    <n v="44"/>
    <n v="44"/>
    <n v="7.92"/>
    <n v="51.92"/>
    <m/>
    <s v="Running"/>
  </r>
  <r>
    <d v="2025-05-21T16:40:44"/>
    <s v="May-25"/>
    <x v="0"/>
    <s v="MPG"/>
    <d v="2024-02-01T00:00:00"/>
    <n v="15"/>
    <x v="40"/>
    <s v="Mathar word 10 bmc S kamal"/>
    <s v="Manish Kumar "/>
    <n v="6204172365"/>
    <s v="WEIGHING SCALE 200Kg"/>
    <s v="GNE-23013738"/>
    <s v="Load Cell 200 Kg 60310"/>
    <s v="RM00009"/>
    <x v="2"/>
    <x v="1"/>
    <n v="1"/>
    <n v="3000"/>
    <n v="3000"/>
    <n v="540"/>
    <n v="3540"/>
    <m/>
    <s v="Running"/>
  </r>
  <r>
    <d v="2025-05-28T12:36:48"/>
    <s v="May-25"/>
    <x v="0"/>
    <s v="MPG"/>
    <d v="2020-12-25T00:00:00"/>
    <n v="53"/>
    <x v="39"/>
    <s v="pateliya"/>
    <s v="abhinish "/>
    <n v="9709668050"/>
    <s v="EKOMILK ULTRA PRO ANALYSER"/>
    <n v="322706"/>
    <s v="Ekomilk Sensor To Sieringe Pipe"/>
    <s v="RM00528"/>
    <x v="2"/>
    <x v="1"/>
    <n v="1"/>
    <n v="44"/>
    <n v="44"/>
    <n v="7.92"/>
    <n v="51.92"/>
    <m/>
    <s v="Running"/>
  </r>
  <r>
    <d v="2025-05-20T13:32:01"/>
    <s v="May-25"/>
    <x v="0"/>
    <s v="MPG"/>
    <d v="2020-12-19T00:00:00"/>
    <n v="53"/>
    <x v="41"/>
    <s v="Jounapur"/>
    <s v="Lalan singh"/>
    <n v="9973808926"/>
    <s v="EKOMILK ULTRA PRO ANALYSER"/>
    <n v="322529"/>
    <s v="Fatscan &quot; Y &quot; Pipe"/>
    <s v="SF00145"/>
    <x v="2"/>
    <x v="1"/>
    <n v="1"/>
    <n v="84"/>
    <n v="84"/>
    <n v="15.12"/>
    <n v="99.12"/>
    <m/>
    <s v="Running"/>
  </r>
  <r>
    <d v="2025-05-20T13:32:01"/>
    <s v="May-25"/>
    <x v="0"/>
    <s v="MPG"/>
    <d v="2020-12-19T00:00:00"/>
    <n v="53"/>
    <x v="41"/>
    <s v="Jounapur"/>
    <s v="Lalan singh"/>
    <n v="9973808926"/>
    <s v="EKOMILK ULTRA PRO ANALYSER"/>
    <n v="322529"/>
    <s v="Eko Motor Pump Pipe"/>
    <s v="RM00856"/>
    <x v="2"/>
    <x v="1"/>
    <n v="1"/>
    <n v="125"/>
    <n v="125"/>
    <n v="22.5"/>
    <n v="147.5"/>
    <m/>
    <s v="Running"/>
  </r>
  <r>
    <d v="2025-05-20T13:32:01"/>
    <s v="May-25"/>
    <x v="0"/>
    <s v="MPG"/>
    <d v="2020-12-19T00:00:00"/>
    <n v="53"/>
    <x v="41"/>
    <s v="Jounapur"/>
    <s v="Lalan singh"/>
    <n v="9973808926"/>
    <s v="EKOMILK ULTRA PRO ANALYSER"/>
    <n v="322529"/>
    <s v="Eko Motor Pump Pipe"/>
    <s v="RM00856"/>
    <x v="2"/>
    <x v="1"/>
    <n v="1"/>
    <n v="125"/>
    <n v="125"/>
    <n v="22.5"/>
    <n v="147.5"/>
    <m/>
    <s v="Running"/>
  </r>
  <r>
    <d v="2025-05-28T12:36:48"/>
    <s v="May-25"/>
    <x v="0"/>
    <s v="MPG"/>
    <d v="2020-12-25T00:00:00"/>
    <n v="53"/>
    <x v="39"/>
    <s v="pateliya"/>
    <s v="abhinish "/>
    <n v="9709668050"/>
    <s v="EKOMILK ULTRA PRO ANALYSER"/>
    <n v="322706"/>
    <s v="Fatscan &quot; Y &quot; Pipe"/>
    <s v="SF00145"/>
    <x v="2"/>
    <x v="1"/>
    <n v="1"/>
    <n v="84"/>
    <n v="84"/>
    <n v="15.12"/>
    <n v="99.12"/>
    <m/>
    <s v="Running"/>
  </r>
  <r>
    <d v="2025-05-28T10:44:22"/>
    <s v="May-25"/>
    <x v="0"/>
    <s v="MPG"/>
    <d v="2020-04-14T00:00:00"/>
    <n v="61"/>
    <x v="42"/>
    <s v="Bhatgama"/>
    <s v="shyamakant Jha"/>
    <n v="7903739239"/>
    <s v="EKOMILK ULTRA PRO ANALYSER"/>
    <n v="322696"/>
    <s v="Ekomilk Keyboard"/>
    <s v="RM00512"/>
    <x v="2"/>
    <x v="1"/>
    <n v="1"/>
    <n v="770"/>
    <n v="770"/>
    <n v="138.6"/>
    <n v="908.6"/>
    <m/>
    <s v="Running"/>
  </r>
  <r>
    <d v="2025-05-28T10:44:22"/>
    <s v="May-25"/>
    <x v="0"/>
    <s v="MPG"/>
    <d v="2020-04-14T00:00:00"/>
    <n v="61"/>
    <x v="42"/>
    <s v="Bhatgama"/>
    <s v="shyamakant Jha"/>
    <n v="7903739239"/>
    <s v="EKOMILK ULTRA PRO ANALYSER"/>
    <n v="322696"/>
    <s v="Fatscan &quot; Y &quot; Pipe"/>
    <s v="SF00145"/>
    <x v="2"/>
    <x v="1"/>
    <n v="1"/>
    <n v="84"/>
    <n v="84"/>
    <n v="15.12"/>
    <n v="99.12"/>
    <m/>
    <s v="Running"/>
  </r>
  <r>
    <d v="2025-05-20T10:00:39"/>
    <s v="May-25"/>
    <x v="0"/>
    <s v="MPG"/>
    <d v="2023-03-24T00:00:00"/>
    <n v="25"/>
    <x v="43"/>
    <s v="bhanpur "/>
    <s v="Pritam Kumari "/>
    <n v="9661990974"/>
    <s v="Everest Smart Tab-based Android Terminal (Table-top) with Inbuilt Printer"/>
    <s v="GTD-23024127"/>
    <s v="Battery 3.7V/2600Mah"/>
    <s v="RM00980"/>
    <x v="2"/>
    <x v="1"/>
    <n v="1"/>
    <n v="350"/>
    <n v="350"/>
    <n v="63"/>
    <n v="413"/>
    <m/>
    <s v="Running"/>
  </r>
  <r>
    <d v="2025-05-20T13:30:18"/>
    <s v="May-25"/>
    <x v="0"/>
    <s v="MPG"/>
    <d v="2021-09-14T00:00:00"/>
    <n v="44"/>
    <x v="44"/>
    <s v="Tabhaka"/>
    <s v="Rahul Kumar"/>
    <n v="7667270854"/>
    <s v="EKOMILK ULTRA PRO ANALYSER"/>
    <n v="326539"/>
    <s v="Fatscan &quot; Y &quot; Pipe"/>
    <s v="SF00145"/>
    <x v="2"/>
    <x v="1"/>
    <n v="1"/>
    <n v="84"/>
    <n v="84"/>
    <n v="15.12"/>
    <n v="99.12"/>
    <m/>
    <s v="Running"/>
  </r>
  <r>
    <d v="2025-05-20T13:30:18"/>
    <s v="May-25"/>
    <x v="0"/>
    <s v="MPG"/>
    <d v="2021-09-14T00:00:00"/>
    <n v="44"/>
    <x v="44"/>
    <s v="Tabhaka"/>
    <s v="Rahul Kumar"/>
    <n v="7667270854"/>
    <s v="EKOMILK ULTRA PRO ANALYSER"/>
    <n v="326539"/>
    <s v="Ekomilk Sensor To Sieringe Pipe"/>
    <s v="RM00528"/>
    <x v="2"/>
    <x v="1"/>
    <n v="1"/>
    <n v="44"/>
    <n v="44"/>
    <n v="7.92"/>
    <n v="51.92"/>
    <m/>
    <s v="Running"/>
  </r>
  <r>
    <d v="2025-05-20T13:30:18"/>
    <s v="May-25"/>
    <x v="0"/>
    <s v="MPG"/>
    <d v="2021-09-14T00:00:00"/>
    <n v="44"/>
    <x v="44"/>
    <s v="Tabhaka"/>
    <s v="Rahul Kumar"/>
    <n v="7667270854"/>
    <s v="EKOMILK ULTRA PRO ANALYSER"/>
    <n v="326539"/>
    <s v="Ekomilk Sensor To Sieringe Pipe"/>
    <s v="RM00528"/>
    <x v="2"/>
    <x v="1"/>
    <n v="1"/>
    <n v="44"/>
    <n v="44"/>
    <n v="7.92"/>
    <n v="51.92"/>
    <m/>
    <s v="Running"/>
  </r>
  <r>
    <d v="2025-05-28T15:58:17"/>
    <s v="May-25"/>
    <x v="0"/>
    <s v="MPG"/>
    <d v="2024-12-31T00:00:00"/>
    <n v="4"/>
    <x v="45"/>
    <s v="Gomukh repura"/>
    <s v=" shayam"/>
    <n v="9693653153"/>
    <s v="WEIGHING SCALE 60 KG"/>
    <s v="E-17127299"/>
    <s v="IC AT 89S52 Programing"/>
    <s v="RM00194"/>
    <x v="2"/>
    <x v="1"/>
    <n v="1"/>
    <n v="788"/>
    <n v="788"/>
    <n v="141.84"/>
    <n v="929.84"/>
    <m/>
    <s v="Running"/>
  </r>
  <r>
    <d v="2025-05-28T15:58:17"/>
    <s v="May-25"/>
    <x v="0"/>
    <s v="MPG"/>
    <d v="2024-12-31T00:00:00"/>
    <n v="4"/>
    <x v="45"/>
    <s v="Gomukh repura"/>
    <s v=" shayam"/>
    <n v="9693653153"/>
    <s v="WEIGHING SCALE 60 KG"/>
    <s v="E-17127299"/>
    <s v="Weighing Scale Motherboard Old"/>
    <s v="RM00420"/>
    <x v="2"/>
    <x v="1"/>
    <n v="1"/>
    <n v="2080"/>
    <n v="2080"/>
    <n v="374.4"/>
    <n v="2454.4"/>
    <m/>
    <s v="Running"/>
  </r>
  <r>
    <d v="2025-05-19T16:01:07"/>
    <s v="May-25"/>
    <x v="0"/>
    <s v="MPG"/>
    <d v="2023-09-29T00:00:00"/>
    <n v="19"/>
    <x v="46"/>
    <s v="Husina"/>
    <s v="Vivek Kumar"/>
    <n v="9466833978"/>
    <s v="Everest Smart Tab-based Android Terminal (Table-top) with Inbuilt Printer"/>
    <s v="GTD-22122524"/>
    <s v="Battery 3.7V/2600Mah"/>
    <s v="RM00980"/>
    <x v="2"/>
    <x v="1"/>
    <n v="1"/>
    <n v="350"/>
    <n v="350"/>
    <n v="63"/>
    <n v="413"/>
    <m/>
    <s v="Running"/>
  </r>
  <r>
    <d v="2025-05-30T16:22:25"/>
    <s v="May-25"/>
    <x v="0"/>
    <s v="MPG"/>
    <d v="2024-02-01T00:00:00"/>
    <n v="15"/>
    <x v="47"/>
    <s v="Sherpur (Manjhaul. bmc)"/>
    <s v="Vinay Kumar "/>
    <n v="8340269627"/>
    <s v="EKOMILK ULTRA PRO ANALYSER"/>
    <n v="378767"/>
    <s v="Ekomilk Sensor To Sieringe Pipe"/>
    <s v="RM00528"/>
    <x v="2"/>
    <x v="1"/>
    <n v="1"/>
    <n v="44"/>
    <n v="44"/>
    <n v="7.92"/>
    <n v="51.92"/>
    <m/>
    <s v="Nov'25 Closed"/>
  </r>
  <r>
    <d v="2025-05-30T16:22:25"/>
    <s v="May-25"/>
    <x v="0"/>
    <s v="MPG"/>
    <d v="2024-02-01T00:00:00"/>
    <n v="15"/>
    <x v="47"/>
    <s v="Sherpur (Manjhaul. bmc)"/>
    <s v="Vinay Kumar "/>
    <n v="8340269627"/>
    <s v="EKOMILK ULTRA PRO ANALYSER"/>
    <n v="378767"/>
    <s v="Ekomilk Sensor To Sieringe Pipe"/>
    <s v="RM00528"/>
    <x v="2"/>
    <x v="1"/>
    <n v="1"/>
    <n v="44"/>
    <n v="44"/>
    <n v="7.92"/>
    <n v="51.92"/>
    <m/>
    <s v="Nov'25 Closed"/>
  </r>
  <r>
    <d v="2025-05-17T13:15:21"/>
    <s v="May-25"/>
    <x v="0"/>
    <s v="MPG"/>
    <d v="2025-03-29T00:00:00"/>
    <n v="1"/>
    <x v="48"/>
    <s v="Gomukh Chandpura"/>
    <s v="Rajeev Kumar "/>
    <n v="8447621781"/>
    <s v="EKOMILK ULTRA PRO ANALYSER"/>
    <n v="388107"/>
    <s v="Ekomilk Switch Small"/>
    <s v="RM00536"/>
    <x v="2"/>
    <x v="1"/>
    <n v="1"/>
    <n v="140"/>
    <n v="140"/>
    <n v="25.2"/>
    <n v="165.2"/>
    <m/>
    <s v="Running"/>
  </r>
  <r>
    <d v="2025-05-17T13:15:21"/>
    <s v="May-25"/>
    <x v="0"/>
    <s v="MPG"/>
    <d v="2025-03-29T00:00:00"/>
    <n v="1"/>
    <x v="48"/>
    <s v="Gomukh Chandpura"/>
    <s v="Rajeev Kumar "/>
    <n v="8447621781"/>
    <s v="EKOMILK ULTRA PRO ANALYSER"/>
    <n v="388107"/>
    <s v="Fatscan &quot; Y &quot; Pipe"/>
    <s v="SF00145"/>
    <x v="2"/>
    <x v="1"/>
    <n v="1"/>
    <n v="84"/>
    <n v="84"/>
    <n v="15.12"/>
    <n v="99.12"/>
    <m/>
    <s v="Running"/>
  </r>
  <r>
    <d v="2025-05-30T16:19:43"/>
    <s v="May-25"/>
    <x v="0"/>
    <s v="MPG"/>
    <e v="#N/A"/>
    <s v=""/>
    <x v="49"/>
    <s v="kumbhi"/>
    <s v="Archna Kumari "/>
    <n v="8051278225"/>
    <s v="EKOMILK ULTRA PRO ANALYSER"/>
    <n v="378240"/>
    <s v="Ekomilk Sensor To Sieringe Pipe"/>
    <s v="RM00528"/>
    <x v="2"/>
    <x v="1"/>
    <n v="1"/>
    <n v="44"/>
    <n v="44"/>
    <n v="7.92"/>
    <n v="51.92"/>
    <m/>
    <s v="Running"/>
  </r>
  <r>
    <d v="2025-05-17T12:39:18"/>
    <s v="May-25"/>
    <x v="0"/>
    <s v="MPG"/>
    <d v="2023-02-21T00:00:00"/>
    <n v="26"/>
    <x v="50"/>
    <s v="gansagar "/>
    <s v="ramashish Kumar "/>
    <n v="7739090727"/>
    <s v="EKOMILK ULTRA PRO ANALYSER"/>
    <n v="378759"/>
    <s v="Ekomilk Keyboard"/>
    <s v="RM00512"/>
    <x v="2"/>
    <x v="1"/>
    <n v="1"/>
    <n v="770"/>
    <n v="770"/>
    <n v="138.6"/>
    <n v="908.6"/>
    <m/>
    <s v="Running"/>
  </r>
  <r>
    <d v="2025-05-17T14:03:12"/>
    <s v="May-25"/>
    <x v="0"/>
    <s v="MPG"/>
    <d v="2020-10-19T00:00:00"/>
    <n v="54"/>
    <x v="51"/>
    <s v="Sarmaspura"/>
    <s v="Rajeev Kumar "/>
    <n v="8873299467"/>
    <s v="WEIGHING SCALE 60 KG"/>
    <s v="GE-19122149"/>
    <s v="Keyboard For Weighing Scale (Repaired)"/>
    <s v="SF00048"/>
    <x v="2"/>
    <x v="1"/>
    <n v="1"/>
    <n v="360"/>
    <n v="360"/>
    <n v="64.8"/>
    <n v="424.8"/>
    <m/>
    <s v="Oct '25 Closed"/>
  </r>
  <r>
    <d v="2025-05-17T14:03:12"/>
    <s v="May-25"/>
    <x v="0"/>
    <s v="MPG"/>
    <d v="2020-10-19T00:00:00"/>
    <n v="54"/>
    <x v="51"/>
    <s v="Sarmaspura"/>
    <s v="Rajeev Kumar "/>
    <n v="8873299467"/>
    <s v="WEIGHING SCALE 60 KG"/>
    <s v="GE-19122149"/>
    <s v="Connector 5 Pin Metal M/F"/>
    <s v="RM00727"/>
    <x v="2"/>
    <x v="1"/>
    <n v="1"/>
    <n v="225"/>
    <n v="225"/>
    <n v="40.5"/>
    <n v="265.5"/>
    <m/>
    <s v="Oct '25 Closed"/>
  </r>
  <r>
    <d v="2025-05-17T15:46:40"/>
    <s v="May-25"/>
    <x v="0"/>
    <s v="MPG"/>
    <d v="2025-03-05T00:00:00"/>
    <n v="2"/>
    <x v="52"/>
    <s v="berauri"/>
    <s v="ranjeet kumar"/>
    <n v="7739036729"/>
    <s v="EKOMILK ULTRA PRO ANALYSER"/>
    <n v="277508"/>
    <s v="Ekomilk Motorpump Set New"/>
    <s v="TR00181"/>
    <x v="2"/>
    <x v="1"/>
    <n v="1"/>
    <n v="2000"/>
    <n v="2000"/>
    <n v="360"/>
    <n v="2360"/>
    <m/>
    <s v="Nov'25 Closed"/>
  </r>
  <r>
    <d v="2025-05-30T16:19:43"/>
    <s v="May-25"/>
    <x v="0"/>
    <s v="MPG"/>
    <e v="#N/A"/>
    <s v=""/>
    <x v="49"/>
    <s v="kumbhi"/>
    <s v="Archna Kumari "/>
    <n v="8051278225"/>
    <s v="EKOMILK ULTRA PRO ANALYSER"/>
    <n v="378240"/>
    <s v="Ekomilk Sensor To Sieringe Pipe"/>
    <s v="RM00528"/>
    <x v="2"/>
    <x v="1"/>
    <n v="1"/>
    <n v="44"/>
    <n v="44"/>
    <n v="7.92"/>
    <n v="51.92"/>
    <m/>
    <s v="Running"/>
  </r>
  <r>
    <d v="2025-05-30T16:19:43"/>
    <s v="May-25"/>
    <x v="0"/>
    <s v="MPG"/>
    <e v="#N/A"/>
    <s v=""/>
    <x v="49"/>
    <s v="kumbhi"/>
    <s v="Archna Kumari "/>
    <n v="8051278225"/>
    <s v="EKOMILK ULTRA PRO ANALYSER"/>
    <n v="378240"/>
    <s v="Ekomilk Sieringe With Plunger"/>
    <s v="RM00530"/>
    <x v="2"/>
    <x v="1"/>
    <n v="1"/>
    <n v="70"/>
    <n v="70"/>
    <n v="12.6"/>
    <n v="82.6"/>
    <m/>
    <s v="Running"/>
  </r>
  <r>
    <d v="2025-05-30T16:19:43"/>
    <s v="May-25"/>
    <x v="0"/>
    <s v="MPG"/>
    <e v="#N/A"/>
    <s v=""/>
    <x v="49"/>
    <s v="kumbhi"/>
    <s v="Archna Kumari "/>
    <n v="8051278225"/>
    <s v="EKOMILK ULTRA PRO ANALYSER"/>
    <n v="378240"/>
    <s v="Ekomilk Sieringe With Plunger"/>
    <s v="RM00530"/>
    <x v="2"/>
    <x v="1"/>
    <n v="1"/>
    <n v="70"/>
    <n v="70"/>
    <n v="12.6"/>
    <n v="82.6"/>
    <m/>
    <s v="Running"/>
  </r>
  <r>
    <d v="2025-05-30T13:23:31"/>
    <s v="May-25"/>
    <x v="0"/>
    <s v="MPG"/>
    <d v="2020-03-06T00:00:00"/>
    <n v="62"/>
    <x v="53"/>
    <s v="mahepura "/>
    <s v="Ajay Kumar "/>
    <n v="9771782305"/>
    <s v="Everest Smart Tab-based Android Terminal (Table-top) with Inbuilt Printer"/>
    <s v="GTD-23014010"/>
    <s v="Battery 3.7V/2600Mah"/>
    <s v="RM00980"/>
    <x v="2"/>
    <x v="1"/>
    <n v="1"/>
    <n v="350"/>
    <n v="350"/>
    <n v="63"/>
    <n v="413"/>
    <m/>
    <s v="Sep'25 Closed"/>
  </r>
  <r>
    <d v="2025-05-13T15:20:05"/>
    <s v="May-25"/>
    <x v="0"/>
    <s v="MPG"/>
    <d v="2023-02-25T00:00:00"/>
    <n v="26"/>
    <x v="54"/>
    <s v="Rohua"/>
    <s v="Baliram ray"/>
    <n v="9546230615"/>
    <s v="EKOMILK ULTRA PRO ANALYSER"/>
    <n v="312438"/>
    <s v="Ekomilk Bush"/>
    <s v="RM00510"/>
    <x v="2"/>
    <x v="1"/>
    <n v="1"/>
    <n v="49"/>
    <n v="49"/>
    <n v="8.82"/>
    <n v="57.82"/>
    <m/>
    <s v="Running"/>
  </r>
  <r>
    <d v="2025-05-13T15:20:05"/>
    <s v="May-25"/>
    <x v="0"/>
    <s v="MPG"/>
    <d v="2023-02-25T00:00:00"/>
    <n v="26"/>
    <x v="54"/>
    <s v="Rohua"/>
    <s v="Baliram ray"/>
    <n v="9546230615"/>
    <s v="EKOMILK ULTRA PRO ANALYSER"/>
    <n v="312438"/>
    <s v="Ekomilk Sieringe With Plunger"/>
    <s v="RM00530"/>
    <x v="2"/>
    <x v="1"/>
    <n v="1"/>
    <n v="70"/>
    <n v="70"/>
    <n v="12.6"/>
    <n v="82.6"/>
    <m/>
    <s v="Running"/>
  </r>
  <r>
    <d v="2025-05-31T17:02:06"/>
    <s v="May-25"/>
    <x v="0"/>
    <s v="MPG"/>
    <d v="2025-06-01T00:00:00"/>
    <s v=""/>
    <x v="55"/>
    <s v="Teghra Barauni bariyarpur "/>
    <s v="bittu kumar "/>
    <n v="8709480362"/>
    <s v="EKOMILK ULTRA PRO ANALYSER"/>
    <n v="384301"/>
    <s v="Ekomilk Sieringe With Plunger"/>
    <s v="RM00530"/>
    <x v="2"/>
    <x v="1"/>
    <n v="1"/>
    <n v="70"/>
    <n v="70"/>
    <n v="12.6"/>
    <n v="82.6"/>
    <m/>
    <s v="Running"/>
  </r>
  <r>
    <d v="2025-05-31T17:02:06"/>
    <s v="May-25"/>
    <x v="0"/>
    <s v="MPG"/>
    <d v="2025-06-01T00:00:00"/>
    <s v=""/>
    <x v="55"/>
    <s v="Teghra Barauni bariyarpur "/>
    <s v="bittu kumar "/>
    <n v="8709480362"/>
    <s v="EKOMILK ULTRA PRO ANALYSER"/>
    <n v="384301"/>
    <s v="Ekomilk Sieringe With Plunger"/>
    <s v="RM00530"/>
    <x v="2"/>
    <x v="1"/>
    <n v="1"/>
    <n v="70"/>
    <n v="70"/>
    <n v="12.6"/>
    <n v="82.6"/>
    <m/>
    <s v="Running"/>
  </r>
  <r>
    <d v="2025-05-31T21:59:55"/>
    <s v="May-25"/>
    <x v="0"/>
    <s v="MPG"/>
    <d v="2025-02-28T00:00:00"/>
    <n v="3"/>
    <x v="56"/>
    <s v="NAYAGAON  2"/>
    <s v="RAUSHAN KUMAR"/>
    <n v="6203663113"/>
    <s v="STIRRER UNIT EV5600"/>
    <s v="GS-23033763"/>
    <s v="Stirrer Timer PCB"/>
    <s v="RM00478"/>
    <x v="2"/>
    <x v="1"/>
    <n v="1"/>
    <n v="900"/>
    <n v="900"/>
    <n v="162"/>
    <n v="1062"/>
    <m/>
    <s v="Running"/>
  </r>
  <r>
    <d v="2025-05-12T14:47:40"/>
    <s v="May-25"/>
    <x v="0"/>
    <s v="MPG"/>
    <e v="#N/A"/>
    <s v=""/>
    <x v="57"/>
    <s v="Gomukh launa  "/>
    <s v="niraj kumar nirala "/>
    <n v="9931074005"/>
    <s v="Everest Smart Tab-based Android Terminal (Table-top) with Inbuilt Printer"/>
    <s v="GTD-23024225"/>
    <s v="Battery 3.7V/2600Mah"/>
    <s v="RM00980"/>
    <x v="2"/>
    <x v="1"/>
    <n v="1"/>
    <n v="350"/>
    <n v="350"/>
    <n v="63"/>
    <n v="413"/>
    <m/>
    <s v="Running"/>
  </r>
  <r>
    <d v="2025-05-12T15:42:38"/>
    <s v="May-25"/>
    <x v="0"/>
    <s v="MPG"/>
    <e v="#N/A"/>
    <s v=""/>
    <x v="58"/>
    <s v="CHAVGAIN"/>
    <s v="Puspa Devi"/>
    <n v="8651691707"/>
    <s v="Everest Smart Tab-based Android Terminal (Table-top) with Inbuilt Printer"/>
    <s v="GTD-23013983"/>
    <s v="Battery 3.7V/2600Mah"/>
    <s v="RM00980"/>
    <x v="2"/>
    <x v="1"/>
    <n v="1"/>
    <n v="350"/>
    <n v="350"/>
    <n v="63"/>
    <n v="413"/>
    <m/>
    <s v="Running"/>
  </r>
  <r>
    <d v="2025-05-12T14:49:15"/>
    <s v="May-25"/>
    <x v="0"/>
    <s v="MPG"/>
    <e v="#N/A"/>
    <s v=""/>
    <x v="4"/>
    <s v="gomukh Machidih"/>
    <s v="Bablu yadav"/>
    <n v="7462979872"/>
    <s v="EKOMILK ULTRA PRO ANALYSER"/>
    <n v="210412"/>
    <s v="Ekomilk LCD Display"/>
    <s v="RM00511"/>
    <x v="2"/>
    <x v="1"/>
    <n v="1"/>
    <n v="790"/>
    <n v="790"/>
    <n v="142.19999999999999"/>
    <n v="932.2"/>
    <m/>
    <s v="Nov'25 Closed"/>
  </r>
  <r>
    <d v="2025-05-10T11:54:49"/>
    <s v="May-25"/>
    <x v="0"/>
    <s v="MPG"/>
    <d v="2021-09-14T00:00:00"/>
    <n v="43"/>
    <x v="44"/>
    <s v="Tabhaka"/>
    <s v="Rahul Kumar"/>
    <n v="7667270854"/>
    <s v="WEIGHING SCALE 60 KG"/>
    <s v="E-17116848"/>
    <s v="Connector 5 Pin Metal M/F"/>
    <s v="RM00727"/>
    <x v="2"/>
    <x v="1"/>
    <n v="1"/>
    <n v="225"/>
    <n v="225"/>
    <n v="40.5"/>
    <n v="265.5"/>
    <m/>
    <s v="Running"/>
  </r>
  <r>
    <d v="2025-05-10T11:54:49"/>
    <s v="May-25"/>
    <x v="0"/>
    <s v="MPG"/>
    <d v="2021-09-14T00:00:00"/>
    <n v="43"/>
    <x v="44"/>
    <s v="Tabhaka"/>
    <s v="Rahul Kumar"/>
    <n v="7667270854"/>
    <s v="WEIGHING SCALE 60 KG"/>
    <s v="E-17116848"/>
    <s v="EWS Battery Backup SMPS (BBLC)"/>
    <s v="RM00241"/>
    <x v="2"/>
    <x v="1"/>
    <n v="1"/>
    <n v="825"/>
    <n v="825"/>
    <n v="148.5"/>
    <n v="973.5"/>
    <m/>
    <s v="Running"/>
  </r>
  <r>
    <d v="2025-05-10T12:34:29"/>
    <s v="May-25"/>
    <x v="0"/>
    <s v="MPG"/>
    <d v="2017-09-01T00:00:00"/>
    <n v="92"/>
    <x v="1"/>
    <s v="MSK MPG gauripur"/>
    <s v="Chandan Kumar"/>
    <n v="6299652936"/>
    <s v="WEIGHING SCALE 60 KG"/>
    <s v="E-214082361"/>
    <s v="EWS Battery Backup SMPS (BBLC)"/>
    <s v="RM00241"/>
    <x v="2"/>
    <x v="1"/>
    <n v="1"/>
    <n v="825"/>
    <n v="825"/>
    <n v="148.5"/>
    <n v="973.5"/>
    <m/>
    <s v="Running"/>
  </r>
  <r>
    <d v="2025-05-10T12:34:29"/>
    <s v="May-25"/>
    <x v="0"/>
    <s v="MPG"/>
    <d v="2017-09-01T00:00:00"/>
    <n v="92"/>
    <x v="1"/>
    <s v="MSK MPG gauripur"/>
    <s v="Chandan Kumar"/>
    <n v="6299652936"/>
    <s v="WEIGHING SCALE 60 KG"/>
    <s v="E-214082361"/>
    <s v="Weighing Scale Motherboard Old"/>
    <s v="RM00420"/>
    <x v="2"/>
    <x v="1"/>
    <n v="1"/>
    <n v="2080"/>
    <n v="2080"/>
    <n v="374.4"/>
    <n v="2454.4"/>
    <m/>
    <s v="Running"/>
  </r>
  <r>
    <d v="2025-05-10T11:46:52"/>
    <s v="May-25"/>
    <x v="0"/>
    <s v="MPG"/>
    <d v="2025-01-09T00:00:00"/>
    <n v="4"/>
    <x v="59"/>
    <s v="Gomukh Bochaha"/>
    <s v=" sopander ray"/>
    <n v="9939074043"/>
    <s v="WEIGHING SCALE 60 KG"/>
    <s v="GE-19122123"/>
    <s v="Connector 5 Pin Metal M/F"/>
    <s v="RM00727"/>
    <x v="2"/>
    <x v="1"/>
    <n v="1"/>
    <n v="225"/>
    <n v="225"/>
    <n v="40.5"/>
    <n v="265.5"/>
    <m/>
    <s v="Running"/>
  </r>
  <r>
    <d v="2025-05-09T12:46:57"/>
    <s v="May-25"/>
    <x v="0"/>
    <s v="MPG"/>
    <d v="2023-06-14T00:00:00"/>
    <n v="22"/>
    <x v="57"/>
    <s v="launa "/>
    <s v="Niraj Kumar "/>
    <n v="9931073405"/>
    <s v="EKOMILK ULTRA PRO ANALYSER"/>
    <n v="387857"/>
    <s v="Ekomilk LCD Display"/>
    <s v="RM00511"/>
    <x v="2"/>
    <x v="1"/>
    <n v="1"/>
    <n v="790"/>
    <n v="790"/>
    <n v="142.19999999999999"/>
    <n v="932.2"/>
    <m/>
    <s v="Running"/>
  </r>
  <r>
    <d v="2025-05-09T13:16:02"/>
    <s v="May-25"/>
    <x v="0"/>
    <s v="MPG"/>
    <d v="2024-08-01T00:00:00"/>
    <n v="9"/>
    <x v="60"/>
    <s v="Shikaritola "/>
    <s v="pramod Kumar "/>
    <n v="6201732147"/>
    <s v="Everest Smart Tab-based Android Terminal (Table-top) with Inbuilt Printer"/>
    <s v="GTD-23013963"/>
    <s v="Battery 3.7V/2600Mah"/>
    <s v="RM00980"/>
    <x v="2"/>
    <x v="1"/>
    <n v="1"/>
    <n v="350"/>
    <n v="350"/>
    <n v="63"/>
    <n v="413"/>
    <m/>
    <s v="Running"/>
  </r>
  <r>
    <d v="2025-05-07T16:08:10"/>
    <s v="May-25"/>
    <x v="0"/>
    <s v="MPG"/>
    <d v="2020-04-15T00:00:00"/>
    <n v="60"/>
    <x v="61"/>
    <s v="BORNA RASALPUR"/>
    <s v="PANKAJ RAY"/>
    <n v="8340595380"/>
    <s v="EKOMILK ULTRA PRO ANALYSER"/>
    <n v="310523"/>
    <s v="Ekomilk Keyboard"/>
    <s v="RM00512"/>
    <x v="2"/>
    <x v="1"/>
    <n v="1"/>
    <n v="770"/>
    <n v="770"/>
    <n v="138.6"/>
    <n v="908.6"/>
    <m/>
    <s v="Running"/>
  </r>
  <r>
    <d v="2025-05-07T16:00:19"/>
    <s v="May-25"/>
    <x v="0"/>
    <s v="MPG"/>
    <d v="2017-09-01T00:00:00"/>
    <n v="92"/>
    <x v="62"/>
    <s v="Ballopur "/>
    <s v="jitendra Kumar "/>
    <n v="9304189034"/>
    <s v="Everest Smart Tab-based Android Terminal (Table-top) with Inbuilt Printer"/>
    <s v="GTD-23014013"/>
    <s v="Battery 3.7V/2600Mah"/>
    <s v="RM00980"/>
    <x v="2"/>
    <x v="1"/>
    <n v="1"/>
    <n v="350"/>
    <n v="350"/>
    <n v="63"/>
    <n v="413"/>
    <m/>
    <s v="Running"/>
  </r>
  <r>
    <d v="2025-05-06T16:13:45"/>
    <s v="May-25"/>
    <x v="0"/>
    <s v="MPG"/>
    <d v="2023-02-25T00:00:00"/>
    <n v="26"/>
    <x v="54"/>
    <s v="Rasalpur "/>
    <s v="prabhat Kumar "/>
    <n v="9518257138"/>
    <s v="EKOMILK ULTRA PRO ANALYSER"/>
    <n v="277217"/>
    <s v="Ekomilk Bush"/>
    <s v="RM00510"/>
    <x v="2"/>
    <x v="1"/>
    <n v="1"/>
    <n v="49"/>
    <n v="49"/>
    <n v="8.82"/>
    <n v="57.82"/>
    <m/>
    <s v="Running"/>
  </r>
  <r>
    <d v="2025-05-06T16:13:45"/>
    <s v="May-25"/>
    <x v="0"/>
    <s v="MPG"/>
    <d v="2023-02-25T00:00:00"/>
    <n v="26"/>
    <x v="54"/>
    <s v="Rasalpur "/>
    <s v="prabhat Kumar "/>
    <n v="9518257138"/>
    <s v="EKOMILK ULTRA PRO ANALYSER"/>
    <n v="277217"/>
    <s v="Ekomilk Sieringe With Plunger"/>
    <s v="RM00530"/>
    <x v="2"/>
    <x v="1"/>
    <n v="1"/>
    <n v="70"/>
    <n v="70"/>
    <n v="12.6"/>
    <n v="82.6"/>
    <m/>
    <s v="Running"/>
  </r>
  <r>
    <d v="2025-05-05T15:20:12"/>
    <s v="May-25"/>
    <x v="0"/>
    <s v="MPG"/>
    <d v="2025-04-23T00:00:00"/>
    <n v="0"/>
    <x v="63"/>
    <s v="banderha purbi"/>
    <s v="manish kumar bharti"/>
    <n v="8051888251"/>
    <s v="Everest Smart Tab-based Android Terminal (Table-top) with Inbuilt Printer"/>
    <s v="GTD-23014090"/>
    <s v="WiFi Serial Device (Wysence)"/>
    <s v="SF00056"/>
    <x v="2"/>
    <x v="1"/>
    <n v="1"/>
    <n v="925"/>
    <n v="925"/>
    <n v="166.5"/>
    <n v="1091.5"/>
    <m/>
    <s v="Running"/>
  </r>
  <r>
    <d v="2025-05-05T17:02:24"/>
    <s v="May-25"/>
    <x v="0"/>
    <s v="MPG"/>
    <d v="2017-09-01T00:00:00"/>
    <n v="92"/>
    <x v="64"/>
    <s v="MSK chatmadih"/>
    <s v="Vidya prasad singh"/>
    <n v="9931439978"/>
    <s v="EKOMILK ULTRA PRO ANALYSER"/>
    <n v="195781"/>
    <s v="Ekomilk Sensor To Sieringe Pipe"/>
    <s v="RM00528"/>
    <x v="2"/>
    <x v="1"/>
    <n v="1"/>
    <n v="44"/>
    <n v="44"/>
    <n v="7.92"/>
    <n v="51.92"/>
    <m/>
    <s v="Running"/>
  </r>
  <r>
    <d v="2025-05-05T17:02:24"/>
    <s v="May-25"/>
    <x v="0"/>
    <s v="MPG"/>
    <d v="2017-09-01T00:00:00"/>
    <n v="92"/>
    <x v="64"/>
    <s v="MSK chatmadih"/>
    <s v="Vidya prasad singh"/>
    <n v="9931439978"/>
    <s v="EKOMILK ULTRA PRO ANALYSER"/>
    <n v="195781"/>
    <s v="Eko Motor Pump Pipe"/>
    <s v="RM00856"/>
    <x v="2"/>
    <x v="1"/>
    <n v="1"/>
    <n v="125"/>
    <n v="125"/>
    <n v="22.5"/>
    <n v="147.5"/>
    <m/>
    <s v="Running"/>
  </r>
  <r>
    <d v="2025-05-05T17:02:24"/>
    <s v="May-25"/>
    <x v="0"/>
    <s v="MPG"/>
    <d v="2017-09-01T00:00:00"/>
    <n v="92"/>
    <x v="64"/>
    <s v="MSK chatmadih"/>
    <s v="Vidya prasad singh"/>
    <n v="9931439978"/>
    <s v="EKOMILK ULTRA PRO ANALYSER"/>
    <n v="195781"/>
    <s v="Eko Motor Pump Pipe"/>
    <s v="RM00856"/>
    <x v="2"/>
    <x v="1"/>
    <n v="1"/>
    <n v="125"/>
    <n v="125"/>
    <n v="22.5"/>
    <n v="147.5"/>
    <m/>
    <s v="Running"/>
  </r>
  <r>
    <d v="2025-05-02T17:38:40"/>
    <s v="May-25"/>
    <x v="0"/>
    <s v="MPG"/>
    <d v="2025-03-29T00:00:00"/>
    <n v="1"/>
    <x v="48"/>
    <s v="Gomukh Chandpura"/>
    <s v="Rajeev Kumar "/>
    <n v="8447621781"/>
    <s v="Everest Smart Tab-based Android Terminal (Table-top) with Inbuilt Printer"/>
    <s v="GTD-23013953"/>
    <s v="Battery 3.7V/2600Mah"/>
    <s v="RM00980"/>
    <x v="2"/>
    <x v="1"/>
    <n v="1"/>
    <n v="350"/>
    <n v="350"/>
    <n v="63"/>
    <n v="413"/>
    <m/>
    <s v="Running"/>
  </r>
  <r>
    <d v="2025-05-01T16:34:32"/>
    <s v="May-25"/>
    <x v="0"/>
    <s v="MPG"/>
    <d v="2022-05-02T00:00:00"/>
    <n v="35"/>
    <x v="65"/>
    <s v="Arioan"/>
    <s v="Holin Singh"/>
    <n v="8294507404"/>
    <s v="Everest Smart Tab-based Android Terminal (Table-top) with Inbuilt Printer"/>
    <s v="GTD-23013958"/>
    <s v="DPU DC To DC Converter 12V To 5V"/>
    <s v="RM00493"/>
    <x v="2"/>
    <x v="1"/>
    <n v="1"/>
    <n v="780"/>
    <n v="780"/>
    <n v="140.4"/>
    <n v="920.4"/>
    <m/>
    <s v="Running"/>
  </r>
  <r>
    <d v="2025-05-01T16:34:32"/>
    <s v="May-25"/>
    <x v="0"/>
    <s v="MPG"/>
    <d v="2022-05-02T00:00:00"/>
    <n v="35"/>
    <x v="65"/>
    <s v="Arioan"/>
    <s v="Holin Singh"/>
    <n v="8294507404"/>
    <s v="Everest Smart Tab-based Android Terminal (Table-top) with Inbuilt Printer"/>
    <s v="GTD-23013958"/>
    <s v="Battery 3.7V/2600Mah"/>
    <s v="RM00980"/>
    <x v="2"/>
    <x v="1"/>
    <n v="1"/>
    <n v="350"/>
    <n v="350"/>
    <n v="63"/>
    <n v="413"/>
    <m/>
    <s v="Running"/>
  </r>
  <r>
    <d v="2025-05-01T16:54:01"/>
    <s v="May-25"/>
    <x v="0"/>
    <s v="MPG"/>
    <e v="#N/A"/>
    <s v=""/>
    <x v="30"/>
    <s v="khuryari"/>
    <s v="Mantu Kumar"/>
    <n v="9031367424"/>
    <s v="EKOMILK ULTRA PRO ANALYSER"/>
    <n v="185450"/>
    <s v="Ekomilk Sensor To Sieringe Pipe"/>
    <s v="RM00528"/>
    <x v="2"/>
    <x v="1"/>
    <n v="1"/>
    <n v="44"/>
    <n v="44"/>
    <n v="7.92"/>
    <n v="51.92"/>
    <m/>
    <s v="Running"/>
  </r>
  <r>
    <d v="2025-05-01T16:54:01"/>
    <s v="May-25"/>
    <x v="0"/>
    <s v="MPG"/>
    <e v="#N/A"/>
    <s v=""/>
    <x v="30"/>
    <s v="khuryari"/>
    <s v="Mantu Kumar"/>
    <n v="9031367424"/>
    <s v="EKOMILK ULTRA PRO ANALYSER"/>
    <n v="185450"/>
    <s v="Ekomilk Sensor To Sieringe Pipe"/>
    <s v="RM00528"/>
    <x v="2"/>
    <x v="1"/>
    <n v="1"/>
    <n v="44"/>
    <n v="44"/>
    <n v="7.92"/>
    <n v="51.92"/>
    <m/>
    <s v="Running"/>
  </r>
  <r>
    <d v="2025-05-01T16:54:01"/>
    <s v="May-25"/>
    <x v="0"/>
    <s v="MPG"/>
    <e v="#N/A"/>
    <s v=""/>
    <x v="30"/>
    <s v="khuryari"/>
    <s v="Mantu Kumar"/>
    <n v="9031367424"/>
    <s v="EKOMILK ULTRA PRO ANALYSER"/>
    <n v="185450"/>
    <s v="Eko Motor Pump Pipe"/>
    <s v="RM00856"/>
    <x v="2"/>
    <x v="1"/>
    <n v="1"/>
    <n v="125"/>
    <n v="125"/>
    <n v="22.5"/>
    <n v="147.5"/>
    <m/>
    <s v="Running"/>
  </r>
  <r>
    <d v="2025-05-01T16:54:01"/>
    <s v="May-25"/>
    <x v="0"/>
    <s v="MPG"/>
    <e v="#N/A"/>
    <s v=""/>
    <x v="30"/>
    <s v="khuryari"/>
    <s v="Mantu Kumar"/>
    <n v="9031367424"/>
    <s v="EKOMILK ULTRA PRO ANALYSER"/>
    <n v="185450"/>
    <s v="Eko Motor Pump Pipe"/>
    <s v="RM00856"/>
    <x v="2"/>
    <x v="1"/>
    <n v="1"/>
    <n v="125"/>
    <n v="125"/>
    <n v="22.5"/>
    <n v="147.5"/>
    <m/>
    <s v="Running"/>
  </r>
  <r>
    <d v="2025-05-01T16:59:01"/>
    <s v="May-25"/>
    <x v="0"/>
    <s v="MPG"/>
    <d v="2023-05-06T00:00:00"/>
    <n v="23"/>
    <x v="66"/>
    <s v="tal Saharsa"/>
    <s v="Sunil Kumar "/>
    <n v="9508274420"/>
    <s v="EKOMILK ULTRA PRO ANALYSER"/>
    <n v="382457"/>
    <s v="Ekomilk LCD Display"/>
    <s v="RM00511"/>
    <x v="2"/>
    <x v="1"/>
    <n v="1"/>
    <n v="790"/>
    <n v="790"/>
    <n v="142.19999999999999"/>
    <n v="932.2"/>
    <m/>
    <s v="Running"/>
  </r>
  <r>
    <d v="2025-05-01T16:59:01"/>
    <s v="May-25"/>
    <x v="0"/>
    <s v="MPG"/>
    <d v="2023-05-06T00:00:00"/>
    <n v="23"/>
    <x v="66"/>
    <s v="tal Saharsa"/>
    <s v="Sunil Kumar "/>
    <n v="9508274420"/>
    <s v="EKOMILK ULTRA PRO ANALYSER"/>
    <n v="382457"/>
    <s v="Ekomilk Sieringe With Plunger"/>
    <s v="RM00530"/>
    <x v="2"/>
    <x v="1"/>
    <n v="1"/>
    <n v="70"/>
    <n v="70"/>
    <n v="12.6"/>
    <n v="82.6"/>
    <m/>
    <s v="Running"/>
  </r>
  <r>
    <d v="2025-05-01T16:59:01"/>
    <s v="May-25"/>
    <x v="0"/>
    <s v="MPG"/>
    <d v="2023-05-06T00:00:00"/>
    <n v="23"/>
    <x v="66"/>
    <s v="tal Saharsa"/>
    <s v="Sunil Kumar "/>
    <n v="9508274420"/>
    <s v="EKOMILK ULTRA PRO ANALYSER"/>
    <n v="382457"/>
    <s v="Ekomilk Sieringe With Plunger"/>
    <s v="RM00530"/>
    <x v="2"/>
    <x v="1"/>
    <n v="1"/>
    <n v="70"/>
    <n v="70"/>
    <n v="12.6"/>
    <n v="82.6"/>
    <m/>
    <s v="Running"/>
  </r>
  <r>
    <d v="2025-06-28T20:38:58"/>
    <s v="Jun-25"/>
    <x v="1"/>
    <s v="MPG"/>
    <e v="#N/A"/>
    <s v=""/>
    <x v="67"/>
    <s v="Jaadi"/>
    <s v="shushila devi"/>
    <n v="7061476343"/>
    <s v="EKOMILK ULTRA PRO ANALYSER"/>
    <n v="364726"/>
    <s v="FatScan Double Sensor Measuring Mini PCB (4 para) with Sensor (Repaired)"/>
    <s v="SF00130"/>
    <x v="3"/>
    <x v="2"/>
    <n v="1"/>
    <n v="8500"/>
    <n v="8500"/>
    <n v="1530"/>
    <n v="10030"/>
    <m/>
    <e v="#N/A"/>
  </r>
  <r>
    <d v="2025-06-28T20:36:51"/>
    <s v="Jun-25"/>
    <x v="1"/>
    <s v="BMC"/>
    <e v="#N/A"/>
    <s v=""/>
    <x v="68"/>
    <s v="Pali"/>
    <s v="Ashok Sahu"/>
    <n v="8709856463"/>
    <s v="EKOMILK ULTRA PRO ANALYSER"/>
    <n v="360621"/>
    <s v="FatScan Double Sensor Measuring Mini PCB (4 para) with Sensor (Repaired)"/>
    <s v="SF00130"/>
    <x v="3"/>
    <x v="2"/>
    <n v="1"/>
    <n v="8500"/>
    <n v="8500"/>
    <n v="1530"/>
    <n v="10030"/>
    <m/>
    <e v="#N/A"/>
  </r>
  <r>
    <d v="2025-06-28T11:42:17"/>
    <s v="Jun-25"/>
    <x v="0"/>
    <s v="MPG"/>
    <d v="2024-08-26T00:00:00"/>
    <n v="10"/>
    <x v="37"/>
    <s v="Beri"/>
    <s v="pavan ray"/>
    <n v="9262776421"/>
    <s v="WEIGHING SCALE 60 KG"/>
    <s v="GNE-22123342"/>
    <s v="Connector 5 Pin Metal M/F"/>
    <s v="RM00727"/>
    <x v="4"/>
    <x v="1"/>
    <n v="1"/>
    <n v="225"/>
    <n v="225"/>
    <n v="40.5"/>
    <n v="265.5"/>
    <m/>
    <s v="Running"/>
  </r>
  <r>
    <d v="2025-06-28T15:13:14"/>
    <s v="Jun-25"/>
    <x v="0"/>
    <s v="MPG"/>
    <e v="#N/A"/>
    <s v=""/>
    <x v="69"/>
    <s v="GOMUKH VIJAY LALGANJ "/>
    <s v="ANIL KUMAR PATEL "/>
    <n v="9006730035"/>
    <s v="Everest Smart Tab-based Android Terminal (Table-top) with Inbuilt Printer"/>
    <s v="GTD-23013951"/>
    <s v="Battery 3.7V/2600Mah"/>
    <s v="RM00980"/>
    <x v="4"/>
    <x v="1"/>
    <n v="1"/>
    <n v="350"/>
    <n v="350"/>
    <n v="63"/>
    <n v="413"/>
    <m/>
    <s v="Running"/>
  </r>
  <r>
    <d v="2025-06-28T14:02:43"/>
    <s v="Jun-25"/>
    <x v="0"/>
    <s v="MPG"/>
    <d v="2022-05-12T00:00:00"/>
    <n v="37"/>
    <x v="70"/>
    <s v="Baryahi chanann"/>
    <s v="Rajeev Kumar "/>
    <n v="9570636048"/>
    <s v="EKOMILK ULTRA PRO ANALYSER"/>
    <n v="359873"/>
    <s v="Fatscan &quot; Y &quot; Pipe"/>
    <s v="SF00145"/>
    <x v="4"/>
    <x v="1"/>
    <n v="1"/>
    <n v="84"/>
    <n v="84"/>
    <n v="15.12"/>
    <n v="99.12"/>
    <m/>
    <s v="Running"/>
  </r>
  <r>
    <d v="2025-06-28T14:02:43"/>
    <s v="Jun-25"/>
    <x v="0"/>
    <s v="MPG"/>
    <d v="2022-05-12T00:00:00"/>
    <n v="37"/>
    <x v="70"/>
    <s v="Baryahi chanann"/>
    <s v="Rajeev Kumar "/>
    <n v="9570636048"/>
    <s v="EKOMILK ULTRA PRO ANALYSER"/>
    <n v="359873"/>
    <s v="Fatscan Sensor to Syringe Pipe"/>
    <s v="SF00146"/>
    <x v="4"/>
    <x v="1"/>
    <n v="1"/>
    <n v="44"/>
    <n v="44"/>
    <n v="7.92"/>
    <n v="51.92"/>
    <m/>
    <s v="Running"/>
  </r>
  <r>
    <d v="2025-06-02T14:20:50"/>
    <s v="Jun-25"/>
    <x v="0"/>
    <s v="MPG"/>
    <d v="2019-09-23T00:00:00"/>
    <n v="68"/>
    <x v="71"/>
    <s v="Khajuri"/>
    <s v="Anuj Kumar Singh"/>
    <n v="7033197978"/>
    <s v="STIRRER UNIT EV5600"/>
    <s v="s-17096143"/>
    <s v="Stirrer Power Board"/>
    <s v="RM00477"/>
    <x v="4"/>
    <x v="1"/>
    <n v="1"/>
    <n v="1750"/>
    <n v="1750"/>
    <n v="315"/>
    <n v="2065"/>
    <m/>
    <s v="Running"/>
  </r>
  <r>
    <d v="2025-06-02T13:45:39"/>
    <s v="Jun-25"/>
    <x v="0"/>
    <s v="MPG"/>
    <d v="2023-02-21T00:00:00"/>
    <n v="27"/>
    <x v="50"/>
    <s v="gansagar "/>
    <s v="ramashish Kumar "/>
    <n v="7739090727"/>
    <s v="Everest Smart Tab-based Android Terminal (Table-top) with Inbuilt Printer"/>
    <s v="GTD-23013966"/>
    <s v="Battery 3.7V/2600Mah"/>
    <s v="RM00980"/>
    <x v="4"/>
    <x v="1"/>
    <n v="1"/>
    <n v="350"/>
    <n v="350"/>
    <n v="63"/>
    <n v="413"/>
    <m/>
    <s v="Running"/>
  </r>
  <r>
    <d v="2025-06-02T11:08:01"/>
    <s v="Jun-25"/>
    <x v="0"/>
    <s v="MPG"/>
    <d v="2025-08-01T00:00:00"/>
    <s v=""/>
    <x v="72"/>
    <s v="Gomukh Kamatpur"/>
    <s v="Brajesh kumar"/>
    <n v="9771243315"/>
    <s v="EKOMILK ULTRA PRO ANALYSER"/>
    <n v="380038"/>
    <s v="Fatscan &quot; Y &quot; Pipe"/>
    <s v="SF00145"/>
    <x v="4"/>
    <x v="1"/>
    <n v="1"/>
    <n v="84"/>
    <n v="84"/>
    <n v="15.12"/>
    <n v="99.12"/>
    <m/>
    <s v="Running"/>
  </r>
  <r>
    <d v="2025-06-03T12:10:22"/>
    <s v="Jun-25"/>
    <x v="0"/>
    <s v="BMC"/>
    <e v="#N/A"/>
    <s v=""/>
    <x v="73"/>
    <s v="purvi araria "/>
    <s v="yogesh yadav "/>
    <n v="9631676073"/>
    <s v="EKOMILK ULTRA PRO ANALYSER"/>
    <n v="387787"/>
    <s v="Fatscan &quot; Y &quot; Pipe"/>
    <s v="SF00145"/>
    <x v="4"/>
    <x v="1"/>
    <n v="1"/>
    <n v="84"/>
    <n v="84"/>
    <n v="15.12"/>
    <n v="99.12"/>
    <m/>
    <e v="#N/A"/>
  </r>
  <r>
    <d v="2025-06-04T14:53:43"/>
    <s v="Jun-25"/>
    <x v="0"/>
    <s v="MPG"/>
    <e v="#N/A"/>
    <s v=""/>
    <x v="74"/>
    <s v="Gomukh Mahdmadpur"/>
    <s v="Rajeev kumar"/>
    <n v="8102484666"/>
    <s v="EKOMILK ULTRA PRO ANALYSER"/>
    <n v="277187"/>
    <s v="Fatscan &quot; Y &quot; Pipe"/>
    <s v="SF00145"/>
    <x v="4"/>
    <x v="1"/>
    <n v="1"/>
    <n v="84"/>
    <n v="84"/>
    <n v="15.12"/>
    <n v="99.12"/>
    <m/>
    <s v="Running"/>
  </r>
  <r>
    <d v="2025-06-06T13:37:19"/>
    <s v="Jun-25"/>
    <x v="0"/>
    <s v="MPG"/>
    <d v="2019-10-18T00:00:00"/>
    <n v="67"/>
    <x v="75"/>
    <s v="paroreya"/>
    <s v="Ajay Kumar"/>
    <n v="7631356700"/>
    <s v="WEIGHING SCALE 60 KG"/>
    <s v="E-17127280"/>
    <s v="Keyboard For Weighing Scale (Repaired)"/>
    <s v="SF00048"/>
    <x v="4"/>
    <x v="1"/>
    <n v="1"/>
    <n v="360"/>
    <n v="360"/>
    <n v="64.8"/>
    <n v="424.8"/>
    <m/>
    <s v="Running"/>
  </r>
  <r>
    <d v="2025-06-28T14:02:43"/>
    <s v="Jun-25"/>
    <x v="0"/>
    <s v="MPG"/>
    <d v="2022-05-12T00:00:00"/>
    <n v="37"/>
    <x v="70"/>
    <s v="Baryahi chanann"/>
    <s v="Rajeev Kumar "/>
    <n v="9570636048"/>
    <s v="EKOMILK ULTRA PRO ANALYSER"/>
    <n v="359873"/>
    <s v="Fatscan Sensor to Syringe Pipe"/>
    <s v="SF00146"/>
    <x v="4"/>
    <x v="1"/>
    <n v="1"/>
    <n v="44"/>
    <n v="44"/>
    <n v="7.92"/>
    <n v="51.92"/>
    <m/>
    <s v="Running"/>
  </r>
  <r>
    <d v="2025-06-28T14:00:26"/>
    <s v="Jun-25"/>
    <x v="0"/>
    <s v="BMC"/>
    <e v="#N/A"/>
    <s v=""/>
    <x v="6"/>
    <s v="Teghra BMC in plant lab"/>
    <s v="Pirinc kumar"/>
    <n v="9113108485"/>
    <s v="Indicator DC Powder Coated (Ver. 2)"/>
    <s v="GNIDP-23035423"/>
    <s v="Keyboard For Weighing Scale New Design"/>
    <s v="RM01176"/>
    <x v="4"/>
    <x v="1"/>
    <n v="1"/>
    <n v="1266"/>
    <n v="1266"/>
    <n v="227.88"/>
    <n v="1493.88"/>
    <m/>
    <e v="#N/A"/>
  </r>
  <r>
    <d v="2025-06-09T15:17:40"/>
    <s v="Jun-25"/>
    <x v="0"/>
    <s v="BMC"/>
    <e v="#N/A"/>
    <s v=""/>
    <x v="73"/>
    <s v="purvi araria "/>
    <s v="yogesh yadav "/>
    <n v="9631676073"/>
    <s v="EKOMILK ULTRA PRO ANALYSER"/>
    <n v="210413"/>
    <s v="Ekomilk Motorpump Set New"/>
    <s v="TR00181"/>
    <x v="4"/>
    <x v="1"/>
    <n v="1"/>
    <n v="2000"/>
    <n v="2000"/>
    <n v="360"/>
    <n v="2360"/>
    <m/>
    <e v="#N/A"/>
  </r>
  <r>
    <d v="2025-06-27T14:54:59"/>
    <s v="Jun-25"/>
    <x v="0"/>
    <s v="MPG"/>
    <d v="2017-09-01T00:00:00"/>
    <n v="93"/>
    <x v="76"/>
    <s v="sabikpur"/>
    <s v="vikash Kumar"/>
    <n v="7764922168"/>
    <s v="STIRRER UNIT EV5600"/>
    <s v="S-14040500"/>
    <s v="Stirrer Timer PCB"/>
    <s v="RM00478"/>
    <x v="4"/>
    <x v="1"/>
    <n v="1"/>
    <n v="900"/>
    <n v="900"/>
    <n v="162"/>
    <n v="1062"/>
    <m/>
    <s v="Running"/>
  </r>
  <r>
    <d v="2025-06-27T14:25:09"/>
    <s v="Jun-25"/>
    <x v="0"/>
    <s v="MPG"/>
    <d v="2022-05-20T00:00:00"/>
    <n v="37"/>
    <x v="77"/>
    <s v="dariyapur "/>
    <s v="puntu kumar"/>
    <n v="9905292557"/>
    <s v="EKOMILK ULTRA PRO ANALYSER"/>
    <n v="277378"/>
    <s v="Ekomilk Switch Small"/>
    <s v="RM00536"/>
    <x v="4"/>
    <x v="1"/>
    <n v="1"/>
    <n v="140"/>
    <n v="140"/>
    <n v="25.2"/>
    <n v="165.2"/>
    <m/>
    <s v="May '25 Closed"/>
  </r>
  <r>
    <d v="2025-06-09T15:31:39"/>
    <s v="Jun-25"/>
    <x v="0"/>
    <s v="MPG"/>
    <d v="2023-01-02T00:00:00"/>
    <n v="29"/>
    <x v="78"/>
    <s v="CHHOTKA SINGHANPURA "/>
    <s v="MANBODH OJHA"/>
    <n v="9263928881"/>
    <s v="EKOMILK ULTRA PRO ANALYSER"/>
    <n v="360142"/>
    <s v="Ekomilk Sieringe With Plunger"/>
    <s v="RM00530"/>
    <x v="4"/>
    <x v="1"/>
    <n v="1"/>
    <n v="70"/>
    <n v="70"/>
    <n v="12.6"/>
    <n v="82.6"/>
    <m/>
    <s v="Running"/>
  </r>
  <r>
    <d v="2025-06-27T14:28:46"/>
    <s v="Jun-25"/>
    <x v="0"/>
    <s v="MPG"/>
    <d v="2017-09-01T00:00:00"/>
    <n v="93"/>
    <x v="76"/>
    <s v="sabikpur"/>
    <s v="vikash Kumar"/>
    <n v="7764922168"/>
    <s v="Solar Power Controller Unit"/>
    <s v="ESC-14040031"/>
    <s v="SWS Motherboard (Version 1.1)"/>
    <s v="RM00973"/>
    <x v="4"/>
    <x v="1"/>
    <n v="1"/>
    <n v="2080"/>
    <n v="2080"/>
    <n v="374.4"/>
    <n v="2454.4"/>
    <m/>
    <s v="Running"/>
  </r>
  <r>
    <d v="2025-06-11T15:25:43"/>
    <s v="Jun-25"/>
    <x v="0"/>
    <s v="MPG"/>
    <d v="2024-10-25T00:00:00"/>
    <n v="7"/>
    <x v="79"/>
    <s v="Gomukh Pahadpur"/>
    <s v="Arvind Pal"/>
    <n v="9931327599"/>
    <s v="STIRRER UNIT EV5600"/>
    <s v="s-22040031"/>
    <s v="Stirrer Timer PCB"/>
    <s v="RM00478"/>
    <x v="4"/>
    <x v="1"/>
    <n v="1"/>
    <n v="900"/>
    <n v="900"/>
    <n v="162"/>
    <n v="1062"/>
    <m/>
    <s v="Running"/>
  </r>
  <r>
    <d v="2025-06-11T14:31:59"/>
    <s v="Jun-25"/>
    <x v="0"/>
    <s v="BMC"/>
    <e v="#N/A"/>
    <s v=""/>
    <x v="73"/>
    <s v="purvi araria "/>
    <s v="yogesh yadav "/>
    <n v="9631676073"/>
    <s v="EKOMILK ULTRA PRO ANALYSER"/>
    <n v="210413"/>
    <s v="Ekomilk Keyboard"/>
    <s v="RM00512"/>
    <x v="4"/>
    <x v="1"/>
    <n v="1"/>
    <n v="770"/>
    <n v="770"/>
    <n v="138.6"/>
    <n v="908.6"/>
    <m/>
    <e v="#N/A"/>
  </r>
  <r>
    <d v="2025-06-26T16:35:34"/>
    <s v="Jun-25"/>
    <x v="0"/>
    <s v="MPG"/>
    <d v="2023-07-14T00:00:00"/>
    <n v="23"/>
    <x v="80"/>
    <s v="urain "/>
    <s v="Sonu Kumar "/>
    <n v="8877360750"/>
    <s v="EKOMILK ULTRA PRO ANALYSER"/>
    <n v="387870"/>
    <s v="Ekomilk Sieringe With Plunger"/>
    <s v="RM00530"/>
    <x v="4"/>
    <x v="1"/>
    <n v="1"/>
    <n v="70"/>
    <n v="70"/>
    <n v="12.6"/>
    <n v="82.6"/>
    <m/>
    <s v="Running"/>
  </r>
  <r>
    <d v="2025-06-11T14:31:41"/>
    <s v="Jun-25"/>
    <x v="0"/>
    <s v="BMC"/>
    <e v="#N/A"/>
    <s v=""/>
    <x v="73"/>
    <s v="purvi araria "/>
    <s v="yogesh yadav "/>
    <n v="9631676073"/>
    <s v="Everest Smart Tab-based Android Terminal (Table-top) with Inbuilt Printer"/>
    <s v="gtd-23014057"/>
    <s v="Dongle with WiFi 12V ( Wysense  )"/>
    <s v="RM01543"/>
    <x v="4"/>
    <x v="1"/>
    <n v="1"/>
    <n v="770"/>
    <n v="770"/>
    <n v="138.6"/>
    <n v="908.6"/>
    <m/>
    <e v="#N/A"/>
  </r>
  <r>
    <d v="2025-06-26T16:35:34"/>
    <s v="Jun-25"/>
    <x v="0"/>
    <s v="MPG"/>
    <d v="2023-07-14T00:00:00"/>
    <n v="23"/>
    <x v="80"/>
    <s v="urain "/>
    <s v="Sonu Kumar "/>
    <n v="8877360750"/>
    <s v="EKOMILK ULTRA PRO ANALYSER"/>
    <n v="387870"/>
    <s v="Ekomilk Sieringe With Plunger"/>
    <s v="RM00530"/>
    <x v="4"/>
    <x v="1"/>
    <n v="1"/>
    <n v="70"/>
    <n v="70"/>
    <n v="12.6"/>
    <n v="82.6"/>
    <m/>
    <s v="Running"/>
  </r>
  <r>
    <d v="2025-06-12T16:51:47"/>
    <s v="Jun-25"/>
    <x v="0"/>
    <s v="MPG"/>
    <e v="#N/A"/>
    <s v=""/>
    <x v="81"/>
    <s v="Gomukh sonbarsa "/>
    <s v="Rahul Kumar "/>
    <n v="6205890827"/>
    <s v="Everest Smart Tab-based Android Terminal (Table-top) with Inbuilt Printer"/>
    <s v="GTD-23034384"/>
    <s v="Battery 3.7V/2600Mah"/>
    <s v="RM00980"/>
    <x v="4"/>
    <x v="1"/>
    <n v="1"/>
    <n v="350"/>
    <n v="350"/>
    <n v="63"/>
    <n v="413"/>
    <m/>
    <s v="Nov'25 Closed"/>
  </r>
  <r>
    <d v="2025-06-13T16:12:00"/>
    <s v="Jun-25"/>
    <x v="0"/>
    <s v="MPG"/>
    <d v="2023-10-27T00:00:00"/>
    <n v="19"/>
    <x v="82"/>
    <s v="mpg Sahebpur kamal"/>
    <s v="Sunita devi"/>
    <n v="8877912368"/>
    <s v="WEIGHING SCALE 60 KG"/>
    <s v="GNE-23024518"/>
    <s v="SWS Motherboard (Version 1.1)"/>
    <s v="RM00973"/>
    <x v="4"/>
    <x v="1"/>
    <n v="1"/>
    <n v="2080"/>
    <n v="2080"/>
    <n v="374.4"/>
    <n v="2454.4"/>
    <m/>
    <s v="Nov'25 Closed"/>
  </r>
  <r>
    <d v="2025-06-14T15:02:21"/>
    <s v="Jun-25"/>
    <x v="0"/>
    <s v="MPG"/>
    <d v="2021-09-14T00:00:00"/>
    <n v="45"/>
    <x v="44"/>
    <s v="Tabhaka"/>
    <s v="Rahul Kumar"/>
    <n v="7667270854"/>
    <s v="WEIGHING SCALE 60 KG"/>
    <s v="E-17116848"/>
    <s v="EWS Battery Backup SMPS (BBLC)"/>
    <s v="RM00241"/>
    <x v="4"/>
    <x v="1"/>
    <n v="1"/>
    <n v="825"/>
    <n v="825"/>
    <n v="148.5"/>
    <n v="973.5"/>
    <m/>
    <s v="Running"/>
  </r>
  <r>
    <d v="2025-06-14T15:02:21"/>
    <s v="Jun-25"/>
    <x v="0"/>
    <s v="MPG"/>
    <d v="2021-09-14T00:00:00"/>
    <n v="45"/>
    <x v="44"/>
    <s v="Tabhaka"/>
    <s v="Rahul Kumar"/>
    <n v="7667270854"/>
    <s v="WEIGHING SCALE 60 KG"/>
    <s v="E-17116848"/>
    <s v="Keyboard For Weighing Scale (Repaired)"/>
    <s v="SF00048"/>
    <x v="4"/>
    <x v="1"/>
    <n v="1"/>
    <n v="360"/>
    <n v="360"/>
    <n v="64.8"/>
    <n v="424.8"/>
    <m/>
    <s v="Running"/>
  </r>
  <r>
    <d v="2025-06-26T16:31:26"/>
    <s v="Jun-25"/>
    <x v="0"/>
    <s v="MPG"/>
    <d v="2024-06-28T00:00:00"/>
    <n v="11"/>
    <x v="83"/>
    <s v="Gomukh bheet"/>
    <s v="Dharamveer kumar "/>
    <n v="7808020360"/>
    <s v="EKOMILK ULTRA PRO ANALYSER"/>
    <n v="381775"/>
    <s v="Fatscan &quot; Y &quot; Pipe"/>
    <s v="SF00145"/>
    <x v="4"/>
    <x v="1"/>
    <n v="1"/>
    <n v="84"/>
    <n v="84"/>
    <n v="15.12"/>
    <n v="99.12"/>
    <m/>
    <s v="Running"/>
  </r>
  <r>
    <d v="2025-06-14T16:15:35"/>
    <s v="Jun-25"/>
    <x v="0"/>
    <s v="MPG"/>
    <d v="2022-07-17T00:00:00"/>
    <n v="34"/>
    <x v="84"/>
    <s v="Mathar "/>
    <s v="chintu sharma"/>
    <n v="7091116438"/>
    <s v="EKOMILK ULTRA PRO ANALYSER"/>
    <n v="385556"/>
    <s v="Ekomilk Sieringe With Plunger"/>
    <s v="RM00530"/>
    <x v="4"/>
    <x v="1"/>
    <n v="1"/>
    <n v="70"/>
    <n v="70"/>
    <n v="12.6"/>
    <n v="82.6"/>
    <m/>
    <s v="Running"/>
  </r>
  <r>
    <d v="2025-06-14T16:15:35"/>
    <s v="Jun-25"/>
    <x v="0"/>
    <s v="MPG"/>
    <d v="2022-07-17T00:00:00"/>
    <n v="34"/>
    <x v="84"/>
    <s v="Mathar "/>
    <s v="chintu sharma"/>
    <n v="7091116438"/>
    <s v="EKOMILK ULTRA PRO ANALYSER"/>
    <n v="385556"/>
    <s v="Ekomilk Sieringe With Plunger"/>
    <s v="RM00530"/>
    <x v="4"/>
    <x v="1"/>
    <n v="1"/>
    <n v="70"/>
    <n v="70"/>
    <n v="12.6"/>
    <n v="82.6"/>
    <m/>
    <s v="Running"/>
  </r>
  <r>
    <d v="2025-06-14T16:15:35"/>
    <s v="Jun-25"/>
    <x v="0"/>
    <s v="MPG"/>
    <d v="2022-07-17T00:00:00"/>
    <n v="34"/>
    <x v="84"/>
    <s v="Mathar "/>
    <s v="chintu sharma"/>
    <n v="7091116438"/>
    <s v="EKOMILK ULTRA PRO ANALYSER"/>
    <n v="385556"/>
    <s v="Fatscan &quot; Y &quot; Pipe"/>
    <s v="SF00145"/>
    <x v="4"/>
    <x v="1"/>
    <n v="1"/>
    <n v="84"/>
    <n v="84"/>
    <n v="15.12"/>
    <n v="99.12"/>
    <m/>
    <s v="Running"/>
  </r>
  <r>
    <d v="2025-06-14T16:29:13"/>
    <s v="Jun-25"/>
    <x v="0"/>
    <s v="MPG"/>
    <d v="2019-08-01T00:00:00"/>
    <n v="70"/>
    <x v="85"/>
    <s v="Basariya kurni"/>
    <s v="Anil kumar "/>
    <n v="7280813196"/>
    <s v="EKOMILK ULTRA PRO ANALYSER"/>
    <n v="387353"/>
    <s v="Ekomilk Sieringe With Plunger"/>
    <s v="RM00530"/>
    <x v="4"/>
    <x v="1"/>
    <n v="1"/>
    <n v="70"/>
    <n v="70"/>
    <n v="12.6"/>
    <n v="82.6"/>
    <m/>
    <s v="Running"/>
  </r>
  <r>
    <d v="2025-06-14T16:29:13"/>
    <s v="Jun-25"/>
    <x v="0"/>
    <s v="MPG"/>
    <d v="2019-08-01T00:00:00"/>
    <n v="70"/>
    <x v="85"/>
    <s v="Basariya kurni"/>
    <s v="Anil kumar "/>
    <n v="7280813196"/>
    <s v="EKOMILK ULTRA PRO ANALYSER"/>
    <n v="387353"/>
    <s v="Ekomilk Sieringe With Plunger"/>
    <s v="RM00530"/>
    <x v="4"/>
    <x v="1"/>
    <n v="1"/>
    <n v="70"/>
    <n v="70"/>
    <n v="12.6"/>
    <n v="82.6"/>
    <m/>
    <s v="Running"/>
  </r>
  <r>
    <d v="2025-06-26T16:31:26"/>
    <s v="Jun-25"/>
    <x v="0"/>
    <s v="MPG"/>
    <d v="2024-06-28T00:00:00"/>
    <n v="11"/>
    <x v="83"/>
    <s v="Gomukh bheet"/>
    <s v="Dharamveer kumar "/>
    <n v="7808020360"/>
    <s v="EKOMILK ULTRA PRO ANALYSER"/>
    <n v="381775"/>
    <s v="Ekomilk Sieringe With Plunger"/>
    <s v="RM00530"/>
    <x v="4"/>
    <x v="1"/>
    <n v="1"/>
    <n v="70"/>
    <n v="70"/>
    <n v="12.6"/>
    <n v="82.6"/>
    <m/>
    <s v="Running"/>
  </r>
  <r>
    <d v="2025-06-14T16:29:13"/>
    <s v="Jun-25"/>
    <x v="0"/>
    <s v="MPG"/>
    <d v="2019-08-01T00:00:00"/>
    <n v="70"/>
    <x v="85"/>
    <s v="Basariya kurni"/>
    <s v="Anil kumar "/>
    <n v="7280813196"/>
    <s v="EKOMILK ULTRA PRO ANALYSER"/>
    <n v="387353"/>
    <s v="Ekomilk Sensor To Sieringe Pipe"/>
    <s v="RM00528"/>
    <x v="4"/>
    <x v="1"/>
    <n v="1"/>
    <n v="44"/>
    <n v="44"/>
    <n v="7.92"/>
    <n v="51.92"/>
    <m/>
    <s v="Running"/>
  </r>
  <r>
    <d v="2025-06-14T16:29:13"/>
    <s v="Jun-25"/>
    <x v="0"/>
    <s v="MPG"/>
    <d v="2019-08-01T00:00:00"/>
    <n v="70"/>
    <x v="85"/>
    <s v="Basariya kurni"/>
    <s v="Anil kumar "/>
    <n v="7280813196"/>
    <s v="EKOMILK ULTRA PRO ANALYSER"/>
    <n v="387353"/>
    <s v="Ekomilk Sensor To Sieringe Pipe"/>
    <s v="RM00528"/>
    <x v="4"/>
    <x v="1"/>
    <n v="1"/>
    <n v="44"/>
    <n v="44"/>
    <n v="7.92"/>
    <n v="51.92"/>
    <m/>
    <s v="Running"/>
  </r>
  <r>
    <d v="2025-06-16T11:17:11"/>
    <s v="Jun-25"/>
    <x v="0"/>
    <s v="MPG"/>
    <d v="2024-06-28T00:00:00"/>
    <n v="11"/>
    <x v="83"/>
    <s v="Gomukh bheet"/>
    <s v="Dharamveer kumar "/>
    <n v="7808020360"/>
    <s v="Everest Smart Tab-based Android Terminal (Table-top) with Inbuilt Printer"/>
    <s v="GTD-23060372"/>
    <s v="Battery 3.7V/2600Mah"/>
    <s v="RM00980"/>
    <x v="4"/>
    <x v="1"/>
    <n v="1"/>
    <n v="350"/>
    <n v="350"/>
    <n v="63"/>
    <n v="413"/>
    <m/>
    <s v="Running"/>
  </r>
  <r>
    <d v="2025-06-26T16:43:54"/>
    <s v="Jun-25"/>
    <x v="0"/>
    <s v="MPG"/>
    <d v="2022-06-25T00:00:00"/>
    <n v="36"/>
    <x v="86"/>
    <s v="Bhandar"/>
    <s v="dhirndhar mahto "/>
    <n v="9779799096"/>
    <s v="Everest Smart Tab-based Android Terminal (Table-top) with Inbuilt Printer"/>
    <s v="GTD-23025237"/>
    <s v="DPU DC To DC Converter 12V To 5V"/>
    <s v="RM00493"/>
    <x v="4"/>
    <x v="1"/>
    <n v="1"/>
    <n v="780"/>
    <n v="780"/>
    <n v="140.4"/>
    <n v="920.4"/>
    <m/>
    <s v="Running"/>
  </r>
  <r>
    <d v="2025-06-16T10:07:28"/>
    <s v="Jun-25"/>
    <x v="0"/>
    <s v="MPG"/>
    <d v="2025-02-20T00:00:00"/>
    <n v="3"/>
    <x v="87"/>
    <s v="Gomukh cheria bariyarpur "/>
    <s v="Ajay Kumar "/>
    <n v="8709328153"/>
    <s v="Everest Smart Tab-based Android Terminal (Table-top) with Inbuilt Printer"/>
    <s v="GTD-23013916"/>
    <s v="Battery 3.7V/2600Mah"/>
    <s v="RM00980"/>
    <x v="4"/>
    <x v="1"/>
    <n v="1"/>
    <n v="350"/>
    <n v="350"/>
    <n v="63"/>
    <n v="413"/>
    <m/>
    <s v="Running"/>
  </r>
  <r>
    <d v="2025-06-16T10:09:24"/>
    <s v="Jun-25"/>
    <x v="0"/>
    <s v="MPG"/>
    <d v="2025-02-20T00:00:00"/>
    <n v="3"/>
    <x v="87"/>
    <s v="Gomukh cheria bariyarpur "/>
    <s v="Ajay Kumar "/>
    <n v="8709328153"/>
    <s v="EKOMILK ULTRA PRO ANALYSER"/>
    <n v="368625"/>
    <s v="Fatscan &quot; Y &quot; Pipe"/>
    <s v="SF00145"/>
    <x v="4"/>
    <x v="1"/>
    <n v="1"/>
    <n v="84"/>
    <n v="84"/>
    <n v="15.12"/>
    <n v="99.12"/>
    <m/>
    <s v="Running"/>
  </r>
  <r>
    <d v="2025-06-16T12:20:30"/>
    <s v="Jun-25"/>
    <x v="0"/>
    <s v="MPG"/>
    <d v="2025-03-29T00:00:00"/>
    <n v="2"/>
    <x v="3"/>
    <s v="gomukh khanjapur bangali tola"/>
    <s v="kumari asha varma"/>
    <n v="9931061141"/>
    <s v="Everest Smart Tab-based Android Terminal (Table-top) with Inbuilt Printer"/>
    <s v="GTD-23024219"/>
    <s v="Battery 3.7V/2600Mah"/>
    <s v="RM00980"/>
    <x v="4"/>
    <x v="1"/>
    <n v="1"/>
    <n v="350"/>
    <n v="350"/>
    <n v="63"/>
    <n v="413"/>
    <m/>
    <s v="Oct '25 Closed"/>
  </r>
  <r>
    <d v="2025-06-16T15:58:04"/>
    <s v="Jun-25"/>
    <x v="0"/>
    <s v="MPG"/>
    <d v="2023-12-07T00:00:00"/>
    <n v="18"/>
    <x v="88"/>
    <s v="maliya "/>
    <s v="Ram bachan yadav "/>
    <n v="9693036091"/>
    <s v="EKOMILK ULTRA PRO ANALYSER"/>
    <n v="384723"/>
    <s v="Ekomilk Sieringe With Plunger"/>
    <s v="RM00530"/>
    <x v="4"/>
    <x v="1"/>
    <n v="1"/>
    <n v="70"/>
    <n v="70"/>
    <n v="12.6"/>
    <n v="82.6"/>
    <m/>
    <s v="Running"/>
  </r>
  <r>
    <d v="2025-06-16T15:58:04"/>
    <s v="Jun-25"/>
    <x v="0"/>
    <s v="MPG"/>
    <d v="2023-12-07T00:00:00"/>
    <n v="18"/>
    <x v="88"/>
    <s v="maliya "/>
    <s v="Ram bachan yadav "/>
    <n v="9693036091"/>
    <s v="EKOMILK ULTRA PRO ANALYSER"/>
    <n v="384723"/>
    <s v="Ekomilk Sieringe With Plunger"/>
    <s v="RM00530"/>
    <x v="4"/>
    <x v="1"/>
    <n v="1"/>
    <n v="70"/>
    <n v="70"/>
    <n v="12.6"/>
    <n v="82.6"/>
    <m/>
    <s v="Running"/>
  </r>
  <r>
    <d v="2025-06-26T16:27:53"/>
    <s v="Jun-25"/>
    <x v="0"/>
    <s v="MPG"/>
    <d v="2023-08-23T00:00:00"/>
    <n v="22"/>
    <x v="89"/>
    <s v="GOMUKH KANAUSI"/>
    <s v="BAMBAM SINGH "/>
    <n v="7870999520"/>
    <s v="EKOMILK ULTRA PRO ANALYSER"/>
    <n v="382431"/>
    <s v="Ekomilk LCD Display"/>
    <s v="RM00511"/>
    <x v="4"/>
    <x v="1"/>
    <n v="1"/>
    <n v="790"/>
    <n v="790"/>
    <n v="142.19999999999999"/>
    <n v="932.2"/>
    <m/>
    <s v="Running"/>
  </r>
  <r>
    <d v="2025-06-18T16:06:36"/>
    <s v="Jun-25"/>
    <x v="0"/>
    <s v="BMC"/>
    <e v="#N/A"/>
    <s v=""/>
    <x v="26"/>
    <s v="In Bmc Halsi"/>
    <s v="kunal kumar dev"/>
    <n v="7488561001"/>
    <s v="Everest Smart Tab-based Android Terminal (Table-top) with Inbuilt Printer"/>
    <s v="GTD-23014089"/>
    <s v="Battery 3.7V/2600Mah"/>
    <s v="RM00980"/>
    <x v="4"/>
    <x v="1"/>
    <n v="1"/>
    <n v="350"/>
    <n v="350"/>
    <n v="63"/>
    <n v="413"/>
    <m/>
    <e v="#N/A"/>
  </r>
  <r>
    <d v="2025-06-18T14:08:44"/>
    <s v="Jun-25"/>
    <x v="0"/>
    <s v="MPG"/>
    <d v="2025-05-16T00:00:00"/>
    <n v="1"/>
    <x v="90"/>
    <s v="Mordiwa east"/>
    <s v=" vivek "/>
    <n v="7079418432"/>
    <s v="STIRRER UNIT EV5600"/>
    <s v="s-17096166"/>
    <s v="Stirrer Timer PCB"/>
    <s v="RM00478"/>
    <x v="4"/>
    <x v="1"/>
    <n v="1"/>
    <n v="900"/>
    <n v="900"/>
    <n v="162"/>
    <n v="1062"/>
    <m/>
    <s v="Running"/>
  </r>
  <r>
    <d v="2025-06-18T14:02:32"/>
    <s v="Jun-25"/>
    <x v="0"/>
    <s v="MPG"/>
    <d v="2024-09-21T00:00:00"/>
    <n v="8"/>
    <x v="28"/>
    <s v="Sondiya "/>
    <s v="Chandra shekher kuma"/>
    <n v="6200084384"/>
    <s v="Everest Smart Tab-based Android Terminal (Table-top) with Inbuilt Printer"/>
    <s v="GTD-23024220"/>
    <s v="Battery 3.7V/2600Mah"/>
    <s v="RM00980"/>
    <x v="4"/>
    <x v="1"/>
    <n v="1"/>
    <n v="350"/>
    <n v="350"/>
    <n v="63"/>
    <n v="413"/>
    <m/>
    <s v="Running"/>
  </r>
  <r>
    <d v="2025-06-25T14:28:53"/>
    <s v="Jun-25"/>
    <x v="0"/>
    <s v="MPG"/>
    <e v="#N/A"/>
    <s v=""/>
    <x v="91"/>
    <s v="Gomukh Dumariya Bujurg"/>
    <s v="Sakshi kumari"/>
    <n v="8677012544"/>
    <s v="WEIGHING SCALE 60 KG"/>
    <s v="GNE-23024505"/>
    <s v="Load Cell 100 Kg 60310"/>
    <s v="RM00006"/>
    <x v="4"/>
    <x v="1"/>
    <n v="1"/>
    <n v="2800"/>
    <n v="2800"/>
    <n v="504"/>
    <n v="3304"/>
    <m/>
    <s v="Sep'25 Closed"/>
  </r>
  <r>
    <d v="2025-06-25T14:30:05"/>
    <s v="Jun-25"/>
    <x v="0"/>
    <s v="MPG"/>
    <e v="#N/A"/>
    <s v=""/>
    <x v="92"/>
    <s v="Gomukh Nayagaun "/>
    <s v="Gopal singh"/>
    <n v="8084260901"/>
    <s v="Everest Smart Tab-based Android Terminal (Table-top) with Inbuilt Printer"/>
    <s v="GTD-23024228"/>
    <s v="Battery 3.7V/2600Mah"/>
    <s v="RM00980"/>
    <x v="4"/>
    <x v="1"/>
    <n v="1"/>
    <n v="350"/>
    <n v="350"/>
    <n v="63"/>
    <n v="413"/>
    <m/>
    <s v="Running"/>
  </r>
  <r>
    <d v="2025-06-19T15:48:50"/>
    <s v="Jun-25"/>
    <x v="0"/>
    <s v="MPG"/>
    <d v="2024-12-05T00:00:00"/>
    <n v="6"/>
    <x v="93"/>
    <s v="tilthi "/>
    <s v="jitendra kumar"/>
    <n v="6206967505"/>
    <s v="EKOMILK ULTRA PRO ANALYSER"/>
    <n v="382421"/>
    <s v="Ekomilk Motorpump Set New"/>
    <s v="TR00181"/>
    <x v="4"/>
    <x v="1"/>
    <n v="1"/>
    <n v="2000"/>
    <n v="2000"/>
    <n v="360"/>
    <n v="2360"/>
    <m/>
    <s v="Running"/>
  </r>
  <r>
    <d v="2025-06-21T15:03:06"/>
    <s v="Jun-25"/>
    <x v="0"/>
    <s v="MPG"/>
    <d v="2023-01-17T00:00:00"/>
    <n v="29"/>
    <x v="94"/>
    <s v="telgama"/>
    <s v="Rajesh "/>
    <n v="7549794524"/>
    <s v="EKOMILK ULTRA PRO ANALYSER"/>
    <n v="322427"/>
    <s v="Ekomilk Keyboard"/>
    <s v="RM00512"/>
    <x v="4"/>
    <x v="1"/>
    <n v="1"/>
    <n v="770"/>
    <n v="770"/>
    <n v="138.6"/>
    <n v="908.6"/>
    <m/>
    <s v="Running"/>
  </r>
  <r>
    <d v="2025-06-21T16:31:17"/>
    <s v="Jun-25"/>
    <x v="0"/>
    <s v="MPG"/>
    <d v="2017-09-01T00:00:00"/>
    <n v="93"/>
    <x v="95"/>
    <s v="mahsauni "/>
    <s v="niranaj Kumar "/>
    <n v="7250679190"/>
    <s v="WEIGHING SCALE 60 KG"/>
    <s v="E-215026638"/>
    <s v="Load Cell 100 Kg 60310"/>
    <s v="RM00006"/>
    <x v="4"/>
    <x v="1"/>
    <n v="1"/>
    <n v="2800"/>
    <n v="2800"/>
    <n v="504"/>
    <n v="3304"/>
    <m/>
    <s v="Running"/>
  </r>
  <r>
    <d v="2025-06-21T15:05:54"/>
    <s v="Jun-25"/>
    <x v="0"/>
    <s v="MPG"/>
    <d v="2020-04-15T00:00:00"/>
    <n v="62"/>
    <x v="61"/>
    <s v="BORNA RASALPUR"/>
    <s v="PANKAJ RAY"/>
    <n v="8340595380"/>
    <s v="EKOMILK ULTRA PRO ANALYSER"/>
    <n v="310523"/>
    <s v="Ekomilk Sieringe With Plunger"/>
    <s v="RM00530"/>
    <x v="4"/>
    <x v="1"/>
    <n v="1"/>
    <n v="70"/>
    <n v="70"/>
    <n v="12.6"/>
    <n v="82.6"/>
    <m/>
    <s v="Running"/>
  </r>
  <r>
    <d v="2025-06-21T15:05:54"/>
    <s v="Jun-25"/>
    <x v="0"/>
    <s v="MPG"/>
    <d v="2020-04-15T00:00:00"/>
    <n v="62"/>
    <x v="61"/>
    <s v="BORNA RASALPUR"/>
    <s v="PANKAJ RAY"/>
    <n v="8340595380"/>
    <s v="EKOMILK ULTRA PRO ANALYSER"/>
    <n v="310523"/>
    <s v="Fatscan &quot; Y &quot; Pipe"/>
    <s v="SF00145"/>
    <x v="4"/>
    <x v="1"/>
    <n v="1"/>
    <n v="84"/>
    <n v="84"/>
    <n v="15.12"/>
    <n v="99.12"/>
    <m/>
    <s v="Running"/>
  </r>
  <r>
    <d v="2025-06-21T14:50:24"/>
    <s v="Jun-25"/>
    <x v="0"/>
    <s v="MPG"/>
    <d v="2019-09-23T00:00:00"/>
    <n v="68"/>
    <x v="71"/>
    <s v="Khajuri"/>
    <s v="Anuj Kumar Singh"/>
    <n v="7033197978"/>
    <s v="WEIGHING SCALE 60 KG"/>
    <s v="E-17127324"/>
    <s v="Keyboard For Weighing Scale (Repaired)"/>
    <s v="SF00048"/>
    <x v="4"/>
    <x v="1"/>
    <n v="1"/>
    <n v="360"/>
    <n v="360"/>
    <n v="64.8"/>
    <n v="424.8"/>
    <m/>
    <s v="Running"/>
  </r>
  <r>
    <d v="2025-06-23T19:23:49"/>
    <s v="Jun-25"/>
    <x v="1"/>
    <s v="BMC"/>
    <e v="#N/A"/>
    <s v=""/>
    <x v="96"/>
    <s v="Hisrithakugaw"/>
    <s v="Channdan Tiwari "/>
    <n v="8210416954"/>
    <s v="EKOMILK ULTRA PRO ANALYSER"/>
    <n v="360610"/>
    <s v="FatScan Double Sensor Measuring Mini PCB (4 para) with Sensor (Repaired)"/>
    <s v="SF00130"/>
    <x v="3"/>
    <x v="2"/>
    <n v="1"/>
    <n v="8500"/>
    <n v="8500"/>
    <n v="1530"/>
    <n v="10030"/>
    <m/>
    <e v="#N/A"/>
  </r>
  <r>
    <d v="2025-06-23T19:26:16"/>
    <s v="Jun-25"/>
    <x v="1"/>
    <s v="MPG"/>
    <e v="#N/A"/>
    <s v=""/>
    <x v="97"/>
    <s v="Jamtli"/>
    <s v="Ravindra Gop"/>
    <n v="8789608345"/>
    <s v="Everest Smart Tab-based Android Terminal (Table-top) with Inbuilt Printer"/>
    <s v="GTD-23060304"/>
    <s v="Battery 3.7V/2600Mah"/>
    <s v="RM00980"/>
    <x v="3"/>
    <x v="2"/>
    <n v="1"/>
    <n v="350"/>
    <n v="350"/>
    <n v="63"/>
    <n v="413"/>
    <m/>
    <e v="#N/A"/>
  </r>
  <r>
    <d v="2025-06-24T15:19:05"/>
    <s v="Jun-25"/>
    <x v="0"/>
    <s v="MPG"/>
    <d v="2022-12-16T00:00:00"/>
    <n v="30"/>
    <x v="98"/>
    <s v="dira pipariya "/>
    <s v="mintu Ray "/>
    <n v="7808714512"/>
    <s v="EKOMILK ULTRA PRO ANALYSER"/>
    <n v="381346"/>
    <s v="Ekomilk Keyboard"/>
    <s v="RM00512"/>
    <x v="4"/>
    <x v="1"/>
    <n v="1"/>
    <n v="770"/>
    <n v="770"/>
    <n v="138.6"/>
    <n v="908.6"/>
    <m/>
    <s v="Running"/>
  </r>
  <r>
    <d v="2025-06-23T15:56:19"/>
    <s v="Jun-25"/>
    <x v="0"/>
    <s v="MPG"/>
    <d v="2019-11-17T00:00:00"/>
    <n v="67"/>
    <x v="99"/>
    <s v="Andhaha"/>
    <s v="Binay kumar singh"/>
    <n v="7808980222"/>
    <s v="WEIGHING SCALE 60 KG"/>
    <s v="GNE-22102072"/>
    <s v="Keyboard For Weighing Scale New Design"/>
    <s v="RM01176"/>
    <x v="4"/>
    <x v="1"/>
    <n v="1"/>
    <n v="1266"/>
    <n v="1266"/>
    <n v="227.88"/>
    <n v="1493.88"/>
    <m/>
    <s v="Running"/>
  </r>
  <r>
    <d v="2025-06-23T16:17:57"/>
    <s v="Jun-25"/>
    <x v="0"/>
    <s v="MPG"/>
    <d v="2022-11-01T00:00:00"/>
    <n v="31"/>
    <x v="100"/>
    <s v="arma "/>
    <s v="govind Kumar "/>
    <n v="9931294433"/>
    <s v="STIRRER UNIT EV5600"/>
    <s v="S-22092437"/>
    <s v="Stirrer Timer PCB"/>
    <s v="RM00478"/>
    <x v="4"/>
    <x v="1"/>
    <n v="1"/>
    <n v="900"/>
    <n v="900"/>
    <n v="162"/>
    <n v="1062"/>
    <m/>
    <s v="Running"/>
  </r>
  <r>
    <d v="2025-06-23T15:58:02"/>
    <s v="Jun-25"/>
    <x v="0"/>
    <s v="MPG"/>
    <d v="2024-09-01T00:00:00"/>
    <n v="9"/>
    <x v="101"/>
    <s v="chaksikandar east"/>
    <s v="rupesh"/>
    <n v="9971083605"/>
    <s v="EKOMILK ULTRA PRO ANALYSER"/>
    <n v="309809"/>
    <s v="Ekomilk Sensor To Sieringe Pipe"/>
    <s v="RM00528"/>
    <x v="4"/>
    <x v="1"/>
    <n v="1"/>
    <n v="44"/>
    <n v="44"/>
    <n v="7.92"/>
    <n v="51.92"/>
    <m/>
    <s v="Running"/>
  </r>
  <r>
    <d v="2025-06-23T15:58:02"/>
    <s v="Jun-25"/>
    <x v="0"/>
    <s v="MPG"/>
    <d v="2024-09-01T00:00:00"/>
    <n v="9"/>
    <x v="101"/>
    <s v="chaksikandar east"/>
    <s v="rupesh"/>
    <n v="9971083605"/>
    <s v="EKOMILK ULTRA PRO ANALYSER"/>
    <n v="309809"/>
    <s v="Ekomilk Sensor To Sieringe Pipe"/>
    <s v="RM00528"/>
    <x v="4"/>
    <x v="1"/>
    <n v="1"/>
    <n v="44"/>
    <n v="44"/>
    <n v="7.92"/>
    <n v="51.92"/>
    <m/>
    <s v="Running"/>
  </r>
  <r>
    <d v="2025-06-23T15:58:02"/>
    <s v="Jun-25"/>
    <x v="0"/>
    <s v="MPG"/>
    <d v="2024-09-01T00:00:00"/>
    <n v="9"/>
    <x v="101"/>
    <s v="chaksikandar east"/>
    <s v="rupesh"/>
    <n v="9971083605"/>
    <s v="EKOMILK ULTRA PRO ANALYSER"/>
    <n v="309809"/>
    <s v="Fatscan &quot; Y &quot; Pipe"/>
    <s v="SF00145"/>
    <x v="4"/>
    <x v="1"/>
    <n v="1"/>
    <n v="84"/>
    <n v="84"/>
    <n v="15.12"/>
    <n v="99.12"/>
    <m/>
    <s v="Running"/>
  </r>
  <r>
    <d v="2025-07-26T13:17:47"/>
    <s v="Jul-25"/>
    <x v="1"/>
    <s v="MPG"/>
    <e v="#N/A"/>
    <s v=""/>
    <x v="102"/>
    <s v="Sursa"/>
    <s v="Naya Oraon"/>
    <n v="9123474399"/>
    <s v="Everest Smart Tab-based Android Terminal (Table-top) with Inbuilt Printer"/>
    <s v="GTD-23060323"/>
    <s v="DPU Thermal Printer EPM 207"/>
    <s v="RM00282"/>
    <x v="5"/>
    <x v="3"/>
    <n v="1"/>
    <n v="2800"/>
    <n v="2800"/>
    <n v="504"/>
    <n v="3304"/>
    <m/>
    <e v="#N/A"/>
  </r>
  <r>
    <d v="2025-07-23T14:38:45"/>
    <s v="Jul-25"/>
    <x v="1"/>
    <s v="MPG"/>
    <e v="#N/A"/>
    <s v=""/>
    <x v="103"/>
    <s v="Etachildri "/>
    <s v="Sanju devi"/>
    <n v="9263601995"/>
    <s v="Everest Smart Tab-based Android Terminal (Table-top) with Inbuilt Printer"/>
    <s v="GTD-23060317"/>
    <s v="Battery 3.7V/2600Mah"/>
    <s v="RM01787"/>
    <x v="5"/>
    <x v="3"/>
    <n v="1"/>
    <n v="350"/>
    <n v="350"/>
    <n v="63"/>
    <n v="413"/>
    <m/>
    <e v="#N/A"/>
  </r>
  <r>
    <d v="2025-07-23T13:19:34"/>
    <s v="Jul-25"/>
    <x v="1"/>
    <s v="MPG"/>
    <e v="#N/A"/>
    <s v=""/>
    <x v="104"/>
    <s v="TERO"/>
    <s v="BIRSA ORAON"/>
    <n v="9123425530"/>
    <s v="Everest Smart Tab-based Android Terminal (Table-top) with Inbuilt Printer"/>
    <s v="GTD-23060314"/>
    <s v="DPU Thermal Printer EPM 207"/>
    <s v="RM01076"/>
    <x v="5"/>
    <x v="3"/>
    <n v="1"/>
    <n v="2800"/>
    <n v="2800"/>
    <n v="504"/>
    <n v="3304"/>
    <m/>
    <e v="#N/A"/>
  </r>
  <r>
    <d v="2025-07-23T21:24:38"/>
    <s v="Jul-25"/>
    <x v="1"/>
    <s v="MPG"/>
    <e v="#N/A"/>
    <s v=""/>
    <x v="105"/>
    <s v="Bijuliya"/>
    <s v="Ajit kumar sahu"/>
    <n v="9835904490"/>
    <s v="WEIGHING SCALE 60 KG"/>
    <s v="GNE-23060577"/>
    <s v="EWS Battery Backup SMPS (BBLC)"/>
    <s v="RM01040"/>
    <x v="5"/>
    <x v="3"/>
    <n v="1"/>
    <n v="825"/>
    <n v="825"/>
    <n v="148.5"/>
    <n v="973.5"/>
    <m/>
    <e v="#N/A"/>
  </r>
  <r>
    <d v="2025-07-15T08:41:02"/>
    <s v="Jul-25"/>
    <x v="1"/>
    <s v="BMC"/>
    <e v="#N/A"/>
    <s v=""/>
    <x v="22"/>
    <s v="Itki"/>
    <s v="Amit Tiwari "/>
    <n v="8210761749"/>
    <s v="Everest Smart Tab-based Android Terminal (Table-top) with Inbuilt Printer"/>
    <s v="GTD-23060345"/>
    <s v="Battery 3.7V/2600Mah"/>
    <s v="RM01787"/>
    <x v="5"/>
    <x v="3"/>
    <n v="1"/>
    <n v="350"/>
    <n v="350"/>
    <n v="63"/>
    <n v="413"/>
    <m/>
    <e v="#N/A"/>
  </r>
  <r>
    <d v="2025-07-14T20:33:58"/>
    <s v="Jul-25"/>
    <x v="1"/>
    <s v="MPG"/>
    <e v="#N/A"/>
    <s v=""/>
    <x v="67"/>
    <s v="Jaadi"/>
    <s v="shushila devi"/>
    <n v="7061476343"/>
    <s v="EKOMILK ULTRA PRO ANALYSER"/>
    <n v="364726"/>
    <s v="FatScan Double Sensor Measuring Mini PCB (4 para) with Sensor (Repaired)"/>
    <s v="SF00130"/>
    <x v="5"/>
    <x v="3"/>
    <n v="1"/>
    <n v="8500"/>
    <n v="8500"/>
    <n v="1530"/>
    <n v="10030"/>
    <m/>
    <e v="#N/A"/>
  </r>
  <r>
    <d v="2025-07-08T21:37:38"/>
    <s v="Jul-25"/>
    <x v="1"/>
    <s v="MPG"/>
    <e v="#N/A"/>
    <s v=""/>
    <x v="106"/>
    <s v="Rani khatnga"/>
    <s v="Chand Ansari"/>
    <n v="6202978586"/>
    <s v="EKOMILK ULTRA PRO ANALYSER"/>
    <n v="363892"/>
    <s v="FatScan Double Sensor Measuring Mini PCB (4 para) with Sensor (Repaired)"/>
    <s v="SF00130"/>
    <x v="5"/>
    <x v="3"/>
    <n v="1"/>
    <n v="8500"/>
    <n v="8500"/>
    <n v="1530"/>
    <n v="10030"/>
    <m/>
    <e v="#N/A"/>
  </r>
  <r>
    <d v="2025-07-08T21:36:08"/>
    <s v="Jul-25"/>
    <x v="1"/>
    <s v="MPG"/>
    <e v="#N/A"/>
    <s v=""/>
    <x v="107"/>
    <s v="Thakur Gaw"/>
    <s v="Raj Kumar sahu"/>
    <n v="8709246184"/>
    <s v="EKOMILK ULTRA PRO ANALYSER"/>
    <n v="359077"/>
    <s v="FatScan Double Sensor Measuring Mini PCB (4 para) with Sensor (Repaired)"/>
    <s v="SF00130"/>
    <x v="5"/>
    <x v="3"/>
    <n v="1"/>
    <n v="8500"/>
    <n v="8500"/>
    <n v="1530"/>
    <n v="10030"/>
    <m/>
    <e v="#N/A"/>
  </r>
  <r>
    <d v="2025-07-05T21:29:53"/>
    <s v="Jul-25"/>
    <x v="1"/>
    <s v="MPG"/>
    <e v="#N/A"/>
    <s v=""/>
    <x v="108"/>
    <s v="CHUTHU"/>
    <s v="SHEETAL KUMAR MAHTO"/>
    <n v="9507715083"/>
    <s v="WEIGHING SCALE 60 KG"/>
    <s v="GNE-23060583"/>
    <s v="SWS Motherboard (Version 1.1)"/>
    <s v="RM01371"/>
    <x v="5"/>
    <x v="3"/>
    <n v="1"/>
    <n v="2080"/>
    <n v="2080"/>
    <n v="374.4"/>
    <n v="2454.4"/>
    <m/>
    <e v="#N/A"/>
  </r>
  <r>
    <d v="2025-07-01T17:29:27"/>
    <s v="Jul-25"/>
    <x v="1"/>
    <s v="MPG"/>
    <e v="#N/A"/>
    <s v=""/>
    <x v="109"/>
    <s v="Dighiya"/>
    <s v="Sohel Ansari"/>
    <n v="8709453609"/>
    <s v="Everest Smart Tab-based Android Terminal (Table-top) with Inbuilt Printer"/>
    <s v="GTD-23060319"/>
    <s v="Battery 3.7V/2600Mah"/>
    <s v="RM01787"/>
    <x v="5"/>
    <x v="3"/>
    <n v="1"/>
    <n v="350"/>
    <n v="350"/>
    <n v="63"/>
    <n v="413"/>
    <m/>
    <e v="#N/A"/>
  </r>
  <r>
    <d v="2025-07-03T16:51:42"/>
    <s v="Jul-25"/>
    <x v="2"/>
    <s v="MPG"/>
    <e v="#N/A"/>
    <s v=""/>
    <x v="110"/>
    <s v="Daspur "/>
    <s v="Kakuli Singha Roy"/>
    <n v="7074052919"/>
    <s v="EKOMILK ULTRA PRO ANALYSER"/>
    <n v="333374"/>
    <s v="FatScan Double Sensor Measuring Mini PCB (4 para) with Sensor (Repaired)"/>
    <s v="SF00130"/>
    <x v="5"/>
    <x v="3"/>
    <n v="1"/>
    <n v="8500"/>
    <n v="8500"/>
    <n v="1530"/>
    <n v="10030"/>
    <m/>
    <e v="#N/A"/>
  </r>
  <r>
    <d v="2025-07-31T17:41:58"/>
    <s v="Jul-25"/>
    <x v="0"/>
    <s v="MPG"/>
    <d v="2025-01-23T00:00:00"/>
    <n v="6"/>
    <x v="111"/>
    <s v="Brahmpur "/>
    <s v="Mohit Kumar "/>
    <n v="7050137685"/>
    <s v="STIRRER UNIT EV5600"/>
    <s v="s-22040027"/>
    <s v="Stirrer Timer PCB"/>
    <s v="RM01050"/>
    <x v="6"/>
    <x v="3"/>
    <n v="1"/>
    <n v="900"/>
    <n v="900"/>
    <n v="162"/>
    <n v="1062"/>
    <m/>
    <s v="Running"/>
  </r>
  <r>
    <d v="2025-07-26T14:05:07"/>
    <s v="Jul-25"/>
    <x v="0"/>
    <s v="MPG"/>
    <d v="2022-12-16T00:00:00"/>
    <n v="31"/>
    <x v="98"/>
    <s v="dira pipariya "/>
    <s v="mintu Ray "/>
    <n v="7808714512"/>
    <s v="EKOMILK ULTRA PRO ANALYSER"/>
    <n v="381346"/>
    <s v="Ekomilk Switch Small"/>
    <s v="RM00536"/>
    <x v="6"/>
    <x v="3"/>
    <n v="1"/>
    <n v="140"/>
    <n v="140"/>
    <n v="25.2"/>
    <n v="165.2"/>
    <m/>
    <s v="Running"/>
  </r>
  <r>
    <d v="2025-07-26T13:32:46"/>
    <s v="Jul-25"/>
    <x v="0"/>
    <s v="MPG"/>
    <e v="#N/A"/>
    <s v=""/>
    <x v="112"/>
    <s v="GOMUKH KANT"/>
    <s v="Ali Hasan ansari"/>
    <n v="8757033125"/>
    <s v="WEIGHING SCALE 60 KG"/>
    <s v="GNE-23035175"/>
    <s v="Connector 5 Pin Metal M/F"/>
    <s v="RM00727"/>
    <x v="6"/>
    <x v="3"/>
    <n v="1"/>
    <n v="225"/>
    <n v="225"/>
    <n v="40.5"/>
    <n v="265.5"/>
    <m/>
    <s v="Running"/>
  </r>
  <r>
    <d v="2025-07-26T13:32:46"/>
    <s v="Jul-25"/>
    <x v="0"/>
    <s v="MPG"/>
    <e v="#N/A"/>
    <s v=""/>
    <x v="112"/>
    <s v="GOMUKH KANT"/>
    <s v="Ali Hasan ansari"/>
    <n v="8757033125"/>
    <s v="WEIGHING SCALE 60 KG"/>
    <s v="GNE-23035175"/>
    <s v="Load Cell 100 Kg 60310"/>
    <s v="RM00006"/>
    <x v="6"/>
    <x v="3"/>
    <n v="1"/>
    <n v="2800"/>
    <n v="2800"/>
    <n v="504"/>
    <n v="3304"/>
    <m/>
    <s v="Running"/>
  </r>
  <r>
    <d v="2025-07-26T14:21:16"/>
    <s v="Jul-25"/>
    <x v="0"/>
    <s v="MPG"/>
    <d v="2024-12-16T00:00:00"/>
    <n v="7"/>
    <x v="113"/>
    <s v="dhobina basa "/>
    <s v="shatrodhan yadav "/>
    <n v="8051665003"/>
    <s v="STIRRER UNIT EV5600"/>
    <s v="GS-23051141"/>
    <s v="Stirrer Timer PCB"/>
    <s v="RM01050"/>
    <x v="6"/>
    <x v="3"/>
    <n v="1"/>
    <n v="900"/>
    <n v="900"/>
    <n v="162"/>
    <n v="1062"/>
    <m/>
    <s v="Running"/>
  </r>
  <r>
    <d v="2025-07-26T14:21:16"/>
    <s v="Jul-25"/>
    <x v="0"/>
    <s v="MPG"/>
    <d v="2024-12-16T00:00:00"/>
    <n v="7"/>
    <x v="113"/>
    <s v="dhobina basa "/>
    <s v="shatrodhan yadav "/>
    <n v="8051665003"/>
    <s v="STIRRER UNIT EV5600"/>
    <s v="GS-23051141"/>
    <s v="Stirrer Power Board"/>
    <s v="RM00477"/>
    <x v="6"/>
    <x v="3"/>
    <n v="1"/>
    <n v="1750"/>
    <n v="1750"/>
    <n v="315"/>
    <n v="2065"/>
    <m/>
    <s v="Running"/>
  </r>
  <r>
    <d v="2025-07-23T16:40:44"/>
    <s v="Jul-25"/>
    <x v="0"/>
    <s v="MPG"/>
    <d v="2025-01-09T00:00:00"/>
    <n v="6"/>
    <x v="59"/>
    <s v="Gomukh Bochaha"/>
    <s v=" sopander ray"/>
    <n v="9939074043"/>
    <s v="EKOMILK ULTRA PRO ANALYSER"/>
    <n v="277150"/>
    <s v="Ekomilk Sieringe With Plunger"/>
    <s v="RM00530"/>
    <x v="6"/>
    <x v="3"/>
    <n v="1"/>
    <n v="70"/>
    <n v="70"/>
    <n v="12.6"/>
    <n v="82.6"/>
    <m/>
    <s v="Running"/>
  </r>
  <r>
    <d v="2025-07-23T16:40:44"/>
    <s v="Jul-25"/>
    <x v="0"/>
    <s v="MPG"/>
    <d v="2025-01-09T00:00:00"/>
    <n v="6"/>
    <x v="59"/>
    <s v="Gomukh Bochaha"/>
    <s v=" sopander ray"/>
    <n v="9939074043"/>
    <s v="EKOMILK ULTRA PRO ANALYSER"/>
    <n v="277150"/>
    <s v="Ekomilk Keyboard"/>
    <s v="RM01018"/>
    <x v="6"/>
    <x v="3"/>
    <n v="1"/>
    <n v="770"/>
    <n v="770"/>
    <n v="138.6"/>
    <n v="908.6"/>
    <m/>
    <s v="Running"/>
  </r>
  <r>
    <d v="2025-07-23T16:40:44"/>
    <s v="Jul-25"/>
    <x v="0"/>
    <s v="MPG"/>
    <d v="2025-01-09T00:00:00"/>
    <n v="6"/>
    <x v="59"/>
    <s v="Gomukh Bochaha"/>
    <s v=" sopander ray"/>
    <n v="9939074043"/>
    <s v="EKOMILK ULTRA PRO ANALYSER"/>
    <n v="277150"/>
    <s v="Ekomilk Sieringe With Plunger"/>
    <s v="RM00530"/>
    <x v="6"/>
    <x v="3"/>
    <n v="1"/>
    <n v="70"/>
    <n v="70"/>
    <n v="12.6"/>
    <n v="82.6"/>
    <m/>
    <s v="Running"/>
  </r>
  <r>
    <d v="2025-07-23T16:33:59"/>
    <s v="Jul-25"/>
    <x v="0"/>
    <s v="MPG"/>
    <d v="2025-05-16T00:00:00"/>
    <n v="2"/>
    <x v="90"/>
    <s v="Mordiwa east"/>
    <s v=" vivek "/>
    <n v="7079418432"/>
    <s v="EKOMILK ULTRA PRO ANALYSER"/>
    <n v="328957"/>
    <s v="Fatscan &quot; Y &quot; Pipe"/>
    <s v="SF00145"/>
    <x v="6"/>
    <x v="3"/>
    <n v="1"/>
    <n v="84"/>
    <n v="84"/>
    <n v="15.12"/>
    <n v="99.12"/>
    <m/>
    <s v="Running"/>
  </r>
  <r>
    <d v="2025-07-23T15:38:30"/>
    <s v="Jul-25"/>
    <x v="0"/>
    <s v="MPG"/>
    <d v="2025-01-27T00:00:00"/>
    <n v="5"/>
    <x v="114"/>
    <s v="Masariya"/>
    <s v="Mukesh Kumar "/>
    <n v="9540837313"/>
    <s v="STIRRER UNIT EV5600"/>
    <s v="GS-23033796"/>
    <s v="Stirrer Timer PCB"/>
    <s v="RM01050"/>
    <x v="6"/>
    <x v="3"/>
    <n v="1"/>
    <n v="900"/>
    <n v="900"/>
    <n v="162"/>
    <n v="1062"/>
    <m/>
    <s v="Running"/>
  </r>
  <r>
    <d v="2025-07-22T17:29:37"/>
    <s v="Jul-25"/>
    <x v="0"/>
    <s v="MPG"/>
    <d v="2025-07-05T00:00:00"/>
    <n v="0"/>
    <x v="115"/>
    <s v="Sibutol naya tola"/>
    <s v="Ajay Kumar "/>
    <n v="8271562260"/>
    <s v="STIRRER UNIT EV5600"/>
    <s v="S-22040060"/>
    <s v="Stirrer Timer PCB"/>
    <s v="RM00478"/>
    <x v="6"/>
    <x v="3"/>
    <n v="1"/>
    <n v="900"/>
    <n v="900"/>
    <n v="162"/>
    <n v="1062"/>
    <m/>
    <s v="Running"/>
  </r>
  <r>
    <d v="2025-07-22T09:52:59"/>
    <s v="Jul-25"/>
    <x v="0"/>
    <s v="MPG"/>
    <d v="2023-02-10T00:00:00"/>
    <n v="29"/>
    <x v="116"/>
    <s v="jaitpur "/>
    <s v="ashwani kumar"/>
    <n v="7631149851"/>
    <s v="Everest Smart Tab-based Android Terminal (Table-top) with Inbuilt Printer"/>
    <s v="GTD-22122534"/>
    <s v="Battery 3.7V/2600Mah"/>
    <s v="RM01787"/>
    <x v="6"/>
    <x v="3"/>
    <n v="1"/>
    <n v="350"/>
    <n v="350"/>
    <n v="63"/>
    <n v="413"/>
    <m/>
    <s v="Running"/>
  </r>
  <r>
    <d v="2025-07-22T14:23:13"/>
    <s v="Jul-25"/>
    <x v="0"/>
    <s v="MPG"/>
    <e v="#N/A"/>
    <s v=""/>
    <x v="117"/>
    <s v="gomukh Muskipur"/>
    <s v="Bablu yadav "/>
    <n v="7050069650"/>
    <s v="EKOMILK ULTRA PRO ANALYSER"/>
    <n v="388118"/>
    <s v="Ekomilk Switch Small"/>
    <s v="RM00536"/>
    <x v="6"/>
    <x v="3"/>
    <n v="1"/>
    <n v="140"/>
    <n v="140"/>
    <n v="25.2"/>
    <n v="165.2"/>
    <m/>
    <s v="Running"/>
  </r>
  <r>
    <d v="2025-07-21T14:47:15"/>
    <s v="Jul-25"/>
    <x v="0"/>
    <s v="MPG"/>
    <d v="2023-03-20T00:00:00"/>
    <n v="28"/>
    <x v="118"/>
    <s v="KAITHI PACHIM "/>
    <s v="Manju Devi "/>
    <n v="7488933513"/>
    <s v="Everest Smart Tab-based Android Terminal (Table-top) with Inbuilt Printer"/>
    <s v="GTD-23014028"/>
    <s v="Battery 3.7V/2600Mah"/>
    <s v="RM01787"/>
    <x v="6"/>
    <x v="3"/>
    <n v="1"/>
    <n v="350"/>
    <n v="350"/>
    <n v="63"/>
    <n v="413"/>
    <m/>
    <s v="May '25 Closed"/>
  </r>
  <r>
    <d v="2025-07-21T15:28:09"/>
    <s v="Jul-25"/>
    <x v="0"/>
    <s v="MPG"/>
    <d v="2025-03-29T00:00:00"/>
    <n v="3"/>
    <x v="119"/>
    <s v="Gomukh Suraundha"/>
    <s v="Puja Kumari"/>
    <n v="9122027363"/>
    <s v="Everest Smart Tab-based Android Terminal (Table-top) with Inbuilt Printer"/>
    <s v="GTD-22122396"/>
    <s v="Battery 3.7V/2600Mah"/>
    <s v="RM01787"/>
    <x v="6"/>
    <x v="3"/>
    <n v="1"/>
    <n v="350"/>
    <n v="350"/>
    <n v="63"/>
    <n v="413"/>
    <m/>
    <s v="Aug '25 closed"/>
  </r>
  <r>
    <d v="2025-07-21T15:28:09"/>
    <s v="Jul-25"/>
    <x v="0"/>
    <s v="MPG"/>
    <d v="2025-03-29T00:00:00"/>
    <n v="3"/>
    <x v="119"/>
    <s v="Gomukh Suraundha"/>
    <s v="Puja Kumari"/>
    <n v="9122027363"/>
    <s v="Everest Smart Tab-based Android Terminal (Table-top) with Inbuilt Printer"/>
    <s v="GTD-22122396"/>
    <s v="DPU DC To DC Converter 12V To 5V"/>
    <s v="RM01060"/>
    <x v="6"/>
    <x v="3"/>
    <n v="1"/>
    <n v="780"/>
    <n v="780"/>
    <n v="140.4"/>
    <n v="920.4"/>
    <m/>
    <s v="Aug '25 closed"/>
  </r>
  <r>
    <d v="2025-07-19T14:53:10"/>
    <s v="Jul-25"/>
    <x v="0"/>
    <s v="MPG"/>
    <d v="2017-09-01T00:00:00"/>
    <n v="94"/>
    <x v="64"/>
    <s v="MSK chatmadih"/>
    <s v="Vidya prasad singh"/>
    <n v="9931439978"/>
    <s v="WEIGHING SCALE 60 KG"/>
    <s v="E-214082367"/>
    <s v="Load Cell 100 Kg 60310"/>
    <s v="RM00006"/>
    <x v="6"/>
    <x v="3"/>
    <n v="1"/>
    <n v="2800"/>
    <n v="2800"/>
    <n v="504"/>
    <n v="3304"/>
    <m/>
    <s v="Running"/>
  </r>
  <r>
    <d v="2025-07-18T13:44:02"/>
    <s v="Jul-25"/>
    <x v="0"/>
    <s v="MPG"/>
    <d v="2025-07-18T00:00:00"/>
    <n v="0"/>
    <x v="120"/>
    <s v="Mano 2"/>
    <s v="Rakesh Kumar "/>
    <n v="8544633671"/>
    <s v="Everest Smart Tab-based Android Terminal (Table-top) with Inbuilt Printer"/>
    <s v="GTD-23024238"/>
    <s v="Battery 3.7V/2600Mah"/>
    <s v="RM01787"/>
    <x v="6"/>
    <x v="3"/>
    <n v="1"/>
    <n v="350"/>
    <n v="350"/>
    <n v="63"/>
    <n v="413"/>
    <m/>
    <s v="Running"/>
  </r>
  <r>
    <d v="2025-07-17T14:01:25"/>
    <s v="Jul-25"/>
    <x v="0"/>
    <s v="MPG"/>
    <d v="2022-05-02T00:00:00"/>
    <n v="38"/>
    <x v="65"/>
    <s v="Arioan"/>
    <s v="Holin Singh"/>
    <n v="8294507404"/>
    <s v="WEIGHING SCALE 60 KG"/>
    <s v="GNE-22123326"/>
    <s v="Connector 5 Pin Metal M/F"/>
    <s v="RM00727"/>
    <x v="6"/>
    <x v="3"/>
    <n v="1"/>
    <n v="225"/>
    <n v="225"/>
    <n v="40.5"/>
    <n v="265.5"/>
    <m/>
    <s v="Running"/>
  </r>
  <r>
    <d v="2025-07-16T17:02:58"/>
    <s v="Jul-25"/>
    <x v="0"/>
    <s v="MPG"/>
    <e v="#N/A"/>
    <s v=""/>
    <x v="121"/>
    <s v="GOMUKH KHARUI"/>
    <s v="RISHIDEV YADAV"/>
    <n v="9304821747"/>
    <s v="Everest Smart Tab-based Android Terminal (Table-top) with Inbuilt Printer"/>
    <s v="GTD-23013950"/>
    <s v="DPU Thermal Printer EPM 207"/>
    <s v="RM01076"/>
    <x v="6"/>
    <x v="3"/>
    <n v="1"/>
    <n v="2800"/>
    <n v="2800"/>
    <n v="504"/>
    <n v="3304"/>
    <m/>
    <s v="Running"/>
  </r>
  <r>
    <d v="2025-07-16T15:03:24"/>
    <s v="Jul-25"/>
    <x v="0"/>
    <s v="MPG"/>
    <d v="2020-09-28T00:00:00"/>
    <n v="57"/>
    <x v="38"/>
    <s v="Arniya ganj"/>
    <s v="Navin Kumar ray"/>
    <n v="7017190104"/>
    <s v="EKOMILK ULTRA PRO ANALYSER"/>
    <n v="306391"/>
    <s v="Ekomilk Sieringe With Plunger"/>
    <s v="RM00530"/>
    <x v="6"/>
    <x v="3"/>
    <n v="1"/>
    <n v="70"/>
    <n v="70"/>
    <n v="12.6"/>
    <n v="82.6"/>
    <m/>
    <s v="Running"/>
  </r>
  <r>
    <d v="2025-07-16T15:03:24"/>
    <s v="Jul-25"/>
    <x v="0"/>
    <s v="MPG"/>
    <d v="2020-09-28T00:00:00"/>
    <n v="57"/>
    <x v="38"/>
    <s v="Arniya ganj"/>
    <s v="Navin Kumar ray"/>
    <n v="7017190104"/>
    <s v="EKOMILK ULTRA PRO ANALYSER"/>
    <n v="306391"/>
    <s v="Ekomilk Sieringe With Plunger"/>
    <s v="RM00530"/>
    <x v="6"/>
    <x v="3"/>
    <n v="1"/>
    <n v="70"/>
    <n v="70"/>
    <n v="12.6"/>
    <n v="82.6"/>
    <m/>
    <s v="Running"/>
  </r>
  <r>
    <d v="2025-07-16T15:02:09"/>
    <s v="Jul-25"/>
    <x v="0"/>
    <s v="MPG"/>
    <d v="2023-10-27T00:00:00"/>
    <n v="20"/>
    <x v="122"/>
    <s v="Narayanpur"/>
    <s v="CHANDAN"/>
    <n v="7488826293"/>
    <s v="WEIGHING SCALE 60 KG"/>
    <s v="GNE-23061084"/>
    <s v="SWS Motherboard (Version 1.1)"/>
    <s v="RM01371"/>
    <x v="6"/>
    <x v="3"/>
    <n v="1"/>
    <n v="2080"/>
    <n v="2080"/>
    <n v="374.4"/>
    <n v="2454.4"/>
    <m/>
    <s v="Running"/>
  </r>
  <r>
    <d v="2025-07-15T15:42:14"/>
    <s v="Jul-25"/>
    <x v="0"/>
    <s v="MPG"/>
    <d v="2025-01-09T00:00:00"/>
    <n v="6"/>
    <x v="59"/>
    <s v="Gomukh Bochaha"/>
    <s v=" sopander ray"/>
    <n v="9939074043"/>
    <s v="WEIGHING SCALE 60 KG"/>
    <s v="GE-19122123"/>
    <s v="EWS Battery Backup SMPS (BBLC)"/>
    <s v="RM01040"/>
    <x v="6"/>
    <x v="3"/>
    <n v="1"/>
    <n v="825"/>
    <n v="825"/>
    <n v="148.5"/>
    <n v="973.5"/>
    <m/>
    <s v="Running"/>
  </r>
  <r>
    <d v="2025-07-15T15:49:57"/>
    <s v="Jul-25"/>
    <x v="0"/>
    <s v="MPG"/>
    <d v="2023-02-10T00:00:00"/>
    <n v="29"/>
    <x v="116"/>
    <s v="jaitpur "/>
    <s v="ashwani kumar"/>
    <n v="7631149851"/>
    <s v="EKOMILK ULTRA PRO ANALYSER"/>
    <n v="364752"/>
    <s v="Ekomilk Sieringe With Plunger"/>
    <s v="RM00530"/>
    <x v="6"/>
    <x v="3"/>
    <n v="1"/>
    <n v="70"/>
    <n v="70"/>
    <n v="12.6"/>
    <n v="82.6"/>
    <m/>
    <s v="Running"/>
  </r>
  <r>
    <d v="2025-07-15T15:49:57"/>
    <s v="Jul-25"/>
    <x v="0"/>
    <s v="MPG"/>
    <d v="2023-02-10T00:00:00"/>
    <n v="29"/>
    <x v="116"/>
    <s v="jaitpur "/>
    <s v="ashwani kumar"/>
    <n v="7631149851"/>
    <s v="EKOMILK ULTRA PRO ANALYSER"/>
    <n v="364752"/>
    <s v="Ekomilk Sieringe With Plunger"/>
    <s v="RM00530"/>
    <x v="6"/>
    <x v="3"/>
    <n v="1"/>
    <n v="70"/>
    <n v="70"/>
    <n v="12.6"/>
    <n v="82.6"/>
    <m/>
    <s v="Running"/>
  </r>
  <r>
    <d v="2025-07-15T15:42:35"/>
    <s v="Jul-25"/>
    <x v="0"/>
    <s v="MPG"/>
    <e v="#N/A"/>
    <s v=""/>
    <x v="76"/>
    <s v="Sabikpur"/>
    <s v="VIKASH KUMAR"/>
    <n v="7764900168"/>
    <s v="WEIGHING SCALE 60 KG"/>
    <s v="GNE-22050115"/>
    <s v="Keyboard For Weighing Scale New Design"/>
    <s v="RM01176"/>
    <x v="6"/>
    <x v="3"/>
    <n v="1"/>
    <n v="1266"/>
    <n v="1266"/>
    <n v="227.88"/>
    <n v="1493.88"/>
    <m/>
    <s v="Running"/>
  </r>
  <r>
    <d v="2025-07-15T15:42:35"/>
    <s v="Jul-25"/>
    <x v="0"/>
    <s v="MPG"/>
    <e v="#N/A"/>
    <s v=""/>
    <x v="76"/>
    <s v="Sabikpur"/>
    <s v="VIKASH KUMAR"/>
    <n v="7764900168"/>
    <s v="WEIGHING SCALE 60 KG"/>
    <s v="GNE-22050115"/>
    <s v="Load Cell 100 Kg 60310"/>
    <s v="RM01004"/>
    <x v="6"/>
    <x v="3"/>
    <n v="1"/>
    <n v="2800"/>
    <n v="2800"/>
    <n v="504"/>
    <n v="3304"/>
    <m/>
    <s v="Running"/>
  </r>
  <r>
    <d v="2025-07-12T16:07:06"/>
    <s v="Jul-25"/>
    <x v="0"/>
    <s v="MPG"/>
    <d v="2023-03-10T00:00:00"/>
    <n v="28"/>
    <x v="123"/>
    <s v="Bisai"/>
    <s v="Arvind"/>
    <n v="8340327069"/>
    <s v="Everest Smart Tab-based Android Terminal (Table-top) with Inbuilt Printer"/>
    <s v="GTD-23013945"/>
    <s v="Battery 3.7V/2600Mah"/>
    <s v="RM01787"/>
    <x v="6"/>
    <x v="3"/>
    <n v="1"/>
    <n v="350"/>
    <n v="350"/>
    <n v="63"/>
    <n v="413"/>
    <m/>
    <s v="Running"/>
  </r>
  <r>
    <d v="2025-07-11T15:30:25"/>
    <s v="Jul-25"/>
    <x v="0"/>
    <s v="MPG"/>
    <d v="2025-07-05T00:00:00"/>
    <n v="0"/>
    <x v="115"/>
    <s v="Sibutol naya tola"/>
    <s v="Ajay Kumar "/>
    <n v="8271562260"/>
    <s v="Everest Smart Tab-based Android Terminal (Table-top) with Inbuilt Printer"/>
    <s v="GTD-22122539"/>
    <s v="DPU Thermal Printer EPM 207"/>
    <s v="RM01076"/>
    <x v="6"/>
    <x v="3"/>
    <n v="1"/>
    <n v="2800"/>
    <n v="2800"/>
    <n v="504"/>
    <n v="3304"/>
    <m/>
    <s v="Running"/>
  </r>
  <r>
    <d v="2025-07-11T10:04:06"/>
    <s v="Jul-25"/>
    <x v="0"/>
    <s v="MPG"/>
    <e v="#N/A"/>
    <s v=""/>
    <x v="116"/>
    <s v="jaitpur "/>
    <s v="ashwani kumar"/>
    <n v="7631149851"/>
    <s v="WEIGHING SCALE 60 KG"/>
    <s v="GNE-22050109"/>
    <s v="SWS Motherboard (Version 1.1)"/>
    <s v="RM01371"/>
    <x v="6"/>
    <x v="3"/>
    <n v="1"/>
    <n v="2080"/>
    <n v="2080"/>
    <n v="374.4"/>
    <n v="2454.4"/>
    <m/>
    <s v="Running"/>
  </r>
  <r>
    <d v="2025-07-11T15:06:55"/>
    <s v="Jul-25"/>
    <x v="0"/>
    <s v="MPG"/>
    <d v="2025-01-23T00:00:00"/>
    <n v="5"/>
    <x v="111"/>
    <s v="Brahmpur "/>
    <s v="Mohit Kumar "/>
    <n v="7050137685"/>
    <s v="EKOMILK ULTRA PRO ANALYSER"/>
    <n v="387358"/>
    <s v="Ekomilk Sieringe With Plunger"/>
    <s v="RM00530"/>
    <x v="6"/>
    <x v="3"/>
    <n v="1"/>
    <n v="70"/>
    <n v="70"/>
    <n v="12.6"/>
    <n v="82.6"/>
    <m/>
    <s v="Running"/>
  </r>
  <r>
    <d v="2025-07-11T15:06:55"/>
    <s v="Jul-25"/>
    <x v="0"/>
    <s v="MPG"/>
    <d v="2025-01-23T00:00:00"/>
    <n v="5"/>
    <x v="111"/>
    <s v="Brahmpur "/>
    <s v="Mohit Kumar "/>
    <n v="7050137685"/>
    <s v="EKOMILK ULTRA PRO ANALYSER"/>
    <n v="387358"/>
    <s v="Ekomilk Sieringe With Plunger"/>
    <s v="RM00530"/>
    <x v="6"/>
    <x v="3"/>
    <n v="1"/>
    <n v="70"/>
    <n v="70"/>
    <n v="12.6"/>
    <n v="82.6"/>
    <m/>
    <s v="Running"/>
  </r>
  <r>
    <d v="2025-07-11T15:06:55"/>
    <s v="Jul-25"/>
    <x v="0"/>
    <s v="MPG"/>
    <d v="2025-01-23T00:00:00"/>
    <n v="5"/>
    <x v="111"/>
    <s v="Brahmpur "/>
    <s v="Mohit Kumar "/>
    <n v="7050137685"/>
    <s v="EKOMILK ULTRA PRO ANALYSER"/>
    <n v="387358"/>
    <s v="Fatscan &quot; Y &quot; Pipe"/>
    <s v="SF00145"/>
    <x v="6"/>
    <x v="3"/>
    <n v="1"/>
    <n v="84"/>
    <n v="84"/>
    <n v="15.12"/>
    <n v="99.12"/>
    <m/>
    <s v="Running"/>
  </r>
  <r>
    <d v="2025-07-10T12:58:56"/>
    <s v="Jul-25"/>
    <x v="0"/>
    <s v="MPG"/>
    <d v="2022-12-20T00:00:00"/>
    <n v="30"/>
    <x v="29"/>
    <s v="Laxmipur"/>
    <s v="Rajive Kumar"/>
    <n v="7765934465"/>
    <s v="EKOMILK ULTRA PRO ANALYSER"/>
    <n v="378760"/>
    <s v="Ekomilk Sieringe With Plunger"/>
    <s v="RM00530"/>
    <x v="6"/>
    <x v="3"/>
    <n v="1"/>
    <n v="70"/>
    <n v="70"/>
    <n v="12.6"/>
    <n v="82.6"/>
    <m/>
    <s v="Running"/>
  </r>
  <r>
    <d v="2025-07-10T12:58:56"/>
    <s v="Jul-25"/>
    <x v="0"/>
    <s v="MPG"/>
    <d v="2022-12-20T00:00:00"/>
    <n v="30"/>
    <x v="29"/>
    <s v="Laxmipur"/>
    <s v="Rajive Kumar"/>
    <n v="7765934465"/>
    <s v="EKOMILK ULTRA PRO ANALYSER"/>
    <n v="378760"/>
    <s v="Fatscan Motor Pump Pipe"/>
    <s v="SF00147"/>
    <x v="6"/>
    <x v="3"/>
    <n v="1"/>
    <n v="125"/>
    <n v="125"/>
    <n v="22.5"/>
    <n v="147.5"/>
    <m/>
    <s v="Running"/>
  </r>
  <r>
    <d v="2025-07-10T12:58:56"/>
    <s v="Jul-25"/>
    <x v="0"/>
    <s v="MPG"/>
    <d v="2022-12-20T00:00:00"/>
    <n v="30"/>
    <x v="29"/>
    <s v="Laxmipur"/>
    <s v="Rajive Kumar"/>
    <n v="7765934465"/>
    <s v="EKOMILK ULTRA PRO ANALYSER"/>
    <n v="378760"/>
    <s v="Fatscan Motor Pump Pipe"/>
    <s v="SF00147"/>
    <x v="6"/>
    <x v="3"/>
    <n v="1"/>
    <n v="125"/>
    <n v="125"/>
    <n v="22.5"/>
    <n v="147.5"/>
    <m/>
    <s v="Running"/>
  </r>
  <r>
    <d v="2025-07-10T12:58:56"/>
    <s v="Jul-25"/>
    <x v="0"/>
    <s v="MPG"/>
    <d v="2022-12-20T00:00:00"/>
    <n v="30"/>
    <x v="29"/>
    <s v="Laxmipur"/>
    <s v="Rajive Kumar"/>
    <n v="7765934465"/>
    <s v="EKOMILK ULTRA PRO ANALYSER"/>
    <n v="378760"/>
    <s v="Fatscan &quot; Y &quot; Pipe"/>
    <s v="SF00145"/>
    <x v="6"/>
    <x v="3"/>
    <n v="1"/>
    <n v="84"/>
    <n v="84"/>
    <n v="15.12"/>
    <n v="99.12"/>
    <m/>
    <s v="Running"/>
  </r>
  <r>
    <d v="2025-07-10T12:58:56"/>
    <s v="Jul-25"/>
    <x v="0"/>
    <s v="MPG"/>
    <d v="2022-12-20T00:00:00"/>
    <n v="30"/>
    <x v="29"/>
    <s v="Laxmipur"/>
    <s v="Rajive Kumar"/>
    <n v="7765934465"/>
    <s v="EKOMILK ULTRA PRO ANALYSER"/>
    <n v="378760"/>
    <s v="Ekomilk Sieringe With Plunger"/>
    <s v="RM00530"/>
    <x v="6"/>
    <x v="3"/>
    <n v="1"/>
    <n v="70"/>
    <n v="70"/>
    <n v="12.6"/>
    <n v="82.6"/>
    <m/>
    <s v="Running"/>
  </r>
  <r>
    <d v="2025-07-10T15:09:38"/>
    <s v="Jul-25"/>
    <x v="0"/>
    <s v="MPG"/>
    <d v="2024-10-25T00:00:00"/>
    <n v="8"/>
    <x v="124"/>
    <s v="Basaon Kala"/>
    <s v="Shivji Singh "/>
    <n v="6202993543"/>
    <s v="WEIGHING SCALE 60 KG"/>
    <s v="gne-21101014"/>
    <s v="Load Cell 100 Kg 60310"/>
    <s v="RM00006"/>
    <x v="6"/>
    <x v="3"/>
    <n v="1"/>
    <n v="2800"/>
    <n v="2800"/>
    <n v="504"/>
    <n v="3304"/>
    <m/>
    <s v="Running"/>
  </r>
  <r>
    <d v="2025-07-09T13:58:05"/>
    <s v="Jul-25"/>
    <x v="0"/>
    <s v="MPG"/>
    <d v="2023-06-03T00:00:00"/>
    <n v="25"/>
    <x v="125"/>
    <s v="Musapur purvi tola"/>
    <s v="sharwan"/>
    <n v="8298326565"/>
    <s v="EKOMILK ULTRA PRO ANALYSER"/>
    <n v="210874"/>
    <s v="Ekomilk Sieringe With Plunger"/>
    <s v="RM00530"/>
    <x v="6"/>
    <x v="3"/>
    <n v="1"/>
    <n v="70"/>
    <n v="70"/>
    <n v="12.6"/>
    <n v="82.6"/>
    <m/>
    <s v="Oct '25 Closed"/>
  </r>
  <r>
    <d v="2025-07-09T13:58:05"/>
    <s v="Jul-25"/>
    <x v="0"/>
    <s v="MPG"/>
    <d v="2023-06-03T00:00:00"/>
    <n v="25"/>
    <x v="125"/>
    <s v="Musapur purvi tola"/>
    <s v="sharwan"/>
    <n v="8298326565"/>
    <s v="EKOMILK ULTRA PRO ANALYSER"/>
    <n v="210874"/>
    <s v="Fatscan &quot; Y &quot; Pipe"/>
    <s v="SF00145"/>
    <x v="6"/>
    <x v="3"/>
    <n v="1"/>
    <n v="84"/>
    <n v="84"/>
    <n v="15.12"/>
    <n v="99.12"/>
    <m/>
    <s v="Oct '25 Closed"/>
  </r>
  <r>
    <d v="2025-07-09T13:56:48"/>
    <s v="Jul-25"/>
    <x v="0"/>
    <s v="MPG"/>
    <d v="2019-09-23T00:00:00"/>
    <n v="69"/>
    <x v="71"/>
    <s v="Khajuri"/>
    <s v="Anuj Kumar Singh"/>
    <n v="7033197978"/>
    <s v="WEIGHING SCALE 60 KG"/>
    <s v="E-17127324"/>
    <s v="EWS Battery Backup SMPS (BBLC)"/>
    <s v="RM01040"/>
    <x v="6"/>
    <x v="3"/>
    <n v="1"/>
    <n v="825"/>
    <n v="825"/>
    <n v="148.5"/>
    <n v="973.5"/>
    <m/>
    <s v="Running"/>
  </r>
  <r>
    <d v="2025-07-09T11:37:52"/>
    <s v="Jul-25"/>
    <x v="0"/>
    <s v="MPG"/>
    <d v="2022-10-01T00:00:00"/>
    <n v="33"/>
    <x v="126"/>
    <s v="desuaa "/>
    <s v="diraj"/>
    <n v="9955935034"/>
    <s v="EKOMILK ULTRA PRO ANALYSER"/>
    <n v="322692"/>
    <s v="Ekomilk Bush"/>
    <s v="RM00510"/>
    <x v="6"/>
    <x v="3"/>
    <n v="1"/>
    <n v="49"/>
    <n v="49"/>
    <n v="8.82"/>
    <n v="57.82"/>
    <m/>
    <s v="Running"/>
  </r>
  <r>
    <d v="2025-07-09T11:37:52"/>
    <s v="Jul-25"/>
    <x v="0"/>
    <s v="MPG"/>
    <d v="2022-10-01T00:00:00"/>
    <n v="33"/>
    <x v="126"/>
    <s v="desuaa "/>
    <s v="diraj"/>
    <n v="9955935034"/>
    <s v="EKOMILK ULTRA PRO ANALYSER"/>
    <n v="322692"/>
    <s v="Ekomilk Switch Small"/>
    <s v="RM00536"/>
    <x v="6"/>
    <x v="3"/>
    <n v="1"/>
    <n v="140"/>
    <n v="140"/>
    <n v="25.2"/>
    <n v="165.2"/>
    <m/>
    <s v="Running"/>
  </r>
  <r>
    <d v="2025-07-09T13:53:23"/>
    <s v="Jul-25"/>
    <x v="0"/>
    <s v="MPG"/>
    <e v="#N/A"/>
    <s v=""/>
    <x v="127"/>
    <s v="Gomukh Kanhaiyachak pachhim "/>
    <s v="Sanjeev Kumar"/>
    <n v="9122191559"/>
    <s v="EKOMILK ULTRA PRO ANALYSER"/>
    <n v="385571"/>
    <s v="Ekomilk LCD Display"/>
    <s v="RM01020"/>
    <x v="6"/>
    <x v="3"/>
    <n v="1"/>
    <n v="790"/>
    <n v="790"/>
    <n v="142.19999999999999"/>
    <n v="932.2"/>
    <m/>
    <s v="Running"/>
  </r>
  <r>
    <d v="2025-07-09T13:53:23"/>
    <s v="Jul-25"/>
    <x v="0"/>
    <s v="MPG"/>
    <e v="#N/A"/>
    <s v=""/>
    <x v="127"/>
    <s v="Gomukh Kanhaiyachak pachhim "/>
    <s v="Sanjeev Kumar"/>
    <n v="9122191559"/>
    <s v="EKOMILK ULTRA PRO ANALYSER"/>
    <n v="385571"/>
    <s v="Ekomilk Sieringe With Plunger"/>
    <s v="RM00530"/>
    <x v="6"/>
    <x v="3"/>
    <n v="1"/>
    <n v="70"/>
    <n v="70"/>
    <n v="12.6"/>
    <n v="82.6"/>
    <m/>
    <s v="Running"/>
  </r>
  <r>
    <d v="2025-07-09T13:54:41"/>
    <s v="Jul-25"/>
    <x v="0"/>
    <s v="BMC"/>
    <e v="#N/A"/>
    <s v=""/>
    <x v="73"/>
    <s v="purvi araria "/>
    <s v="yogesh yadav "/>
    <n v="9631676073"/>
    <s v="Indicator DC Powder Coated (Ver. 2)"/>
    <s v="GNIDP-23035431"/>
    <s v="SWS Motherboard (Version 1.1)"/>
    <s v="RM01302"/>
    <x v="6"/>
    <x v="3"/>
    <n v="1"/>
    <n v="2080"/>
    <n v="2080"/>
    <n v="374.4"/>
    <n v="2454.4"/>
    <m/>
    <e v="#N/A"/>
  </r>
  <r>
    <d v="2025-07-09T10:23:24"/>
    <s v="Jul-25"/>
    <x v="0"/>
    <s v="MPG"/>
    <e v="#N/A"/>
    <s v=""/>
    <x v="128"/>
    <s v="Gomukh Kabela"/>
    <s v="Arvind kumar"/>
    <n v="8292085548"/>
    <s v="EKOMILK ULTRA PRO ANALYSER"/>
    <n v="2349697"/>
    <s v="Ekomilk Sieringe With Plunger"/>
    <s v="RM00530"/>
    <x v="6"/>
    <x v="3"/>
    <n v="1"/>
    <n v="70"/>
    <n v="70"/>
    <n v="12.6"/>
    <n v="82.6"/>
    <m/>
    <s v="Running"/>
  </r>
  <r>
    <d v="2025-07-09T10:23:24"/>
    <s v="Jul-25"/>
    <x v="0"/>
    <s v="MPG"/>
    <e v="#N/A"/>
    <s v=""/>
    <x v="128"/>
    <s v="Gomukh Kabela"/>
    <s v="Arvind kumar"/>
    <n v="8292085548"/>
    <s v="EKOMILK ULTRA PRO ANALYSER"/>
    <n v="2349697"/>
    <s v="Ekomilk Sieringe With Plunger"/>
    <s v="RM00530"/>
    <x v="6"/>
    <x v="3"/>
    <n v="1"/>
    <n v="70"/>
    <n v="70"/>
    <n v="12.6"/>
    <n v="82.6"/>
    <m/>
    <s v="Running"/>
  </r>
  <r>
    <d v="2025-07-08T14:03:23"/>
    <s v="Jul-25"/>
    <x v="0"/>
    <s v="MPG"/>
    <d v="2017-09-01T00:00:00"/>
    <n v="94"/>
    <x v="129"/>
    <s v="MSK mpg khudia"/>
    <s v="Nirmal Kumar"/>
    <n v="8292786040"/>
    <s v="EKOMILK ULTRA PRO ANALYSER"/>
    <n v="190471"/>
    <s v="Ekomilk Sieringe With Plunger"/>
    <s v="RM00530"/>
    <x v="6"/>
    <x v="3"/>
    <n v="1"/>
    <n v="70"/>
    <n v="70"/>
    <n v="12.6"/>
    <n v="82.6"/>
    <m/>
    <s v="Running"/>
  </r>
  <r>
    <d v="2025-07-05T14:59:01"/>
    <s v="Jul-25"/>
    <x v="0"/>
    <s v="BMC"/>
    <e v="#N/A"/>
    <s v=""/>
    <x v="35"/>
    <s v="musrigharai store"/>
    <s v="prakash"/>
    <n v="9608956246"/>
    <s v="WEIGHING SCALE 60 KG"/>
    <s v="E-17127259"/>
    <s v="EWS Battery Backup SMPS (BBLC)"/>
    <s v="RM01040"/>
    <x v="6"/>
    <x v="3"/>
    <n v="1"/>
    <n v="825"/>
    <n v="825"/>
    <n v="148.5"/>
    <n v="973.5"/>
    <m/>
    <e v="#N/A"/>
  </r>
  <r>
    <d v="2025-07-05T16:17:03"/>
    <s v="Jul-25"/>
    <x v="0"/>
    <s v="MPG"/>
    <d v="2022-11-01T00:00:00"/>
    <n v="32"/>
    <x v="130"/>
    <s v="pokharma"/>
    <s v="khushbu kumari"/>
    <n v="8789633532"/>
    <s v="EKOMILK ULTRA PRO ANALYSER"/>
    <n v="310438"/>
    <s v="Ekomilk Motorpump Set New"/>
    <s v="TR00181"/>
    <x v="6"/>
    <x v="3"/>
    <n v="1"/>
    <n v="4500"/>
    <n v="4500"/>
    <n v="810"/>
    <n v="5310"/>
    <m/>
    <s v="Running"/>
  </r>
  <r>
    <d v="2025-07-05T16:13:23"/>
    <s v="Jul-25"/>
    <x v="0"/>
    <s v="MPG"/>
    <d v="2023-07-21T00:00:00"/>
    <n v="23"/>
    <x v="131"/>
    <s v="Gomukh goriyarI"/>
    <s v="Ajay Kumar "/>
    <n v="9973609107"/>
    <s v="EKOMILK ULTRA PRO ANALYSER"/>
    <n v="387861"/>
    <s v="Fatscan &quot; Y &quot; Pipe"/>
    <s v="SF00145"/>
    <x v="6"/>
    <x v="3"/>
    <n v="1"/>
    <n v="84"/>
    <n v="84"/>
    <n v="15.12"/>
    <n v="99.12"/>
    <m/>
    <s v="Running"/>
  </r>
  <r>
    <d v="2025-07-05T16:13:23"/>
    <s v="Jul-25"/>
    <x v="0"/>
    <s v="MPG"/>
    <d v="2023-07-21T00:00:00"/>
    <n v="23"/>
    <x v="131"/>
    <s v="Gomukh goriyarI"/>
    <s v="Ajay Kumar "/>
    <n v="9973609107"/>
    <s v="EKOMILK ULTRA PRO ANALYSER"/>
    <n v="387861"/>
    <s v="Fatscan Sensor to Syringe Pipe"/>
    <s v="SF00146"/>
    <x v="6"/>
    <x v="3"/>
    <n v="1"/>
    <n v="44"/>
    <n v="44"/>
    <n v="7.92"/>
    <n v="51.92"/>
    <m/>
    <s v="Running"/>
  </r>
  <r>
    <d v="2025-07-05T16:13:23"/>
    <s v="Jul-25"/>
    <x v="0"/>
    <s v="MPG"/>
    <d v="2023-07-21T00:00:00"/>
    <n v="23"/>
    <x v="131"/>
    <s v="Gomukh goriyarI"/>
    <s v="Ajay Kumar "/>
    <n v="9973609107"/>
    <s v="EKOMILK ULTRA PRO ANALYSER"/>
    <n v="387861"/>
    <s v="Fatscan Sensor to Syringe Pipe"/>
    <s v="SF00146"/>
    <x v="6"/>
    <x v="3"/>
    <n v="1"/>
    <n v="44"/>
    <n v="44"/>
    <n v="7.92"/>
    <n v="51.92"/>
    <m/>
    <s v="Running"/>
  </r>
  <r>
    <d v="2025-07-04T13:28:38"/>
    <s v="Jul-25"/>
    <x v="0"/>
    <s v="MPG"/>
    <d v="2024-08-26T00:00:00"/>
    <n v="10"/>
    <x v="37"/>
    <s v="Beri"/>
    <s v="pavan ray"/>
    <n v="9262776421"/>
    <s v="EKOMILK ULTRA PRO ANALYSER"/>
    <n v="387344"/>
    <s v="Ekomilk Sieringe With Plunger"/>
    <s v="RM00530"/>
    <x v="6"/>
    <x v="3"/>
    <n v="1"/>
    <n v="70"/>
    <n v="70"/>
    <n v="12.6"/>
    <n v="82.6"/>
    <m/>
    <s v="Running"/>
  </r>
  <r>
    <d v="2025-07-04T13:28:38"/>
    <s v="Jul-25"/>
    <x v="0"/>
    <s v="MPG"/>
    <d v="2024-08-26T00:00:00"/>
    <n v="10"/>
    <x v="37"/>
    <s v="Beri"/>
    <s v="pavan ray"/>
    <n v="9262776421"/>
    <s v="EKOMILK ULTRA PRO ANALYSER"/>
    <n v="387344"/>
    <s v="Ekomilk Sieringe With Plunger"/>
    <s v="RM00530"/>
    <x v="6"/>
    <x v="3"/>
    <n v="1"/>
    <n v="70"/>
    <n v="70"/>
    <n v="12.6"/>
    <n v="82.6"/>
    <m/>
    <s v="Running"/>
  </r>
  <r>
    <d v="2025-07-04T13:28:38"/>
    <s v="Jul-25"/>
    <x v="0"/>
    <s v="MPG"/>
    <d v="2024-08-26T00:00:00"/>
    <n v="10"/>
    <x v="37"/>
    <s v="Beri"/>
    <s v="pavan ray"/>
    <n v="9262776421"/>
    <s v="EKOMILK ULTRA PRO ANALYSER"/>
    <n v="387344"/>
    <s v="Ekomilk Bush"/>
    <s v="RM00510"/>
    <x v="6"/>
    <x v="3"/>
    <n v="1"/>
    <n v="49"/>
    <n v="49"/>
    <n v="8.82"/>
    <n v="57.82"/>
    <m/>
    <s v="Running"/>
  </r>
  <r>
    <d v="2025-07-04T13:28:38"/>
    <s v="Jul-25"/>
    <x v="0"/>
    <s v="MPG"/>
    <d v="2024-08-26T00:00:00"/>
    <n v="10"/>
    <x v="37"/>
    <s v="Beri"/>
    <s v="pavan ray"/>
    <n v="9262776421"/>
    <s v="EKOMILK ULTRA PRO ANALYSER"/>
    <n v="387344"/>
    <s v="Ekomilk Bush"/>
    <s v="RM00510"/>
    <x v="6"/>
    <x v="3"/>
    <n v="1"/>
    <n v="49"/>
    <n v="49"/>
    <n v="8.82"/>
    <n v="57.82"/>
    <m/>
    <s v="Running"/>
  </r>
  <r>
    <d v="2025-07-04T15:48:54"/>
    <s v="Jul-25"/>
    <x v="0"/>
    <s v="MPG"/>
    <e v="#N/A"/>
    <s v=""/>
    <x v="132"/>
    <s v="gomukh Gauchhari"/>
    <s v="Sanjay kumar"/>
    <n v="9631480854"/>
    <s v="Everest Smart Tab-based Android Terminal (Table-top) with Inbuilt Printer"/>
    <s v="GTD-23024188"/>
    <s v="Battery 3.7V/2600Mah"/>
    <s v="RM01787"/>
    <x v="6"/>
    <x v="3"/>
    <n v="1"/>
    <n v="350"/>
    <n v="350"/>
    <n v="63"/>
    <n v="413"/>
    <m/>
    <s v="Running"/>
  </r>
  <r>
    <d v="2025-07-03T11:39:51"/>
    <s v="Jul-25"/>
    <x v="0"/>
    <s v="MPG"/>
    <e v="#N/A"/>
    <s v=""/>
    <x v="133"/>
    <s v="Gomukh chorgown"/>
    <s v="Ashok kumar"/>
    <n v="7250141023"/>
    <s v="Everest Smart Tab-based Android Terminal (Table-top) with Inbuilt Printer"/>
    <s v="GTD-23013930"/>
    <s v="Battery 3.7V/2600Mah"/>
    <s v="RM01787"/>
    <x v="6"/>
    <x v="3"/>
    <n v="1"/>
    <n v="350"/>
    <n v="350"/>
    <n v="63"/>
    <n v="413"/>
    <m/>
    <s v="Running"/>
  </r>
  <r>
    <d v="2025-07-02T13:49:03"/>
    <s v="Jul-25"/>
    <x v="0"/>
    <s v="MPG"/>
    <d v="2023-05-30T00:00:00"/>
    <n v="25"/>
    <x v="134"/>
    <s v="soharthi "/>
    <s v="hemant singh "/>
    <n v="9661937016"/>
    <s v="WEIGHING SCALE 60 KG"/>
    <s v="GE-19122117"/>
    <s v="Weighing Scale Motherboard Old"/>
    <s v="RM01036"/>
    <x v="6"/>
    <x v="3"/>
    <n v="1"/>
    <n v="2080"/>
    <n v="2080"/>
    <n v="374.4"/>
    <n v="2454.4"/>
    <m/>
    <s v="Running"/>
  </r>
  <r>
    <d v="2025-07-02T13:50:23"/>
    <s v="Jul-25"/>
    <x v="0"/>
    <s v="MPG"/>
    <d v="2020-09-28T00:00:00"/>
    <n v="57"/>
    <x v="38"/>
    <s v="Arniya ganj"/>
    <s v="Navin Kumar ray"/>
    <n v="7017190104"/>
    <s v="EKOMILK ULTRA PRO ANALYSER"/>
    <n v="306391"/>
    <s v="Ekomilk Sensor To Sieringe Pipe"/>
    <s v="RM00528"/>
    <x v="6"/>
    <x v="3"/>
    <n v="1"/>
    <n v="44"/>
    <n v="44"/>
    <n v="7.92"/>
    <n v="51.92"/>
    <m/>
    <s v="Running"/>
  </r>
  <r>
    <d v="2025-07-02T13:50:23"/>
    <s v="Jul-25"/>
    <x v="0"/>
    <s v="MPG"/>
    <d v="2020-09-28T00:00:00"/>
    <n v="57"/>
    <x v="38"/>
    <s v="Arniya ganj"/>
    <s v="Navin Kumar ray"/>
    <n v="7017190104"/>
    <s v="EKOMILK ULTRA PRO ANALYSER"/>
    <n v="306391"/>
    <s v="Ekomilk Sensor To Sieringe Pipe"/>
    <s v="RM00528"/>
    <x v="6"/>
    <x v="3"/>
    <n v="1"/>
    <n v="44"/>
    <n v="44"/>
    <n v="7.92"/>
    <n v="51.92"/>
    <m/>
    <s v="Running"/>
  </r>
  <r>
    <d v="2025-07-02T13:50:23"/>
    <s v="Jul-25"/>
    <x v="0"/>
    <s v="MPG"/>
    <d v="2020-09-28T00:00:00"/>
    <n v="57"/>
    <x v="38"/>
    <s v="Arniya ganj"/>
    <s v="Navin Kumar ray"/>
    <n v="7017190104"/>
    <s v="EKOMILK ULTRA PRO ANALYSER"/>
    <n v="306391"/>
    <s v="Ekomilk Sieringe With Plunger"/>
    <s v="RM00530"/>
    <x v="6"/>
    <x v="3"/>
    <n v="1"/>
    <n v="70"/>
    <n v="70"/>
    <n v="12.6"/>
    <n v="82.6"/>
    <m/>
    <s v="Running"/>
  </r>
  <r>
    <d v="2025-07-02T13:50:23"/>
    <s v="Jul-25"/>
    <x v="0"/>
    <s v="MPG"/>
    <d v="2020-09-28T00:00:00"/>
    <n v="57"/>
    <x v="38"/>
    <s v="Arniya ganj"/>
    <s v="Navin Kumar ray"/>
    <n v="7017190104"/>
    <s v="EKOMILK ULTRA PRO ANALYSER"/>
    <n v="306391"/>
    <s v="Ekomilk Sieringe With Plunger"/>
    <s v="RM00530"/>
    <x v="6"/>
    <x v="3"/>
    <n v="1"/>
    <n v="70"/>
    <n v="70"/>
    <n v="12.6"/>
    <n v="82.6"/>
    <m/>
    <s v="Running"/>
  </r>
  <r>
    <d v="2025-08-30T14:17:32"/>
    <s v="Aug-25"/>
    <x v="0"/>
    <s v="MPG"/>
    <d v="2024-12-20T00:00:00"/>
    <n v="8"/>
    <x v="135"/>
    <s v="Pokharaha "/>
    <s v="Dhuran Yadav "/>
    <n v="7011240629"/>
    <s v="Everest Smart Tab-based Android Terminal (Table-top) with Inbuilt Printer"/>
    <s v="gtd-23014026"/>
    <s v="Battery 3.7V/2600Mah"/>
    <s v="RM01787"/>
    <x v="7"/>
    <x v="4"/>
    <n v="1"/>
    <n v="350"/>
    <n v="350"/>
    <n v="63"/>
    <n v="413"/>
    <m/>
    <s v="Running"/>
  </r>
  <r>
    <d v="2025-08-30T16:17:59"/>
    <s v="Aug-25"/>
    <x v="0"/>
    <s v="MPG"/>
    <d v="2019-10-18T00:00:00"/>
    <n v="70"/>
    <x v="75"/>
    <s v="paroreya"/>
    <s v="Ajay Kumar"/>
    <n v="7631356700"/>
    <s v="EKOMILK ULTRA PRO ANALYSER"/>
    <n v="277324"/>
    <s v="Fatscan 9 Pin Connector with Cable"/>
    <s v="SF00144"/>
    <x v="7"/>
    <x v="4"/>
    <n v="1"/>
    <n v="65"/>
    <n v="65"/>
    <n v="11.7"/>
    <n v="76.7"/>
    <m/>
    <s v="Running"/>
  </r>
  <r>
    <d v="2025-08-30T16:18:17"/>
    <s v="Aug-25"/>
    <x v="0"/>
    <s v="MPG"/>
    <d v="2019-10-18T00:00:00"/>
    <n v="70"/>
    <x v="75"/>
    <s v="paroreya"/>
    <s v="Ajay Kumar"/>
    <n v="7631356700"/>
    <s v="Everest Smart Tab-based Android Terminal (Table-top) with Inbuilt Printer"/>
    <s v="GTD-23014007"/>
    <s v="WiFi Serial Device (Wysence)"/>
    <s v="SF00056"/>
    <x v="7"/>
    <x v="4"/>
    <n v="1"/>
    <n v="925"/>
    <n v="925"/>
    <n v="166.5"/>
    <n v="1091.5"/>
    <m/>
    <s v="Running"/>
  </r>
  <r>
    <d v="2025-08-29T18:40:46"/>
    <s v="Aug-25"/>
    <x v="1"/>
    <s v="MPG"/>
    <e v="#N/A"/>
    <s v=""/>
    <x v="136"/>
    <s v="HOCHER"/>
    <s v="SUJIT KUMAR SAHU"/>
    <n v="7992316696"/>
    <s v="EKOMILK ULTRA PRO ANALYSER"/>
    <n v="390595"/>
    <s v="Eko Y-Pipe"/>
    <s v="RM00846"/>
    <x v="8"/>
    <x v="4"/>
    <n v="1"/>
    <n v="84"/>
    <n v="84"/>
    <n v="15.12"/>
    <n v="99.12"/>
    <m/>
    <e v="#N/A"/>
  </r>
  <r>
    <d v="2025-08-29T19:21:08"/>
    <s v="Aug-25"/>
    <x v="1"/>
    <s v="Godown"/>
    <e v="#N/A"/>
    <s v=""/>
    <x v="137"/>
    <s v="Ranchi store"/>
    <s v="Satendra"/>
    <n v="8987509704"/>
    <s v="WEIGHING SCALE 60 KG"/>
    <s v="GE-20033998"/>
    <s v="EWZ MOTHERBOARD FOR WS"/>
    <s v="RM01792"/>
    <x v="8"/>
    <x v="4"/>
    <n v="1"/>
    <n v="2080"/>
    <n v="2080"/>
    <n v="374.4"/>
    <n v="2454.4"/>
    <m/>
    <e v="#N/A"/>
  </r>
  <r>
    <d v="2025-08-28T14:25:00"/>
    <s v="Aug-25"/>
    <x v="0"/>
    <s v="MPG"/>
    <e v="#N/A"/>
    <s v=""/>
    <x v="138"/>
    <s v="GOMUKH MIRATTHI"/>
    <s v="Sashi kumar"/>
    <n v="9204350523"/>
    <s v="Everest Smart Tab-based Android Terminal (Table-top) with Inbuilt Printer"/>
    <s v="GTD-23060401"/>
    <s v="DPU Thermal Printer EPM 207"/>
    <s v="RM00282"/>
    <x v="7"/>
    <x v="4"/>
    <n v="1"/>
    <n v="2800"/>
    <n v="2800"/>
    <n v="504"/>
    <n v="3304"/>
    <m/>
    <s v="Running"/>
  </r>
  <r>
    <d v="2025-08-28T17:16:24"/>
    <s v="Aug-25"/>
    <x v="0"/>
    <s v="MPG"/>
    <d v="2025-08-30T00:00:00"/>
    <s v=""/>
    <x v="139"/>
    <s v="losghani"/>
    <s v="Rinku devi"/>
    <n v="9279868783"/>
    <s v="Everest Smart Tab-based Android Terminal (Table-top) with Inbuilt Printer"/>
    <s v="GTD-23060425"/>
    <s v="Battery 3.7V/2600Mah"/>
    <s v="RM01787"/>
    <x v="7"/>
    <x v="4"/>
    <n v="1"/>
    <n v="350"/>
    <n v="350"/>
    <n v="63"/>
    <n v="413"/>
    <m/>
    <s v="Running"/>
  </r>
  <r>
    <d v="2025-08-28T14:22:47"/>
    <s v="Aug-25"/>
    <x v="0"/>
    <s v="MPG"/>
    <e v="#N/A"/>
    <s v=""/>
    <x v="4"/>
    <s v="gomukh Machidih"/>
    <s v="Bablu yadav"/>
    <n v="7462979872"/>
    <s v="Everest Smart Tab-based Android Terminal (Table-top) with Inbuilt Printer"/>
    <s v="GTD-22122525"/>
    <s v="DPU DC To DC Converter 12V To 5V"/>
    <s v="RM00493"/>
    <x v="7"/>
    <x v="4"/>
    <n v="1"/>
    <n v="780"/>
    <n v="780"/>
    <n v="140.4"/>
    <n v="920.4"/>
    <m/>
    <s v="Nov'25 Closed"/>
  </r>
  <r>
    <d v="2025-08-27T17:23:25"/>
    <s v="Aug-25"/>
    <x v="0"/>
    <s v="MPG"/>
    <e v="#N/A"/>
    <s v=""/>
    <x v="140"/>
    <s v="laxmipur "/>
    <s v="Doli Devi "/>
    <n v="8409231693"/>
    <s v="Everest Smart Tab-based Android Terminal (Table-top) with Inbuilt Printer"/>
    <s v="GTD-22122519"/>
    <s v="Battery 3.7V/2600Mah"/>
    <s v="RM01787"/>
    <x v="7"/>
    <x v="4"/>
    <n v="1"/>
    <n v="350"/>
    <n v="350"/>
    <n v="63"/>
    <n v="413"/>
    <m/>
    <s v="Running"/>
  </r>
  <r>
    <d v="2025-07-31T12:49:03"/>
    <s v="Jul-25"/>
    <x v="0"/>
    <s v="MPG"/>
    <d v="2017-09-01T00:00:00"/>
    <n v="94"/>
    <x v="141"/>
    <s v="kishanpur "/>
    <s v="surendu bhaskar"/>
    <n v="9504393173"/>
    <s v="WEIGHING SCALE 60 KG"/>
    <s v="E-17116790"/>
    <s v="Keyboard For Weighing Scale (Repaired)"/>
    <s v="SF00048"/>
    <x v="7"/>
    <x v="4"/>
    <n v="1"/>
    <n v="360"/>
    <n v="360"/>
    <n v="64.8"/>
    <n v="424.8"/>
    <m/>
    <s v="Running"/>
  </r>
  <r>
    <d v="2025-08-27T19:48:38"/>
    <s v="Aug-25"/>
    <x v="1"/>
    <s v="BMC"/>
    <e v="#N/A"/>
    <s v=""/>
    <x v="68"/>
    <s v="Pali"/>
    <s v="Ashok Sahu"/>
    <n v="8709856463"/>
    <s v="STIRRER UNIT EV5600"/>
    <s v="GS-23040752"/>
    <s v="Stirrer Timer PCB"/>
    <s v="RM00478"/>
    <x v="8"/>
    <x v="4"/>
    <n v="1"/>
    <n v="900"/>
    <n v="900"/>
    <n v="162"/>
    <n v="1062"/>
    <m/>
    <e v="#N/A"/>
  </r>
  <r>
    <d v="2025-08-26T20:25:07"/>
    <s v="Aug-25"/>
    <x v="1"/>
    <s v="MPG"/>
    <e v="#N/A"/>
    <s v=""/>
    <x v="108"/>
    <s v="CHUTHU"/>
    <s v="SHEETAL KUMAR MAHTO"/>
    <n v="9507715083"/>
    <s v="WEIGHING SCALE 60 KG"/>
    <s v="GNE-23060583"/>
    <s v="SWS Motherboard (Version 1.1)"/>
    <s v="RM01371"/>
    <x v="8"/>
    <x v="4"/>
    <n v="1"/>
    <n v="2080"/>
    <n v="2080"/>
    <n v="374.4"/>
    <n v="2454.4"/>
    <m/>
    <e v="#N/A"/>
  </r>
  <r>
    <d v="2025-08-26T14:10:52"/>
    <s v="Aug-25"/>
    <x v="0"/>
    <s v="MPG"/>
    <d v="2017-09-01T00:00:00"/>
    <n v="95"/>
    <x v="62"/>
    <s v="Ballopur "/>
    <s v="jitendra Kumar "/>
    <n v="9304189034"/>
    <s v="Everest Smart Tab-based Android Terminal (Table-top) with Inbuilt Printer"/>
    <s v="gtd-23014013"/>
    <s v="Battery 3.7V/2600Mah"/>
    <s v="RM01787"/>
    <x v="7"/>
    <x v="4"/>
    <n v="1"/>
    <n v="350"/>
    <n v="350"/>
    <n v="63"/>
    <n v="413"/>
    <m/>
    <s v="Running"/>
  </r>
  <r>
    <d v="2025-08-26T11:28:29"/>
    <s v="Aug-25"/>
    <x v="0"/>
    <s v="MPG"/>
    <d v="2024-08-01T00:00:00"/>
    <n v="12"/>
    <x v="60"/>
    <s v="Shikaritola "/>
    <s v="pramod Kumar "/>
    <n v="6201732147"/>
    <s v="WEIGHING SCALE 60 KG"/>
    <s v="GNE-22123331"/>
    <s v="Load Cell 100 Kg 60310"/>
    <s v="RM00006"/>
    <x v="7"/>
    <x v="4"/>
    <n v="1"/>
    <n v="2800"/>
    <n v="2800"/>
    <n v="504"/>
    <n v="3304"/>
    <m/>
    <s v="Running"/>
  </r>
  <r>
    <d v="2025-08-26T11:28:29"/>
    <s v="Aug-25"/>
    <x v="0"/>
    <s v="MPG"/>
    <d v="2024-08-01T00:00:00"/>
    <n v="12"/>
    <x v="60"/>
    <s v="Shikaritola "/>
    <s v="pramod Kumar "/>
    <n v="6201732147"/>
    <s v="WEIGHING SCALE 60 KG"/>
    <s v="GNE-22123331"/>
    <s v="SWS Motherboard (Version 1.1)"/>
    <s v="RM01371"/>
    <x v="7"/>
    <x v="4"/>
    <n v="1"/>
    <n v="2080"/>
    <n v="2080"/>
    <n v="374.4"/>
    <n v="2454.4"/>
    <m/>
    <s v="Running"/>
  </r>
  <r>
    <d v="2025-08-25T12:46:48"/>
    <s v="Aug-25"/>
    <x v="0"/>
    <s v="MPG"/>
    <d v="2023-07-14T00:00:00"/>
    <n v="25"/>
    <x v="80"/>
    <s v="urain "/>
    <s v="Sonu Kumar "/>
    <n v="8877360750"/>
    <s v="EKOMILK ULTRA PRO ANALYSER"/>
    <n v="387870"/>
    <s v="Ekomilk Sensor To Sieringe Pipe"/>
    <s v="RM00528"/>
    <x v="7"/>
    <x v="4"/>
    <n v="1"/>
    <n v="44"/>
    <n v="44"/>
    <n v="7.92"/>
    <n v="51.92"/>
    <m/>
    <s v="Running"/>
  </r>
  <r>
    <d v="2025-08-25T12:46:48"/>
    <s v="Aug-25"/>
    <x v="0"/>
    <s v="MPG"/>
    <d v="2023-07-14T00:00:00"/>
    <n v="25"/>
    <x v="80"/>
    <s v="urain "/>
    <s v="Sonu Kumar "/>
    <n v="8877360750"/>
    <s v="EKOMILK ULTRA PRO ANALYSER"/>
    <n v="387870"/>
    <s v="Ekomilk Sensor To Sieringe Pipe"/>
    <s v="RM00528"/>
    <x v="7"/>
    <x v="4"/>
    <n v="1"/>
    <n v="44"/>
    <n v="44"/>
    <n v="7.92"/>
    <n v="51.92"/>
    <m/>
    <s v="Running"/>
  </r>
  <r>
    <d v="2025-08-22T16:37:03"/>
    <s v="Aug-25"/>
    <x v="0"/>
    <s v="Godown"/>
    <e v="#N/A"/>
    <s v=""/>
    <x v="137"/>
    <s v="Parvaha store"/>
    <s v="Gaurav"/>
    <n v="7631258661"/>
    <s v="Everest Smart Tab-based Android Terminal (Table-top) with Inbuilt Printer"/>
    <s v="GTD-23024210"/>
    <s v="DPU DC To DC Converter 12V To 5V"/>
    <s v="RM00493"/>
    <x v="7"/>
    <x v="4"/>
    <n v="1"/>
    <n v="780"/>
    <n v="780"/>
    <n v="140.4"/>
    <n v="920.4"/>
    <m/>
    <e v="#N/A"/>
  </r>
  <r>
    <d v="2025-08-22T16:35:14"/>
    <s v="Aug-25"/>
    <x v="0"/>
    <s v="Godown"/>
    <e v="#N/A"/>
    <s v=""/>
    <x v="137"/>
    <s v="Parvaha store"/>
    <s v="Gaurav"/>
    <n v="7631258661"/>
    <s v="WEIGHING SCALE 60 KG"/>
    <s v="GNE-23024499"/>
    <s v="SWS Motherboard (Version 1.1)"/>
    <s v="RM01371"/>
    <x v="7"/>
    <x v="4"/>
    <n v="1"/>
    <n v="2080"/>
    <n v="2080"/>
    <n v="374.4"/>
    <n v="2454.4"/>
    <m/>
    <e v="#N/A"/>
  </r>
  <r>
    <d v="2025-08-22T15:53:59"/>
    <s v="Aug-25"/>
    <x v="0"/>
    <s v="MPG"/>
    <d v="2025-03-22T00:00:00"/>
    <n v="5"/>
    <x v="142"/>
    <s v="BANGAMA"/>
    <s v="manju devi"/>
    <n v="9341977117"/>
    <s v="EKOMILK ULTRA PRO ANALYSER"/>
    <n v="387355"/>
    <s v="Fatscan &quot; Y &quot; Pipe"/>
    <s v="SF00145"/>
    <x v="7"/>
    <x v="4"/>
    <n v="1"/>
    <n v="84"/>
    <n v="84"/>
    <n v="15.12"/>
    <n v="99.12"/>
    <m/>
    <s v="Running"/>
  </r>
  <r>
    <d v="2025-08-22T15:53:10"/>
    <s v="Aug-25"/>
    <x v="0"/>
    <s v="MPG"/>
    <e v="#N/A"/>
    <s v=""/>
    <x v="143"/>
    <s v="Gomukh mohaddipur"/>
    <s v="Anand raj "/>
    <n v="7250611969"/>
    <s v="Everest Smart Tab-based Android Terminal (Table-top) with Inbuilt Printer"/>
    <s v="GTD-23060398"/>
    <s v="Battery 3.7V/2600Mah"/>
    <s v="RM01787"/>
    <x v="7"/>
    <x v="4"/>
    <n v="1"/>
    <n v="350"/>
    <n v="350"/>
    <n v="63"/>
    <n v="413"/>
    <m/>
    <s v="Running"/>
  </r>
  <r>
    <d v="2025-08-22T15:18:58"/>
    <s v="Aug-25"/>
    <x v="0"/>
    <s v="BMC"/>
    <e v="#N/A"/>
    <s v=""/>
    <x v="144"/>
    <s v="Dumraon "/>
    <s v="Sushil Gupta "/>
    <n v="8126001571"/>
    <s v="Everest Smart Tab-based Android Terminal (Table-top) with Inbuilt Printer"/>
    <s v="GTD-23013903"/>
    <s v="Battery 3.7V/2600Mah"/>
    <s v="RM01787"/>
    <x v="7"/>
    <x v="4"/>
    <n v="1"/>
    <n v="350"/>
    <n v="350"/>
    <n v="63"/>
    <n v="413"/>
    <m/>
    <e v="#N/A"/>
  </r>
  <r>
    <d v="2025-08-22T15:13:02"/>
    <s v="Aug-25"/>
    <x v="0"/>
    <s v="MPG"/>
    <d v="2022-05-02T00:00:00"/>
    <n v="39"/>
    <x v="65"/>
    <s v="Arioan"/>
    <s v="Holin Singh"/>
    <n v="8294507404"/>
    <s v="EKOMILK ULTRA PRO ANALYSER"/>
    <n v="386958"/>
    <s v="Ekomilk Bush"/>
    <s v="RM00510"/>
    <x v="7"/>
    <x v="4"/>
    <n v="1"/>
    <n v="49"/>
    <n v="49"/>
    <n v="8.82"/>
    <n v="57.82"/>
    <m/>
    <s v="Running"/>
  </r>
  <r>
    <d v="2025-08-22T15:13:02"/>
    <s v="Aug-25"/>
    <x v="0"/>
    <s v="MPG"/>
    <d v="2022-05-02T00:00:00"/>
    <n v="39"/>
    <x v="65"/>
    <s v="Arioan"/>
    <s v="Holin Singh"/>
    <n v="8294507404"/>
    <s v="EKOMILK ULTRA PRO ANALYSER"/>
    <n v="386958"/>
    <s v="Ekomilk Bush"/>
    <s v="RM00510"/>
    <x v="7"/>
    <x v="4"/>
    <n v="1"/>
    <n v="49"/>
    <n v="49"/>
    <n v="8.82"/>
    <n v="57.82"/>
    <m/>
    <s v="Running"/>
  </r>
  <r>
    <d v="2025-08-22T15:34:32"/>
    <s v="Aug-25"/>
    <x v="0"/>
    <s v="MPG"/>
    <d v="2023-05-30T00:00:00"/>
    <n v="26"/>
    <x v="134"/>
    <s v="soharthi "/>
    <s v="hemant singh "/>
    <n v="9661937016"/>
    <s v="WEIGHING SCALE 60 KG"/>
    <s v="Ge-19122117"/>
    <s v="Keyboard For Weighing Scale (Repaired)"/>
    <s v="SF00048"/>
    <x v="7"/>
    <x v="4"/>
    <n v="1"/>
    <n v="360"/>
    <n v="360"/>
    <n v="64.8"/>
    <n v="424.8"/>
    <m/>
    <s v="Running"/>
  </r>
  <r>
    <d v="2025-08-22T15:32:22"/>
    <s v="Aug-25"/>
    <x v="0"/>
    <s v="MPG"/>
    <d v="2020-03-06T00:00:00"/>
    <n v="65"/>
    <x v="53"/>
    <s v="mahepura "/>
    <s v="Ajay Kumar "/>
    <n v="9771782305"/>
    <s v="EKOMILK ULTRA PRO ANALYSER"/>
    <n v="310515"/>
    <s v="Ekomilk Sieringe With Plunger"/>
    <s v="RM00530"/>
    <x v="7"/>
    <x v="4"/>
    <n v="1"/>
    <n v="70"/>
    <n v="70"/>
    <n v="12.6"/>
    <n v="82.6"/>
    <m/>
    <s v="Sep'25 Closed"/>
  </r>
  <r>
    <d v="2025-08-22T15:32:22"/>
    <s v="Aug-25"/>
    <x v="0"/>
    <s v="MPG"/>
    <d v="2020-03-06T00:00:00"/>
    <n v="65"/>
    <x v="53"/>
    <s v="mahepura "/>
    <s v="Ajay Kumar "/>
    <n v="9771782305"/>
    <s v="EKOMILK ULTRA PRO ANALYSER"/>
    <n v="310515"/>
    <s v="Fatscan Sensor to Syringe Pipe"/>
    <s v="SF00146"/>
    <x v="7"/>
    <x v="4"/>
    <n v="1"/>
    <n v="44"/>
    <n v="44"/>
    <n v="7.92"/>
    <n v="51.92"/>
    <m/>
    <s v="Sep'25 Closed"/>
  </r>
  <r>
    <d v="2025-08-22T15:32:22"/>
    <s v="Aug-25"/>
    <x v="0"/>
    <s v="MPG"/>
    <d v="2020-03-06T00:00:00"/>
    <n v="65"/>
    <x v="53"/>
    <s v="mahepura "/>
    <s v="Ajay Kumar "/>
    <n v="9771782305"/>
    <s v="EKOMILK ULTRA PRO ANALYSER"/>
    <n v="310515"/>
    <s v="Fatscan Sensor to Syringe Pipe"/>
    <s v="SF00146"/>
    <x v="7"/>
    <x v="4"/>
    <n v="1"/>
    <n v="44"/>
    <n v="44"/>
    <n v="7.92"/>
    <n v="51.92"/>
    <m/>
    <s v="Sep'25 Closed"/>
  </r>
  <r>
    <d v="2025-08-22T14:35:56"/>
    <s v="Aug-25"/>
    <x v="0"/>
    <s v="MPG"/>
    <e v="#N/A"/>
    <s v=""/>
    <x v="145"/>
    <s v="Levadh"/>
    <s v="Santi Devi "/>
    <n v="8252388707"/>
    <s v="STIRRER UNIT EV5600"/>
    <s v="S-22092446"/>
    <s v="Stirrer Timer PCB"/>
    <s v="RM00478"/>
    <x v="7"/>
    <x v="4"/>
    <n v="1"/>
    <n v="900"/>
    <n v="900"/>
    <n v="162"/>
    <n v="1062"/>
    <m/>
    <s v="Running"/>
  </r>
  <r>
    <d v="2025-08-21T16:16:36"/>
    <s v="Aug-25"/>
    <x v="1"/>
    <s v="MPG"/>
    <e v="#N/A"/>
    <s v=""/>
    <x v="146"/>
    <s v="SITHIO"/>
    <s v="MIRAJ BHAGAT"/>
    <n v="7856866909"/>
    <s v="WEIGHING SCALE 60 KG"/>
    <s v="GNE-23060585"/>
    <s v="SWS Motherboard (Version 1.1)"/>
    <s v="RM01371"/>
    <x v="8"/>
    <x v="4"/>
    <n v="1"/>
    <n v="2080"/>
    <n v="2080"/>
    <n v="374.4"/>
    <n v="2454.4"/>
    <m/>
    <e v="#N/A"/>
  </r>
  <r>
    <d v="2025-08-21T20:16:05"/>
    <s v="Aug-25"/>
    <x v="1"/>
    <s v="BMC"/>
    <e v="#N/A"/>
    <s v=""/>
    <x v="68"/>
    <s v="Pali"/>
    <s v="Ashok Sahu"/>
    <n v="8709856463"/>
    <s v="EKOMILK ULTRA PRO ANALYSER"/>
    <n v="360621"/>
    <s v="FatScan Double Sensor Measuring Mini PCB (4 para) with Sensor (Repaired)"/>
    <s v="SF00130"/>
    <x v="8"/>
    <x v="4"/>
    <n v="1"/>
    <n v="8500"/>
    <n v="8500"/>
    <n v="1530"/>
    <n v="10030"/>
    <m/>
    <e v="#N/A"/>
  </r>
  <r>
    <d v="2025-08-21T10:43:02"/>
    <s v="Aug-25"/>
    <x v="0"/>
    <s v="MPG"/>
    <e v="#N/A"/>
    <s v=""/>
    <x v="147"/>
    <s v="Gomukh Fatepur"/>
    <s v="GAUTAM KUMAR "/>
    <n v="8789901453"/>
    <s v="WEIGHING SCALE 60 KG"/>
    <s v="GNE-23024403"/>
    <s v="SWS Motherboard (Version 1.1)"/>
    <s v="RM01371"/>
    <x v="7"/>
    <x v="4"/>
    <n v="1"/>
    <n v="2080"/>
    <n v="2080"/>
    <n v="374.4"/>
    <n v="2454.4"/>
    <m/>
    <s v="Running"/>
  </r>
  <r>
    <d v="2025-08-20T16:17:33"/>
    <s v="Aug-25"/>
    <x v="0"/>
    <s v="Godown"/>
    <e v="#N/A"/>
    <s v=""/>
    <x v="137"/>
    <s v="Parvaha store"/>
    <s v="Gaurav"/>
    <n v="7631258661"/>
    <s v="EKOMILK ULTRA PRO ANALYSER"/>
    <n v="193329"/>
    <s v="Ekomilk Sensor To Sieringe Pipe"/>
    <s v="RM00528"/>
    <x v="7"/>
    <x v="4"/>
    <n v="1"/>
    <n v="44"/>
    <n v="44"/>
    <n v="7.92"/>
    <n v="51.92"/>
    <m/>
    <e v="#N/A"/>
  </r>
  <r>
    <d v="2025-08-20T16:17:33"/>
    <s v="Aug-25"/>
    <x v="0"/>
    <s v="Godown"/>
    <e v="#N/A"/>
    <s v=""/>
    <x v="137"/>
    <s v="Parvaha store"/>
    <s v="Gaurav"/>
    <n v="7631258661"/>
    <s v="EKOMILK ULTRA PRO ANALYSER"/>
    <n v="193329"/>
    <s v="Ekomilk Sensor To Sieringe Pipe"/>
    <s v="RM00528"/>
    <x v="7"/>
    <x v="4"/>
    <n v="1"/>
    <n v="44"/>
    <n v="44"/>
    <n v="7.92"/>
    <n v="51.92"/>
    <m/>
    <e v="#N/A"/>
  </r>
  <r>
    <d v="2025-08-20T16:17:33"/>
    <s v="Aug-25"/>
    <x v="0"/>
    <s v="Godown"/>
    <e v="#N/A"/>
    <s v=""/>
    <x v="137"/>
    <s v="Parvaha store"/>
    <s v="Gaurav"/>
    <n v="7631258661"/>
    <s v="EKOMILK ULTRA PRO ANALYSER"/>
    <n v="193329"/>
    <s v="Ekomilk Motorpump Set New"/>
    <s v="TR00182"/>
    <x v="7"/>
    <x v="4"/>
    <n v="1"/>
    <n v="2000"/>
    <n v="2000"/>
    <n v="360"/>
    <n v="2360"/>
    <m/>
    <e v="#N/A"/>
  </r>
  <r>
    <d v="2025-08-20T17:41:07"/>
    <s v="Aug-25"/>
    <x v="0"/>
    <s v="Godown"/>
    <e v="#N/A"/>
    <s v=""/>
    <x v="137"/>
    <s v="Parvaha store"/>
    <s v="Gaurav"/>
    <n v="7631258661"/>
    <s v="EKOMILK ULTRA PRO ANALYSER"/>
    <n v="387860"/>
    <s v="Ekomilk Sieringe With Plunger"/>
    <s v="RM00530"/>
    <x v="7"/>
    <x v="4"/>
    <n v="1"/>
    <n v="70"/>
    <n v="70"/>
    <n v="12.6"/>
    <n v="82.6"/>
    <m/>
    <e v="#N/A"/>
  </r>
  <r>
    <d v="2025-08-20T17:41:07"/>
    <s v="Aug-25"/>
    <x v="0"/>
    <s v="Godown"/>
    <e v="#N/A"/>
    <s v=""/>
    <x v="137"/>
    <s v="Parvaha store"/>
    <s v="Gaurav"/>
    <n v="7631258661"/>
    <s v="EKOMILK ULTRA PRO ANALYSER"/>
    <n v="387860"/>
    <s v="Ekomilk Sieringe With Plunger"/>
    <s v="RM00530"/>
    <x v="7"/>
    <x v="4"/>
    <n v="1"/>
    <n v="70"/>
    <n v="70"/>
    <n v="12.6"/>
    <n v="82.6"/>
    <m/>
    <e v="#N/A"/>
  </r>
  <r>
    <d v="2025-08-20T17:41:07"/>
    <s v="Aug-25"/>
    <x v="0"/>
    <s v="Godown"/>
    <e v="#N/A"/>
    <s v=""/>
    <x v="137"/>
    <s v="Parvaha store"/>
    <s v="Gaurav"/>
    <n v="7631258661"/>
    <s v="EKOMILK ULTRA PRO ANALYSER"/>
    <n v="387860"/>
    <s v="Fatscan &quot; Y &quot; Pipe"/>
    <s v="SF00145"/>
    <x v="7"/>
    <x v="4"/>
    <n v="1"/>
    <n v="84"/>
    <n v="84"/>
    <n v="15.12"/>
    <n v="99.12"/>
    <m/>
    <e v="#N/A"/>
  </r>
  <r>
    <d v="2025-08-20T17:41:07"/>
    <s v="Aug-25"/>
    <x v="0"/>
    <s v="Godown"/>
    <e v="#N/A"/>
    <s v=""/>
    <x v="137"/>
    <s v="Parvaha store"/>
    <s v="Gaurav"/>
    <n v="7631258661"/>
    <s v="EKOMILK ULTRA PRO ANALYSER"/>
    <n v="387860"/>
    <s v="Ekomilk Keyboard"/>
    <s v="RM01018"/>
    <x v="7"/>
    <x v="4"/>
    <n v="1"/>
    <n v="770"/>
    <n v="770"/>
    <n v="138.6"/>
    <n v="908.6"/>
    <m/>
    <e v="#N/A"/>
  </r>
  <r>
    <d v="2025-08-20T17:41:07"/>
    <s v="Aug-25"/>
    <x v="0"/>
    <s v="Godown"/>
    <e v="#N/A"/>
    <s v=""/>
    <x v="137"/>
    <s v="Parvaha store"/>
    <s v="Gaurav"/>
    <n v="7631258661"/>
    <s v="EKOMILK ULTRA PRO ANALYSER"/>
    <n v="387860"/>
    <s v="Ekomilk Sensor To Sieringe Pipe"/>
    <s v="RM00528"/>
    <x v="7"/>
    <x v="4"/>
    <n v="1"/>
    <n v="44"/>
    <n v="44"/>
    <n v="7.92"/>
    <n v="51.92"/>
    <m/>
    <e v="#N/A"/>
  </r>
  <r>
    <d v="2025-08-20T12:35:28"/>
    <s v="Aug-25"/>
    <x v="0"/>
    <s v="MPG"/>
    <d v="2020-04-15T00:00:00"/>
    <n v="64"/>
    <x v="61"/>
    <s v="BORNA RASALPUR"/>
    <s v="PANKAJ RAY"/>
    <n v="8340595380"/>
    <s v="EKOMILK ULTRA PRO ANALYSER"/>
    <n v="310523"/>
    <s v="Fatscan 9 Pin Connector with Cable"/>
    <s v="SF00144"/>
    <x v="7"/>
    <x v="4"/>
    <n v="1"/>
    <n v="65"/>
    <n v="65"/>
    <n v="11.7"/>
    <n v="76.7"/>
    <m/>
    <s v="Running"/>
  </r>
  <r>
    <d v="2025-08-20T15:28:42"/>
    <s v="Aug-25"/>
    <x v="0"/>
    <s v="MPG"/>
    <e v="#N/A"/>
    <s v=""/>
    <x v="148"/>
    <s v="Gomukh KATHNI "/>
    <s v="Aman kumar "/>
    <n v="7631526980"/>
    <s v="Everest Smart Tab-based Android Terminal (Table-top) with Inbuilt Printer"/>
    <s v="GTD-23013917"/>
    <s v="Battery 3.7V/2600Mah"/>
    <s v="RM01787"/>
    <x v="7"/>
    <x v="4"/>
    <n v="1"/>
    <n v="350"/>
    <n v="350"/>
    <n v="63"/>
    <n v="413"/>
    <m/>
    <s v="Running"/>
  </r>
  <r>
    <d v="2025-08-20T17:41:07"/>
    <s v="Aug-25"/>
    <x v="0"/>
    <s v="Godown"/>
    <e v="#N/A"/>
    <s v=""/>
    <x v="137"/>
    <s v="Parvaha store"/>
    <s v="Gaurav"/>
    <n v="7631258661"/>
    <s v="EKOMILK ULTRA PRO ANALYSER"/>
    <n v="387860"/>
    <s v="Ekomilk Sensor To Sieringe Pipe"/>
    <s v="RM00528"/>
    <x v="7"/>
    <x v="4"/>
    <n v="1"/>
    <n v="44"/>
    <n v="44"/>
    <n v="7.92"/>
    <n v="51.92"/>
    <m/>
    <e v="#N/A"/>
  </r>
  <r>
    <d v="2025-08-20T17:41:07"/>
    <s v="Aug-25"/>
    <x v="0"/>
    <s v="Godown"/>
    <e v="#N/A"/>
    <s v=""/>
    <x v="137"/>
    <s v="Parvaha store"/>
    <s v="Gaurav"/>
    <n v="7631258661"/>
    <s v="EKOMILK ULTRA PRO ANALYSER"/>
    <n v="387860"/>
    <s v="Ekomilk Motorpump Set New"/>
    <s v="TR00182"/>
    <x v="7"/>
    <x v="4"/>
    <n v="1"/>
    <n v="2000"/>
    <n v="2000"/>
    <n v="360"/>
    <n v="2360"/>
    <m/>
    <e v="#N/A"/>
  </r>
  <r>
    <d v="2025-08-20T16:09:52"/>
    <s v="Aug-25"/>
    <x v="0"/>
    <s v="Godown"/>
    <e v="#N/A"/>
    <s v=""/>
    <x v="137"/>
    <s v="Parvaha store"/>
    <s v="Gaurav"/>
    <n v="7631258661"/>
    <s v="WEIGHING SCALE 60 KG"/>
    <s v="E-215026700"/>
    <s v="Load Cell 100 Kg 60310"/>
    <s v="RM01004"/>
    <x v="7"/>
    <x v="4"/>
    <n v="1"/>
    <n v="2800"/>
    <n v="2800"/>
    <n v="504"/>
    <n v="3304"/>
    <m/>
    <e v="#N/A"/>
  </r>
  <r>
    <d v="2025-08-20T16:09:52"/>
    <s v="Aug-25"/>
    <x v="0"/>
    <s v="Godown"/>
    <e v="#N/A"/>
    <s v=""/>
    <x v="137"/>
    <s v="Parvaha store"/>
    <s v="Gaurav"/>
    <n v="7631258661"/>
    <s v="WEIGHING SCALE 60 KG"/>
    <s v="E-215026700"/>
    <s v="EWS Battery Backup SMPS (BBLC)"/>
    <s v="RM01040"/>
    <x v="7"/>
    <x v="4"/>
    <n v="1"/>
    <n v="825"/>
    <n v="825"/>
    <n v="148.5"/>
    <n v="973.5"/>
    <m/>
    <e v="#N/A"/>
  </r>
  <r>
    <d v="2025-08-20T16:17:33"/>
    <s v="Aug-25"/>
    <x v="0"/>
    <s v="Godown"/>
    <e v="#N/A"/>
    <s v=""/>
    <x v="137"/>
    <s v="Parvaha store"/>
    <s v="Gaurav"/>
    <n v="7631258661"/>
    <s v="EKOMILK ULTRA PRO ANALYSER"/>
    <n v="193329"/>
    <s v="Ekomilk Sieringe With Plunger"/>
    <s v="RM00530"/>
    <x v="7"/>
    <x v="4"/>
    <n v="1"/>
    <n v="70"/>
    <n v="70"/>
    <n v="12.6"/>
    <n v="82.6"/>
    <m/>
    <e v="#N/A"/>
  </r>
  <r>
    <d v="2025-08-20T16:17:33"/>
    <s v="Aug-25"/>
    <x v="0"/>
    <s v="Godown"/>
    <e v="#N/A"/>
    <s v=""/>
    <x v="137"/>
    <s v="Parvaha store"/>
    <s v="Gaurav"/>
    <n v="7631258661"/>
    <s v="EKOMILK ULTRA PRO ANALYSER"/>
    <n v="193329"/>
    <s v="Ekomilk Sieringe With Plunger"/>
    <s v="RM00530"/>
    <x v="7"/>
    <x v="4"/>
    <n v="1"/>
    <n v="70"/>
    <n v="70"/>
    <n v="12.6"/>
    <n v="82.6"/>
    <m/>
    <e v="#N/A"/>
  </r>
  <r>
    <d v="2025-08-20T16:14:03"/>
    <s v="Aug-25"/>
    <x v="0"/>
    <s v="Godown"/>
    <e v="#N/A"/>
    <s v=""/>
    <x v="137"/>
    <s v="Parvaha store"/>
    <s v="Gaurav"/>
    <n v="7631258661"/>
    <s v="Everest Smart Tab-based Android Terminal (Table-top) with Inbuilt Printer"/>
    <s v="GTD-23014057"/>
    <s v="Battery 3.7V/2600Mah"/>
    <s v="RM01787"/>
    <x v="7"/>
    <x v="4"/>
    <n v="1"/>
    <n v="350"/>
    <n v="350"/>
    <n v="63"/>
    <n v="413"/>
    <m/>
    <e v="#N/A"/>
  </r>
  <r>
    <d v="2025-08-20T16:15:26"/>
    <s v="Aug-25"/>
    <x v="0"/>
    <s v="Godown"/>
    <e v="#N/A"/>
    <s v=""/>
    <x v="137"/>
    <s v="Parvaha store"/>
    <s v="Gaurav"/>
    <n v="7631258661"/>
    <s v="Everest Smart Tab-based Android Terminal (Table-top) with Inbuilt Printer"/>
    <s v="GTD-23060362"/>
    <s v="Battery 3.7V/2600Mah"/>
    <s v="RM01787"/>
    <x v="7"/>
    <x v="4"/>
    <n v="1"/>
    <n v="350"/>
    <n v="350"/>
    <n v="63"/>
    <n v="413"/>
    <m/>
    <e v="#N/A"/>
  </r>
  <r>
    <d v="2025-08-20T16:15:26"/>
    <s v="Aug-25"/>
    <x v="0"/>
    <s v="Godown"/>
    <e v="#N/A"/>
    <s v=""/>
    <x v="137"/>
    <s v="Parvaha store"/>
    <s v="Gaurav"/>
    <n v="7631258661"/>
    <s v="Everest Smart Tab-based Android Terminal (Table-top) with Inbuilt Printer"/>
    <s v="GTD-23060362"/>
    <s v="DPU DC To DC Converter 12V To 5V"/>
    <s v="RM01060"/>
    <x v="7"/>
    <x v="4"/>
    <n v="1"/>
    <n v="780"/>
    <n v="780"/>
    <n v="140.4"/>
    <n v="920.4"/>
    <m/>
    <e v="#N/A"/>
  </r>
  <r>
    <d v="2025-08-20T16:11:27"/>
    <s v="Aug-25"/>
    <x v="0"/>
    <s v="Godown"/>
    <e v="#N/A"/>
    <s v=""/>
    <x v="137"/>
    <s v="Parvaha store"/>
    <s v="Gaurav"/>
    <n v="7631258661"/>
    <s v="Everest Smart Tab-based Android Terminal (Table-top) with Inbuilt Printer"/>
    <s v="GTD-23060375"/>
    <s v="Battery 3.7V/2600Mah"/>
    <s v="RM01787"/>
    <x v="7"/>
    <x v="4"/>
    <n v="1"/>
    <n v="350"/>
    <n v="350"/>
    <n v="63"/>
    <n v="413"/>
    <m/>
    <e v="#N/A"/>
  </r>
  <r>
    <d v="2025-08-20T16:11:27"/>
    <s v="Aug-25"/>
    <x v="0"/>
    <s v="Godown"/>
    <e v="#N/A"/>
    <s v=""/>
    <x v="137"/>
    <s v="Parvaha store"/>
    <s v="Gaurav"/>
    <n v="7631258661"/>
    <s v="Everest Smart Tab-based Android Terminal (Table-top) with Inbuilt Printer"/>
    <s v="GTD-23060375"/>
    <s v="DPU DC To DC Converter 12V To 5V"/>
    <s v="RM00493"/>
    <x v="7"/>
    <x v="4"/>
    <n v="1"/>
    <n v="780"/>
    <n v="780"/>
    <n v="140.4"/>
    <n v="920.4"/>
    <m/>
    <e v="#N/A"/>
  </r>
  <r>
    <d v="2025-08-20T16:15:54"/>
    <s v="Aug-25"/>
    <x v="0"/>
    <s v="Godown"/>
    <e v="#N/A"/>
    <s v=""/>
    <x v="137"/>
    <s v="Parvaha store"/>
    <s v="Gaurav"/>
    <n v="7631258661"/>
    <s v="Everest Smart Tab-based Android Terminal (Table-top) with Inbuilt Printer"/>
    <s v="GTD-23024206"/>
    <s v="Battery 3.7V/2600Mah"/>
    <s v="RM01787"/>
    <x v="7"/>
    <x v="4"/>
    <n v="1"/>
    <n v="350"/>
    <n v="350"/>
    <n v="63"/>
    <n v="413"/>
    <m/>
    <e v="#N/A"/>
  </r>
  <r>
    <d v="2025-08-20T16:16:39"/>
    <s v="Aug-25"/>
    <x v="0"/>
    <s v="Godown"/>
    <e v="#N/A"/>
    <s v=""/>
    <x v="137"/>
    <s v="Parvaha store"/>
    <s v="Gaurav"/>
    <n v="7631258661"/>
    <s v="Everest Smart Tab-based Android Terminal (Table-top) with Inbuilt Printer"/>
    <s v="GTD-23024210"/>
    <s v="DPU DC To DC Converter 12V To 5V"/>
    <s v="RM00493"/>
    <x v="7"/>
    <x v="4"/>
    <n v="1"/>
    <n v="780"/>
    <n v="780"/>
    <n v="140.4"/>
    <n v="920.4"/>
    <m/>
    <e v="#N/A"/>
  </r>
  <r>
    <d v="2025-08-20T16:16:39"/>
    <s v="Aug-25"/>
    <x v="0"/>
    <s v="Godown"/>
    <e v="#N/A"/>
    <s v=""/>
    <x v="137"/>
    <s v="Parvaha store"/>
    <s v="Gaurav"/>
    <n v="7631258661"/>
    <s v="Everest Smart Tab-based Android Terminal (Table-top) with Inbuilt Printer"/>
    <s v="GTD-23024210"/>
    <s v="Battery 3.7V/2600Mah"/>
    <s v="RM01787"/>
    <x v="7"/>
    <x v="4"/>
    <n v="1"/>
    <n v="350"/>
    <n v="350"/>
    <n v="63"/>
    <n v="413"/>
    <m/>
    <e v="#N/A"/>
  </r>
  <r>
    <d v="2025-08-20T12:32:22"/>
    <s v="Aug-25"/>
    <x v="0"/>
    <s v="MPG"/>
    <d v="2023-04-22T00:00:00"/>
    <n v="27"/>
    <x v="149"/>
    <s v="chhuchhipur"/>
    <s v="Ranju devi"/>
    <n v="7484096826"/>
    <s v="STIRRER UNIT EV5600"/>
    <s v="S-22092425"/>
    <s v="Stirrer Timer PCB"/>
    <s v="RM01050"/>
    <x v="7"/>
    <x v="4"/>
    <n v="1"/>
    <n v="900"/>
    <n v="900"/>
    <n v="162"/>
    <n v="1062"/>
    <m/>
    <s v="Running"/>
  </r>
  <r>
    <d v="2025-08-19T15:38:15"/>
    <s v="Aug-25"/>
    <x v="1"/>
    <s v="MPG"/>
    <e v="#N/A"/>
    <s v=""/>
    <x v="150"/>
    <s v="Kuralu"/>
    <s v="Nandu Babu"/>
    <n v="6203724732"/>
    <s v="EKOMILK ULTRA PRO ANALYSER"/>
    <n v="390549"/>
    <s v="FatScan Double Sensor Measuring Mini PCB (4 para) with Sensor (Repaired)"/>
    <s v="SF00130"/>
    <x v="8"/>
    <x v="4"/>
    <n v="1"/>
    <n v="8500"/>
    <n v="8500"/>
    <n v="1530"/>
    <n v="10030"/>
    <m/>
    <e v="#N/A"/>
  </r>
  <r>
    <d v="2025-08-19T17:07:29"/>
    <s v="Aug-25"/>
    <x v="0"/>
    <s v="MPG"/>
    <d v="2023-10-13T00:00:00"/>
    <n v="22"/>
    <x v="151"/>
    <s v="Gomukh Kalyanpur"/>
    <s v="Nisha devi "/>
    <n v="9631135565"/>
    <s v="WEIGHING SCALE 60 KG"/>
    <s v="GNE-23024517"/>
    <s v="SWS Motherboard (Version 1.1)"/>
    <s v="RM01371"/>
    <x v="7"/>
    <x v="4"/>
    <n v="1"/>
    <n v="2080"/>
    <n v="2080"/>
    <n v="374.4"/>
    <n v="2454.4"/>
    <m/>
    <s v="Nov'25 Closed"/>
  </r>
  <r>
    <d v="2025-08-19T19:33:13"/>
    <s v="Aug-25"/>
    <x v="1"/>
    <s v="MPG"/>
    <e v="#N/A"/>
    <s v=""/>
    <x v="152"/>
    <s v="KUCHU"/>
    <s v="ANITA KUMARI"/>
    <n v="9155836147"/>
    <s v="Everest Smart Tab-based Android Terminal (Table-top) with Inbuilt Printer"/>
    <s v="GTD-23060320"/>
    <s v="Battery 3.7V/2600Mah"/>
    <s v="RM01787"/>
    <x v="8"/>
    <x v="4"/>
    <n v="1"/>
    <n v="350"/>
    <n v="350"/>
    <n v="63"/>
    <n v="413"/>
    <m/>
    <e v="#N/A"/>
  </r>
  <r>
    <d v="2025-08-18T14:08:40"/>
    <s v="Aug-25"/>
    <x v="0"/>
    <s v="MPG"/>
    <d v="2024-12-20T00:00:00"/>
    <n v="7"/>
    <x v="135"/>
    <s v="Pokharaha "/>
    <s v="Dhuran Yadav "/>
    <n v="7011240629"/>
    <s v="Everest Smart Tab-based Android Terminal (Table-top) with Inbuilt Printer"/>
    <s v="gtd-23014026"/>
    <s v="DPU Thermal Printer EPM 207"/>
    <s v="RM01076"/>
    <x v="7"/>
    <x v="4"/>
    <n v="1"/>
    <n v="2800"/>
    <n v="2800"/>
    <n v="504"/>
    <n v="3304"/>
    <m/>
    <s v="Running"/>
  </r>
  <r>
    <d v="2025-08-18T14:54:06"/>
    <s v="Aug-25"/>
    <x v="0"/>
    <s v="MPG"/>
    <d v="2024-10-25T00:00:00"/>
    <n v="9"/>
    <x v="124"/>
    <s v="Basaon Kala"/>
    <s v="Shivji Singh "/>
    <n v="6202993543"/>
    <s v="WEIGHING SCALE 60 KG"/>
    <s v="gne-21101014"/>
    <s v="Keyboard For Weighing Scale New Design"/>
    <s v="RM01176"/>
    <x v="7"/>
    <x v="4"/>
    <n v="1"/>
    <n v="1266"/>
    <n v="1266"/>
    <n v="227.88"/>
    <n v="1493.88"/>
    <m/>
    <s v="Running"/>
  </r>
  <r>
    <d v="2025-08-16T14:19:29"/>
    <s v="Aug-25"/>
    <x v="1"/>
    <s v="MPG"/>
    <e v="#N/A"/>
    <s v=""/>
    <x v="153"/>
    <s v="Nagri"/>
    <s v="Nasim Ansari"/>
    <n v="7667400240"/>
    <s v="EKOMILK ULTRA PRO ANALYSER"/>
    <n v="385968"/>
    <s v="Ekomilk Sieringe With Plunger"/>
    <s v="RM00530"/>
    <x v="8"/>
    <x v="4"/>
    <n v="1"/>
    <n v="70"/>
    <n v="70"/>
    <n v="12.6"/>
    <n v="82.6"/>
    <m/>
    <e v="#N/A"/>
  </r>
  <r>
    <d v="2025-08-16T13:03:59"/>
    <s v="Aug-25"/>
    <x v="0"/>
    <s v="MPG"/>
    <d v="2017-09-01T00:00:00"/>
    <n v="95"/>
    <x v="62"/>
    <s v="Ballopur "/>
    <s v="jitendra Kumar "/>
    <n v="9304189034"/>
    <s v="EKOMILK ULTRA PRO ANALYSER"/>
    <n v="210822"/>
    <s v="Ekomilk Keyboard"/>
    <s v="RM01018"/>
    <x v="7"/>
    <x v="4"/>
    <n v="1"/>
    <n v="770"/>
    <n v="770"/>
    <n v="138.6"/>
    <n v="908.6"/>
    <m/>
    <s v="Running"/>
  </r>
  <r>
    <d v="2025-08-14T15:59:02"/>
    <s v="Aug-25"/>
    <x v="0"/>
    <s v="MPG"/>
    <d v="2017-09-01T00:00:00"/>
    <n v="95"/>
    <x v="154"/>
    <s v="jakarpura Rmc"/>
    <s v="divakar kumar"/>
    <n v="7277687167"/>
    <s v="EKOMILK ULTRA PRO ANALYSER"/>
    <n v="277240"/>
    <s v="Ekomilk Switch Small"/>
    <s v="RM00466"/>
    <x v="7"/>
    <x v="4"/>
    <n v="1"/>
    <n v="140"/>
    <n v="140"/>
    <n v="25.2"/>
    <n v="165.2"/>
    <m/>
    <s v="Running"/>
  </r>
  <r>
    <d v="2025-08-14T17:14:36"/>
    <s v="Aug-25"/>
    <x v="0"/>
    <s v="MPG"/>
    <d v="2023-05-03T00:00:00"/>
    <n v="27"/>
    <x v="155"/>
    <s v="ANANDPUR"/>
    <s v="rabit kumar "/>
    <n v="9570500064"/>
    <s v="EKOMILK ULTRA PRO ANALYSER"/>
    <n v="387864"/>
    <s v="Fatscan Motor Pump Pipe"/>
    <s v="SF00147"/>
    <x v="7"/>
    <x v="4"/>
    <n v="1"/>
    <n v="125"/>
    <n v="125"/>
    <n v="22.5"/>
    <n v="147.5"/>
    <m/>
    <s v="Running"/>
  </r>
  <r>
    <d v="2025-08-14T17:14:36"/>
    <s v="Aug-25"/>
    <x v="0"/>
    <s v="MPG"/>
    <d v="2023-05-03T00:00:00"/>
    <n v="27"/>
    <x v="155"/>
    <s v="ANANDPUR"/>
    <s v="rabit kumar "/>
    <n v="9570500064"/>
    <s v="EKOMILK ULTRA PRO ANALYSER"/>
    <n v="387864"/>
    <s v="Fatscan Motor Pump Pipe"/>
    <s v="SF00147"/>
    <x v="7"/>
    <x v="4"/>
    <n v="1"/>
    <n v="125"/>
    <n v="125"/>
    <n v="22.5"/>
    <n v="147.5"/>
    <m/>
    <s v="Running"/>
  </r>
  <r>
    <d v="2025-08-14T13:08:33"/>
    <s v="Aug-25"/>
    <x v="0"/>
    <s v="MPG"/>
    <d v="2022-05-16T00:00:00"/>
    <n v="38"/>
    <x v="156"/>
    <s v="farda Ravi Roy tola"/>
    <s v="ramasish roy"/>
    <n v="8540013067"/>
    <s v="Everest Smart Tab-based Android Terminal (Table-top) with Inbuilt Printer"/>
    <s v="gtd-23014036"/>
    <s v="Battery 3.7V/2600Mah"/>
    <s v="RM01787"/>
    <x v="7"/>
    <x v="4"/>
    <n v="1"/>
    <n v="350"/>
    <n v="350"/>
    <n v="63"/>
    <n v="413"/>
    <m/>
    <s v="Running"/>
  </r>
  <r>
    <d v="2025-08-14T13:08:00"/>
    <s v="Aug-25"/>
    <x v="0"/>
    <s v="MPG"/>
    <d v="2022-05-16T00:00:00"/>
    <n v="38"/>
    <x v="156"/>
    <s v="farda Ravi Roy tola"/>
    <s v="ramasish roy"/>
    <n v="8540013067"/>
    <s v="WEIGHING SCALE 60 KG"/>
    <s v="GE-19122132"/>
    <s v="EWS Battery Backup SMPS (BBLC)"/>
    <s v="RM01040"/>
    <x v="7"/>
    <x v="4"/>
    <n v="1"/>
    <n v="825"/>
    <n v="825"/>
    <n v="148.5"/>
    <n v="973.5"/>
    <m/>
    <s v="Running"/>
  </r>
  <r>
    <d v="2025-08-12T16:27:51"/>
    <s v="Aug-25"/>
    <x v="0"/>
    <s v="MPG"/>
    <d v="2025-08-16T00:00:00"/>
    <s v=""/>
    <x v="157"/>
    <s v="Hajipur"/>
    <s v="Ajeet kumar "/>
    <n v="7563821238"/>
    <s v="EKOMILK ULTRA PRO ANALYSER"/>
    <n v="382430"/>
    <s v="Fatscan Sensor to Syringe Pipe"/>
    <s v="SF00146"/>
    <x v="7"/>
    <x v="4"/>
    <n v="1"/>
    <n v="44"/>
    <n v="44"/>
    <n v="7.92"/>
    <n v="51.92"/>
    <m/>
    <s v="Running"/>
  </r>
  <r>
    <d v="2025-08-12T16:27:51"/>
    <s v="Aug-25"/>
    <x v="0"/>
    <s v="MPG"/>
    <d v="2025-08-16T00:00:00"/>
    <s v=""/>
    <x v="157"/>
    <s v="Hajipur"/>
    <s v="Ajeet kumar "/>
    <n v="7563821238"/>
    <s v="EKOMILK ULTRA PRO ANALYSER"/>
    <n v="382430"/>
    <s v="Fatscan Sensor to Syringe Pipe"/>
    <s v="SF00146"/>
    <x v="7"/>
    <x v="4"/>
    <n v="1"/>
    <n v="44"/>
    <n v="44"/>
    <n v="7.92"/>
    <n v="51.92"/>
    <m/>
    <s v="Running"/>
  </r>
  <r>
    <d v="2025-08-12T16:27:51"/>
    <s v="Aug-25"/>
    <x v="0"/>
    <s v="MPG"/>
    <d v="2025-08-16T00:00:00"/>
    <s v=""/>
    <x v="157"/>
    <s v="Hajipur"/>
    <s v="Ajeet kumar "/>
    <n v="7563821238"/>
    <s v="EKOMILK ULTRA PRO ANALYSER"/>
    <n v="382430"/>
    <s v="Fatscan &quot; Y &quot; Pipe"/>
    <s v="SF00145"/>
    <x v="7"/>
    <x v="4"/>
    <n v="1"/>
    <n v="84"/>
    <n v="84"/>
    <n v="15.12"/>
    <n v="99.12"/>
    <m/>
    <s v="Running"/>
  </r>
  <r>
    <d v="2025-08-12T16:27:51"/>
    <s v="Aug-25"/>
    <x v="0"/>
    <s v="MPG"/>
    <d v="2025-08-16T00:00:00"/>
    <s v=""/>
    <x v="157"/>
    <s v="Hajipur"/>
    <s v="Ajeet kumar "/>
    <n v="7563821238"/>
    <s v="EKOMILK ULTRA PRO ANALYSER"/>
    <n v="382430"/>
    <s v="Ekomilk Sieringe With Plunger"/>
    <s v="RM00530"/>
    <x v="7"/>
    <x v="4"/>
    <n v="1"/>
    <n v="70"/>
    <n v="70"/>
    <n v="12.6"/>
    <n v="82.6"/>
    <m/>
    <s v="Running"/>
  </r>
  <r>
    <d v="2025-08-12T16:30:04"/>
    <s v="Aug-25"/>
    <x v="0"/>
    <s v="MPG"/>
    <d v="2023-10-06T00:00:00"/>
    <n v="22"/>
    <x v="158"/>
    <s v="Gomukh Rani"/>
    <s v="Vikas Kumar "/>
    <n v="6299308278"/>
    <s v="EKOMILK ULTRA PRO ANALYSER"/>
    <n v="382427"/>
    <s v="Fatscan Sensor to Syringe Pipe"/>
    <s v="SF00146"/>
    <x v="7"/>
    <x v="4"/>
    <n v="1"/>
    <n v="44"/>
    <n v="44"/>
    <n v="7.92"/>
    <n v="51.92"/>
    <m/>
    <s v="Running"/>
  </r>
  <r>
    <d v="2025-08-12T16:30:04"/>
    <s v="Aug-25"/>
    <x v="0"/>
    <s v="MPG"/>
    <d v="2023-10-06T00:00:00"/>
    <n v="22"/>
    <x v="158"/>
    <s v="Gomukh Rani"/>
    <s v="Vikas Kumar "/>
    <n v="6299308278"/>
    <s v="EKOMILK ULTRA PRO ANALYSER"/>
    <n v="382427"/>
    <s v="Fatscan Sensor to Syringe Pipe"/>
    <s v="SF00146"/>
    <x v="7"/>
    <x v="4"/>
    <n v="1"/>
    <n v="44"/>
    <n v="44"/>
    <n v="7.92"/>
    <n v="51.92"/>
    <m/>
    <s v="Running"/>
  </r>
  <r>
    <d v="2025-08-12T16:30:04"/>
    <s v="Aug-25"/>
    <x v="0"/>
    <s v="MPG"/>
    <d v="2023-10-06T00:00:00"/>
    <n v="22"/>
    <x v="158"/>
    <s v="Gomukh Rani"/>
    <s v="Vikas Kumar "/>
    <n v="6299308278"/>
    <s v="EKOMILK ULTRA PRO ANALYSER"/>
    <n v="382427"/>
    <s v="Fatscan &quot; Y &quot; Pipe"/>
    <s v="SF00145"/>
    <x v="7"/>
    <x v="4"/>
    <n v="1"/>
    <n v="84"/>
    <n v="84"/>
    <n v="15.12"/>
    <n v="99.12"/>
    <m/>
    <s v="Running"/>
  </r>
  <r>
    <d v="2025-08-01T09:34:24"/>
    <s v="Aug-25"/>
    <x v="0"/>
    <s v="BMC"/>
    <e v="#N/A"/>
    <s v=""/>
    <x v="25"/>
    <s v="Manjhaul"/>
    <s v="chaitanya"/>
    <n v="9354051773"/>
    <s v="WEIGHING SCALE 60 KG"/>
    <s v="gne-23024414"/>
    <s v="SWS Motherboard (Version 1.1)"/>
    <s v="RM01302"/>
    <x v="7"/>
    <x v="4"/>
    <n v="1"/>
    <n v="2080"/>
    <n v="2080"/>
    <n v="374.4"/>
    <n v="2454.4"/>
    <m/>
    <e v="#N/A"/>
  </r>
  <r>
    <d v="2025-08-01T15:10:17"/>
    <s v="Aug-25"/>
    <x v="0"/>
    <s v="MPG"/>
    <d v="2023-03-01T00:00:00"/>
    <n v="29"/>
    <x v="159"/>
    <s v="adarsh laxmipur 3 "/>
    <s v="Munna Kumar "/>
    <n v="6201219671"/>
    <s v="EKOMILK ULTRA PRO ANALYSER"/>
    <n v="368513"/>
    <s v="Ekomilk Keyboard"/>
    <s v="RM01018"/>
    <x v="7"/>
    <x v="4"/>
    <n v="1"/>
    <n v="770"/>
    <n v="770"/>
    <n v="138.6"/>
    <n v="908.6"/>
    <m/>
    <s v="Running"/>
  </r>
  <r>
    <d v="2025-08-01T15:07:38"/>
    <s v="Aug-25"/>
    <x v="0"/>
    <s v="MPG"/>
    <d v="2017-09-01T00:00:00"/>
    <n v="95"/>
    <x v="160"/>
    <s v=" pipariya dih 2"/>
    <s v="Rajesh Kumar "/>
    <n v="8581963017"/>
    <s v="WEIGHING SCALE 60 KG"/>
    <s v="E-214082359"/>
    <s v="Connector 5 Pin Metal M/F"/>
    <s v="RM00727"/>
    <x v="7"/>
    <x v="4"/>
    <n v="1"/>
    <n v="225"/>
    <n v="225"/>
    <n v="40.5"/>
    <n v="265.5"/>
    <m/>
    <s v="Running"/>
  </r>
  <r>
    <d v="2025-08-12T15:11:11"/>
    <s v="Aug-25"/>
    <x v="0"/>
    <s v="MPG"/>
    <d v="2024-02-01T00:00:00"/>
    <n v="18"/>
    <x v="161"/>
    <s v="Ghatoh east"/>
    <s v="Pinki Kumari"/>
    <n v="6204070405"/>
    <s v="WEIGHING SCALE 60 KG"/>
    <s v="GNE-23061061"/>
    <s v="SWS Motherboard (Version 1.1)"/>
    <s v="RM01371"/>
    <x v="7"/>
    <x v="4"/>
    <n v="1"/>
    <n v="2080"/>
    <n v="2080"/>
    <n v="374.4"/>
    <n v="2454.4"/>
    <m/>
    <s v="Nov'25 Closed"/>
  </r>
  <r>
    <d v="2025-08-12T15:14:13"/>
    <s v="Aug-25"/>
    <x v="0"/>
    <s v="MPG"/>
    <d v="2025-05-16T00:00:00"/>
    <n v="2"/>
    <x v="90"/>
    <s v="Mordiwa east"/>
    <s v=" vivek "/>
    <n v="7079418432"/>
    <s v="Everest Smart Tab-based Android Terminal (Table-top) with Inbuilt Printer"/>
    <s v="GTD-23060356"/>
    <s v="Battery 3.7V/2600Mah"/>
    <s v="RM01787"/>
    <x v="7"/>
    <x v="4"/>
    <n v="1"/>
    <n v="350"/>
    <n v="350"/>
    <n v="63"/>
    <n v="413"/>
    <m/>
    <s v="Running"/>
  </r>
  <r>
    <d v="2025-08-12T15:12:39"/>
    <s v="Aug-25"/>
    <x v="0"/>
    <s v="MPG"/>
    <d v="2025-01-09T00:00:00"/>
    <n v="7"/>
    <x v="59"/>
    <s v="Gomukh Bochaha"/>
    <s v=" sopander ray"/>
    <n v="9939074043"/>
    <s v="WEIGHING SCALE 60 KG"/>
    <s v="GE-19122123"/>
    <s v="Keyboard For Weighing Scale (Repaired)"/>
    <s v="SF00048"/>
    <x v="7"/>
    <x v="4"/>
    <n v="1"/>
    <n v="360"/>
    <n v="360"/>
    <n v="64.8"/>
    <n v="424.8"/>
    <m/>
    <s v="Running"/>
  </r>
  <r>
    <d v="2025-08-11T11:58:17"/>
    <s v="Aug-25"/>
    <x v="0"/>
    <s v="MPG"/>
    <d v="2023-02-25T00:00:00"/>
    <n v="29"/>
    <x v="54"/>
    <s v="Rohua"/>
    <s v="Baliram ray"/>
    <n v="9546230615"/>
    <s v="STIRRER UNIT EV5600"/>
    <s v="GS-19111794"/>
    <s v="Stirrer Timer PCB"/>
    <s v="RM00478"/>
    <x v="7"/>
    <x v="4"/>
    <n v="1"/>
    <n v="900"/>
    <n v="900"/>
    <n v="162"/>
    <n v="1062"/>
    <m/>
    <s v="Running"/>
  </r>
  <r>
    <d v="2025-08-09T16:45:41"/>
    <s v="Aug-25"/>
    <x v="0"/>
    <s v="MPG"/>
    <d v="2024-10-25T00:00:00"/>
    <n v="9"/>
    <x v="79"/>
    <s v="Gomukh Pahadpur"/>
    <s v="Arvind Pal"/>
    <n v="9931327599"/>
    <s v="EKOMILK ULTRA PRO ANALYSER"/>
    <n v="360516"/>
    <s v="Ekomilk LCD Display"/>
    <s v="RM01020"/>
    <x v="7"/>
    <x v="4"/>
    <n v="1"/>
    <n v="790"/>
    <n v="790"/>
    <n v="142.19999999999999"/>
    <n v="932.2"/>
    <m/>
    <s v="Running"/>
  </r>
  <r>
    <d v="2025-08-01T16:56:57"/>
    <s v="Aug-25"/>
    <x v="0"/>
    <s v="BMC"/>
    <e v="#N/A"/>
    <s v=""/>
    <x v="35"/>
    <s v="musrigharai store"/>
    <s v="prakash"/>
    <n v="9608956246"/>
    <s v="WEIGHING SCALE 60 KG"/>
    <s v="E-17127259"/>
    <s v="Weighing Scale Motherboard Old"/>
    <s v="RM01036"/>
    <x v="7"/>
    <x v="4"/>
    <n v="1"/>
    <n v="2080"/>
    <n v="2080"/>
    <n v="374.4"/>
    <n v="2454.4"/>
    <m/>
    <e v="#N/A"/>
  </r>
  <r>
    <d v="2025-08-01T16:56:57"/>
    <s v="Aug-25"/>
    <x v="0"/>
    <s v="BMC"/>
    <e v="#N/A"/>
    <s v=""/>
    <x v="35"/>
    <s v="musrigharai store"/>
    <s v="prakash"/>
    <n v="9608956246"/>
    <s v="WEIGHING SCALE 60 KG"/>
    <s v="E-17127259"/>
    <s v="IC AT 89S52 Programing"/>
    <s v="RM00194"/>
    <x v="7"/>
    <x v="4"/>
    <n v="1"/>
    <n v="788"/>
    <n v="788"/>
    <n v="141.84"/>
    <n v="929.84"/>
    <m/>
    <e v="#N/A"/>
  </r>
  <r>
    <d v="2025-08-01T15:32:02"/>
    <s v="Aug-25"/>
    <x v="0"/>
    <s v="MPG"/>
    <d v="2020-10-19T00:00:00"/>
    <n v="57"/>
    <x v="51"/>
    <s v="Sarmaspura"/>
    <s v="Rajeev Kumar "/>
    <n v="8582040558"/>
    <s v="EKOMILK ULTRA PRO ANALYSER"/>
    <n v="310437"/>
    <s v="Ekomilk Sieringe With Plunger"/>
    <s v="RM00530"/>
    <x v="7"/>
    <x v="4"/>
    <n v="1"/>
    <n v="70"/>
    <n v="70"/>
    <n v="12.6"/>
    <n v="82.6"/>
    <m/>
    <s v="Oct '25 Closed"/>
  </r>
  <r>
    <d v="2025-08-01T15:32:02"/>
    <s v="Aug-25"/>
    <x v="0"/>
    <s v="MPG"/>
    <d v="2020-10-19T00:00:00"/>
    <n v="57"/>
    <x v="51"/>
    <s v="Sarmaspura"/>
    <s v="Rajeev Kumar "/>
    <n v="8582040558"/>
    <s v="EKOMILK ULTRA PRO ANALYSER"/>
    <n v="310437"/>
    <s v="Ekomilk Sieringe With Plunger"/>
    <s v="RM00530"/>
    <x v="7"/>
    <x v="4"/>
    <n v="1"/>
    <n v="70"/>
    <n v="70"/>
    <n v="12.6"/>
    <n v="82.6"/>
    <m/>
    <s v="Oct '25 Closed"/>
  </r>
  <r>
    <d v="2025-08-01T15:32:02"/>
    <s v="Aug-25"/>
    <x v="0"/>
    <s v="MPG"/>
    <d v="2020-10-19T00:00:00"/>
    <n v="57"/>
    <x v="51"/>
    <s v="Sarmaspura"/>
    <s v="Rajeev Kumar "/>
    <n v="8582040558"/>
    <s v="EKOMILK ULTRA PRO ANALYSER"/>
    <n v="310437"/>
    <s v="Fatscan &quot; Y &quot; Pipe"/>
    <s v="SF00145"/>
    <x v="7"/>
    <x v="4"/>
    <n v="1"/>
    <n v="84"/>
    <n v="84"/>
    <n v="15.12"/>
    <n v="99.12"/>
    <m/>
    <s v="Oct '25 Closed"/>
  </r>
  <r>
    <d v="2025-08-08T13:31:05"/>
    <s v="Aug-25"/>
    <x v="0"/>
    <s v="MPG"/>
    <d v="2025-01-23T00:00:00"/>
    <n v="6"/>
    <x v="111"/>
    <s v="Brahmpur "/>
    <s v="Mohit Kumar "/>
    <n v="7050137685"/>
    <s v="Everest Smart Tab-based Android Terminal (Table-top) with Inbuilt Printer"/>
    <s v="gtd-23013906"/>
    <s v="DPU Thermal Printer EPM 207"/>
    <s v="RM00282"/>
    <x v="7"/>
    <x v="4"/>
    <n v="1"/>
    <n v="2800"/>
    <n v="2800"/>
    <n v="504"/>
    <n v="3304"/>
    <m/>
    <s v="Running"/>
  </r>
  <r>
    <d v="2025-08-08T16:11:57"/>
    <s v="Aug-25"/>
    <x v="0"/>
    <s v="MPG"/>
    <d v="2025-03-29T00:00:00"/>
    <n v="4"/>
    <x v="162"/>
    <s v="Gomukh Gehuni 2"/>
    <s v="Ranjay singh"/>
    <n v="9473190261"/>
    <s v="STIRRER UNIT EV5600"/>
    <s v="GS-23033761"/>
    <s v="Stirrer Power Board"/>
    <s v="RM00477"/>
    <x v="7"/>
    <x v="4"/>
    <n v="1"/>
    <n v="1750"/>
    <n v="1750"/>
    <n v="315"/>
    <n v="2065"/>
    <m/>
    <s v="Running"/>
  </r>
  <r>
    <d v="2025-08-08T16:11:57"/>
    <s v="Aug-25"/>
    <x v="0"/>
    <s v="MPG"/>
    <d v="2025-03-29T00:00:00"/>
    <n v="4"/>
    <x v="162"/>
    <s v="Gomukh Gehuni 2"/>
    <s v="Ranjay singh"/>
    <n v="9473190261"/>
    <s v="STIRRER UNIT EV5600"/>
    <s v="GS-23033761"/>
    <s v="Stirrer Timer PCB"/>
    <s v="RM01050"/>
    <x v="7"/>
    <x v="4"/>
    <n v="1"/>
    <n v="900"/>
    <n v="900"/>
    <n v="162"/>
    <n v="1062"/>
    <m/>
    <s v="Running"/>
  </r>
  <r>
    <d v="2025-08-07T20:55:13"/>
    <s v="Aug-25"/>
    <x v="1"/>
    <s v="BMC"/>
    <e v="#N/A"/>
    <s v=""/>
    <x v="163"/>
    <s v="BASKI 2"/>
    <s v="SUSHMA DEVI"/>
    <n v="7033635509"/>
    <s v="EKOMILK ULTRA PRO ANALYSER"/>
    <n v="329075"/>
    <s v="FatScan Double Sensor Measuring Mini PCB (4 para) with Sensor (Repaired)"/>
    <s v="SF00130"/>
    <x v="8"/>
    <x v="4"/>
    <n v="1"/>
    <n v="8500"/>
    <n v="8500"/>
    <n v="1530"/>
    <n v="10030"/>
    <m/>
    <e v="#N/A"/>
  </r>
  <r>
    <d v="2025-08-07T17:22:31"/>
    <s v="Aug-25"/>
    <x v="0"/>
    <s v="Godown"/>
    <e v="#N/A"/>
    <s v=""/>
    <x v="137"/>
    <s v="Parvaha store"/>
    <s v="Gaurav"/>
    <n v="7631258661"/>
    <s v="EKOMILK ULTRA PRO ANALYSER"/>
    <n v="2349697"/>
    <s v="Ekomilk Air Bubble"/>
    <s v="RM00509"/>
    <x v="7"/>
    <x v="4"/>
    <n v="1"/>
    <n v="62"/>
    <n v="62"/>
    <n v="11.16"/>
    <n v="73.16"/>
    <m/>
    <e v="#N/A"/>
  </r>
  <r>
    <d v="2025-08-07T17:25:04"/>
    <s v="Aug-25"/>
    <x v="0"/>
    <s v="Godown"/>
    <e v="#N/A"/>
    <s v=""/>
    <x v="137"/>
    <s v="Parvaha store"/>
    <s v="Gaurav"/>
    <n v="7631258661"/>
    <s v="EKOMILK ULTRA PRO ANALYSER"/>
    <n v="210407"/>
    <s v="Fatscan &quot; Y &quot; Pipe"/>
    <s v="SF00145"/>
    <x v="7"/>
    <x v="4"/>
    <n v="1"/>
    <n v="84"/>
    <n v="84"/>
    <n v="15.12"/>
    <n v="99.12"/>
    <m/>
    <e v="#N/A"/>
  </r>
  <r>
    <d v="2025-08-07T17:25:04"/>
    <s v="Aug-25"/>
    <x v="0"/>
    <s v="Godown"/>
    <e v="#N/A"/>
    <s v=""/>
    <x v="137"/>
    <s v="Parvaha store"/>
    <s v="Gaurav"/>
    <n v="7631258661"/>
    <s v="EKOMILK ULTRA PRO ANALYSER"/>
    <n v="210407"/>
    <s v="Ekomilk Keyboard"/>
    <s v="RM01018"/>
    <x v="7"/>
    <x v="4"/>
    <n v="1"/>
    <n v="770"/>
    <n v="770"/>
    <n v="138.6"/>
    <n v="908.6"/>
    <m/>
    <e v="#N/A"/>
  </r>
  <r>
    <d v="2025-08-07T17:25:04"/>
    <s v="Aug-25"/>
    <x v="0"/>
    <s v="Godown"/>
    <e v="#N/A"/>
    <s v=""/>
    <x v="137"/>
    <s v="Parvaha store"/>
    <s v="Gaurav"/>
    <n v="7631258661"/>
    <s v="EKOMILK ULTRA PRO ANALYSER"/>
    <n v="210407"/>
    <s v="Ekomilk LCD Display"/>
    <s v="RM01020"/>
    <x v="7"/>
    <x v="4"/>
    <n v="1"/>
    <n v="790"/>
    <n v="790"/>
    <n v="142.19999999999999"/>
    <n v="932.2"/>
    <m/>
    <e v="#N/A"/>
  </r>
  <r>
    <d v="2025-08-07T17:26:11"/>
    <s v="Aug-25"/>
    <x v="0"/>
    <s v="Godown"/>
    <e v="#N/A"/>
    <s v=""/>
    <x v="137"/>
    <s v="Parvaha store"/>
    <s v="Gaurav"/>
    <n v="7631258661"/>
    <s v="EKOMILK ULTRA PRO ANALYSER"/>
    <n v="382434"/>
    <s v="Ekomilk Keyboard"/>
    <s v="RM01018"/>
    <x v="7"/>
    <x v="4"/>
    <n v="1"/>
    <n v="770"/>
    <n v="770"/>
    <n v="138.6"/>
    <n v="908.6"/>
    <m/>
    <e v="#N/A"/>
  </r>
  <r>
    <d v="2025-08-07T17:26:11"/>
    <s v="Aug-25"/>
    <x v="0"/>
    <s v="Godown"/>
    <e v="#N/A"/>
    <s v=""/>
    <x v="137"/>
    <s v="Parvaha store"/>
    <s v="Gaurav"/>
    <n v="7631258661"/>
    <s v="EKOMILK ULTRA PRO ANALYSER"/>
    <n v="382434"/>
    <s v="Ekomilk Motorpump Set New"/>
    <s v="TR00182"/>
    <x v="7"/>
    <x v="4"/>
    <n v="1"/>
    <n v="2000"/>
    <n v="2000"/>
    <n v="360"/>
    <n v="2360"/>
    <m/>
    <e v="#N/A"/>
  </r>
  <r>
    <d v="2025-08-06T16:52:15"/>
    <s v="Aug-25"/>
    <x v="1"/>
    <s v="MPG"/>
    <e v="#N/A"/>
    <s v=""/>
    <x v="109"/>
    <s v="Dighiya"/>
    <s v="Sohel Ansari"/>
    <n v="8709453609"/>
    <s v="EKOMILK ULTRA PRO ANALYSER"/>
    <n v="390572"/>
    <s v="FatScan Double Sensor Measuring Mini PCB (4 para) with Sensor (Repaired)"/>
    <s v="SF00130"/>
    <x v="8"/>
    <x v="4"/>
    <n v="1"/>
    <n v="8500"/>
    <n v="8500"/>
    <n v="1530"/>
    <n v="10030"/>
    <m/>
    <e v="#N/A"/>
  </r>
  <r>
    <d v="2025-08-06T20:11:40"/>
    <s v="Aug-25"/>
    <x v="1"/>
    <s v="MPG"/>
    <e v="#N/A"/>
    <s v=""/>
    <x v="164"/>
    <s v="RONHE"/>
    <s v="VIJAY XALXO"/>
    <n v="7561962180"/>
    <s v="EKOMILK ULTRA PRO ANALYSER"/>
    <n v="385970"/>
    <s v="FatScan Double Sensor Measuring Mini PCB (4 para) with Sensor (Repaired)"/>
    <s v="SF00130"/>
    <x v="8"/>
    <x v="4"/>
    <n v="1"/>
    <n v="8500"/>
    <n v="8500"/>
    <n v="1530"/>
    <n v="10030"/>
    <m/>
    <e v="#N/A"/>
  </r>
  <r>
    <d v="2025-08-06T19:56:43"/>
    <s v="Aug-25"/>
    <x v="1"/>
    <s v="BMC"/>
    <e v="#N/A"/>
    <s v=""/>
    <x v="68"/>
    <s v="Pali"/>
    <s v="Ashok Sahu"/>
    <n v="8709856463"/>
    <s v="EKOMILK ULTRA PRO ANALYSER"/>
    <n v="385608"/>
    <s v="FatScan Double Sensor Measuring Mini PCB (4 para) with Sensor (Repaired)"/>
    <s v="SF00130"/>
    <x v="8"/>
    <x v="4"/>
    <n v="1"/>
    <n v="8500"/>
    <n v="8500"/>
    <n v="1530"/>
    <n v="10030"/>
    <m/>
    <e v="#N/A"/>
  </r>
  <r>
    <d v="2025-08-06T16:48:06"/>
    <s v="Aug-25"/>
    <x v="0"/>
    <s v="MPG"/>
    <d v="2025-08-03T00:00:00"/>
    <n v="0"/>
    <x v="165"/>
    <s v="KARAUT"/>
    <s v="CHHOTU KUMAR"/>
    <n v="9142837410"/>
    <s v="STIRRER UNIT EV5600"/>
    <s v="S-17096122"/>
    <s v="Stirrer Timer PCB"/>
    <s v="RM01050"/>
    <x v="7"/>
    <x v="4"/>
    <n v="1"/>
    <n v="900"/>
    <n v="900"/>
    <n v="162"/>
    <n v="1062"/>
    <m/>
    <s v="Running"/>
  </r>
  <r>
    <d v="2025-08-06T16:47:04"/>
    <s v="Aug-25"/>
    <x v="0"/>
    <s v="MPG"/>
    <d v="2017-09-01T00:00:00"/>
    <n v="95"/>
    <x v="166"/>
    <s v="aure "/>
    <s v="Raushan Kumar "/>
    <n v="8877986410"/>
    <s v="WEIGHING SCALE 60 KG"/>
    <s v="GNE-22050120"/>
    <s v="Keyboard For Weighing Scale New Design"/>
    <s v="RM01176"/>
    <x v="7"/>
    <x v="4"/>
    <n v="1"/>
    <n v="1266"/>
    <n v="1266"/>
    <n v="227.88"/>
    <n v="1493.88"/>
    <m/>
    <s v="Running"/>
  </r>
  <r>
    <d v="2025-08-06T16:46:56"/>
    <s v="Aug-25"/>
    <x v="0"/>
    <s v="MPG"/>
    <d v="2017-09-01T00:00:00"/>
    <n v="95"/>
    <x v="166"/>
    <s v="aure "/>
    <s v="Raushan Kumar "/>
    <n v="8877986410"/>
    <s v="EKOMILK ULTRA PRO ANALYSER"/>
    <n v="362915"/>
    <s v="Ekomilk Sieringe With Plunger"/>
    <s v="RM00530"/>
    <x v="7"/>
    <x v="4"/>
    <n v="1"/>
    <n v="70"/>
    <n v="70"/>
    <n v="12.6"/>
    <n v="82.6"/>
    <m/>
    <s v="Running"/>
  </r>
  <r>
    <d v="2025-08-06T16:46:56"/>
    <s v="Aug-25"/>
    <x v="0"/>
    <s v="MPG"/>
    <d v="2017-09-01T00:00:00"/>
    <n v="95"/>
    <x v="166"/>
    <s v="aure "/>
    <s v="Raushan Kumar "/>
    <n v="8877986410"/>
    <s v="EKOMILK ULTRA PRO ANALYSER"/>
    <n v="362915"/>
    <s v="Ekomilk Sieringe With Plunger"/>
    <s v="RM00530"/>
    <x v="7"/>
    <x v="4"/>
    <n v="1"/>
    <n v="70"/>
    <n v="70"/>
    <n v="12.6"/>
    <n v="82.6"/>
    <m/>
    <s v="Running"/>
  </r>
  <r>
    <d v="2025-08-05T13:59:35"/>
    <s v="Aug-25"/>
    <x v="1"/>
    <s v="BMC"/>
    <e v="#N/A"/>
    <s v=""/>
    <x v="22"/>
    <s v="Itki"/>
    <s v="Amit Tiwari "/>
    <n v="8210761749"/>
    <s v="Everest Smart Tab-based Android Terminal (Table-top) with Inbuilt Printer"/>
    <s v="GTD-23060345"/>
    <s v="DPU Thermal Printer EPM 207"/>
    <s v="RM00282"/>
    <x v="8"/>
    <x v="4"/>
    <n v="1"/>
    <n v="2800"/>
    <n v="2800"/>
    <n v="504"/>
    <n v="3304"/>
    <m/>
    <e v="#N/A"/>
  </r>
  <r>
    <d v="2025-08-05T17:16:11"/>
    <s v="Aug-25"/>
    <x v="0"/>
    <s v="MPG"/>
    <d v="2017-09-01T00:00:00"/>
    <n v="95"/>
    <x v="160"/>
    <s v=" pipariya dih 2"/>
    <s v="Rajesh Kumar "/>
    <n v="8581963017"/>
    <s v="WEIGHING SCALE 60 KG"/>
    <s v="E-214082359"/>
    <s v="Load Cell 100 Kg 60310"/>
    <s v="RM00006"/>
    <x v="7"/>
    <x v="4"/>
    <n v="1"/>
    <n v="2800"/>
    <n v="2800"/>
    <n v="504"/>
    <n v="3304"/>
    <m/>
    <s v="Running"/>
  </r>
  <r>
    <d v="2025-08-05T13:27:25"/>
    <s v="Aug-25"/>
    <x v="0"/>
    <s v="MPG"/>
    <d v="2025-08-01T00:00:00"/>
    <n v="0"/>
    <x v="167"/>
    <s v="GOMUKH KISHANPUR TABHKA"/>
    <s v="krishana"/>
    <n v="9570339234"/>
    <s v="WEIGHING SCALE 60 KG"/>
    <s v="e-17127297"/>
    <s v="Connector 5 Pin Metal M/F"/>
    <s v="RM00727"/>
    <x v="7"/>
    <x v="4"/>
    <n v="1"/>
    <n v="225"/>
    <n v="225"/>
    <n v="40.5"/>
    <n v="265.5"/>
    <m/>
    <s v="Running"/>
  </r>
  <r>
    <d v="2025-08-05T13:27:25"/>
    <s v="Aug-25"/>
    <x v="0"/>
    <s v="MPG"/>
    <d v="2025-08-01T00:00:00"/>
    <n v="0"/>
    <x v="167"/>
    <s v="GOMUKH KISHANPUR TABHKA"/>
    <s v="krishana"/>
    <n v="9570339234"/>
    <s v="WEIGHING SCALE 60 KG"/>
    <s v="e-17127297"/>
    <s v="Load Cell 100 Kg 60310"/>
    <s v="RM01004"/>
    <x v="7"/>
    <x v="4"/>
    <n v="1"/>
    <n v="2800"/>
    <n v="2800"/>
    <n v="504"/>
    <n v="3304"/>
    <m/>
    <s v="Running"/>
  </r>
  <r>
    <d v="2025-08-05T17:16:55"/>
    <s v="Aug-25"/>
    <x v="0"/>
    <s v="MPG"/>
    <d v="2023-10-06T00:00:00"/>
    <n v="21"/>
    <x v="168"/>
    <s v="gobind bigha "/>
    <s v="nitu Devi "/>
    <n v="8210313665"/>
    <s v="WEIGHING SCALE 60 KG"/>
    <s v="GNE-23061080"/>
    <s v="Load Cell 100 Kg 60310"/>
    <s v="RM00006"/>
    <x v="7"/>
    <x v="4"/>
    <n v="1"/>
    <n v="2800"/>
    <n v="2800"/>
    <n v="504"/>
    <n v="3304"/>
    <m/>
    <s v="Running"/>
  </r>
  <r>
    <d v="2025-08-05T17:16:55"/>
    <s v="Aug-25"/>
    <x v="0"/>
    <s v="MPG"/>
    <d v="2023-10-06T00:00:00"/>
    <n v="21"/>
    <x v="168"/>
    <s v="gobind bigha "/>
    <s v="nitu Devi "/>
    <n v="8210313665"/>
    <s v="WEIGHING SCALE 60 KG"/>
    <s v="GNE-23061080"/>
    <s v="Connector 5 Pin Metal M/F"/>
    <s v="RM00727"/>
    <x v="7"/>
    <x v="4"/>
    <n v="1"/>
    <n v="225"/>
    <n v="225"/>
    <n v="40.5"/>
    <n v="265.5"/>
    <m/>
    <s v="Running"/>
  </r>
  <r>
    <d v="2025-08-05T14:05:20"/>
    <s v="Aug-25"/>
    <x v="0"/>
    <s v="MPG"/>
    <d v="2025-08-01T00:00:00"/>
    <n v="0"/>
    <x v="167"/>
    <s v="GOMUKH KISHANPUR TABHKA"/>
    <s v="krishana"/>
    <n v="9570339234"/>
    <s v="Everest Smart Tab-based Android Terminal (Table-top) with Inbuilt Printer"/>
    <s v="GTD-23013893"/>
    <s v="DPU Thermal Printer EPM 207"/>
    <s v="RM00282"/>
    <x v="7"/>
    <x v="4"/>
    <n v="1"/>
    <n v="2800"/>
    <n v="2800"/>
    <n v="504"/>
    <n v="3304"/>
    <m/>
    <s v="Running"/>
  </r>
  <r>
    <d v="2025-08-05T14:00:47"/>
    <s v="Aug-25"/>
    <x v="0"/>
    <s v="MPG"/>
    <d v="2022-11-01T00:00:00"/>
    <n v="33"/>
    <x v="169"/>
    <s v="jakhaur "/>
    <s v="Niraj Singh "/>
    <n v="6202734219"/>
    <s v="WEIGHING SCALE 60 KG"/>
    <s v="E-17116788"/>
    <s v="Keyboard For Weighing Scale (Repaired)"/>
    <s v="SF00048"/>
    <x v="7"/>
    <x v="4"/>
    <n v="1"/>
    <n v="360"/>
    <n v="360"/>
    <n v="64.8"/>
    <n v="424.8"/>
    <m/>
    <s v="Running"/>
  </r>
  <r>
    <d v="2025-08-05T14:00:20"/>
    <s v="Aug-25"/>
    <x v="0"/>
    <s v="MPG"/>
    <d v="2022-11-01T00:00:00"/>
    <n v="33"/>
    <x v="169"/>
    <s v="jakhaur "/>
    <s v="Niraj Singh "/>
    <n v="6202734219"/>
    <s v="EKOMILK ULTRA PRO ANALYSER"/>
    <n v="193585"/>
    <s v="Ekomilk Sieringe With Plunger"/>
    <s v="RM00530"/>
    <x v="7"/>
    <x v="4"/>
    <n v="1"/>
    <n v="70"/>
    <n v="70"/>
    <n v="12.6"/>
    <n v="82.6"/>
    <m/>
    <s v="Running"/>
  </r>
  <r>
    <d v="2025-08-05T14:00:20"/>
    <s v="Aug-25"/>
    <x v="0"/>
    <s v="MPG"/>
    <d v="2022-11-01T00:00:00"/>
    <n v="33"/>
    <x v="169"/>
    <s v="jakhaur "/>
    <s v="Niraj Singh "/>
    <n v="6202734219"/>
    <s v="EKOMILK ULTRA PRO ANALYSER"/>
    <n v="193585"/>
    <s v="Ekomilk Sieringe With Plunger"/>
    <s v="RM00530"/>
    <x v="7"/>
    <x v="4"/>
    <n v="1"/>
    <n v="70"/>
    <n v="70"/>
    <n v="12.6"/>
    <n v="82.6"/>
    <m/>
    <s v="Running"/>
  </r>
  <r>
    <d v="2025-08-05T12:34:33"/>
    <s v="Aug-25"/>
    <x v="0"/>
    <s v="MPG"/>
    <d v="2023-01-17T00:00:00"/>
    <n v="30"/>
    <x v="94"/>
    <s v="telgama"/>
    <s v="Rajesh "/>
    <n v="7549794524"/>
    <s v="EKOMILK ULTRA PRO ANALYSER"/>
    <n v="322427"/>
    <s v="Ekomilk Sieringe With Plunger"/>
    <s v="RM00530"/>
    <x v="7"/>
    <x v="4"/>
    <n v="1"/>
    <n v="70"/>
    <n v="70"/>
    <n v="12.6"/>
    <n v="82.6"/>
    <m/>
    <s v="Running"/>
  </r>
  <r>
    <d v="2025-08-05T12:34:33"/>
    <s v="Aug-25"/>
    <x v="0"/>
    <s v="MPG"/>
    <d v="2023-01-17T00:00:00"/>
    <n v="30"/>
    <x v="94"/>
    <s v="telgama"/>
    <s v="Rajesh "/>
    <n v="7549794524"/>
    <s v="EKOMILK ULTRA PRO ANALYSER"/>
    <n v="322427"/>
    <s v="Fatscan &quot; Y &quot; Pipe"/>
    <s v="SF00145"/>
    <x v="7"/>
    <x v="4"/>
    <n v="1"/>
    <n v="84"/>
    <n v="84"/>
    <n v="15.12"/>
    <n v="99.12"/>
    <m/>
    <s v="Running"/>
  </r>
  <r>
    <d v="2025-08-05T13:59:26"/>
    <s v="Aug-25"/>
    <x v="0"/>
    <s v="MPG"/>
    <d v="2023-01-18T00:00:00"/>
    <n v="30"/>
    <x v="170"/>
    <s v="tajpur "/>
    <s v="vinod kumar "/>
    <n v="9122045100"/>
    <s v="Everest Smart Tab-based Android Terminal (Table-top) with Inbuilt Printer"/>
    <s v="GTD-22122532"/>
    <s v="DPU Thermal Printer EPM 207"/>
    <s v="RM00282"/>
    <x v="7"/>
    <x v="4"/>
    <n v="1"/>
    <n v="2800"/>
    <n v="2800"/>
    <n v="504"/>
    <n v="3304"/>
    <m/>
    <s v="Running"/>
  </r>
  <r>
    <d v="2025-08-05T18:48:36"/>
    <s v="Aug-25"/>
    <x v="1"/>
    <s v="MPG"/>
    <e v="#N/A"/>
    <s v=""/>
    <x v="171"/>
    <s v="Narkopi 2"/>
    <s v="Firoj Ansari "/>
    <n v="6205713854"/>
    <s v="EKOMILK ULTRA PRO ANALYSER"/>
    <n v="360610"/>
    <s v="Ekomilk Keyboard"/>
    <s v="RM01018"/>
    <x v="8"/>
    <x v="4"/>
    <n v="1"/>
    <n v="770"/>
    <n v="770"/>
    <n v="138.6"/>
    <n v="908.6"/>
    <m/>
    <e v="#N/A"/>
  </r>
  <r>
    <d v="2025-08-05T18:48:36"/>
    <s v="Aug-25"/>
    <x v="1"/>
    <s v="MPG"/>
    <e v="#N/A"/>
    <s v=""/>
    <x v="171"/>
    <s v="Narkopi 2"/>
    <s v="Firoj Ansari "/>
    <n v="6205713854"/>
    <s v="EKOMILK ULTRA PRO ANALYSER"/>
    <n v="360610"/>
    <s v="Ekomilk Sieringe With Plunger"/>
    <s v="RM00530"/>
    <x v="8"/>
    <x v="4"/>
    <n v="1"/>
    <n v="70"/>
    <n v="70"/>
    <n v="12.6"/>
    <n v="82.6"/>
    <m/>
    <e v="#N/A"/>
  </r>
  <r>
    <d v="2025-08-04T11:46:46"/>
    <s v="Aug-25"/>
    <x v="1"/>
    <s v="MPG"/>
    <e v="#N/A"/>
    <s v=""/>
    <x v="105"/>
    <s v="Bijuliya"/>
    <s v="Ajit kumar sahu"/>
    <n v="9835904490"/>
    <s v="Everest Smart Tab-based Android Terminal (Table-top) with Inbuilt Printer"/>
    <s v="GTD-23060305"/>
    <s v="DPU Thermal Printer EPM 207"/>
    <s v="RM00282"/>
    <x v="8"/>
    <x v="4"/>
    <n v="1"/>
    <n v="2800"/>
    <n v="2800"/>
    <n v="504"/>
    <n v="3304"/>
    <m/>
    <e v="#N/A"/>
  </r>
  <r>
    <d v="2025-08-04T11:42:36"/>
    <s v="Aug-25"/>
    <x v="1"/>
    <s v="MPG"/>
    <e v="#N/A"/>
    <s v=""/>
    <x v="172"/>
    <s v="Murto"/>
    <s v="Raj Kumar "/>
    <n v="8789289532"/>
    <s v="WEIGHING SCALE 60 KG"/>
    <s v="GNE-23060589"/>
    <s v="Load Cell 100 Kg 60310"/>
    <s v="RM00006"/>
    <x v="8"/>
    <x v="4"/>
    <n v="1"/>
    <n v="2800"/>
    <n v="2800"/>
    <n v="504"/>
    <n v="3304"/>
    <m/>
    <e v="#N/A"/>
  </r>
  <r>
    <d v="2025-08-04T15:14:06"/>
    <s v="Aug-25"/>
    <x v="1"/>
    <s v="BMC"/>
    <e v="#N/A"/>
    <s v=""/>
    <x v="22"/>
    <s v="Itki"/>
    <s v="Amit Tiwari "/>
    <n v="8210761749"/>
    <s v="STIRRER UNIT EV5600"/>
    <s v="GS-19111818"/>
    <s v="Stirrer Timer PCB"/>
    <s v="RM01050"/>
    <x v="8"/>
    <x v="4"/>
    <n v="1"/>
    <n v="900"/>
    <n v="900"/>
    <n v="162"/>
    <n v="1062"/>
    <m/>
    <e v="#N/A"/>
  </r>
  <r>
    <d v="2025-08-04T11:43:52"/>
    <s v="Aug-25"/>
    <x v="1"/>
    <s v="MPG"/>
    <e v="#N/A"/>
    <s v=""/>
    <x v="173"/>
    <s v="Girjatoli "/>
    <s v="vishnu Parshad Gupta"/>
    <n v="7004385352"/>
    <s v="WEIGHING SCALE 60 KG"/>
    <s v="GNE-23060582"/>
    <s v="Load Cell 100 Kg 60310"/>
    <s v="RM00006"/>
    <x v="8"/>
    <x v="4"/>
    <n v="1"/>
    <n v="2800"/>
    <n v="2800"/>
    <n v="504"/>
    <n v="3304"/>
    <m/>
    <e v="#N/A"/>
  </r>
  <r>
    <d v="2025-08-04T16:39:34"/>
    <s v="Aug-25"/>
    <x v="0"/>
    <s v="MPG"/>
    <d v="2017-09-01T00:00:00"/>
    <n v="95"/>
    <x v="174"/>
    <s v="Dshna"/>
    <s v="Arvind Choudhary"/>
    <n v="9934893047"/>
    <s v="WEIGHING SCALE 60 KG"/>
    <s v="E-214040228"/>
    <s v="Keyboard For Weighing Scale (Repaired)"/>
    <s v="SF00048"/>
    <x v="7"/>
    <x v="4"/>
    <n v="1"/>
    <n v="360"/>
    <n v="360"/>
    <n v="64.8"/>
    <n v="424.8"/>
    <m/>
    <s v="Running"/>
  </r>
  <r>
    <d v="2025-08-02T16:01:22"/>
    <s v="Aug-25"/>
    <x v="0"/>
    <s v="MPG"/>
    <d v="2023-10-27T00:00:00"/>
    <n v="21"/>
    <x v="175"/>
    <s v="rata "/>
    <s v="surendar yadav "/>
    <n v="9006822211"/>
    <s v="EKOMILK ULTRA PRO ANALYSER"/>
    <n v="2351809"/>
    <s v="Ekomilk Sieringe With Plunger"/>
    <s v="RM00530"/>
    <x v="7"/>
    <x v="4"/>
    <n v="1"/>
    <n v="70"/>
    <n v="70"/>
    <n v="12.6"/>
    <n v="82.6"/>
    <m/>
    <s v="Running"/>
  </r>
  <r>
    <d v="2025-08-02T16:01:22"/>
    <s v="Aug-25"/>
    <x v="0"/>
    <s v="MPG"/>
    <d v="2023-10-27T00:00:00"/>
    <n v="21"/>
    <x v="175"/>
    <s v="rata "/>
    <s v="surendar yadav "/>
    <n v="9006822211"/>
    <s v="EKOMILK ULTRA PRO ANALYSER"/>
    <n v="2351809"/>
    <s v="Ekomilk Sieringe With Plunger"/>
    <s v="RM00530"/>
    <x v="7"/>
    <x v="4"/>
    <n v="1"/>
    <n v="70"/>
    <n v="70"/>
    <n v="12.6"/>
    <n v="82.6"/>
    <m/>
    <s v="Running"/>
  </r>
  <r>
    <d v="2025-09-30T16:51:29"/>
    <s v="Sep-25"/>
    <x v="0"/>
    <s v="MPG"/>
    <e v="#N/A"/>
    <s v=""/>
    <x v="83"/>
    <s v="Gomukh bheet"/>
    <s v="Dharamveer kumar "/>
    <n v="7808020360"/>
    <s v="WEIGHING SCALE 60 KG"/>
    <s v="GE-20034001"/>
    <s v="Keyboard For Weighing Scale (Repaired)"/>
    <s v="SF00048"/>
    <x v="9"/>
    <x v="5"/>
    <n v="1"/>
    <n v="360"/>
    <n v="360"/>
    <n v="64.8"/>
    <n v="424.8"/>
    <m/>
    <s v="Running"/>
  </r>
  <r>
    <d v="2025-09-30T16:48:56"/>
    <s v="Sep-25"/>
    <x v="0"/>
    <s v="MPG"/>
    <d v="2022-05-13T00:00:00"/>
    <n v="40"/>
    <x v="176"/>
    <s v="Gehuni"/>
    <s v="Rajeev Kumar Singh "/>
    <n v="9162656663"/>
    <s v="WEIGHING SCALE 60 KG"/>
    <s v="ge-19122138"/>
    <s v="Keyboard For Weighing Scale (Repaired)"/>
    <s v="SF00048"/>
    <x v="9"/>
    <x v="5"/>
    <n v="1"/>
    <n v="360"/>
    <n v="360"/>
    <n v="64.8"/>
    <n v="424.8"/>
    <m/>
    <s v="Running"/>
  </r>
  <r>
    <d v="2025-09-30T16:48:56"/>
    <s v="Sep-25"/>
    <x v="0"/>
    <s v="MPG"/>
    <d v="2022-05-13T00:00:00"/>
    <n v="40"/>
    <x v="176"/>
    <s v="Gehuni"/>
    <s v="Rajeev Kumar Singh "/>
    <n v="9162656663"/>
    <s v="WEIGHING SCALE 60 KG"/>
    <s v="ge-19122138"/>
    <s v="EWS Battery Backup SMPS (BBLC)"/>
    <s v="RM01040"/>
    <x v="9"/>
    <x v="5"/>
    <n v="1"/>
    <n v="825"/>
    <n v="825"/>
    <n v="148.5"/>
    <n v="973.5"/>
    <m/>
    <s v="Running"/>
  </r>
  <r>
    <d v="2025-09-29T16:12:17"/>
    <s v="Sep-25"/>
    <x v="0"/>
    <s v="BMC"/>
    <e v="#N/A"/>
    <s v=""/>
    <x v="177"/>
    <s v="simri BMC"/>
    <s v="Ankit Kumar"/>
    <n v="9060744847"/>
    <s v="EKOMILK ULTRA PRO ANALYSER"/>
    <n v="2346394"/>
    <s v="Ekomilk Sieringe With Plunger"/>
    <s v="RM00530"/>
    <x v="9"/>
    <x v="5"/>
    <n v="1"/>
    <n v="70"/>
    <n v="70"/>
    <n v="12.6"/>
    <n v="82.6"/>
    <m/>
    <e v="#N/A"/>
  </r>
  <r>
    <d v="2025-09-29T16:12:17"/>
    <s v="Sep-25"/>
    <x v="0"/>
    <s v="BMC"/>
    <e v="#N/A"/>
    <s v=""/>
    <x v="177"/>
    <s v="simri BMC"/>
    <s v="Ankit Kumar"/>
    <n v="9060744847"/>
    <s v="EKOMILK ULTRA PRO ANALYSER"/>
    <n v="2346394"/>
    <s v="Ekomilk Sieringe With Plunger"/>
    <s v="RM00530"/>
    <x v="9"/>
    <x v="5"/>
    <n v="1"/>
    <n v="70"/>
    <n v="70"/>
    <n v="12.6"/>
    <n v="82.6"/>
    <m/>
    <e v="#N/A"/>
  </r>
  <r>
    <d v="2025-09-29T15:59:26"/>
    <s v="Sep-25"/>
    <x v="0"/>
    <s v="MPG"/>
    <d v="2019-09-23T00:00:00"/>
    <n v="72"/>
    <x v="71"/>
    <s v="Khajuri"/>
    <s v="Anuj Kumar Singh"/>
    <n v="7033197978"/>
    <s v="WEIGHING SCALE 60 KG"/>
    <s v="E-17127324"/>
    <s v="Weighing Scale Motherboard Old"/>
    <s v="RM01036"/>
    <x v="9"/>
    <x v="5"/>
    <n v="1"/>
    <n v="2080"/>
    <n v="2080"/>
    <n v="374.4"/>
    <n v="2454.4"/>
    <m/>
    <s v="Running"/>
  </r>
  <r>
    <d v="2025-09-27T17:17:13"/>
    <s v="Sep-25"/>
    <x v="0"/>
    <s v="MPG"/>
    <d v="2022-05-12T00:00:00"/>
    <n v="40"/>
    <x v="70"/>
    <s v="Baryahi chanann"/>
    <s v="Rajeev Kumar "/>
    <n v="9570636048"/>
    <s v="WEIGHING SCALE 60 KG"/>
    <s v="E-214071968"/>
    <s v="Keyboard For Weighing Scale (Repaired)"/>
    <s v="SF00048"/>
    <x v="9"/>
    <x v="5"/>
    <n v="1"/>
    <n v="360"/>
    <n v="360"/>
    <n v="64.8"/>
    <n v="424.8"/>
    <m/>
    <s v="Running"/>
  </r>
  <r>
    <d v="2025-09-26T16:09:11"/>
    <s v="Sep-25"/>
    <x v="0"/>
    <s v="MPG"/>
    <d v="2025-07-31T00:00:00"/>
    <n v="1"/>
    <x v="178"/>
    <s v="pacham"/>
    <s v="ramdayal yadav "/>
    <n v="9777250343"/>
    <s v="WEIGHING SCALE 60 KG"/>
    <s v="E-214040257"/>
    <s v="Connector 5 Pin Metal M/F"/>
    <s v="RM00727"/>
    <x v="9"/>
    <x v="5"/>
    <n v="1"/>
    <n v="225"/>
    <n v="225"/>
    <n v="40.5"/>
    <n v="265.5"/>
    <m/>
    <s v="Running"/>
  </r>
  <r>
    <d v="2025-09-26T16:09:11"/>
    <s v="Sep-25"/>
    <x v="0"/>
    <s v="MPG"/>
    <d v="2025-07-31T00:00:00"/>
    <n v="1"/>
    <x v="178"/>
    <s v="pacham"/>
    <s v="ramdayal yadav "/>
    <n v="9777250343"/>
    <s v="WEIGHING SCALE 60 KG"/>
    <s v="E-214040257"/>
    <s v="Load Cell 100 Kg 60310"/>
    <s v="RM00006"/>
    <x v="9"/>
    <x v="5"/>
    <n v="1"/>
    <n v="2800"/>
    <n v="2800"/>
    <n v="504"/>
    <n v="3304"/>
    <m/>
    <s v="Running"/>
  </r>
  <r>
    <d v="2025-09-26T16:32:33"/>
    <s v="Sep-25"/>
    <x v="0"/>
    <s v="MPG"/>
    <e v="#N/A"/>
    <s v=""/>
    <x v="138"/>
    <s v="GOMUKH MIRATTHI"/>
    <s v="Sashi kumar"/>
    <n v="9204350523"/>
    <s v="Everest Smart Tab-based Android Terminal (Table-top) with Inbuilt Printer"/>
    <s v="GTD-23060401"/>
    <s v="DPU DC To DC Converter 12V To 5V"/>
    <s v="RM01060"/>
    <x v="9"/>
    <x v="5"/>
    <n v="1"/>
    <n v="780"/>
    <n v="780"/>
    <n v="140.4"/>
    <n v="920.4"/>
    <m/>
    <s v="Running"/>
  </r>
  <r>
    <d v="2025-09-26T16:31:23"/>
    <s v="Sep-25"/>
    <x v="0"/>
    <s v="MPG"/>
    <d v="2024-12-05T00:00:00"/>
    <n v="9"/>
    <x v="179"/>
    <s v="baikantpur"/>
    <s v="Sambhu saran"/>
    <n v="7549362660"/>
    <s v="Everest Smart Tab-based Android Terminal (Table-top) with Inbuilt Printer"/>
    <s v="GTD-23060397"/>
    <s v="Battery 3.7V/2600Mah"/>
    <s v="RM01787"/>
    <x v="9"/>
    <x v="5"/>
    <n v="1"/>
    <n v="350"/>
    <n v="350"/>
    <n v="63"/>
    <n v="413"/>
    <m/>
    <s v="Running"/>
  </r>
  <r>
    <d v="2025-09-25T16:45:32"/>
    <s v="Sep-25"/>
    <x v="0"/>
    <s v="MPG"/>
    <d v="2024-02-01T00:00:00"/>
    <n v="19"/>
    <x v="180"/>
    <s v="Chowki (bmc s kamal)"/>
    <s v="Sarita devi"/>
    <n v="8210475462"/>
    <s v="Everest Smart Tab-based Android Terminal (Table-top) with Inbuilt Printer"/>
    <s v="GTD-22122568"/>
    <s v="DPU DC To DC Converter 12V To 5V"/>
    <s v="RM00493"/>
    <x v="9"/>
    <x v="5"/>
    <n v="1"/>
    <n v="780"/>
    <n v="780"/>
    <n v="140.4"/>
    <n v="920.4"/>
    <m/>
    <s v="Sep'25 Closed"/>
  </r>
  <r>
    <d v="2025-09-24T16:44:50"/>
    <s v="Sep-25"/>
    <x v="0"/>
    <s v="MPG"/>
    <d v="2025-02-12T00:00:00"/>
    <n v="7"/>
    <x v="10"/>
    <s v="GOMUKH THATHA PURVI"/>
    <s v="Rajeev Kumar Ranjan "/>
    <n v="7550619014"/>
    <s v="Everest Smart Tab-based Android Terminal (Table-top) with Inbuilt Printer"/>
    <s v="GTD-23024152"/>
    <s v="Battery 3.7V/2600Mah"/>
    <s v="RM01787"/>
    <x v="9"/>
    <x v="5"/>
    <n v="1"/>
    <n v="350"/>
    <n v="350"/>
    <n v="63"/>
    <n v="413"/>
    <m/>
    <s v="Running"/>
  </r>
  <r>
    <d v="2025-09-24T16:46:48"/>
    <s v="Sep-25"/>
    <x v="0"/>
    <s v="MPG"/>
    <d v="2024-12-05T00:00:00"/>
    <n v="9"/>
    <x v="181"/>
    <s v="Rohuaa S Kamal "/>
    <s v="Manoj Kumar sah"/>
    <n v="7549729151"/>
    <s v="Everest Smart Tab-based Android Terminal (Table-top) with Inbuilt Printer"/>
    <s v="GTD-22122577"/>
    <s v="Battery 3.7V/2600Mah"/>
    <s v="RM01787"/>
    <x v="9"/>
    <x v="5"/>
    <n v="1"/>
    <n v="350"/>
    <n v="350"/>
    <n v="63"/>
    <n v="413"/>
    <m/>
    <s v="Running"/>
  </r>
  <r>
    <d v="2025-09-24T14:42:53"/>
    <s v="Sep-25"/>
    <x v="0"/>
    <s v="MPG"/>
    <d v="2025-03-21T00:00:00"/>
    <n v="6"/>
    <x v="182"/>
    <s v="Gomukh Shobhipura"/>
    <s v="Deepak Kumar "/>
    <n v="7631449122"/>
    <s v="EKOMILK ULTRA PRO ANALYSER"/>
    <n v="382402"/>
    <s v="Ekomilk Sieringe With Plunger"/>
    <s v="RM00530"/>
    <x v="9"/>
    <x v="5"/>
    <n v="1"/>
    <n v="70"/>
    <n v="70"/>
    <n v="12.6"/>
    <n v="82.6"/>
    <m/>
    <s v="Running"/>
  </r>
  <r>
    <d v="2025-09-24T14:42:53"/>
    <s v="Sep-25"/>
    <x v="0"/>
    <s v="MPG"/>
    <d v="2025-03-21T00:00:00"/>
    <n v="6"/>
    <x v="182"/>
    <s v="Gomukh Shobhipura"/>
    <s v="Deepak Kumar "/>
    <n v="7631449122"/>
    <s v="EKOMILK ULTRA PRO ANALYSER"/>
    <n v="382402"/>
    <s v="Ekomilk Sieringe With Plunger"/>
    <s v="RM00530"/>
    <x v="9"/>
    <x v="5"/>
    <n v="1"/>
    <n v="70"/>
    <n v="70"/>
    <n v="12.6"/>
    <n v="82.6"/>
    <m/>
    <s v="Running"/>
  </r>
  <r>
    <d v="2025-09-24T16:51:32"/>
    <s v="Sep-25"/>
    <x v="0"/>
    <s v="MPG"/>
    <d v="2022-07-04T00:00:00"/>
    <n v="38"/>
    <x v="183"/>
    <s v="JALALPUR CHHITRAOUR"/>
    <s v="ARCHANA KUMARI"/>
    <n v="9534494042"/>
    <s v="Everest Smart Tab-based Android Terminal (Table-top) with Inbuilt Printer"/>
    <s v="GTD-23013971"/>
    <s v="Battery 3.7V/2600Mah"/>
    <s v="RM01787"/>
    <x v="9"/>
    <x v="5"/>
    <n v="1"/>
    <n v="350"/>
    <n v="350"/>
    <n v="63"/>
    <n v="413"/>
    <m/>
    <s v="Oct '24 Closed"/>
  </r>
  <r>
    <d v="2025-09-24T21:23:48"/>
    <s v="Sep-25"/>
    <x v="1"/>
    <s v="MPG"/>
    <e v="#N/A"/>
    <s v=""/>
    <x v="172"/>
    <s v="Murto"/>
    <s v="Raj Kumar "/>
    <n v="8789289532"/>
    <s v="WEIGHING SCALE 60 KG"/>
    <s v="GNE-23060589"/>
    <s v="SWS Motherboard (Version 1.1)"/>
    <s v="RM01371"/>
    <x v="10"/>
    <x v="5"/>
    <n v="1"/>
    <n v="2080"/>
    <n v="2080"/>
    <n v="374.4"/>
    <n v="2454.4"/>
    <m/>
    <e v="#N/A"/>
  </r>
  <r>
    <d v="2025-09-23T15:13:37"/>
    <s v="Sep-25"/>
    <x v="0"/>
    <s v="MPG"/>
    <d v="2024-10-25T00:00:00"/>
    <n v="10"/>
    <x v="184"/>
    <s v="Dafadihari "/>
    <s v="Rasbihari singh "/>
    <n v="7488805806"/>
    <s v="Everest Smart Tab-based Android Terminal (Table-top) with Inbuilt Printer"/>
    <s v="GTD-23013988"/>
    <s v="Tablet 8 Inch"/>
    <s v="RM01896"/>
    <x v="9"/>
    <x v="5"/>
    <n v="1"/>
    <n v="9300"/>
    <n v="9300"/>
    <n v="1674"/>
    <n v="10974"/>
    <m/>
    <s v="Running"/>
  </r>
  <r>
    <d v="2025-09-23T15:22:13"/>
    <s v="Sep-25"/>
    <x v="1"/>
    <s v="MPG"/>
    <e v="#N/A"/>
    <s v=""/>
    <x v="185"/>
    <s v="Hutar"/>
    <s v="Chinki Devi"/>
    <n v="7667809258"/>
    <s v="WEIGHING SCALE 60 KG"/>
    <s v="GNE-23060581"/>
    <s v="Battery 6V 4.5 Ah"/>
    <s v="RM00360"/>
    <x v="10"/>
    <x v="5"/>
    <n v="1"/>
    <n v="480"/>
    <n v="480"/>
    <n v="86.399999999999991"/>
    <n v="566.4"/>
    <m/>
    <e v="#N/A"/>
  </r>
  <r>
    <d v="2025-09-22T11:31:23"/>
    <s v="Sep-25"/>
    <x v="0"/>
    <s v="MPG"/>
    <d v="2025-04-23T00:00:00"/>
    <n v="4"/>
    <x v="63"/>
    <s v="banderha purbi"/>
    <s v="manish kumar bharti"/>
    <n v="8051888251"/>
    <s v="Everest Smart Tab-based Android Terminal (Table-top) with Inbuilt Printer"/>
    <s v="GTD-23014090"/>
    <s v="DPU Thermal Printer EPM 207"/>
    <s v="RM00282"/>
    <x v="9"/>
    <x v="5"/>
    <n v="1"/>
    <n v="2800"/>
    <n v="2800"/>
    <n v="504"/>
    <n v="3304"/>
    <m/>
    <s v="Running"/>
  </r>
  <r>
    <d v="2025-09-22T11:32:52"/>
    <s v="Sep-25"/>
    <x v="0"/>
    <s v="MPG"/>
    <d v="2025-03-22T00:00:00"/>
    <n v="6"/>
    <x v="142"/>
    <s v="BANGAMA"/>
    <s v="manju devi"/>
    <n v="9341977117"/>
    <s v="EKOMILK ULTRA PRO ANALYSER"/>
    <n v="387355"/>
    <s v="Ekomilk Bush"/>
    <s v="RM00510"/>
    <x v="9"/>
    <x v="5"/>
    <n v="1"/>
    <n v="49"/>
    <n v="49"/>
    <n v="8.82"/>
    <n v="57.82"/>
    <m/>
    <s v="Running"/>
  </r>
  <r>
    <d v="2025-09-22T11:32:52"/>
    <s v="Sep-25"/>
    <x v="0"/>
    <s v="MPG"/>
    <d v="2025-03-22T00:00:00"/>
    <n v="6"/>
    <x v="142"/>
    <s v="BANGAMA"/>
    <s v="manju devi"/>
    <n v="9341977117"/>
    <s v="EKOMILK ULTRA PRO ANALYSER"/>
    <n v="387355"/>
    <s v="Ekomilk Bush"/>
    <s v="RM00510"/>
    <x v="9"/>
    <x v="5"/>
    <n v="1"/>
    <n v="49"/>
    <n v="49"/>
    <n v="8.82"/>
    <n v="57.82"/>
    <m/>
    <s v="Running"/>
  </r>
  <r>
    <d v="2025-09-20T16:21:06"/>
    <s v="Sep-25"/>
    <x v="0"/>
    <s v="MPG"/>
    <d v="2019-06-06T00:00:00"/>
    <n v="75"/>
    <x v="186"/>
    <s v="Subhanipur"/>
    <s v="Anik kumar"/>
    <n v="7545865422"/>
    <s v="WEIGHING SCALE 60 KG"/>
    <s v="E-17127323"/>
    <s v="EWS Battery Backup SMPS (BBLC)"/>
    <s v="RM01040"/>
    <x v="9"/>
    <x v="5"/>
    <n v="1"/>
    <n v="825"/>
    <n v="825"/>
    <n v="148.5"/>
    <n v="973.5"/>
    <m/>
    <s v="Running"/>
  </r>
  <r>
    <d v="2025-09-20T16:26:14"/>
    <s v="Sep-25"/>
    <x v="0"/>
    <s v="MPG"/>
    <d v="2020-12-19T00:00:00"/>
    <n v="57"/>
    <x v="41"/>
    <s v="Jounapur"/>
    <s v="Lalan singh"/>
    <n v="9973808926"/>
    <s v="EKOMILK ULTRA PRO ANALYSER"/>
    <n v="322529"/>
    <s v="Ekomilk Switch Small"/>
    <s v="RM00536"/>
    <x v="9"/>
    <x v="5"/>
    <n v="1"/>
    <n v="140"/>
    <n v="140"/>
    <n v="25.2"/>
    <n v="165.2"/>
    <m/>
    <s v="Running"/>
  </r>
  <r>
    <d v="2025-09-20T16:26:14"/>
    <s v="Sep-25"/>
    <x v="0"/>
    <s v="MPG"/>
    <d v="2020-12-19T00:00:00"/>
    <n v="57"/>
    <x v="41"/>
    <s v="Jounapur"/>
    <s v="Lalan singh"/>
    <n v="9973808926"/>
    <s v="EKOMILK ULTRA PRO ANALYSER"/>
    <n v="322529"/>
    <s v="Ekomilk Keyboard"/>
    <s v="RM01018"/>
    <x v="9"/>
    <x v="5"/>
    <n v="1"/>
    <n v="770"/>
    <n v="770"/>
    <n v="138.6"/>
    <n v="908.6"/>
    <m/>
    <s v="Running"/>
  </r>
  <r>
    <d v="2025-09-20T13:29:41"/>
    <s v="Sep-25"/>
    <x v="0"/>
    <s v="MPG"/>
    <d v="2017-09-01T00:00:00"/>
    <n v="96"/>
    <x v="187"/>
    <s v="kairama"/>
    <s v="omkar Singh"/>
    <n v="7739127357"/>
    <s v="WEIGHING SCALE 60 KG"/>
    <s v="E-215026696"/>
    <s v="Keyboard For Weighing Scale (Repaired)"/>
    <s v="SF00048"/>
    <x v="9"/>
    <x v="5"/>
    <n v="1"/>
    <n v="360"/>
    <n v="360"/>
    <n v="64.8"/>
    <n v="424.8"/>
    <m/>
    <s v="Running"/>
  </r>
  <r>
    <d v="2025-09-20T13:27:15"/>
    <s v="Sep-25"/>
    <x v="0"/>
    <s v="MPG"/>
    <d v="2019-11-20T00:00:00"/>
    <n v="70"/>
    <x v="188"/>
    <s v="uksi"/>
    <s v="ravish prasad "/>
    <n v="8210754673"/>
    <s v="EKOMILK ULTRA PRO ANALYSER"/>
    <n v="210419"/>
    <s v="Ekomilk Keyboard"/>
    <s v="RM01018"/>
    <x v="9"/>
    <x v="5"/>
    <n v="1"/>
    <n v="770"/>
    <n v="770"/>
    <n v="138.6"/>
    <n v="908.6"/>
    <m/>
    <s v="Running"/>
  </r>
  <r>
    <d v="2025-09-20T15:59:28"/>
    <s v="Sep-25"/>
    <x v="0"/>
    <s v="MPG"/>
    <d v="2025-05-16T00:00:00"/>
    <n v="4"/>
    <x v="90"/>
    <s v="Mordiwa east"/>
    <s v=" vivek "/>
    <n v="7079418432"/>
    <s v="STIRRER UNIT EV5600"/>
    <s v="s-17096166"/>
    <s v="Stirrer Timer PCB"/>
    <s v="RM00478"/>
    <x v="9"/>
    <x v="5"/>
    <n v="1"/>
    <n v="900"/>
    <n v="900"/>
    <n v="162"/>
    <n v="1062"/>
    <m/>
    <s v="Running"/>
  </r>
  <r>
    <d v="2025-09-19T12:14:56"/>
    <s v="Sep-25"/>
    <x v="0"/>
    <s v="MPG"/>
    <d v="2022-08-06T00:00:00"/>
    <n v="37"/>
    <x v="189"/>
    <s v="juwsh"/>
    <s v="mairtyumjay Kumar "/>
    <n v="7979912299"/>
    <s v="WEIGHING SCALE 60 KG"/>
    <s v="Ge-19122127"/>
    <s v="Connector 5 Pin Metal M/F"/>
    <s v="RM00727"/>
    <x v="9"/>
    <x v="5"/>
    <n v="1"/>
    <n v="225"/>
    <n v="225"/>
    <n v="40.5"/>
    <n v="265.5"/>
    <m/>
    <s v="Running"/>
  </r>
  <r>
    <d v="2025-09-19T12:14:56"/>
    <s v="Sep-25"/>
    <x v="0"/>
    <s v="MPG"/>
    <d v="2022-08-06T00:00:00"/>
    <n v="37"/>
    <x v="189"/>
    <s v="juwsh"/>
    <s v="mairtyumjay Kumar "/>
    <n v="7979912299"/>
    <s v="WEIGHING SCALE 60 KG"/>
    <s v="Ge-19122127"/>
    <s v="EWS Battery Backup SMPS (BBLC)"/>
    <s v="RM01040"/>
    <x v="9"/>
    <x v="5"/>
    <n v="1"/>
    <n v="825"/>
    <n v="825"/>
    <n v="148.5"/>
    <n v="973.5"/>
    <m/>
    <s v="Running"/>
  </r>
  <r>
    <d v="2025-09-19T10:20:01"/>
    <s v="Sep-25"/>
    <x v="1"/>
    <s v="MPG"/>
    <e v="#N/A"/>
    <s v=""/>
    <x v="190"/>
    <s v="KADAM TOLI"/>
    <s v="ATUL KUMAR"/>
    <n v="9709036717"/>
    <s v="EKOMILK ULTRA PRO ANALYSER"/>
    <n v="388825"/>
    <s v="FatScan Double Sensor Measuring Mini PCB (4 para) with Sensor (Repaired)"/>
    <s v="SF00130"/>
    <x v="10"/>
    <x v="5"/>
    <n v="1"/>
    <n v="8000"/>
    <n v="8000"/>
    <n v="1440"/>
    <n v="9440"/>
    <m/>
    <e v="#N/A"/>
  </r>
  <r>
    <d v="2025-09-18T15:06:52"/>
    <s v="Sep-25"/>
    <x v="1"/>
    <s v="MPG"/>
    <e v="#N/A"/>
    <s v=""/>
    <x v="108"/>
    <s v="CHUTHU"/>
    <s v="SHEETAL KUMAR MAHTO"/>
    <n v="9507715083"/>
    <s v="STIRRER UNIT EV5600"/>
    <s v="GS-23040743"/>
    <s v="Stirrer Power Board"/>
    <s v="RM00477"/>
    <x v="10"/>
    <x v="5"/>
    <n v="1"/>
    <n v="1750"/>
    <n v="1750"/>
    <n v="315"/>
    <n v="2065"/>
    <m/>
    <e v="#N/A"/>
  </r>
  <r>
    <d v="2025-09-18T15:42:52"/>
    <s v="Sep-25"/>
    <x v="0"/>
    <s v="BMC"/>
    <e v="#N/A"/>
    <s v=""/>
    <x v="35"/>
    <s v="Musrigharari bmc"/>
    <s v="Ajay Kumar"/>
    <n v="8969914657"/>
    <s v="Everest Smart Tab-based Android Terminal (Table-top) with Inbuilt Printer"/>
    <s v="GTD-23013885"/>
    <s v="Battery 3.7V/2600Mah"/>
    <s v="RM01787"/>
    <x v="9"/>
    <x v="5"/>
    <n v="1"/>
    <n v="350"/>
    <n v="350"/>
    <n v="63"/>
    <n v="413"/>
    <m/>
    <e v="#N/A"/>
  </r>
  <r>
    <d v="2025-09-17T15:32:23"/>
    <s v="Sep-25"/>
    <x v="0"/>
    <s v="BMC"/>
    <e v="#N/A"/>
    <s v=""/>
    <x v="26"/>
    <s v="In Bmc Halsi"/>
    <s v="kunal kumar dev"/>
    <n v="7488561001"/>
    <s v="Everest Smart Tab-based Android Terminal (Table-top) with Inbuilt Printer"/>
    <s v="GTD-23014089"/>
    <s v="Battery 3.7V/2600Mah"/>
    <s v="RM01787"/>
    <x v="9"/>
    <x v="5"/>
    <n v="1"/>
    <n v="350"/>
    <n v="350"/>
    <n v="63"/>
    <n v="413"/>
    <m/>
    <e v="#N/A"/>
  </r>
  <r>
    <d v="2025-09-16T14:58:47"/>
    <s v="Sep-25"/>
    <x v="0"/>
    <s v="MPG"/>
    <d v="2022-05-16T00:00:00"/>
    <n v="40"/>
    <x v="156"/>
    <s v="farda Ravi Roy tola"/>
    <s v="ramasish roy"/>
    <n v="8540013067"/>
    <s v="EKOMILK ULTRA PRO ANALYSER"/>
    <n v="210701"/>
    <s v="Ekomilk Switch Small"/>
    <s v="RM00536"/>
    <x v="9"/>
    <x v="5"/>
    <n v="1"/>
    <n v="140"/>
    <n v="140"/>
    <n v="25.2"/>
    <n v="165.2"/>
    <m/>
    <s v="Running"/>
  </r>
  <r>
    <d v="2025-09-16T14:58:47"/>
    <s v="Sep-25"/>
    <x v="0"/>
    <s v="MPG"/>
    <d v="2022-05-16T00:00:00"/>
    <n v="40"/>
    <x v="156"/>
    <s v="farda Ravi Roy tola"/>
    <s v="ramasish roy"/>
    <n v="8540013067"/>
    <s v="EKOMILK ULTRA PRO ANALYSER"/>
    <n v="210701"/>
    <s v="Ekomilk Bush"/>
    <s v="RM00510"/>
    <x v="9"/>
    <x v="5"/>
    <n v="1"/>
    <n v="49"/>
    <n v="49"/>
    <n v="8.82"/>
    <n v="57.82"/>
    <m/>
    <s v="Running"/>
  </r>
  <r>
    <d v="2025-09-16T14:58:47"/>
    <s v="Sep-25"/>
    <x v="0"/>
    <s v="MPG"/>
    <d v="2022-05-16T00:00:00"/>
    <n v="40"/>
    <x v="156"/>
    <s v="farda Ravi Roy tola"/>
    <s v="ramasish roy"/>
    <n v="8540013067"/>
    <s v="EKOMILK ULTRA PRO ANALYSER"/>
    <n v="210701"/>
    <s v="Ekomilk Bush"/>
    <s v="RM00510"/>
    <x v="9"/>
    <x v="5"/>
    <n v="1"/>
    <n v="49"/>
    <n v="49"/>
    <n v="8.82"/>
    <n v="57.82"/>
    <m/>
    <s v="Running"/>
  </r>
  <r>
    <d v="2025-09-16T11:39:25"/>
    <s v="Sep-25"/>
    <x v="0"/>
    <s v="MPG"/>
    <d v="2017-09-01T00:00:00"/>
    <n v="96"/>
    <x v="191"/>
    <s v="MSk MPG Shiv shakti MPG Tilakpur"/>
    <s v="Angad sharma"/>
    <n v="7004558905"/>
    <s v="STIRRER UNIT EV5600"/>
    <s v="S-15017709"/>
    <s v="Stirrer Timer PCB"/>
    <s v="RM00478"/>
    <x v="9"/>
    <x v="5"/>
    <n v="1"/>
    <n v="900"/>
    <n v="900"/>
    <n v="162"/>
    <n v="1062"/>
    <m/>
    <s v="Running"/>
  </r>
  <r>
    <d v="2025-09-15T15:55:08"/>
    <s v="Sep-25"/>
    <x v="0"/>
    <s v="MPG"/>
    <d v="2024-02-01T00:00:00"/>
    <n v="19"/>
    <x v="192"/>
    <s v="Chaidha Banni (S kamal bmc)"/>
    <s v="Anupam kumar"/>
    <n v="9570770004"/>
    <s v="EKOMILK ULTRA PRO ANALYSER"/>
    <n v="386972"/>
    <s v="Ekomilk Sieringe With Plunger"/>
    <s v="RM00530"/>
    <x v="9"/>
    <x v="5"/>
    <n v="1"/>
    <n v="70"/>
    <n v="70"/>
    <n v="12.6"/>
    <n v="82.6"/>
    <m/>
    <s v="Running"/>
  </r>
  <r>
    <d v="2025-09-15T15:47:05"/>
    <s v="Sep-25"/>
    <x v="0"/>
    <s v="MPG"/>
    <d v="2020-12-19T00:00:00"/>
    <n v="56"/>
    <x v="41"/>
    <s v="Jounapur"/>
    <s v="Lalan singh"/>
    <n v="9973808926"/>
    <s v="EKOMILK ULTRA PRO ANALYSER"/>
    <n v="322529"/>
    <s v="Ekomilk Air Bubble"/>
    <s v="RM00509"/>
    <x v="9"/>
    <x v="5"/>
    <n v="1"/>
    <n v="62"/>
    <n v="62"/>
    <n v="11.16"/>
    <n v="73.16"/>
    <m/>
    <s v="Running"/>
  </r>
  <r>
    <d v="2025-09-15T15:47:05"/>
    <s v="Sep-25"/>
    <x v="0"/>
    <s v="MPG"/>
    <d v="2020-12-19T00:00:00"/>
    <n v="56"/>
    <x v="41"/>
    <s v="Jounapur"/>
    <s v="Lalan singh"/>
    <n v="9973808926"/>
    <s v="EKOMILK ULTRA PRO ANALYSER"/>
    <n v="322529"/>
    <s v="Fatscan Motor Pump Pipe"/>
    <s v="SF00147"/>
    <x v="9"/>
    <x v="5"/>
    <n v="1"/>
    <n v="125"/>
    <n v="125"/>
    <n v="22.5"/>
    <n v="147.5"/>
    <m/>
    <s v="Running"/>
  </r>
  <r>
    <d v="2025-09-13T15:11:22"/>
    <s v="Sep-25"/>
    <x v="0"/>
    <s v="MPG"/>
    <d v="2022-12-04T00:00:00"/>
    <n v="33"/>
    <x v="193"/>
    <s v="virupur "/>
    <s v="Manish Kumar "/>
    <n v="9430695671"/>
    <s v="EKOMILK ULTRA PRO ANALYSER"/>
    <n v="328963"/>
    <s v="Ekomilk Sieringe With Plunger"/>
    <s v="RM00530"/>
    <x v="9"/>
    <x v="5"/>
    <n v="1"/>
    <n v="70"/>
    <n v="70"/>
    <n v="12.6"/>
    <n v="82.6"/>
    <m/>
    <s v="Running"/>
  </r>
  <r>
    <d v="2025-09-13T15:11:22"/>
    <s v="Sep-25"/>
    <x v="0"/>
    <s v="MPG"/>
    <d v="2022-12-04T00:00:00"/>
    <n v="33"/>
    <x v="193"/>
    <s v="virupur "/>
    <s v="Manish Kumar "/>
    <n v="9430695671"/>
    <s v="EKOMILK ULTRA PRO ANALYSER"/>
    <n v="328963"/>
    <s v="Ekomilk Sieringe With Plunger"/>
    <s v="RM00530"/>
    <x v="9"/>
    <x v="5"/>
    <n v="1"/>
    <n v="70"/>
    <n v="70"/>
    <n v="12.6"/>
    <n v="82.6"/>
    <m/>
    <s v="Running"/>
  </r>
  <r>
    <d v="2025-09-13T16:53:25"/>
    <s v="Sep-25"/>
    <x v="0"/>
    <s v="MPG"/>
    <d v="2023-01-01T00:00:00"/>
    <n v="32"/>
    <x v="194"/>
    <s v="lohara "/>
    <s v="chandan kumar "/>
    <n v="9771714893"/>
    <s v="Everest Smart Tab-based Android Terminal (Table-top) with Inbuilt Printer"/>
    <s v="GTD-23013947"/>
    <s v="Battery 3.7V/2600Mah"/>
    <s v="RM01787"/>
    <x v="9"/>
    <x v="5"/>
    <n v="1"/>
    <n v="350"/>
    <n v="350"/>
    <n v="63"/>
    <n v="413"/>
    <m/>
    <s v="Running"/>
  </r>
  <r>
    <d v="2025-09-13T21:26:00"/>
    <s v="Sep-25"/>
    <x v="1"/>
    <s v="BMC"/>
    <e v="#N/A"/>
    <s v=""/>
    <x v="22"/>
    <s v="Itki"/>
    <s v="Amit Tiwari "/>
    <n v="8210761749"/>
    <s v="WEIGHING SCALE 200Kg"/>
    <s v="GNE-22123355"/>
    <s v="Keyboard For Weighing Scale New Design"/>
    <s v="RM01176"/>
    <x v="10"/>
    <x v="5"/>
    <n v="1"/>
    <n v="1266"/>
    <n v="1266"/>
    <n v="227.88"/>
    <n v="1493.88"/>
    <m/>
    <e v="#N/A"/>
  </r>
  <r>
    <d v="2025-09-13T15:13:01"/>
    <s v="Sep-25"/>
    <x v="0"/>
    <s v="MPG"/>
    <d v="2024-09-01T00:00:00"/>
    <n v="12"/>
    <x v="101"/>
    <s v="chaksikandar east"/>
    <s v="rupesh"/>
    <n v="9971083605"/>
    <s v="EKOMILK ULTRA PRO ANALYSER"/>
    <n v="309809"/>
    <s v="Ekomilk Bush"/>
    <s v="RM00510"/>
    <x v="9"/>
    <x v="5"/>
    <n v="1"/>
    <n v="49"/>
    <n v="49"/>
    <n v="8.82"/>
    <n v="57.82"/>
    <m/>
    <s v="Running"/>
  </r>
  <r>
    <d v="2025-09-13T15:13:01"/>
    <s v="Sep-25"/>
    <x v="0"/>
    <s v="MPG"/>
    <d v="2024-09-01T00:00:00"/>
    <n v="12"/>
    <x v="101"/>
    <s v="chaksikandar east"/>
    <s v="rupesh"/>
    <n v="9971083605"/>
    <s v="EKOMILK ULTRA PRO ANALYSER"/>
    <n v="309809"/>
    <s v="Ekomilk Sieringe With Plunger"/>
    <s v="RM00530"/>
    <x v="9"/>
    <x v="5"/>
    <n v="1"/>
    <n v="70"/>
    <n v="70"/>
    <n v="12.6"/>
    <n v="82.6"/>
    <m/>
    <s v="Running"/>
  </r>
  <r>
    <d v="2025-09-13T14:47:46"/>
    <s v="Sep-25"/>
    <x v="0"/>
    <s v="MPG"/>
    <d v="2024-11-03T00:00:00"/>
    <n v="10"/>
    <x v="195"/>
    <s v="dagaruya"/>
    <s v="Nitesh "/>
    <n v="9153681814"/>
    <s v="EKOMILK ULTRA PRO ANALYSER"/>
    <n v="326473"/>
    <s v="Fatscan Sensor to Syringe Pipe"/>
    <s v="SF00146"/>
    <x v="9"/>
    <x v="5"/>
    <n v="1"/>
    <n v="44"/>
    <n v="44"/>
    <n v="7.92"/>
    <n v="51.92"/>
    <m/>
    <s v="Running"/>
  </r>
  <r>
    <d v="2025-09-13T14:47:46"/>
    <s v="Sep-25"/>
    <x v="0"/>
    <s v="MPG"/>
    <d v="2024-11-03T00:00:00"/>
    <n v="10"/>
    <x v="195"/>
    <s v="dagaruya"/>
    <s v="Nitesh "/>
    <n v="9153681814"/>
    <s v="EKOMILK ULTRA PRO ANALYSER"/>
    <n v="326473"/>
    <s v="Fatscan Sensor to Syringe Pipe"/>
    <s v="SF00146"/>
    <x v="9"/>
    <x v="5"/>
    <n v="1"/>
    <n v="44"/>
    <n v="44"/>
    <n v="7.92"/>
    <n v="51.92"/>
    <m/>
    <s v="Running"/>
  </r>
  <r>
    <d v="2025-09-13T14:47:46"/>
    <s v="Sep-25"/>
    <x v="0"/>
    <s v="MPG"/>
    <d v="2024-11-03T00:00:00"/>
    <n v="10"/>
    <x v="195"/>
    <s v="dagaruya"/>
    <s v="Nitesh "/>
    <n v="9153681814"/>
    <s v="EKOMILK ULTRA PRO ANALYSER"/>
    <n v="326473"/>
    <s v="Fatscan &quot; Y &quot; Pipe"/>
    <s v="SF00145"/>
    <x v="9"/>
    <x v="5"/>
    <n v="1"/>
    <n v="84"/>
    <n v="84"/>
    <n v="15.12"/>
    <n v="99.12"/>
    <m/>
    <s v="Running"/>
  </r>
  <r>
    <d v="2025-09-13T16:57:16"/>
    <s v="Sep-25"/>
    <x v="0"/>
    <s v="MPG"/>
    <d v="2024-05-17T00:00:00"/>
    <n v="15"/>
    <x v="196"/>
    <s v="Gomukh Thatha "/>
    <s v="Balbir kumar biru"/>
    <n v="7544958400"/>
    <s v="EKOMILK ULTRA PRO ANALYSER"/>
    <n v="382405"/>
    <s v="Ekomilk Sieringe With Plunger"/>
    <s v="RM00530"/>
    <x v="9"/>
    <x v="5"/>
    <n v="1"/>
    <n v="70"/>
    <n v="70"/>
    <n v="12.6"/>
    <n v="82.6"/>
    <m/>
    <s v="Running"/>
  </r>
  <r>
    <d v="2025-09-13T16:50:08"/>
    <s v="Sep-25"/>
    <x v="0"/>
    <s v="MPG"/>
    <d v="2024-08-20T00:00:00"/>
    <n v="12"/>
    <x v="197"/>
    <s v="Ranganv"/>
    <s v="kumar avinash"/>
    <n v="6200446459"/>
    <s v="WEIGHING SCALE 200Kg"/>
    <s v="GNE-22123387"/>
    <s v="SWS Motherboard (Version 1.1)"/>
    <s v="RM01371"/>
    <x v="9"/>
    <x v="5"/>
    <n v="1"/>
    <n v="2080"/>
    <n v="2080"/>
    <n v="374.4"/>
    <n v="2454.4"/>
    <m/>
    <s v="Nov'25 Closed"/>
  </r>
  <r>
    <d v="2025-09-12T18:13:42"/>
    <s v="Sep-25"/>
    <x v="1"/>
    <s v="MPG"/>
    <e v="#N/A"/>
    <s v=""/>
    <x v="185"/>
    <s v="Hutar"/>
    <s v="Chinki Devi"/>
    <n v="7667809258"/>
    <s v="WEIGHING SCALE 60 KG"/>
    <s v="GNE-23060581"/>
    <s v="Keyboard For Weighing Scale New Design"/>
    <s v="RM01176"/>
    <x v="10"/>
    <x v="5"/>
    <n v="1"/>
    <n v="1266"/>
    <n v="1266"/>
    <n v="227.88"/>
    <n v="1493.88"/>
    <m/>
    <e v="#N/A"/>
  </r>
  <r>
    <d v="2025-09-12T13:41:19"/>
    <s v="Sep-25"/>
    <x v="0"/>
    <s v="MPG"/>
    <d v="2025-07-31T00:00:00"/>
    <n v="1"/>
    <x v="198"/>
    <s v="godih"/>
    <s v="Ajit Kumar "/>
    <n v="8804360388"/>
    <s v="EKOMILK ULTRA PRO ANALYSER"/>
    <n v="382434"/>
    <s v="Ekomilk Bush"/>
    <s v="RM00510"/>
    <x v="9"/>
    <x v="5"/>
    <n v="1"/>
    <n v="49"/>
    <n v="49"/>
    <n v="8.82"/>
    <n v="57.82"/>
    <m/>
    <s v="Running"/>
  </r>
  <r>
    <d v="2025-09-12T13:41:19"/>
    <s v="Sep-25"/>
    <x v="0"/>
    <s v="MPG"/>
    <d v="2025-07-31T00:00:00"/>
    <n v="1"/>
    <x v="198"/>
    <s v="godih"/>
    <s v="Ajit Kumar "/>
    <n v="8804360388"/>
    <s v="EKOMILK ULTRA PRO ANALYSER"/>
    <n v="382434"/>
    <s v="Ekomilk Bush"/>
    <s v="RM00510"/>
    <x v="9"/>
    <x v="5"/>
    <n v="1"/>
    <n v="49"/>
    <n v="49"/>
    <n v="8.82"/>
    <n v="57.82"/>
    <m/>
    <s v="Running"/>
  </r>
  <r>
    <d v="2025-09-11T21:26:40"/>
    <s v="Sep-25"/>
    <x v="1"/>
    <s v="MPG"/>
    <e v="#N/A"/>
    <s v=""/>
    <x v="199"/>
    <s v="Bargari"/>
    <s v="Magan Mahto"/>
    <n v="9955795693"/>
    <s v="WEIGHING SCALE 60 KG"/>
    <s v="GE-19122144"/>
    <s v="Load Cell 100 Kg 60310"/>
    <s v="RM00006"/>
    <x v="10"/>
    <x v="5"/>
    <n v="1"/>
    <n v="2800"/>
    <n v="2800"/>
    <n v="504"/>
    <n v="3304"/>
    <m/>
    <e v="#N/A"/>
  </r>
  <r>
    <d v="2025-09-10T21:26:07"/>
    <s v="Sep-25"/>
    <x v="1"/>
    <s v="MPG"/>
    <e v="#N/A"/>
    <s v=""/>
    <x v="200"/>
    <s v="GUTUA"/>
    <s v="ANKIT KUMAR SAHU"/>
    <n v="9304183284"/>
    <s v="EKOMILK ULTRA PRO ANALYSER"/>
    <n v="385967"/>
    <s v="Eko Y-Pipe"/>
    <s v="RM00846"/>
    <x v="10"/>
    <x v="5"/>
    <n v="1"/>
    <n v="84"/>
    <n v="84"/>
    <n v="15.12"/>
    <n v="99.12"/>
    <m/>
    <e v="#N/A"/>
  </r>
  <r>
    <d v="2025-09-10T21:24:24"/>
    <s v="Sep-25"/>
    <x v="1"/>
    <s v="MPG"/>
    <e v="#N/A"/>
    <s v=""/>
    <x v="201"/>
    <s v="Darhatand"/>
    <s v="Tetri Devi"/>
    <n v="6203500113"/>
    <s v="Everest Smart Tab-based Android Terminal (Table-top) with Inbuilt Printer"/>
    <s v="GTD-23060344"/>
    <s v="DPU Thermal Printer EPM 207"/>
    <s v="RM00282"/>
    <x v="10"/>
    <x v="5"/>
    <n v="1"/>
    <n v="2800"/>
    <n v="2800"/>
    <n v="504"/>
    <n v="3304"/>
    <m/>
    <e v="#N/A"/>
  </r>
  <r>
    <d v="2025-09-10T17:18:52"/>
    <s v="Sep-25"/>
    <x v="1"/>
    <s v="MPG"/>
    <e v="#N/A"/>
    <s v=""/>
    <x v="173"/>
    <s v="Katarpa "/>
    <s v="Budhram Munda "/>
    <n v="7319716601"/>
    <s v="EKOMILK ULTRA PRO ANALYSER"/>
    <n v="396092"/>
    <s v="FatScan Double Sensor Measuring Mini PCB (4 para) with Sensor (Repaired)"/>
    <s v="SF00130"/>
    <x v="10"/>
    <x v="5"/>
    <n v="1"/>
    <n v="8000"/>
    <n v="8000"/>
    <n v="1440"/>
    <n v="9440"/>
    <m/>
    <e v="#N/A"/>
  </r>
  <r>
    <d v="2025-09-10T03:59:43"/>
    <s v="Sep-25"/>
    <x v="1"/>
    <s v="MPG"/>
    <e v="#N/A"/>
    <s v=""/>
    <x v="146"/>
    <s v="SITHIO"/>
    <s v="MIRAJ BHAGAT"/>
    <n v="7856866909"/>
    <s v="EKOMILK ULTRA PRO ANALYSER"/>
    <n v="381790"/>
    <s v="FatScan Double Sensor Measuring Mini PCB (4 para) with Sensor (Repaired)"/>
    <s v="SF00130"/>
    <x v="10"/>
    <x v="5"/>
    <n v="1"/>
    <n v="8000"/>
    <n v="8000"/>
    <n v="1440"/>
    <n v="9440"/>
    <m/>
    <e v="#N/A"/>
  </r>
  <r>
    <d v="2025-09-09T16:18:45"/>
    <s v="Sep-25"/>
    <x v="0"/>
    <s v="MPG"/>
    <e v="#N/A"/>
    <s v=""/>
    <x v="147"/>
    <s v="Gomukh Fatepur"/>
    <s v="GAUTAM KUMAR "/>
    <n v="8789901453"/>
    <s v="Everest Smart Tab-based Android Terminal (Table-top) with Inbuilt Printer"/>
    <s v="GTD-23024144"/>
    <s v="DPU DC To DC Converter 12V To 5V"/>
    <s v="RM00493"/>
    <x v="9"/>
    <x v="5"/>
    <n v="1"/>
    <n v="780"/>
    <n v="780"/>
    <n v="140.4"/>
    <n v="920.4"/>
    <m/>
    <s v="Running"/>
  </r>
  <r>
    <d v="2025-09-09T16:12:29"/>
    <s v="Sep-25"/>
    <x v="0"/>
    <s v="MPG"/>
    <d v="2022-05-12T00:00:00"/>
    <n v="39"/>
    <x v="70"/>
    <s v="Baryahi chanann"/>
    <s v="Rajeev Kumar "/>
    <n v="9570636048"/>
    <s v="EKOMILK ULTRA PRO ANALYSER"/>
    <n v="359873"/>
    <s v="Ekomilk Keyboard"/>
    <s v="RM01018"/>
    <x v="9"/>
    <x v="5"/>
    <n v="1"/>
    <n v="770"/>
    <n v="770"/>
    <n v="138.6"/>
    <n v="908.6"/>
    <m/>
    <s v="Running"/>
  </r>
  <r>
    <d v="2025-09-09T15:41:07"/>
    <s v="Sep-25"/>
    <x v="0"/>
    <s v="BMC"/>
    <e v="#N/A"/>
    <s v=""/>
    <x v="177"/>
    <s v="simri BMC"/>
    <s v="Ankit Kumar"/>
    <n v="9060744847"/>
    <s v="WEIGHING SCALE 60 KG"/>
    <s v="GE-20033995"/>
    <s v="Connector 5 Pin Metal M/F"/>
    <s v="RM00727"/>
    <x v="9"/>
    <x v="5"/>
    <n v="1"/>
    <n v="225"/>
    <n v="225"/>
    <n v="40.5"/>
    <n v="265.5"/>
    <m/>
    <e v="#N/A"/>
  </r>
  <r>
    <d v="2025-09-08T16:20:17"/>
    <s v="Sep-25"/>
    <x v="0"/>
    <s v="MPG"/>
    <e v="#N/A"/>
    <s v=""/>
    <x v="202"/>
    <s v="AKALUPUR "/>
    <s v="Sarvjeet Kumar "/>
    <n v="9097982065"/>
    <s v="EKOMILK ULTRA PRO ANALYSER"/>
    <n v="371394"/>
    <s v="Ekomilk Motorpump Set New"/>
    <s v="TR00182"/>
    <x v="9"/>
    <x v="5"/>
    <n v="1"/>
    <n v="2000"/>
    <n v="2000"/>
    <n v="360"/>
    <n v="2360"/>
    <m/>
    <s v="Running"/>
  </r>
  <r>
    <d v="2025-09-08T21:18:44"/>
    <s v="Sep-25"/>
    <x v="1"/>
    <s v="BMC"/>
    <e v="#N/A"/>
    <s v=""/>
    <x v="22"/>
    <s v="Itki"/>
    <s v="Amit Tiwari "/>
    <n v="8210761749"/>
    <s v="STIRRER UNIT EV5600"/>
    <s v="gs-23040758"/>
    <s v="Stirrer Timer PCB"/>
    <s v="RM00478"/>
    <x v="10"/>
    <x v="5"/>
    <n v="1"/>
    <n v="900"/>
    <n v="900"/>
    <n v="162"/>
    <n v="1062"/>
    <m/>
    <e v="#N/A"/>
  </r>
  <r>
    <d v="2025-09-08T16:33:00"/>
    <s v="Sep-25"/>
    <x v="0"/>
    <s v="MPG"/>
    <d v="2025-01-22T00:00:00"/>
    <n v="7"/>
    <x v="203"/>
    <s v="Navrang Rai ke Dera"/>
    <s v="Bablu Rai"/>
    <n v="8084627684"/>
    <s v="EKOMILK ULTRA PRO ANALYSER"/>
    <n v="365835"/>
    <s v="Ekomilk Motorpump Set New"/>
    <s v="TR00182"/>
    <x v="9"/>
    <x v="5"/>
    <n v="1"/>
    <n v="2000"/>
    <n v="2000"/>
    <n v="360"/>
    <n v="2360"/>
    <m/>
    <s v="Running"/>
  </r>
  <r>
    <d v="2025-09-08T16:41:06"/>
    <s v="Sep-25"/>
    <x v="0"/>
    <s v="MPG"/>
    <d v="2024-02-01T00:00:00"/>
    <n v="19"/>
    <x v="204"/>
    <s v="Bakiya (bmc S kamal)"/>
    <s v="Mukesh paswan "/>
    <n v="7631721721"/>
    <s v="EKOMILK ULTRA PRO ANALYSER"/>
    <n v="386960"/>
    <s v="Ekomilk Sieringe With Plunger"/>
    <s v="RM00530"/>
    <x v="9"/>
    <x v="5"/>
    <n v="1"/>
    <n v="70"/>
    <n v="70"/>
    <n v="12.6"/>
    <n v="82.6"/>
    <m/>
    <s v="Running"/>
  </r>
  <r>
    <d v="2025-09-08T21:23:15"/>
    <s v="Sep-25"/>
    <x v="1"/>
    <s v="MPG"/>
    <e v="#N/A"/>
    <s v=""/>
    <x v="205"/>
    <s v="BANDHEYA"/>
    <s v="SULENDRA ORAON"/>
    <n v="6200906396"/>
    <s v="EKOMILK ULTRA PRO ANALYSER"/>
    <n v="360543"/>
    <s v="FatScan Double Sensor Measuring Mini PCB (4 para) with Sensor (Repaired)"/>
    <s v="SF00130"/>
    <x v="10"/>
    <x v="5"/>
    <n v="1"/>
    <n v="8000"/>
    <n v="8000"/>
    <n v="1440"/>
    <n v="9440"/>
    <m/>
    <e v="#N/A"/>
  </r>
  <r>
    <d v="2025-09-08T11:41:26"/>
    <s v="Sep-25"/>
    <x v="0"/>
    <s v="MPG"/>
    <d v="2023-03-08T00:00:00"/>
    <n v="30"/>
    <x v="206"/>
    <s v="MIRATHI 2"/>
    <s v="Amit Kumar "/>
    <n v="7634856103"/>
    <s v="Everest Smart Tab-based Android Terminal (Table-top) with Inbuilt Printer"/>
    <s v="GTD-23014100"/>
    <s v="Battery 3.7V/2600Mah"/>
    <s v="RM01787"/>
    <x v="9"/>
    <x v="5"/>
    <n v="1"/>
    <n v="350"/>
    <n v="350"/>
    <n v="63"/>
    <n v="413"/>
    <m/>
    <s v="Running"/>
  </r>
  <r>
    <d v="2025-09-06T16:45:04"/>
    <s v="Sep-25"/>
    <x v="0"/>
    <s v="MPG"/>
    <d v="2025-05-19T00:00:00"/>
    <n v="3"/>
    <x v="207"/>
    <s v="gohar nagar"/>
    <s v="ram parvesh yadav "/>
    <n v="9709965750"/>
    <s v="Everest Smart Tab-based Android Terminal (Table-top) with Inbuilt Printer"/>
    <s v="GTD-23060384"/>
    <s v="Battery 3.7V/2600Mah"/>
    <s v="RM01787"/>
    <x v="9"/>
    <x v="5"/>
    <n v="1"/>
    <n v="350"/>
    <n v="350"/>
    <n v="63"/>
    <n v="413"/>
    <m/>
    <s v="Running"/>
  </r>
  <r>
    <d v="2025-09-06T16:53:49"/>
    <s v="Sep-25"/>
    <x v="0"/>
    <s v="MPG"/>
    <d v="2024-08-09T00:00:00"/>
    <n v="12"/>
    <x v="208"/>
    <s v=" Marachi"/>
    <s v=" Mirtunjay"/>
    <n v="6203585917"/>
    <s v="STIRRER UNIT EV5600"/>
    <s v="S-22040049"/>
    <s v="Stirrer Timer PCB"/>
    <s v="RM00478"/>
    <x v="9"/>
    <x v="5"/>
    <n v="1"/>
    <n v="900"/>
    <n v="900"/>
    <n v="162"/>
    <n v="1062"/>
    <m/>
    <s v="Running"/>
  </r>
  <r>
    <d v="2025-09-06T16:53:49"/>
    <s v="Sep-25"/>
    <x v="0"/>
    <s v="MPG"/>
    <d v="2024-08-09T00:00:00"/>
    <n v="12"/>
    <x v="208"/>
    <s v=" Marachi"/>
    <s v=" Mirtunjay"/>
    <n v="6203585917"/>
    <s v="STIRRER UNIT EV5600"/>
    <s v="S-22040049"/>
    <s v="Stirrer Power Board"/>
    <s v="RM00477"/>
    <x v="9"/>
    <x v="5"/>
    <n v="1"/>
    <n v="1750"/>
    <n v="1750"/>
    <n v="315"/>
    <n v="2065"/>
    <m/>
    <s v="Running"/>
  </r>
  <r>
    <d v="2025-09-06T10:17:36"/>
    <s v="Sep-25"/>
    <x v="0"/>
    <s v="MPG"/>
    <d v="2017-09-01T00:00:00"/>
    <n v="96"/>
    <x v="209"/>
    <s v="gomukh mahdadpur"/>
    <s v="sunil kumar"/>
    <n v="6204394263"/>
    <s v="WEIGHING SCALE 60 KG"/>
    <s v="E-214082385"/>
    <s v="Keyboard For Weighing Scale (Repaired)"/>
    <s v="SF00048"/>
    <x v="9"/>
    <x v="5"/>
    <n v="1"/>
    <n v="360"/>
    <n v="360"/>
    <n v="64.8"/>
    <n v="424.8"/>
    <m/>
    <s v="Running"/>
  </r>
  <r>
    <d v="2025-09-06T10:19:12"/>
    <s v="Sep-25"/>
    <x v="0"/>
    <s v="MPG"/>
    <d v="2024-12-16T00:00:00"/>
    <n v="8"/>
    <x v="113"/>
    <s v="dhobina basa"/>
    <s v="shatrodhan yadav"/>
    <n v="9973419727"/>
    <s v="EKOMILK ULTRA PRO ANALYSER"/>
    <n v="378242"/>
    <s v="Ekomilk Motorpump Set New"/>
    <s v="TR00181"/>
    <x v="9"/>
    <x v="5"/>
    <n v="1"/>
    <n v="4500"/>
    <n v="4500"/>
    <n v="810"/>
    <n v="5310"/>
    <m/>
    <s v="Running"/>
  </r>
  <r>
    <d v="2025-09-06T17:05:39"/>
    <s v="Sep-25"/>
    <x v="0"/>
    <s v="MPG"/>
    <d v="2024-08-28T00:00:00"/>
    <n v="12"/>
    <x v="210"/>
    <s v="desua balo tol"/>
    <s v="niranjan"/>
    <n v="9693003121"/>
    <s v="WEIGHING SCALE 60 KG"/>
    <s v="E-17127306"/>
    <s v="Keyboard For Weighing Scale (Repaired)"/>
    <s v="SF00048"/>
    <x v="9"/>
    <x v="5"/>
    <n v="1"/>
    <n v="360"/>
    <n v="360"/>
    <n v="64.8"/>
    <n v="424.8"/>
    <m/>
    <s v="Sep'25 Closed"/>
  </r>
  <r>
    <d v="2025-09-05T15:51:56"/>
    <s v="Sep-25"/>
    <x v="0"/>
    <s v="MPG"/>
    <d v="2024-11-03T00:00:00"/>
    <n v="10"/>
    <x v="195"/>
    <s v="dagaruya"/>
    <s v="Nitesh "/>
    <n v="9153681814"/>
    <s v="EKOMILK ULTRA PRO ANALYSER"/>
    <n v="326473"/>
    <s v="Ekomilk Keyboard"/>
    <s v="RM01018"/>
    <x v="9"/>
    <x v="5"/>
    <n v="1"/>
    <n v="770"/>
    <n v="770"/>
    <n v="138.6"/>
    <n v="908.6"/>
    <m/>
    <s v="Running"/>
  </r>
  <r>
    <d v="2025-09-05T15:51:56"/>
    <s v="Sep-25"/>
    <x v="0"/>
    <s v="MPG"/>
    <d v="2024-11-03T00:00:00"/>
    <n v="10"/>
    <x v="195"/>
    <s v="dagaruya"/>
    <s v="Nitesh "/>
    <n v="9153681814"/>
    <s v="EKOMILK ULTRA PRO ANALYSER"/>
    <n v="326473"/>
    <s v="Ekomilk Sieringe With Plunger"/>
    <s v="RM00530"/>
    <x v="9"/>
    <x v="5"/>
    <n v="1"/>
    <n v="70"/>
    <n v="70"/>
    <n v="12.6"/>
    <n v="82.6"/>
    <m/>
    <s v="Running"/>
  </r>
  <r>
    <d v="2025-09-04T15:47:56"/>
    <s v="Sep-25"/>
    <x v="0"/>
    <s v="MPG"/>
    <d v="2025-02-04T00:00:00"/>
    <n v="7"/>
    <x v="211"/>
    <s v="sondha uttru"/>
    <s v="kanchan kumari"/>
    <n v="8405018934"/>
    <s v="Everest Smart Tab-based Android Terminal (Table-top) with Inbuilt Printer"/>
    <s v="GTD-23024148"/>
    <s v="Battery 3.7V/2600Mah"/>
    <s v="RM01787"/>
    <x v="9"/>
    <x v="5"/>
    <n v="1"/>
    <n v="350"/>
    <n v="350"/>
    <n v="63"/>
    <n v="413"/>
    <m/>
    <s v="Nov'25 Closed"/>
  </r>
  <r>
    <d v="2025-09-03T14:01:31"/>
    <s v="Sep-25"/>
    <x v="0"/>
    <s v="MPG"/>
    <e v="#N/A"/>
    <s v=""/>
    <x v="212"/>
    <s v="BADARKHA"/>
    <s v="AJEET KUMAR CHAUDHARY"/>
    <n v="9955511137"/>
    <s v="EKOMILK ULTRA PRO ANALYSER"/>
    <n v="277221"/>
    <s v="Fatscan &quot; Y &quot; Pipe"/>
    <s v="SF00145"/>
    <x v="9"/>
    <x v="5"/>
    <n v="1"/>
    <n v="84"/>
    <n v="84"/>
    <n v="15.12"/>
    <n v="99.12"/>
    <m/>
    <s v="Running"/>
  </r>
  <r>
    <d v="2025-09-03T13:00:00"/>
    <s v="Sep-25"/>
    <x v="0"/>
    <s v="MPG"/>
    <e v="#N/A"/>
    <s v=""/>
    <x v="145"/>
    <s v="Levadh"/>
    <s v="Santi Devi "/>
    <n v="8252388707"/>
    <s v="STIRRER UNIT EV5600"/>
    <s v="S-22092446"/>
    <s v="Stirrer Timer PCB"/>
    <s v="RM00478"/>
    <x v="9"/>
    <x v="5"/>
    <n v="1"/>
    <n v="900"/>
    <n v="900"/>
    <n v="162"/>
    <n v="1062"/>
    <m/>
    <s v="Running"/>
  </r>
  <r>
    <d v="2025-09-03T10:20:27"/>
    <s v="Sep-25"/>
    <x v="0"/>
    <s v="MPG"/>
    <d v="2022-11-01T00:00:00"/>
    <n v="34"/>
    <x v="213"/>
    <s v="nijampur "/>
    <s v="Dharmendra Mahato "/>
    <n v="9931786700"/>
    <s v="EKOMILK ULTRA PRO ANALYSER"/>
    <n v="351141"/>
    <s v="Ekomilk Sensor To Sieringe Pipe"/>
    <s v="RM00528"/>
    <x v="9"/>
    <x v="5"/>
    <n v="1"/>
    <n v="44"/>
    <n v="44"/>
    <n v="7.92"/>
    <n v="51.92"/>
    <m/>
    <s v="Oct '25 Closed"/>
  </r>
  <r>
    <d v="2025-09-03T15:40:19"/>
    <s v="Sep-25"/>
    <x v="0"/>
    <s v="MPG"/>
    <d v="2024-10-03T00:00:00"/>
    <n v="11"/>
    <x v="214"/>
    <s v="Gomukh sahuri Sharma tol "/>
    <s v="Krishna Kumar Sharma"/>
    <n v="7634894581"/>
    <s v="STIRRER UNIT EV5600"/>
    <s v="GS-23033775"/>
    <s v="Stirrer Timer PCB"/>
    <s v="RM01050"/>
    <x v="9"/>
    <x v="5"/>
    <n v="1"/>
    <n v="900"/>
    <n v="900"/>
    <n v="162"/>
    <n v="1062"/>
    <m/>
    <s v="Running"/>
  </r>
  <r>
    <d v="2025-09-03T13:50:01"/>
    <s v="Sep-25"/>
    <x v="0"/>
    <s v="MPG"/>
    <d v="2024-12-20T00:00:00"/>
    <n v="8"/>
    <x v="135"/>
    <s v="Pokharaha "/>
    <s v="Dhuran Yadav "/>
    <n v="7011240629"/>
    <s v="Everest Smart Tab-based Android Terminal (Table-top) with Inbuilt Printer"/>
    <s v="gtd-23014026"/>
    <s v="DPU DC To DC Converter 12V To 5V"/>
    <s v="RM00493"/>
    <x v="9"/>
    <x v="5"/>
    <n v="1"/>
    <n v="780"/>
    <n v="780"/>
    <n v="140.4"/>
    <n v="920.4"/>
    <m/>
    <s v="Running"/>
  </r>
  <r>
    <d v="2025-09-03T14:13:28"/>
    <s v="Sep-25"/>
    <x v="0"/>
    <s v="MPG"/>
    <e v="#N/A"/>
    <s v=""/>
    <x v="215"/>
    <s v="gomukh Sajua1"/>
    <s v="Ravikant kumar"/>
    <n v="6203649027"/>
    <s v="EKOMILK ULTRA PRO ANALYSER"/>
    <n v="328961"/>
    <s v="Ekomilk Keyboard"/>
    <s v="RM01018"/>
    <x v="9"/>
    <x v="5"/>
    <n v="1"/>
    <n v="770"/>
    <n v="770"/>
    <n v="138.6"/>
    <n v="908.6"/>
    <m/>
    <s v="Running"/>
  </r>
  <r>
    <d v="2025-09-02T16:41:04"/>
    <s v="Sep-25"/>
    <x v="0"/>
    <s v="MPG"/>
    <d v="2019-09-23T00:00:00"/>
    <n v="71"/>
    <x v="71"/>
    <s v="Khajuri"/>
    <s v="Anuj Kumar Singh"/>
    <n v="7033197978"/>
    <s v="WEIGHING SCALE 60 KG"/>
    <s v="E-17127324"/>
    <s v="Connector 5 Pin Metal M/F"/>
    <s v="RM00727"/>
    <x v="9"/>
    <x v="5"/>
    <n v="1"/>
    <n v="225"/>
    <n v="225"/>
    <n v="40.5"/>
    <n v="265.5"/>
    <m/>
    <s v="Running"/>
  </r>
  <r>
    <d v="2025-09-02T16:41:04"/>
    <s v="Sep-25"/>
    <x v="0"/>
    <s v="MPG"/>
    <d v="2019-09-23T00:00:00"/>
    <n v="71"/>
    <x v="71"/>
    <s v="Khajuri"/>
    <s v="Anuj Kumar Singh"/>
    <n v="7033197978"/>
    <s v="WEIGHING SCALE 60 KG"/>
    <s v="E-17127324"/>
    <s v="Keyboard For Weighing Scale (Repaired)"/>
    <s v="SF00048"/>
    <x v="9"/>
    <x v="5"/>
    <n v="1"/>
    <n v="360"/>
    <n v="360"/>
    <n v="64.8"/>
    <n v="424.8"/>
    <m/>
    <s v="Running"/>
  </r>
  <r>
    <d v="2025-09-01T15:18:27"/>
    <s v="Sep-25"/>
    <x v="0"/>
    <s v="MPG"/>
    <d v="2019-11-17T00:00:00"/>
    <n v="69"/>
    <x v="99"/>
    <s v="Andhaha"/>
    <s v="Binay kumar singh"/>
    <n v="7808980222"/>
    <s v="EKOMILK ULTRA PRO ANALYSER"/>
    <n v="351152"/>
    <s v="Fatscan Sensor to Syringe Pipe"/>
    <s v="SF00146"/>
    <x v="9"/>
    <x v="5"/>
    <n v="1"/>
    <n v="44"/>
    <n v="44"/>
    <n v="7.92"/>
    <n v="51.92"/>
    <m/>
    <s v="Running"/>
  </r>
  <r>
    <d v="2025-09-01T15:18:27"/>
    <s v="Sep-25"/>
    <x v="0"/>
    <s v="MPG"/>
    <d v="2019-11-17T00:00:00"/>
    <n v="69"/>
    <x v="99"/>
    <s v="Andhaha"/>
    <s v="Binay kumar singh"/>
    <n v="7808980222"/>
    <s v="EKOMILK ULTRA PRO ANALYSER"/>
    <n v="351152"/>
    <s v="Fatscan &quot; Y &quot; Pipe"/>
    <s v="SF00145"/>
    <x v="9"/>
    <x v="5"/>
    <n v="1"/>
    <n v="84"/>
    <n v="84"/>
    <n v="15.12"/>
    <n v="99.12"/>
    <m/>
    <s v="Running"/>
  </r>
  <r>
    <d v="2025-09-01T15:18:27"/>
    <s v="Sep-25"/>
    <x v="0"/>
    <s v="MPG"/>
    <d v="2019-11-17T00:00:00"/>
    <n v="69"/>
    <x v="99"/>
    <s v="Andhaha"/>
    <s v="Binay kumar singh"/>
    <n v="7808980222"/>
    <s v="EKOMILK ULTRA PRO ANALYSER"/>
    <n v="351152"/>
    <s v="Fatscan Sensor to Syringe Pipe"/>
    <s v="SF00146"/>
    <x v="9"/>
    <x v="5"/>
    <n v="1"/>
    <n v="44"/>
    <n v="44"/>
    <n v="7.92"/>
    <n v="51.92"/>
    <m/>
    <s v="Running"/>
  </r>
  <r>
    <d v="2025-09-01T21:06:10"/>
    <s v="Sep-25"/>
    <x v="1"/>
    <s v="MPG"/>
    <e v="#N/A"/>
    <s v=""/>
    <x v="216"/>
    <s v="Bero"/>
    <s v="Ganesh Mahtha "/>
    <n v="6205711535"/>
    <s v="WEIGHING SCALE 60 KG"/>
    <s v="GNE-23060594"/>
    <s v="Keyboard For Weighing Scale New Design"/>
    <s v="RM01176"/>
    <x v="10"/>
    <x v="5"/>
    <n v="1"/>
    <n v="1266"/>
    <n v="1266"/>
    <n v="227.88"/>
    <n v="1493.88"/>
    <m/>
    <e v="#N/A"/>
  </r>
  <r>
    <d v="2025-10-31T16:54:13"/>
    <s v="Oct-25"/>
    <x v="0"/>
    <s v="MPG"/>
    <d v="2023-07-21T00:00:00"/>
    <n v="27"/>
    <x v="131"/>
    <s v="Gomukh goriyarI"/>
    <s v="Ajay Kumar "/>
    <n v="9973609107"/>
    <s v="Everest Smart Tab-based Android Terminal (Table-top) with Inbuilt Printer"/>
    <s v="GTD-23024143"/>
    <s v="Battery 3.7V/2600Mah"/>
    <s v="RM00980"/>
    <x v="11"/>
    <x v="6"/>
    <n v="1"/>
    <n v="350"/>
    <n v="350"/>
    <n v="63"/>
    <n v="413"/>
    <m/>
    <s v="Running"/>
  </r>
  <r>
    <d v="2025-10-30T14:45:14"/>
    <s v="Oct-25"/>
    <x v="1"/>
    <s v="MPG"/>
    <e v="#N/A"/>
    <s v=""/>
    <x v="107"/>
    <s v="Thakur Gaw"/>
    <s v="Raj Kumar sahu"/>
    <n v="8709246184"/>
    <s v="STIRRER UNIT EV5600"/>
    <s v="GS-23040760"/>
    <s v="Stirrer Timer PCB"/>
    <s v="RM01050"/>
    <x v="12"/>
    <x v="6"/>
    <n v="1"/>
    <n v="900"/>
    <n v="900"/>
    <n v="162"/>
    <n v="1062"/>
    <m/>
    <e v="#N/A"/>
  </r>
  <r>
    <d v="2025-10-30T12:57:47"/>
    <s v="Oct-25"/>
    <x v="0"/>
    <s v="MPG"/>
    <d v="2023-05-03T00:00:00"/>
    <n v="29"/>
    <x v="217"/>
    <s v="batta rampur "/>
    <s v="kanhaiya kumar "/>
    <n v="8051647327"/>
    <s v="EKOMILK ULTRA PRO ANALYSER"/>
    <n v="378198"/>
    <s v="Ekomilk Sieringe With Plunger"/>
    <s v="RM00530"/>
    <x v="11"/>
    <x v="6"/>
    <n v="1"/>
    <n v="70"/>
    <n v="70"/>
    <n v="12.6"/>
    <n v="82.6"/>
    <m/>
    <s v="Running"/>
  </r>
  <r>
    <d v="2025-10-30T12:57:47"/>
    <s v="Oct-25"/>
    <x v="0"/>
    <s v="MPG"/>
    <d v="2023-05-03T00:00:00"/>
    <n v="29"/>
    <x v="217"/>
    <s v="batta rampur "/>
    <s v="kanhaiya kumar "/>
    <n v="8051647327"/>
    <s v="EKOMILK ULTRA PRO ANALYSER"/>
    <n v="378198"/>
    <s v="Ekomilk Sieringe With Plunger"/>
    <s v="RM00530"/>
    <x v="11"/>
    <x v="6"/>
    <n v="1"/>
    <n v="70"/>
    <n v="70"/>
    <n v="12.6"/>
    <n v="82.6"/>
    <m/>
    <s v="Running"/>
  </r>
  <r>
    <d v="2025-10-30T13:00:05"/>
    <s v="Oct-25"/>
    <x v="0"/>
    <s v="MPG"/>
    <d v="2024-12-05T00:00:00"/>
    <n v="10"/>
    <x v="93"/>
    <s v="tilthi "/>
    <s v="jitendra kumar"/>
    <n v="6206967505"/>
    <s v="EKOMILK ULTRA PRO ANALYSER"/>
    <n v="382421"/>
    <s v="Ekomilk Bush"/>
    <s v="RM00510"/>
    <x v="11"/>
    <x v="6"/>
    <n v="1"/>
    <n v="49"/>
    <n v="49"/>
    <n v="8.82"/>
    <n v="57.82"/>
    <m/>
    <s v="Running"/>
  </r>
  <r>
    <d v="2025-10-30T13:00:05"/>
    <s v="Oct-25"/>
    <x v="0"/>
    <s v="MPG"/>
    <d v="2024-12-05T00:00:00"/>
    <n v="10"/>
    <x v="93"/>
    <s v="tilthi "/>
    <s v="jitendra kumar"/>
    <n v="6206967505"/>
    <s v="EKOMILK ULTRA PRO ANALYSER"/>
    <n v="382421"/>
    <s v="Ekomilk Bush"/>
    <s v="RM00510"/>
    <x v="11"/>
    <x v="6"/>
    <n v="1"/>
    <n v="49"/>
    <n v="49"/>
    <n v="8.82"/>
    <n v="57.82"/>
    <m/>
    <s v="Running"/>
  </r>
  <r>
    <d v="2025-10-30T14:42:17"/>
    <s v="Oct-25"/>
    <x v="1"/>
    <s v="BMC"/>
    <e v="#N/A"/>
    <s v=""/>
    <x v="68"/>
    <s v="Pali"/>
    <s v="Ashok Sahu"/>
    <n v="8709856463"/>
    <s v="EKOMILK ULTRA PRO ANALYSER"/>
    <n v="360621"/>
    <s v="Ekomilk Sieringe With Plunger"/>
    <s v="RM00530"/>
    <x v="12"/>
    <x v="6"/>
    <n v="1"/>
    <n v="70"/>
    <n v="70"/>
    <n v="12.6"/>
    <n v="82.6"/>
    <m/>
    <e v="#N/A"/>
  </r>
  <r>
    <d v="2025-10-30T14:43:52"/>
    <s v="Oct-25"/>
    <x v="1"/>
    <s v="MPG"/>
    <e v="#N/A"/>
    <s v=""/>
    <x v="107"/>
    <s v="Thakur Gaw"/>
    <s v="Raj Kumar sahu"/>
    <n v="8709246184"/>
    <s v="EKOMILK ULTRA PRO ANALYSER"/>
    <n v="359077"/>
    <s v="Fatscan Sensor to Syringe Pipe"/>
    <s v="SF00146"/>
    <x v="12"/>
    <x v="6"/>
    <n v="1"/>
    <n v="44"/>
    <n v="44"/>
    <n v="7.92"/>
    <n v="51.92"/>
    <m/>
    <e v="#N/A"/>
  </r>
  <r>
    <d v="2025-10-30T14:39:16"/>
    <s v="Oct-25"/>
    <x v="1"/>
    <s v="MPG"/>
    <e v="#N/A"/>
    <s v=""/>
    <x v="218"/>
    <s v="LUNDRI 1"/>
    <s v="GEETA DEVI"/>
    <n v="7541089739"/>
    <s v="EKOMILK ULTRA PRO ANALYSER"/>
    <n v="210786"/>
    <s v="Ekomilk Sieringe With Plunger"/>
    <s v="RM00530"/>
    <x v="12"/>
    <x v="6"/>
    <n v="1"/>
    <n v="70"/>
    <n v="70"/>
    <n v="12.6"/>
    <n v="82.6"/>
    <m/>
    <e v="#N/A"/>
  </r>
  <r>
    <d v="2025-10-30T14:44:04"/>
    <s v="Oct-25"/>
    <x v="1"/>
    <s v="MPG"/>
    <e v="#N/A"/>
    <s v=""/>
    <x v="107"/>
    <s v="Thakur Gaw"/>
    <s v="Raj Kumar sahu"/>
    <n v="8709246184"/>
    <s v="EKOMILK ULTRA PRO ANALYSER"/>
    <n v="359077"/>
    <s v="Ekomilk Sieringe With Plunger"/>
    <s v="RM00530"/>
    <x v="12"/>
    <x v="6"/>
    <n v="1"/>
    <n v="70"/>
    <n v="70"/>
    <n v="12.6"/>
    <n v="82.6"/>
    <m/>
    <e v="#N/A"/>
  </r>
  <r>
    <d v="2025-10-29T16:49:34"/>
    <s v="Oct-25"/>
    <x v="0"/>
    <s v="MPG"/>
    <d v="2024-12-23T00:00:00"/>
    <n v="10"/>
    <x v="219"/>
    <s v=" jhaura tabhak"/>
    <s v="Adita Kumar "/>
    <n v="8340433254"/>
    <s v="EKOMILK ULTRA PRO ANALYSER"/>
    <n v="310512"/>
    <s v="Ekomilk Sieringe With Plunger"/>
    <s v="RM00530"/>
    <x v="11"/>
    <x v="6"/>
    <n v="1"/>
    <n v="70"/>
    <n v="70"/>
    <n v="12.6"/>
    <n v="82.6"/>
    <m/>
    <s v="Running"/>
  </r>
  <r>
    <d v="2025-10-29T16:49:34"/>
    <s v="Oct-25"/>
    <x v="0"/>
    <s v="MPG"/>
    <d v="2024-12-23T00:00:00"/>
    <n v="10"/>
    <x v="219"/>
    <s v=" jhaura tabhak"/>
    <s v="Adita Kumar "/>
    <n v="8340433254"/>
    <s v="EKOMILK ULTRA PRO ANALYSER"/>
    <n v="310512"/>
    <s v="Ekomilk Sieringe With Plunger"/>
    <s v="RM00530"/>
    <x v="11"/>
    <x v="6"/>
    <n v="1"/>
    <n v="70"/>
    <n v="70"/>
    <n v="12.6"/>
    <n v="82.6"/>
    <m/>
    <s v="Running"/>
  </r>
  <r>
    <d v="2025-10-22T15:58:17"/>
    <s v="Oct-25"/>
    <x v="0"/>
    <s v="BMC"/>
    <e v="#N/A"/>
    <s v=""/>
    <x v="6"/>
    <s v="Teghra BMC in plant lab"/>
    <s v="Pirinc kumar"/>
    <n v="9113108485"/>
    <s v="EKOMILK ULTRA PRO ANALYSER"/>
    <n v="371219"/>
    <s v="Ekomilk Keyboard"/>
    <s v="RM01018"/>
    <x v="11"/>
    <x v="6"/>
    <n v="1"/>
    <n v="770"/>
    <n v="770"/>
    <n v="138.6"/>
    <n v="908.6"/>
    <m/>
    <e v="#N/A"/>
  </r>
  <r>
    <d v="2025-10-22T15:50:00"/>
    <s v="Oct-25"/>
    <x v="0"/>
    <s v="MPG"/>
    <d v="2024-09-06T00:00:00"/>
    <n v="13"/>
    <x v="220"/>
    <s v="Gonai"/>
    <s v="Sanjay kumar"/>
    <n v="7091691919"/>
    <s v="Everest Smart Tab-based Android Terminal (Table-top) with Inbuilt Printer"/>
    <s v="GTD-22122571"/>
    <s v="Battery 3.7V/2600Mah"/>
    <s v="RM00980"/>
    <x v="11"/>
    <x v="6"/>
    <n v="1"/>
    <n v="350"/>
    <n v="350"/>
    <n v="63"/>
    <n v="413"/>
    <m/>
    <s v="Running"/>
  </r>
  <r>
    <d v="2025-10-18T11:53:40"/>
    <s v="Oct-25"/>
    <x v="0"/>
    <s v="MPG"/>
    <d v="2025-05-16T00:00:00"/>
    <n v="5"/>
    <x v="90"/>
    <s v="Mordiwa east"/>
    <s v=" vivek "/>
    <n v="7079418432"/>
    <s v="WEIGHING SCALE 60 KG"/>
    <s v="ge-20033997"/>
    <s v="Keyboard For Weighing Scale (Repaired)"/>
    <s v="SF00048"/>
    <x v="11"/>
    <x v="6"/>
    <n v="1"/>
    <n v="360"/>
    <n v="360"/>
    <n v="64.8"/>
    <n v="424.8"/>
    <m/>
    <s v="Running"/>
  </r>
  <r>
    <d v="2025-10-18T15:35:19"/>
    <s v="Oct-25"/>
    <x v="0"/>
    <s v="MPG"/>
    <d v="2022-07-11T00:00:00"/>
    <n v="39"/>
    <x v="221"/>
    <s v="NANDAN "/>
    <s v="Rambahadur Singh "/>
    <n v="7050105614"/>
    <s v="STIRRER UNIT EV5600"/>
    <s v="GS-23011707"/>
    <s v="Stirrer Power Board"/>
    <s v="RM00477"/>
    <x v="11"/>
    <x v="6"/>
    <n v="1"/>
    <n v="1750"/>
    <n v="1750"/>
    <n v="315"/>
    <n v="2065"/>
    <m/>
    <s v="Running"/>
  </r>
  <r>
    <d v="2025-10-17T15:53:33"/>
    <s v="Oct-25"/>
    <x v="0"/>
    <s v="MPG"/>
    <d v="2025-05-23T00:00:00"/>
    <n v="4"/>
    <x v="222"/>
    <s v="Gomukh Rajpur"/>
    <s v="Dhirendar Thakur"/>
    <n v="8084278421"/>
    <s v="Everest Smart Tab-based Android Terminal (Table-top) with Inbuilt Printer"/>
    <s v="GTD-23013985"/>
    <s v="DPU DC To DC Converter 12V To 5V"/>
    <s v="RM00493"/>
    <x v="11"/>
    <x v="6"/>
    <n v="1"/>
    <n v="780"/>
    <n v="780"/>
    <n v="140.4"/>
    <n v="920.4"/>
    <m/>
    <s v="Running"/>
  </r>
  <r>
    <d v="2025-10-17T15:30:28"/>
    <s v="Oct-25"/>
    <x v="0"/>
    <s v="MPG"/>
    <d v="2017-09-01T00:00:00"/>
    <n v="97"/>
    <x v="223"/>
    <s v="pohe "/>
    <s v="gulshan Kumar "/>
    <n v="6204309133"/>
    <s v="WEIGHING SCALE 60 KG"/>
    <s v="E-215026646"/>
    <s v="Keyboard For Weighing Scale (Repaired)"/>
    <s v="SF00048"/>
    <x v="11"/>
    <x v="6"/>
    <n v="1"/>
    <n v="360"/>
    <n v="360"/>
    <n v="64.8"/>
    <n v="424.8"/>
    <m/>
    <s v="Running"/>
  </r>
  <r>
    <d v="2025-10-17T09:14:59"/>
    <s v="Oct-25"/>
    <x v="0"/>
    <s v="MPG"/>
    <d v="2017-09-01T00:00:00"/>
    <n v="97"/>
    <x v="62"/>
    <s v="Ballopur "/>
    <s v="jitendra Kumar "/>
    <n v="9304189034"/>
    <s v="WEIGHING SCALE 60 KG"/>
    <s v="E-215026606"/>
    <s v="Keyboard For Weighing Scale (Repaired)"/>
    <s v="SF00048"/>
    <x v="11"/>
    <x v="6"/>
    <n v="1"/>
    <n v="360"/>
    <n v="360"/>
    <n v="64.8"/>
    <n v="424.8"/>
    <m/>
    <s v="Running"/>
  </r>
  <r>
    <d v="2025-10-16T17:11:20"/>
    <s v="Oct-25"/>
    <x v="0"/>
    <s v="MPG"/>
    <d v="2025-01-24T00:00:00"/>
    <n v="8"/>
    <x v="20"/>
    <s v="Gomukh Gauchhari"/>
    <s v="Khagesh"/>
    <n v="8084852614"/>
    <s v="WEIGHING SCALE 60 KG"/>
    <s v="GNE-23024516"/>
    <s v="Connector 5 Pin Metal M/F"/>
    <s v="RM00727"/>
    <x v="11"/>
    <x v="6"/>
    <n v="1"/>
    <n v="225"/>
    <n v="225"/>
    <n v="40.5"/>
    <n v="265.5"/>
    <m/>
    <s v="Running"/>
  </r>
  <r>
    <d v="2025-10-16T15:02:24"/>
    <s v="Oct-25"/>
    <x v="0"/>
    <s v="MPG"/>
    <d v="2020-09-28T00:00:00"/>
    <n v="60"/>
    <x v="38"/>
    <s v="Arniya ganj"/>
    <s v="Navin Kumar ray"/>
    <n v="7017190104"/>
    <s v="WEIGHING SCALE 60 KG"/>
    <s v="E-17116795"/>
    <s v="Keyboard For Weighing Scale (Repaired)"/>
    <s v="SF00048"/>
    <x v="11"/>
    <x v="6"/>
    <n v="1"/>
    <n v="360"/>
    <n v="360"/>
    <n v="64.8"/>
    <n v="424.8"/>
    <m/>
    <s v="Running"/>
  </r>
  <r>
    <d v="2025-10-16T15:22:08"/>
    <s v="Oct-25"/>
    <x v="0"/>
    <s v="MPG"/>
    <d v="2023-01-23T00:00:00"/>
    <n v="32"/>
    <x v="224"/>
    <s v="Murtuzapur "/>
    <s v="Bhushan ray"/>
    <n v="8298913323"/>
    <s v="EKOMILK ULTRA PRO ANALYSER"/>
    <n v="322420"/>
    <s v="Fatscan Motor Pump Pipe"/>
    <s v="SF00147"/>
    <x v="11"/>
    <x v="6"/>
    <n v="1"/>
    <n v="125"/>
    <n v="125"/>
    <n v="22.5"/>
    <n v="147.5"/>
    <m/>
    <s v="Running"/>
  </r>
  <r>
    <d v="2025-10-16T15:22:08"/>
    <s v="Oct-25"/>
    <x v="0"/>
    <s v="MPG"/>
    <d v="2023-01-23T00:00:00"/>
    <n v="32"/>
    <x v="224"/>
    <s v="Murtuzapur "/>
    <s v="Bhushan ray"/>
    <n v="8298913323"/>
    <s v="EKOMILK ULTRA PRO ANALYSER"/>
    <n v="322420"/>
    <s v="Fatscan Motor Pump Pipe"/>
    <s v="SF00147"/>
    <x v="11"/>
    <x v="6"/>
    <n v="1"/>
    <n v="125"/>
    <n v="125"/>
    <n v="22.5"/>
    <n v="147.5"/>
    <m/>
    <s v="Running"/>
  </r>
  <r>
    <d v="2025-10-16T17:20:27"/>
    <s v="Oct-25"/>
    <x v="0"/>
    <s v="MPG"/>
    <d v="2024-02-01T00:00:00"/>
    <n v="20"/>
    <x v="40"/>
    <s v="Mathar word 10 bmc S kamal"/>
    <s v="Manish Kumar "/>
    <n v="6204172365"/>
    <s v="WEIGHING SCALE 200Kg"/>
    <s v="GNE-23013738"/>
    <s v="SWS Motherboard (Version 1.1)"/>
    <s v="RM01371"/>
    <x v="11"/>
    <x v="6"/>
    <n v="1"/>
    <n v="2080"/>
    <n v="2080"/>
    <n v="374.4"/>
    <n v="2454.4"/>
    <m/>
    <s v="Running"/>
  </r>
  <r>
    <d v="2025-10-15T16:09:06"/>
    <s v="Oct-25"/>
    <x v="0"/>
    <s v="BMC"/>
    <e v="#N/A"/>
    <s v=""/>
    <x v="25"/>
    <s v="Manjhaul"/>
    <s v="chaitanya"/>
    <n v="9354051773"/>
    <s v="Everest Smart Tab-based Android Terminal (Table-top) with Inbuilt Printer"/>
    <s v="GTD-23013873"/>
    <s v="Battery 3.7V/2600Mah"/>
    <s v="RM00980"/>
    <x v="11"/>
    <x v="6"/>
    <n v="1"/>
    <n v="350"/>
    <n v="350"/>
    <n v="63"/>
    <n v="413"/>
    <m/>
    <e v="#N/A"/>
  </r>
  <r>
    <d v="2025-10-15T16:03:53"/>
    <s v="Oct-25"/>
    <x v="0"/>
    <s v="MPG"/>
    <d v="2025-02-12T00:00:00"/>
    <n v="8"/>
    <x v="225"/>
    <s v="Goha  1"/>
    <s v="kamal kumar"/>
    <n v="9931643607"/>
    <s v="Everest Smart Tab-based Android Terminal (Table-top) with Inbuilt Printer"/>
    <s v="GTD-23024160"/>
    <s v="Battery 3.7V/2600Mah"/>
    <s v="RM00980"/>
    <x v="11"/>
    <x v="6"/>
    <n v="1"/>
    <n v="350"/>
    <n v="350"/>
    <n v="63"/>
    <n v="413"/>
    <m/>
    <s v="Running"/>
  </r>
  <r>
    <d v="2025-10-15T16:26:15"/>
    <s v="Oct-25"/>
    <x v="0"/>
    <s v="MPG"/>
    <d v="2025-03-21T00:00:00"/>
    <n v="6"/>
    <x v="226"/>
    <s v="koriya"/>
    <s v="sintu kumar"/>
    <n v="7480981389"/>
    <s v="Everest Smart Tab-based Android Terminal (Table-top) with Inbuilt Printer"/>
    <s v="GTD-23024226"/>
    <s v="Battery 3.7V/2600Mah"/>
    <s v="RM00980"/>
    <x v="11"/>
    <x v="6"/>
    <n v="1"/>
    <n v="350"/>
    <n v="350"/>
    <n v="63"/>
    <n v="413"/>
    <m/>
    <s v="Running"/>
  </r>
  <r>
    <d v="2025-10-14T15:20:32"/>
    <s v="Oct-25"/>
    <x v="0"/>
    <s v="MPG"/>
    <d v="2017-09-01T00:00:00"/>
    <n v="97"/>
    <x v="1"/>
    <s v="MSK MPG gauripur"/>
    <s v="Chandan Kumar"/>
    <n v="6299652936"/>
    <s v="WEIGHING SCALE 60 KG"/>
    <s v="E-214082361"/>
    <s v="Keyboard For Weighing Scale New Design"/>
    <s v="RM01176"/>
    <x v="11"/>
    <x v="6"/>
    <n v="1"/>
    <n v="1266"/>
    <n v="1266"/>
    <n v="227.88"/>
    <n v="1493.88"/>
    <m/>
    <s v="Running"/>
  </r>
  <r>
    <d v="2025-10-14T15:20:32"/>
    <s v="Oct-25"/>
    <x v="0"/>
    <s v="MPG"/>
    <d v="2017-09-01T00:00:00"/>
    <n v="97"/>
    <x v="1"/>
    <s v="MSK MPG gauripur"/>
    <s v="Chandan Kumar"/>
    <n v="6299652936"/>
    <s v="WEIGHING SCALE 60 KG"/>
    <s v="E-214082361"/>
    <s v="Connector 5 Pin Metal M/F"/>
    <s v="RM00727"/>
    <x v="11"/>
    <x v="6"/>
    <n v="1"/>
    <n v="225"/>
    <n v="225"/>
    <n v="40.5"/>
    <n v="265.5"/>
    <m/>
    <s v="Running"/>
  </r>
  <r>
    <d v="2025-10-14T15:20:32"/>
    <s v="Oct-25"/>
    <x v="0"/>
    <s v="MPG"/>
    <d v="2017-09-01T00:00:00"/>
    <n v="97"/>
    <x v="1"/>
    <s v="MSK MPG gauripur"/>
    <s v="Chandan Kumar"/>
    <n v="6299652936"/>
    <s v="WEIGHING SCALE 60 KG"/>
    <s v="E-214082361"/>
    <s v="EWS Battery Backup SMPS (BBLC)"/>
    <s v="RM01040"/>
    <x v="11"/>
    <x v="6"/>
    <n v="1"/>
    <n v="825"/>
    <n v="825"/>
    <n v="148.5"/>
    <n v="973.5"/>
    <m/>
    <s v="Running"/>
  </r>
  <r>
    <d v="2025-10-14T16:57:48"/>
    <s v="Oct-25"/>
    <x v="0"/>
    <s v="MPG"/>
    <d v="2020-11-26T00:00:00"/>
    <n v="58"/>
    <x v="227"/>
    <s v="khuthadih"/>
    <s v="Nivas kumar"/>
    <n v="9006834686"/>
    <s v="EKOMILK ULTRA PRO ANALYSER"/>
    <n v="194333"/>
    <s v="Fatscan Motor Pump Pipe"/>
    <s v="SF00147"/>
    <x v="11"/>
    <x v="6"/>
    <n v="1"/>
    <n v="125"/>
    <n v="125"/>
    <n v="22.5"/>
    <n v="147.5"/>
    <m/>
    <s v="Running"/>
  </r>
  <r>
    <d v="2025-10-14T14:36:01"/>
    <s v="Oct-25"/>
    <x v="0"/>
    <s v="MPG"/>
    <d v="2023-10-27T00:00:00"/>
    <n v="23"/>
    <x v="122"/>
    <s v="Narayanpur"/>
    <s v="CHANDAN"/>
    <n v="7488826293"/>
    <s v="EKOMILK ULTRA PRO ANALYSER"/>
    <n v="2352038"/>
    <s v="Fatscan &quot; Y &quot; Pipe"/>
    <s v="SF00145"/>
    <x v="11"/>
    <x v="6"/>
    <n v="1"/>
    <n v="84"/>
    <n v="84"/>
    <n v="15.12"/>
    <n v="99.12"/>
    <m/>
    <s v="Running"/>
  </r>
  <r>
    <d v="2025-10-14T14:36:01"/>
    <s v="Oct-25"/>
    <x v="0"/>
    <s v="MPG"/>
    <d v="2023-10-27T00:00:00"/>
    <n v="23"/>
    <x v="122"/>
    <s v="Narayanpur"/>
    <s v="CHANDAN"/>
    <n v="7488826293"/>
    <s v="EKOMILK ULTRA PRO ANALYSER"/>
    <n v="2352038"/>
    <s v="Ekomilk Sieringe With Plunger"/>
    <s v="RM00530"/>
    <x v="11"/>
    <x v="6"/>
    <n v="1"/>
    <n v="70"/>
    <n v="70"/>
    <n v="12.6"/>
    <n v="82.6"/>
    <m/>
    <s v="Running"/>
  </r>
  <r>
    <d v="2025-10-13T14:04:04"/>
    <s v="Oct-25"/>
    <x v="0"/>
    <s v="MPG"/>
    <e v="#N/A"/>
    <s v=""/>
    <x v="228"/>
    <s v="Gomukh Dulhar"/>
    <s v="Krishnand ray "/>
    <n v="6200792161"/>
    <s v="Everest Smart Tab-based Android Terminal (Table-top) with Inbuilt Printer"/>
    <s v="GTD-23024224"/>
    <s v="Battery 3.7V/2600Mah"/>
    <s v="RM00980"/>
    <x v="11"/>
    <x v="6"/>
    <n v="1"/>
    <n v="350"/>
    <n v="350"/>
    <n v="63"/>
    <n v="413"/>
    <m/>
    <s v="Running"/>
  </r>
  <r>
    <d v="2025-10-13T14:05:37"/>
    <s v="Oct-25"/>
    <x v="0"/>
    <s v="MPG"/>
    <e v="#N/A"/>
    <s v=""/>
    <x v="229"/>
    <s v="Gomukh Motichak"/>
    <s v="jitendra kumar"/>
    <n v="7301951783"/>
    <s v="Everest Smart Tab-based Android Terminal (Table-top) with Inbuilt Printer"/>
    <s v="GTD-23060400"/>
    <s v="Battery 3.7V/2600Mah"/>
    <s v="RM00980"/>
    <x v="11"/>
    <x v="6"/>
    <n v="1"/>
    <n v="350"/>
    <n v="350"/>
    <n v="63"/>
    <n v="413"/>
    <m/>
    <s v="Running"/>
  </r>
  <r>
    <d v="2025-10-13T15:41:30"/>
    <s v="Oct-25"/>
    <x v="0"/>
    <s v="MPG"/>
    <d v="2025-10-14T00:00:00"/>
    <s v=""/>
    <x v="230"/>
    <s v="GOMUKH MURTUZAPUR EAST"/>
    <s v="chandayser ray"/>
    <n v="9570648273"/>
    <s v="EKOMILK ULTRA PRO ANALYSER"/>
    <n v="322438"/>
    <s v="Fatscan Motor Pump Pipe"/>
    <s v="SF00147"/>
    <x v="11"/>
    <x v="6"/>
    <n v="1"/>
    <n v="125"/>
    <n v="125"/>
    <n v="22.5"/>
    <n v="147.5"/>
    <m/>
    <s v="Oct '25 Closed"/>
  </r>
  <r>
    <d v="2025-10-13T15:41:30"/>
    <s v="Oct-25"/>
    <x v="0"/>
    <s v="MPG"/>
    <d v="2025-10-14T00:00:00"/>
    <s v=""/>
    <x v="230"/>
    <s v="GOMUKH MURTUZAPUR EAST"/>
    <s v="chandayser ray"/>
    <n v="9570648273"/>
    <s v="EKOMILK ULTRA PRO ANALYSER"/>
    <n v="322438"/>
    <s v="Fatscan Motor Pump Pipe"/>
    <s v="SF00147"/>
    <x v="11"/>
    <x v="6"/>
    <n v="1"/>
    <n v="125"/>
    <n v="125"/>
    <n v="22.5"/>
    <n v="147.5"/>
    <m/>
    <s v="Oct '25 Closed"/>
  </r>
  <r>
    <d v="2025-10-13T15:41:30"/>
    <s v="Oct-25"/>
    <x v="0"/>
    <s v="MPG"/>
    <d v="2025-10-14T00:00:00"/>
    <s v=""/>
    <x v="230"/>
    <s v="GOMUKH MURTUZAPUR EAST"/>
    <s v="chandayser ray"/>
    <n v="9570648273"/>
    <s v="EKOMILK ULTRA PRO ANALYSER"/>
    <n v="322438"/>
    <s v="Ekomilk Sieringe With Plunger"/>
    <s v="RM00530"/>
    <x v="11"/>
    <x v="6"/>
    <n v="1"/>
    <n v="70"/>
    <n v="70"/>
    <n v="12.6"/>
    <n v="82.6"/>
    <m/>
    <s v="Oct '25 Closed"/>
  </r>
  <r>
    <d v="2025-10-13T15:41:11"/>
    <s v="Oct-25"/>
    <x v="0"/>
    <s v="MPG"/>
    <d v="2025-10-14T00:00:00"/>
    <s v=""/>
    <x v="230"/>
    <s v="GOMUKH MURTUZAPUR EAST"/>
    <s v="chandayser ray"/>
    <n v="9570648273"/>
    <s v="WEIGHING SCALE 60 KG"/>
    <s v="e-17116836"/>
    <s v="Keyboard For Weighing Scale (Repaired)"/>
    <s v="SF00048"/>
    <x v="11"/>
    <x v="6"/>
    <n v="1"/>
    <n v="360"/>
    <n v="360"/>
    <n v="64.8"/>
    <n v="424.8"/>
    <m/>
    <s v="Oct '25 Closed"/>
  </r>
  <r>
    <d v="2025-10-13T15:41:11"/>
    <s v="Oct-25"/>
    <x v="0"/>
    <s v="MPG"/>
    <d v="2025-10-14T00:00:00"/>
    <s v=""/>
    <x v="230"/>
    <s v="GOMUKH MURTUZAPUR EAST"/>
    <s v="chandayser ray"/>
    <n v="9570648273"/>
    <s v="WEIGHING SCALE 60 KG"/>
    <s v="e-17116836"/>
    <s v="EWS Battery Backup SMPS (BBLC)"/>
    <s v="RM01040"/>
    <x v="11"/>
    <x v="6"/>
    <n v="1"/>
    <n v="825"/>
    <n v="825"/>
    <n v="148.5"/>
    <n v="973.5"/>
    <m/>
    <s v="Oct '25 Closed"/>
  </r>
  <r>
    <d v="2025-10-11T15:22:38"/>
    <s v="Oct-25"/>
    <x v="0"/>
    <s v="MPG"/>
    <d v="2024-08-26T00:00:00"/>
    <n v="13"/>
    <x v="37"/>
    <s v="Beri"/>
    <s v="pavan ray"/>
    <n v="9262776421"/>
    <s v="EKOMILK ULTRA PRO ANALYSER"/>
    <n v="387344"/>
    <s v="Fatscan Motor Pump Pipe"/>
    <s v="SF00147"/>
    <x v="11"/>
    <x v="6"/>
    <n v="1"/>
    <n v="125"/>
    <n v="125"/>
    <n v="22.5"/>
    <n v="147.5"/>
    <m/>
    <s v="Running"/>
  </r>
  <r>
    <d v="2025-10-11T15:22:38"/>
    <s v="Oct-25"/>
    <x v="0"/>
    <s v="MPG"/>
    <d v="2024-08-26T00:00:00"/>
    <n v="13"/>
    <x v="37"/>
    <s v="Beri"/>
    <s v="pavan ray"/>
    <n v="9262776421"/>
    <s v="EKOMILK ULTRA PRO ANALYSER"/>
    <n v="387344"/>
    <s v="Fatscan Motor Pump Pipe"/>
    <s v="SF00147"/>
    <x v="11"/>
    <x v="6"/>
    <n v="1"/>
    <n v="125"/>
    <n v="125"/>
    <n v="22.5"/>
    <n v="147.5"/>
    <m/>
    <s v="Running"/>
  </r>
  <r>
    <d v="2025-10-11T13:51:54"/>
    <s v="Oct-25"/>
    <x v="0"/>
    <s v="MPG"/>
    <d v="2017-09-01T00:00:00"/>
    <n v="97"/>
    <x v="231"/>
    <s v="bachha"/>
    <s v="Subham kumar"/>
    <n v="9113476504"/>
    <s v="Everest Smart Tab-based Android Terminal (Table-top) with Inbuilt Printer"/>
    <s v="GNE-23014021"/>
    <s v="DPU DC To DC Converter 12V To 5V"/>
    <s v="RM00493"/>
    <x v="11"/>
    <x v="6"/>
    <n v="1"/>
    <n v="780"/>
    <n v="780"/>
    <n v="140.4"/>
    <n v="920.4"/>
    <m/>
    <s v="Running"/>
  </r>
  <r>
    <d v="2025-10-11T14:06:47"/>
    <s v="Oct-25"/>
    <x v="0"/>
    <s v="MPG"/>
    <d v="2023-03-10T00:00:00"/>
    <n v="31"/>
    <x v="232"/>
    <s v="dapadi"/>
    <s v="niranjan kumar "/>
    <n v="9572714705"/>
    <s v="EKOMILK ULTRA PRO ANALYSER"/>
    <n v="359711"/>
    <s v="Ekomilk Sieringe With Plunger"/>
    <s v="RM00530"/>
    <x v="11"/>
    <x v="6"/>
    <n v="1"/>
    <n v="70"/>
    <n v="70"/>
    <n v="12.6"/>
    <n v="82.6"/>
    <m/>
    <s v="Running"/>
  </r>
  <r>
    <d v="2025-10-11T14:06:47"/>
    <s v="Oct-25"/>
    <x v="0"/>
    <s v="MPG"/>
    <d v="2023-03-10T00:00:00"/>
    <n v="31"/>
    <x v="232"/>
    <s v="dapadi"/>
    <s v="niranjan kumar "/>
    <n v="9572714705"/>
    <s v="EKOMILK ULTRA PRO ANALYSER"/>
    <n v="359711"/>
    <s v="Ekomilk Sieringe With Plunger"/>
    <s v="RM00530"/>
    <x v="11"/>
    <x v="6"/>
    <n v="1"/>
    <n v="70"/>
    <n v="70"/>
    <n v="12.6"/>
    <n v="82.6"/>
    <m/>
    <s v="Running"/>
  </r>
  <r>
    <d v="2025-10-11T17:31:51"/>
    <s v="Oct-25"/>
    <x v="0"/>
    <s v="MPG"/>
    <e v="#N/A"/>
    <s v=""/>
    <x v="233"/>
    <s v="Barkhanditol-2 "/>
    <s v="Dilkhush Kumar "/>
    <n v="7488023515"/>
    <s v="WEIGHING SCALE 60 KG"/>
    <s v="GNE-23061099"/>
    <s v="Connector 5 Pin Metal M/F"/>
    <s v="RM00727"/>
    <x v="11"/>
    <x v="6"/>
    <n v="1"/>
    <n v="225"/>
    <n v="225"/>
    <n v="40.5"/>
    <n v="265.5"/>
    <m/>
    <s v="Running"/>
  </r>
  <r>
    <d v="2025-10-11T17:33:11"/>
    <s v="Oct-25"/>
    <x v="0"/>
    <s v="MPG"/>
    <d v="2024-12-05T00:00:00"/>
    <n v="10"/>
    <x v="181"/>
    <s v="Rohuaa S Kamal "/>
    <s v="Manoj Kumar sah"/>
    <n v="7549729151"/>
    <s v="WEIGHING SCALE 60 KG"/>
    <s v="gne-23024493"/>
    <s v="Connector 5 Pin Metal M/F"/>
    <s v="RM00727"/>
    <x v="11"/>
    <x v="6"/>
    <n v="1"/>
    <n v="225"/>
    <n v="225"/>
    <n v="40.5"/>
    <n v="265.5"/>
    <m/>
    <s v="Running"/>
  </r>
  <r>
    <d v="2025-10-11T13:48:10"/>
    <s v="Oct-25"/>
    <x v="0"/>
    <s v="MPG"/>
    <d v="2022-04-01T00:00:00"/>
    <n v="42"/>
    <x v="234"/>
    <s v="raway "/>
    <s v="ratandev kumar "/>
    <n v="9113718491"/>
    <s v="EKOMILK ULTRA PRO ANALYSER"/>
    <n v="2346390"/>
    <s v="Ekomilk Sensor To Sieringe Pipe"/>
    <s v="RM00528"/>
    <x v="11"/>
    <x v="6"/>
    <n v="1"/>
    <n v="44"/>
    <n v="44"/>
    <n v="7.92"/>
    <n v="51.92"/>
    <m/>
    <s v="Running"/>
  </r>
  <r>
    <d v="2025-10-11T17:30:50"/>
    <s v="Oct-25"/>
    <x v="0"/>
    <s v="MPG"/>
    <d v="2024-02-01T00:00:00"/>
    <n v="20"/>
    <x v="40"/>
    <s v="Mathar word 10 bmc S kamal"/>
    <s v="Manish Kumar "/>
    <n v="6204172365"/>
    <s v="WEIGHING SCALE 200Kg"/>
    <s v="GNE-23013738"/>
    <s v="Connector 5 Pin Metal M/F"/>
    <s v="RM00727"/>
    <x v="11"/>
    <x v="6"/>
    <n v="1"/>
    <n v="225"/>
    <n v="225"/>
    <n v="40.5"/>
    <n v="265.5"/>
    <m/>
    <s v="Running"/>
  </r>
  <r>
    <d v="2025-10-11T16:15:26"/>
    <s v="Oct-25"/>
    <x v="0"/>
    <s v="MPG"/>
    <d v="2022-05-22T00:00:00"/>
    <n v="40"/>
    <x v="235"/>
    <s v="GANGAULI "/>
    <s v="Shreeram Yadav "/>
    <n v="9060576286"/>
    <s v="WEIGHING SCALE 60 KG"/>
    <s v="GNE-22102055"/>
    <s v="Load Cell 100 Kg 60310"/>
    <s v="RM00006"/>
    <x v="11"/>
    <x v="6"/>
    <n v="1"/>
    <n v="2800"/>
    <n v="2800"/>
    <n v="504"/>
    <n v="3304"/>
    <m/>
    <s v="Running"/>
  </r>
  <r>
    <d v="2025-10-11T12:33:19"/>
    <s v="Oct-25"/>
    <x v="0"/>
    <s v="MPG"/>
    <d v="2025-10-09T00:00:00"/>
    <n v="0"/>
    <x v="236"/>
    <s v="GOMUKH PATHAKTOL"/>
    <s v="chandan"/>
    <n v="9631389655"/>
    <s v="STIRRER UNIT EV5600"/>
    <s v="s-17095698"/>
    <s v="Stirrer Power Board"/>
    <s v="RM00477"/>
    <x v="11"/>
    <x v="6"/>
    <n v="1"/>
    <n v="1750"/>
    <n v="1750"/>
    <n v="315"/>
    <n v="2065"/>
    <m/>
    <s v="Running"/>
  </r>
  <r>
    <d v="2025-10-10T11:58:43"/>
    <s v="Oct-25"/>
    <x v="0"/>
    <s v="MPG"/>
    <d v="2023-01-24T00:00:00"/>
    <n v="32"/>
    <x v="237"/>
    <s v="pathua "/>
    <s v="Nitish Kumar "/>
    <n v="7644976216"/>
    <s v="WEIGHING SCALE 60 KG"/>
    <s v="GNE-22050098"/>
    <s v="Connector 5 Pin Metal M/F"/>
    <s v="RM00727"/>
    <x v="11"/>
    <x v="6"/>
    <n v="1"/>
    <n v="225"/>
    <n v="225"/>
    <n v="40.5"/>
    <n v="265.5"/>
    <m/>
    <s v="Running"/>
  </r>
  <r>
    <d v="2025-10-10T16:06:37"/>
    <s v="Oct-25"/>
    <x v="0"/>
    <s v="MPG"/>
    <d v="2021-03-01T00:00:00"/>
    <n v="55"/>
    <x v="238"/>
    <s v="Khesrahiya"/>
    <s v="Nitesh Kumar"/>
    <n v="7654339470"/>
    <s v="WEIGHING SCALE 60 KG"/>
    <s v="GE-19122146"/>
    <s v="EWS Battery Backup SMPS (BBLC)"/>
    <s v="RM01040"/>
    <x v="11"/>
    <x v="6"/>
    <n v="1"/>
    <n v="825"/>
    <n v="825"/>
    <n v="148.5"/>
    <n v="973.5"/>
    <m/>
    <s v="Running"/>
  </r>
  <r>
    <d v="2025-10-08T15:07:43"/>
    <s v="Oct-25"/>
    <x v="0"/>
    <s v="MPG"/>
    <d v="2024-06-14T00:00:00"/>
    <n v="15"/>
    <x v="239"/>
    <s v="Kulhariya "/>
    <s v="Nitu Devi "/>
    <n v="9263542819"/>
    <s v="EKOMILK ULTRA PRO ANALYSER"/>
    <n v="385642"/>
    <s v="Ekomilk Motorpump Set New"/>
    <s v="TR00181"/>
    <x v="11"/>
    <x v="6"/>
    <n v="1"/>
    <n v="4500"/>
    <n v="4500"/>
    <n v="810"/>
    <n v="5310"/>
    <m/>
    <s v="Running"/>
  </r>
  <r>
    <d v="2025-10-08T11:29:44"/>
    <s v="Oct-25"/>
    <x v="0"/>
    <s v="MPG"/>
    <d v="2025-03-21T00:00:00"/>
    <n v="6"/>
    <x v="226"/>
    <s v="koriya"/>
    <s v="sintu kumar"/>
    <n v="7480981389"/>
    <s v="WEIGHING SCALE 60 KG"/>
    <s v="GNE-23024445"/>
    <s v="SWS Motherboard (Version 1.1)"/>
    <s v="RM01302"/>
    <x v="11"/>
    <x v="6"/>
    <n v="1"/>
    <n v="2080"/>
    <n v="2080"/>
    <n v="374.4"/>
    <n v="2454.4"/>
    <m/>
    <s v="Running"/>
  </r>
  <r>
    <d v="2025-10-08T16:44:56"/>
    <s v="Oct-25"/>
    <x v="0"/>
    <s v="MPG"/>
    <d v="2019-06-06T00:00:00"/>
    <n v="76"/>
    <x v="186"/>
    <s v="Subhanipur"/>
    <s v="Anik kumar"/>
    <n v="7545865422"/>
    <s v="EKOMILK ULTRA PRO ANALYSER"/>
    <n v="277353"/>
    <s v="Ekomilk Sieringe With Plunger"/>
    <s v="RM00530"/>
    <x v="11"/>
    <x v="6"/>
    <n v="1"/>
    <n v="70"/>
    <n v="70"/>
    <n v="12.6"/>
    <n v="82.6"/>
    <m/>
    <s v="Running"/>
  </r>
  <r>
    <d v="2025-10-08T16:44:56"/>
    <s v="Oct-25"/>
    <x v="0"/>
    <s v="MPG"/>
    <d v="2019-06-06T00:00:00"/>
    <n v="76"/>
    <x v="186"/>
    <s v="Subhanipur"/>
    <s v="Anik kumar"/>
    <n v="7545865422"/>
    <s v="EKOMILK ULTRA PRO ANALYSER"/>
    <n v="277353"/>
    <s v="Ekomilk Sensor To Sieringe Pipe"/>
    <s v="RM00528"/>
    <x v="11"/>
    <x v="6"/>
    <n v="1"/>
    <n v="44"/>
    <n v="44"/>
    <n v="7.92"/>
    <n v="51.92"/>
    <m/>
    <s v="Running"/>
  </r>
  <r>
    <d v="2025-10-08T16:44:56"/>
    <s v="Oct-25"/>
    <x v="0"/>
    <s v="MPG"/>
    <d v="2019-06-06T00:00:00"/>
    <n v="76"/>
    <x v="186"/>
    <s v="Subhanipur"/>
    <s v="Anik kumar"/>
    <n v="7545865422"/>
    <s v="EKOMILK ULTRA PRO ANALYSER"/>
    <n v="277353"/>
    <s v="Ekomilk Sensor To Sieringe Pipe"/>
    <s v="RM00528"/>
    <x v="11"/>
    <x v="6"/>
    <n v="1"/>
    <n v="44"/>
    <n v="44"/>
    <n v="7.92"/>
    <n v="51.92"/>
    <m/>
    <s v="Running"/>
  </r>
  <r>
    <d v="2025-10-07T16:52:50"/>
    <s v="Oct-25"/>
    <x v="0"/>
    <s v="MPG"/>
    <e v="#N/A"/>
    <s v=""/>
    <x v="233"/>
    <s v="Barkhanditol-2 "/>
    <s v="Dilkhush Kumar "/>
    <n v="7488023515"/>
    <s v="Everest Smart Tab-based Android Terminal (Table-top) with Inbuilt Printer"/>
    <s v="GTD-23060391"/>
    <s v="Battery 3.7V/2600Mah"/>
    <s v="RM00980"/>
    <x v="11"/>
    <x v="6"/>
    <n v="1"/>
    <n v="350"/>
    <n v="350"/>
    <n v="63"/>
    <n v="413"/>
    <m/>
    <s v="Running"/>
  </r>
  <r>
    <d v="2025-10-07T13:52:29"/>
    <s v="Oct-25"/>
    <x v="0"/>
    <s v="MPG"/>
    <d v="2023-03-11T00:00:00"/>
    <n v="30"/>
    <x v="240"/>
    <s v="DUBAKI"/>
    <s v="Saroj Kumar "/>
    <n v="9122078800"/>
    <s v="Everest Smart Tab-based Android Terminal (Table-top) with Inbuilt Printer"/>
    <s v="GTD-23013936"/>
    <s v="DPU Thermal Printer EPM 207"/>
    <s v="RM01076"/>
    <x v="11"/>
    <x v="6"/>
    <n v="1"/>
    <n v="2800"/>
    <n v="2800"/>
    <n v="504"/>
    <n v="3304"/>
    <m/>
    <s v="Running"/>
  </r>
  <r>
    <d v="2025-10-06T14:06:30"/>
    <s v="Oct-25"/>
    <x v="0"/>
    <s v="MPG"/>
    <d v="2024-10-25T00:00:00"/>
    <n v="11"/>
    <x v="79"/>
    <s v="Gomukh Pahadpur"/>
    <s v="Arvind Pal"/>
    <n v="9931327599"/>
    <s v="EKOMILK ULTRA PRO ANALYSER"/>
    <n v="360516"/>
    <s v="Ekomilk Sieringe With Plunger"/>
    <s v="RM00530"/>
    <x v="11"/>
    <x v="6"/>
    <n v="1"/>
    <n v="70"/>
    <n v="70"/>
    <n v="12.6"/>
    <n v="82.6"/>
    <m/>
    <s v="Running"/>
  </r>
  <r>
    <d v="2025-10-06T12:25:01"/>
    <s v="Oct-25"/>
    <x v="0"/>
    <s v="MPG"/>
    <d v="2024-11-18T00:00:00"/>
    <n v="10"/>
    <x v="241"/>
    <s v="Gomukh Amarpur"/>
    <s v="Ajay ram"/>
    <n v="9006508520"/>
    <s v="WEIGHING SCALE 60 KG"/>
    <s v="GNE-22123322"/>
    <s v="SWS Motherboard (Version 1.1)"/>
    <s v="RM01371"/>
    <x v="11"/>
    <x v="6"/>
    <n v="1"/>
    <n v="2080"/>
    <n v="2080"/>
    <n v="374.4"/>
    <n v="2454.4"/>
    <m/>
    <s v="Running"/>
  </r>
  <r>
    <d v="2025-10-06T14:01:17"/>
    <s v="Oct-25"/>
    <x v="0"/>
    <s v="MPG"/>
    <d v="2022-05-27T00:00:00"/>
    <n v="40"/>
    <x v="242"/>
    <s v="ARAK"/>
    <s v="Chandan kumar singh "/>
    <n v="8789757009"/>
    <s v="WEIGHING SCALE 60 KG"/>
    <s v="GNE-22102050"/>
    <s v="Keyboard For Weighing Scale New Design"/>
    <s v="RM01176"/>
    <x v="11"/>
    <x v="6"/>
    <n v="1"/>
    <n v="1266"/>
    <n v="1266"/>
    <n v="227.88"/>
    <n v="1493.88"/>
    <m/>
    <s v="Running"/>
  </r>
  <r>
    <d v="2025-10-04T15:28:10"/>
    <s v="Oct-25"/>
    <x v="0"/>
    <s v="MPG"/>
    <d v="2022-06-10T00:00:00"/>
    <n v="39"/>
    <x v="243"/>
    <s v="bahrama"/>
    <s v="mahesh sharma"/>
    <n v="7667343183"/>
    <s v="WEIGHING SCALE 60 KG"/>
    <s v="E-215026682"/>
    <s v="EWS Battery Backup SMPS (BBLC)"/>
    <s v="RM01040"/>
    <x v="11"/>
    <x v="6"/>
    <n v="1"/>
    <n v="825"/>
    <n v="825"/>
    <n v="148.5"/>
    <n v="973.5"/>
    <m/>
    <s v="Running"/>
  </r>
  <r>
    <d v="2025-10-04T16:22:15"/>
    <s v="Oct-25"/>
    <x v="0"/>
    <s v="MPG"/>
    <d v="2023-09-01T00:00:00"/>
    <n v="25"/>
    <x v="244"/>
    <s v="Goumukh Raghunathpur "/>
    <s v="Sudama Kumar "/>
    <n v="8102978679"/>
    <s v="EKOMILK ULTRA PRO ANALYSER"/>
    <n v="388079"/>
    <s v="Ekomilk Motorpump Set New"/>
    <s v="TR00181"/>
    <x v="11"/>
    <x v="6"/>
    <n v="1"/>
    <n v="4500"/>
    <n v="4500"/>
    <n v="810"/>
    <n v="5310"/>
    <m/>
    <s v="Running"/>
  </r>
  <r>
    <d v="2025-10-04T14:05:38"/>
    <s v="Oct-25"/>
    <x v="0"/>
    <s v="MPG"/>
    <d v="2025-03-21T00:00:00"/>
    <n v="6"/>
    <x v="226"/>
    <s v="koriya"/>
    <s v="sintu kumar"/>
    <n v="7480981389"/>
    <s v="STIRRER UNIT EV5600"/>
    <s v="GS-23022606"/>
    <s v="Stirrer Power Board"/>
    <s v="RM00477"/>
    <x v="11"/>
    <x v="6"/>
    <n v="1"/>
    <n v="1750"/>
    <n v="1750"/>
    <n v="315"/>
    <n v="2065"/>
    <m/>
    <s v="Running"/>
  </r>
  <r>
    <d v="2025-10-04T14:05:38"/>
    <s v="Oct-25"/>
    <x v="0"/>
    <s v="MPG"/>
    <d v="2025-03-21T00:00:00"/>
    <n v="6"/>
    <x v="226"/>
    <s v="koriya"/>
    <s v="sintu kumar"/>
    <n v="7480981389"/>
    <s v="STIRRER UNIT EV5600"/>
    <s v="GS-23022606"/>
    <s v="Stirrer Timer PCB"/>
    <s v="RM01050"/>
    <x v="11"/>
    <x v="6"/>
    <n v="1"/>
    <n v="900"/>
    <n v="900"/>
    <n v="162"/>
    <n v="1062"/>
    <m/>
    <s v="Running"/>
  </r>
  <r>
    <d v="2025-10-04T16:23:51"/>
    <s v="Oct-25"/>
    <x v="0"/>
    <s v="MPG"/>
    <d v="2023-03-31T00:00:00"/>
    <n v="30"/>
    <x v="245"/>
    <s v="HENWA"/>
    <s v="Abhishek Kumar "/>
    <n v="8651032442"/>
    <s v="EKOMILK ULTRA PRO ANALYSER"/>
    <n v="358573"/>
    <s v="Ekomilk Sieringe With Plunger"/>
    <s v="RM00530"/>
    <x v="11"/>
    <x v="6"/>
    <n v="1"/>
    <n v="70"/>
    <n v="70"/>
    <n v="12.6"/>
    <n v="82.6"/>
    <m/>
    <s v="Running"/>
  </r>
  <r>
    <d v="2025-10-04T15:24:51"/>
    <s v="Oct-25"/>
    <x v="0"/>
    <s v="MPG"/>
    <d v="2025-03-05T00:00:00"/>
    <n v="6"/>
    <x v="52"/>
    <s v="berauri"/>
    <s v="ranjeet kumar"/>
    <n v="7739036729"/>
    <s v="Everest Smart Tab-based Android Terminal (Table-top) with Inbuilt Printer"/>
    <s v="GTD-23060404"/>
    <s v="Battery 3.7V/2600Mah"/>
    <s v="RM00980"/>
    <x v="11"/>
    <x v="6"/>
    <n v="1"/>
    <n v="350"/>
    <n v="350"/>
    <n v="63"/>
    <n v="413"/>
    <m/>
    <s v="Nov'25 Closed"/>
  </r>
  <r>
    <d v="2025-10-03T15:29:38"/>
    <s v="Oct-25"/>
    <x v="0"/>
    <s v="MPG"/>
    <d v="2025-02-04T00:00:00"/>
    <n v="7"/>
    <x v="211"/>
    <s v="sondha uttru"/>
    <s v="kanchan kumari"/>
    <n v="8405018934"/>
    <s v="Everest Smart Tab-based Android Terminal (Table-top) with Inbuilt Printer"/>
    <s v="GTD-23024148"/>
    <s v="Battery 3.7V/2600Mah"/>
    <s v="RM00980"/>
    <x v="11"/>
    <x v="6"/>
    <n v="1"/>
    <n v="350"/>
    <n v="350"/>
    <n v="63"/>
    <n v="413"/>
    <m/>
    <s v="Nov'25 Closed"/>
  </r>
  <r>
    <d v="2025-10-03T10:33:30"/>
    <s v="Oct-25"/>
    <x v="0"/>
    <s v="MPG"/>
    <d v="2019-10-18T00:00:00"/>
    <n v="71"/>
    <x v="75"/>
    <s v="paroreya"/>
    <s v="Ajay Kumar"/>
    <n v="7631356700"/>
    <s v="EKOMILK ULTRA PRO ANALYSER"/>
    <n v="277324"/>
    <s v="Ekomilk Keyboard"/>
    <s v="RM01018"/>
    <x v="11"/>
    <x v="6"/>
    <n v="1"/>
    <n v="770"/>
    <n v="770"/>
    <n v="138.6"/>
    <n v="908.6"/>
    <m/>
    <s v="Running"/>
  </r>
  <r>
    <d v="2025-10-03T10:33:30"/>
    <s v="Oct-25"/>
    <x v="0"/>
    <s v="MPG"/>
    <d v="2019-10-18T00:00:00"/>
    <n v="71"/>
    <x v="75"/>
    <s v="paroreya"/>
    <s v="Ajay Kumar"/>
    <n v="7631356700"/>
    <s v="EKOMILK ULTRA PRO ANALYSER"/>
    <n v="277324"/>
    <s v="Ekomilk Sieringe With Plunger"/>
    <s v="RM00530"/>
    <x v="11"/>
    <x v="6"/>
    <n v="1"/>
    <n v="70"/>
    <n v="70"/>
    <n v="12.6"/>
    <n v="82.6"/>
    <m/>
    <s v="Running"/>
  </r>
  <r>
    <d v="2025-10-03T10:33:30"/>
    <s v="Oct-25"/>
    <x v="0"/>
    <s v="MPG"/>
    <d v="2019-10-18T00:00:00"/>
    <n v="71"/>
    <x v="75"/>
    <s v="paroreya"/>
    <s v="Ajay Kumar"/>
    <n v="7631356700"/>
    <s v="EKOMILK ULTRA PRO ANALYSER"/>
    <n v="277324"/>
    <s v="Ekomilk Sieringe With Plunger"/>
    <s v="RM00530"/>
    <x v="11"/>
    <x v="6"/>
    <n v="1"/>
    <n v="70"/>
    <n v="70"/>
    <n v="12.6"/>
    <n v="82.6"/>
    <m/>
    <s v="Running"/>
  </r>
  <r>
    <d v="2025-10-03T13:43:33"/>
    <s v="Oct-25"/>
    <x v="0"/>
    <s v="MPG"/>
    <d v="2023-02-22T00:00:00"/>
    <n v="31"/>
    <x v="246"/>
    <s v="SIMARI RAMPATTI "/>
    <s v="Amit Kumar Pandey "/>
    <n v="7277905756"/>
    <s v="Everest Smart Tab-based Android Terminal (Table-top) with Inbuilt Printer"/>
    <s v="GTD-23013854"/>
    <s v="Battery 3.7V/2600Mah"/>
    <s v="RM00980"/>
    <x v="11"/>
    <x v="6"/>
    <n v="1"/>
    <n v="350"/>
    <n v="350"/>
    <n v="63"/>
    <n v="413"/>
    <m/>
    <s v="Running"/>
  </r>
  <r>
    <d v="2025-11-29T15:49:09"/>
    <s v="Nov-25"/>
    <x v="0"/>
    <s v="MPG"/>
    <e v="#N/A"/>
    <s v=""/>
    <x v="83"/>
    <s v="Gomukh bheet"/>
    <s v="Dharamveer kumar "/>
    <n v="7808020360"/>
    <s v="EKOMILK ULTRA PRO ANALYSER"/>
    <n v="381775"/>
    <s v="Ekomilk Motorpump Set New"/>
    <s v="TR00181"/>
    <x v="13"/>
    <x v="7"/>
    <n v="1"/>
    <n v="2000"/>
    <n v="2000"/>
    <n v="360"/>
    <n v="2360"/>
    <m/>
    <s v="Running"/>
  </r>
  <r>
    <d v="2025-11-29T15:38:55"/>
    <s v="Nov-25"/>
    <x v="0"/>
    <s v="MPG"/>
    <e v="#N/A"/>
    <s v=""/>
    <x v="138"/>
    <s v="GOMUKH MIRATTHI"/>
    <s v="Sashi kumar"/>
    <n v="9204350523"/>
    <s v="EKOMILK ULTRA PRO ANALYSER"/>
    <n v="2347805"/>
    <s v="Fatscan 9 Pin Connector with Cable"/>
    <s v="SF00144"/>
    <x v="13"/>
    <x v="7"/>
    <n v="1"/>
    <n v="120"/>
    <n v="120"/>
    <n v="21.599999999999998"/>
    <n v="141.6"/>
    <m/>
    <s v="Running"/>
  </r>
  <r>
    <d v="2025-11-29T16:11:02"/>
    <s v="Nov-25"/>
    <x v="1"/>
    <s v="BMC"/>
    <e v="#N/A"/>
    <s v=""/>
    <x v="68"/>
    <s v="Pali"/>
    <s v="Ashok Sahu"/>
    <n v="8709856463"/>
    <s v="EKOMILK ULTRA PRO ANALYSER"/>
    <n v="360621"/>
    <s v="FatScan Double Sensor Measuring Mini PCB (4 para) with Sensor (Repaired)"/>
    <s v="SF00130"/>
    <x v="13"/>
    <x v="7"/>
    <n v="1"/>
    <n v="8000"/>
    <n v="8000"/>
    <n v="1440"/>
    <n v="9440"/>
    <m/>
    <e v="#N/A"/>
  </r>
  <r>
    <d v="2025-11-28T14:06:51"/>
    <s v="Nov-25"/>
    <x v="0"/>
    <s v="MPG"/>
    <d v="2023-09-29T00:00:00"/>
    <n v="25"/>
    <x v="247"/>
    <s v="malpur "/>
    <s v="Rajesh kumar "/>
    <n v="9117249722"/>
    <s v="Everest Smart Tab-based Android Terminal (Table-top) with Inbuilt Printer"/>
    <s v="GTD-23060405"/>
    <s v="Battery 3.7V/2600Mah"/>
    <s v="RM00980"/>
    <x v="13"/>
    <x v="7"/>
    <n v="1"/>
    <n v="350"/>
    <n v="350"/>
    <n v="63"/>
    <n v="413"/>
    <m/>
    <s v="Running"/>
  </r>
  <r>
    <d v="2025-11-27T15:12:38"/>
    <s v="Nov-25"/>
    <x v="0"/>
    <s v="MPG"/>
    <d v="2022-04-13T00:00:00"/>
    <n v="43"/>
    <x v="248"/>
    <s v="MAJHWARI"/>
    <s v="Ashok kumar Pathak"/>
    <n v="9304177703"/>
    <s v="EKOMILK ULTRA PRO ANALYSER"/>
    <n v="359350"/>
    <s v="Fatscan &quot; Y &quot; Pipe"/>
    <s v="SF00145"/>
    <x v="13"/>
    <x v="7"/>
    <n v="1"/>
    <n v="84"/>
    <n v="84"/>
    <n v="15.12"/>
    <n v="99.12"/>
    <m/>
    <s v="Running"/>
  </r>
  <r>
    <d v="2025-11-26T19:35:58"/>
    <s v="Nov-25"/>
    <x v="0"/>
    <s v="MPG"/>
    <d v="2023-02-10T00:00:00"/>
    <n v="33"/>
    <x v="249"/>
    <s v="ramnagar "/>
    <s v="Subhash Kumar "/>
    <n v="9142528994"/>
    <s v="Everest Smart Tab-based Android Terminal (Table-top) with Inbuilt Printer"/>
    <s v="GTD-23013957"/>
    <s v="DPU Thermal Printer EPM 207"/>
    <s v="RM00282"/>
    <x v="13"/>
    <x v="7"/>
    <n v="1"/>
    <n v="2800"/>
    <n v="2800"/>
    <n v="504"/>
    <n v="3304"/>
    <m/>
    <s v="Running"/>
  </r>
  <r>
    <d v="2025-11-25T15:25:49"/>
    <s v="Nov-25"/>
    <x v="0"/>
    <s v="MPG"/>
    <d v="2022-05-16T00:00:00"/>
    <n v="42"/>
    <x v="156"/>
    <s v="farda Ravi Roy tola"/>
    <s v="ramasish roy"/>
    <n v="8540013067"/>
    <s v="WEIGHING SCALE 60 KG"/>
    <s v="GE-19122132"/>
    <s v="IC AT 89S52 Programing"/>
    <s v="RM00194"/>
    <x v="13"/>
    <x v="7"/>
    <n v="1"/>
    <n v="788"/>
    <n v="788"/>
    <n v="141.84"/>
    <n v="929.84"/>
    <m/>
    <s v="Running"/>
  </r>
  <r>
    <d v="2025-11-25T15:25:49"/>
    <s v="Nov-25"/>
    <x v="0"/>
    <s v="MPG"/>
    <d v="2022-05-16T00:00:00"/>
    <n v="42"/>
    <x v="156"/>
    <s v="farda Ravi Roy tola"/>
    <s v="ramasish roy"/>
    <n v="8540013067"/>
    <s v="WEIGHING SCALE 60 KG"/>
    <s v="GE-19122132"/>
    <s v="Weighing Scale Motherboard Old"/>
    <s v="RM00420"/>
    <x v="13"/>
    <x v="7"/>
    <n v="1"/>
    <n v="2080"/>
    <n v="2080"/>
    <n v="374.4"/>
    <n v="2454.4"/>
    <m/>
    <s v="Running"/>
  </r>
  <r>
    <d v="2025-11-24T16:23:12"/>
    <s v="Nov-25"/>
    <x v="0"/>
    <s v="MPG"/>
    <d v="2024-12-23T00:00:00"/>
    <n v="11"/>
    <x v="219"/>
    <s v=" jhaura tabhak"/>
    <s v="Adita Kumar "/>
    <n v="8340433254"/>
    <s v="WEIGHING SCALE 60 KG"/>
    <s v="e-17127243"/>
    <s v="EWS Battery Backup SMPS (BBLC)"/>
    <s v="RM00241"/>
    <x v="13"/>
    <x v="7"/>
    <n v="1"/>
    <n v="825"/>
    <n v="825"/>
    <n v="148.5"/>
    <n v="973.5"/>
    <m/>
    <s v="Running"/>
  </r>
  <r>
    <d v="2025-11-24T14:32:02"/>
    <s v="Nov-25"/>
    <x v="0"/>
    <s v="MPG"/>
    <d v="2022-08-03T00:00:00"/>
    <n v="39"/>
    <x v="250"/>
    <s v="kevasjagir"/>
    <s v="Niranjan Kumar "/>
    <n v="7050978558"/>
    <s v="STIRRER UNIT EV5600"/>
    <s v="S-22092427"/>
    <s v="Stirrer Timer PCB"/>
    <s v="RM00478"/>
    <x v="13"/>
    <x v="7"/>
    <n v="1"/>
    <n v="900"/>
    <n v="900"/>
    <n v="162"/>
    <n v="1062"/>
    <m/>
    <s v="Running"/>
  </r>
  <r>
    <d v="2025-11-24T14:33:32"/>
    <s v="Nov-25"/>
    <x v="0"/>
    <s v="MPG"/>
    <d v="2024-08-26T00:00:00"/>
    <n v="14"/>
    <x v="37"/>
    <s v="Beri"/>
    <s v="pavan ray"/>
    <n v="9262776421"/>
    <s v="Everest Smart Tab-based Android Terminal (Table-top) with Inbuilt Printer"/>
    <s v="GTD-23013974"/>
    <s v="DPU DC To DC Converter 12V To 5V"/>
    <s v="RM00493"/>
    <x v="13"/>
    <x v="7"/>
    <n v="1"/>
    <n v="780"/>
    <n v="780"/>
    <n v="140.4"/>
    <n v="920.4"/>
    <m/>
    <s v="Running"/>
  </r>
  <r>
    <d v="2025-11-24T16:41:29"/>
    <s v="Nov-25"/>
    <x v="0"/>
    <s v="MPG"/>
    <d v="2025-11-29T00:00:00"/>
    <s v=""/>
    <x v="251"/>
    <s v="gomukh tulsitol"/>
    <s v="Arti kumari"/>
    <n v="9155621270"/>
    <s v="Everest Smart Tab-based Android Terminal (Table-top) with Inbuilt Printer"/>
    <s v="GTD-23024230"/>
    <s v="Battery 3.7V/2600Mah"/>
    <s v="RM00980"/>
    <x v="13"/>
    <x v="7"/>
    <n v="1"/>
    <n v="350"/>
    <n v="350"/>
    <n v="63"/>
    <n v="413"/>
    <m/>
    <s v="Running"/>
  </r>
  <r>
    <d v="2025-11-24T16:40:41"/>
    <s v="Nov-25"/>
    <x v="0"/>
    <s v="MPG"/>
    <d v="2025-11-29T00:00:00"/>
    <s v=""/>
    <x v="251"/>
    <s v="gomukh tulsitol"/>
    <s v="Arti kumari"/>
    <n v="9155621270"/>
    <s v="STIRRER UNIT EV5600"/>
    <s v="GS-23022530"/>
    <s v="Stirrer Timer PCB"/>
    <s v="RM00478"/>
    <x v="13"/>
    <x v="7"/>
    <n v="1"/>
    <n v="900"/>
    <n v="900"/>
    <n v="162"/>
    <n v="1062"/>
    <m/>
    <s v="Running"/>
  </r>
  <r>
    <d v="2025-11-22T13:17:43"/>
    <s v="Nov-25"/>
    <x v="0"/>
    <s v="MPG"/>
    <d v="2024-11-03T00:00:00"/>
    <n v="12"/>
    <x v="195"/>
    <s v="dagaruya"/>
    <s v="Nitesh "/>
    <n v="9153681814"/>
    <s v="EKOMILK ULTRA PRO ANALYSER"/>
    <n v="326473"/>
    <s v="Ekomilk Sieringe With Plunger"/>
    <s v="RM00530"/>
    <x v="13"/>
    <x v="7"/>
    <n v="1"/>
    <n v="70"/>
    <n v="70"/>
    <n v="12.6"/>
    <n v="82.6"/>
    <m/>
    <s v="Running"/>
  </r>
  <r>
    <d v="2025-11-22T13:17:43"/>
    <s v="Nov-25"/>
    <x v="0"/>
    <s v="MPG"/>
    <d v="2024-11-03T00:00:00"/>
    <n v="12"/>
    <x v="195"/>
    <s v="dagaruya"/>
    <s v="Nitesh "/>
    <n v="9153681814"/>
    <s v="EKOMILK ULTRA PRO ANALYSER"/>
    <n v="326473"/>
    <s v="Ekomilk Sieringe With Plunger"/>
    <s v="RM00530"/>
    <x v="13"/>
    <x v="7"/>
    <n v="1"/>
    <n v="70"/>
    <n v="70"/>
    <n v="12.6"/>
    <n v="82.6"/>
    <m/>
    <s v="Running"/>
  </r>
  <r>
    <d v="2025-11-22T12:59:44"/>
    <s v="Nov-25"/>
    <x v="0"/>
    <s v="MPG"/>
    <d v="2024-09-01T00:00:00"/>
    <n v="14"/>
    <x v="101"/>
    <s v="chaksikandar east"/>
    <s v="rupesh"/>
    <n v="9971083605"/>
    <s v="EKOMILK ULTRA PRO ANALYSER"/>
    <n v="309809"/>
    <s v="Ekomilk Sieringe With Plunger"/>
    <s v="RM00530"/>
    <x v="13"/>
    <x v="7"/>
    <n v="1"/>
    <n v="70"/>
    <n v="70"/>
    <n v="12.6"/>
    <n v="82.6"/>
    <m/>
    <s v="Running"/>
  </r>
  <r>
    <d v="2025-11-22T12:59:44"/>
    <s v="Nov-25"/>
    <x v="0"/>
    <s v="MPG"/>
    <d v="2024-09-01T00:00:00"/>
    <n v="14"/>
    <x v="101"/>
    <s v="chaksikandar east"/>
    <s v="rupesh"/>
    <n v="9971083605"/>
    <s v="EKOMILK ULTRA PRO ANALYSER"/>
    <n v="309809"/>
    <s v="Ekomilk LCD Display"/>
    <s v="RM00511"/>
    <x v="13"/>
    <x v="7"/>
    <n v="1"/>
    <n v="790"/>
    <n v="790"/>
    <n v="142.19999999999999"/>
    <n v="932.2"/>
    <m/>
    <s v="Running"/>
  </r>
  <r>
    <d v="2025-11-20T12:06:40"/>
    <s v="Nov-25"/>
    <x v="0"/>
    <s v="BMC"/>
    <e v="#N/A"/>
    <s v=""/>
    <x v="177"/>
    <s v="simri BMC"/>
    <s v="Ankit Kumar"/>
    <n v="9060744847"/>
    <s v="STIRRER UNIT EV5600"/>
    <s v="gs-23051147"/>
    <s v="Stirrer Timer PCB"/>
    <s v="RM00478"/>
    <x v="13"/>
    <x v="7"/>
    <n v="1"/>
    <n v="900"/>
    <n v="900"/>
    <n v="162"/>
    <n v="1062"/>
    <m/>
    <e v="#N/A"/>
  </r>
  <r>
    <d v="2025-11-20T15:48:34"/>
    <s v="Nov-25"/>
    <x v="0"/>
    <s v="MPG"/>
    <d v="2022-06-17T00:00:00"/>
    <n v="41"/>
    <x v="9"/>
    <s v="Ramanath pur"/>
    <s v="Birjnandan thakur "/>
    <n v="9304265355"/>
    <s v="WEIGHING SCALE 60 KG"/>
    <s v="GNE-22102070"/>
    <s v="SWS Display 2*16 Big"/>
    <s v="RM01090"/>
    <x v="13"/>
    <x v="7"/>
    <n v="1"/>
    <n v="550"/>
    <n v="550"/>
    <n v="99"/>
    <n v="649"/>
    <m/>
    <s v="Running"/>
  </r>
  <r>
    <d v="2025-11-19T15:37:11"/>
    <s v="Nov-25"/>
    <x v="0"/>
    <s v="MPG"/>
    <e v="#N/A"/>
    <s v=""/>
    <x v="138"/>
    <s v="GOMUKH MIRATTHI"/>
    <s v="Sashi kumar"/>
    <n v="9204350523"/>
    <s v="WEIGHING SCALE 60 KG"/>
    <s v="GNE-23061087"/>
    <s v="SWS Motherboard (Version 1.1)"/>
    <s v="RM00973"/>
    <x v="13"/>
    <x v="7"/>
    <n v="1"/>
    <n v="2080"/>
    <n v="2080"/>
    <n v="374.4"/>
    <n v="2454.4"/>
    <m/>
    <s v="Running"/>
  </r>
  <r>
    <d v="2025-11-18T16:30:51"/>
    <s v="Nov-25"/>
    <x v="0"/>
    <s v="MPG"/>
    <e v="#N/A"/>
    <s v=""/>
    <x v="58"/>
    <s v="CHAVGAIN"/>
    <s v="Puspa Devi"/>
    <n v="8651691707"/>
    <s v="STIRRER UNIT EV5600"/>
    <s v="GS-23011705"/>
    <s v="Stirrer Power Board"/>
    <s v="RM00477"/>
    <x v="13"/>
    <x v="7"/>
    <n v="1"/>
    <n v="1750"/>
    <n v="1750"/>
    <n v="315"/>
    <n v="2065"/>
    <m/>
    <s v="Running"/>
  </r>
  <r>
    <d v="2025-11-17T17:13:19"/>
    <s v="Nov-25"/>
    <x v="0"/>
    <s v="MPG"/>
    <d v="2023-01-16T00:00:00"/>
    <n v="34"/>
    <x v="252"/>
    <s v="Matiyour"/>
    <s v="Sanjeev "/>
    <n v="9934519974"/>
    <s v="EKOMILK ULTRA PRO ANALYSER"/>
    <n v="276141"/>
    <s v="Ekomilk Sieringe With Plunger"/>
    <s v="RM00530"/>
    <x v="13"/>
    <x v="7"/>
    <n v="1"/>
    <n v="70"/>
    <n v="70"/>
    <n v="12.6"/>
    <n v="82.6"/>
    <m/>
    <s v="Running"/>
  </r>
  <r>
    <d v="2025-11-15T16:22:28"/>
    <s v="Nov-25"/>
    <x v="0"/>
    <s v="MPG"/>
    <d v="2025-03-29T00:00:00"/>
    <n v="7"/>
    <x v="253"/>
    <s v="Malhipurpg "/>
    <s v="Ranbeer kumar "/>
    <n v="7295979378"/>
    <s v="EKOMILK ULTRA PRO ANALYSER"/>
    <n v="368631"/>
    <s v="Ekomilk Sensor To Sieringe Pipe"/>
    <s v="RM00528"/>
    <x v="13"/>
    <x v="7"/>
    <n v="1"/>
    <n v="44"/>
    <n v="44"/>
    <n v="7.92"/>
    <n v="51.92"/>
    <m/>
    <s v="Running"/>
  </r>
  <r>
    <d v="2025-11-15T16:30:13"/>
    <s v="Nov-25"/>
    <x v="0"/>
    <s v="MPG"/>
    <e v="#N/A"/>
    <s v=""/>
    <x v="254"/>
    <s v="chandanpura"/>
    <s v="jitendra kumar"/>
    <n v="7004934761"/>
    <s v="WEIGHING SCALE 60 KG"/>
    <s v="GE-19122138"/>
    <s v="Load Cell 100 Kg 60310"/>
    <s v="RM00006"/>
    <x v="13"/>
    <x v="7"/>
    <n v="1"/>
    <n v="2800"/>
    <n v="2800"/>
    <n v="504"/>
    <n v="3304"/>
    <m/>
    <s v="Running"/>
  </r>
  <r>
    <d v="2025-11-15T16:24:25"/>
    <s v="Nov-25"/>
    <x v="0"/>
    <s v="MPG"/>
    <d v="2025-03-29T00:00:00"/>
    <n v="7"/>
    <x v="162"/>
    <s v="Gomukh Gehuni 2"/>
    <s v="Ranjay singh"/>
    <n v="9473190261"/>
    <s v="EKOMILK ULTRA PRO ANALYSER"/>
    <n v="368630"/>
    <s v="Ekomilk Keyboard"/>
    <s v="RM00512"/>
    <x v="13"/>
    <x v="7"/>
    <n v="1"/>
    <n v="770"/>
    <n v="770"/>
    <n v="138.6"/>
    <n v="908.6"/>
    <m/>
    <s v="Running"/>
  </r>
  <r>
    <d v="2025-11-15T16:24:25"/>
    <s v="Nov-25"/>
    <x v="0"/>
    <s v="MPG"/>
    <d v="2025-03-29T00:00:00"/>
    <n v="7"/>
    <x v="162"/>
    <s v="Gomukh Gehuni 2"/>
    <s v="Ranjay singh"/>
    <n v="9473190261"/>
    <s v="EKOMILK ULTRA PRO ANALYSER"/>
    <n v="368630"/>
    <s v="Ekomilk Sensor To Sieringe Pipe"/>
    <s v="RM00528"/>
    <x v="13"/>
    <x v="7"/>
    <n v="1"/>
    <n v="44"/>
    <n v="44"/>
    <n v="7.92"/>
    <n v="51.92"/>
    <m/>
    <s v="Running"/>
  </r>
  <r>
    <d v="2025-11-15T16:24:25"/>
    <s v="Nov-25"/>
    <x v="0"/>
    <s v="MPG"/>
    <d v="2025-03-29T00:00:00"/>
    <n v="7"/>
    <x v="162"/>
    <s v="Gomukh Gehuni 2"/>
    <s v="Ranjay singh"/>
    <n v="9473190261"/>
    <s v="EKOMILK ULTRA PRO ANALYSER"/>
    <n v="368630"/>
    <s v="Ekomilk Sensor To Sieringe Pipe"/>
    <s v="RM00528"/>
    <x v="13"/>
    <x v="7"/>
    <n v="1"/>
    <n v="44"/>
    <n v="44"/>
    <n v="7.92"/>
    <n v="51.92"/>
    <m/>
    <s v="Running"/>
  </r>
  <r>
    <d v="2025-11-13T14:26:24"/>
    <s v="Nov-25"/>
    <x v="0"/>
    <s v="MPG"/>
    <d v="2023-02-27T00:00:00"/>
    <n v="32"/>
    <x v="255"/>
    <s v="KAITHI "/>
    <s v="Santosh Yadav "/>
    <n v="9771144520"/>
    <s v="WEIGHING SCALE 60 KG"/>
    <s v="GNE-21101030"/>
    <s v="Keyboard For Weighing Scale New Design"/>
    <s v="RM01176"/>
    <x v="13"/>
    <x v="7"/>
    <n v="1"/>
    <n v="1266"/>
    <n v="1266"/>
    <n v="227.88"/>
    <n v="1493.88"/>
    <m/>
    <s v="Running"/>
  </r>
  <r>
    <d v="2025-11-12T16:03:05"/>
    <s v="Nov-25"/>
    <x v="0"/>
    <s v="MPG"/>
    <d v="2017-09-01T00:00:00"/>
    <n v="98"/>
    <x v="231"/>
    <s v="bachha"/>
    <s v="Subham kumar"/>
    <n v="9113476504"/>
    <s v="WEIGHING SCALE 60 KG"/>
    <s v="GE-20034021"/>
    <s v="Battery 3.7V/2600Mah"/>
    <s v="RM00980"/>
    <x v="13"/>
    <x v="7"/>
    <n v="1"/>
    <n v="350"/>
    <n v="350"/>
    <n v="63"/>
    <n v="413"/>
    <m/>
    <s v="Running"/>
  </r>
  <r>
    <d v="2025-11-10T10:36:56"/>
    <s v="Nov-25"/>
    <x v="0"/>
    <s v="MPG"/>
    <d v="2020-11-27T00:00:00"/>
    <n v="59"/>
    <x v="256"/>
    <s v="Supol"/>
    <s v="Sudersan Kumar"/>
    <n v="7004875082"/>
    <s v="WEIGHING SCALE 60 KG"/>
    <s v="E-17116849"/>
    <s v="Keyboard For Weighing Scale (Repaired)"/>
    <s v="SF00048"/>
    <x v="13"/>
    <x v="7"/>
    <n v="1"/>
    <n v="360"/>
    <n v="360"/>
    <n v="64.8"/>
    <n v="424.8"/>
    <m/>
    <s v="Running"/>
  </r>
  <r>
    <d v="2025-11-10T10:36:56"/>
    <s v="Nov-25"/>
    <x v="0"/>
    <s v="MPG"/>
    <d v="2020-11-27T00:00:00"/>
    <n v="59"/>
    <x v="256"/>
    <s v="Supol"/>
    <s v="Sudersan Kumar"/>
    <n v="7004875082"/>
    <s v="WEIGHING SCALE 60 KG"/>
    <s v="E-17116849"/>
    <s v="EWS Battery Backup SMPS (BBLC)"/>
    <s v="RM00241"/>
    <x v="13"/>
    <x v="7"/>
    <n v="1"/>
    <n v="825"/>
    <n v="825"/>
    <n v="148.5"/>
    <n v="973.5"/>
    <m/>
    <s v="Running"/>
  </r>
  <r>
    <d v="2025-11-10T16:52:26"/>
    <s v="Nov-25"/>
    <x v="0"/>
    <s v="BMC"/>
    <e v="#N/A"/>
    <s v=""/>
    <x v="25"/>
    <s v="Manjhaul"/>
    <s v="chaitanya"/>
    <n v="9354051773"/>
    <s v="WEIGHING SCALE 60 KG"/>
    <s v="gne-23024414"/>
    <s v="SWS Motherboard (Version 1.1)"/>
    <s v="RM00973"/>
    <x v="13"/>
    <x v="7"/>
    <n v="1"/>
    <n v="2080"/>
    <n v="2080"/>
    <n v="374.4"/>
    <n v="2454.4"/>
    <m/>
    <e v="#N/A"/>
  </r>
  <r>
    <d v="2025-11-10T16:21:18"/>
    <s v="Nov-25"/>
    <x v="0"/>
    <s v="MPG"/>
    <d v="2023-01-17T00:00:00"/>
    <n v="33"/>
    <x v="94"/>
    <s v="telgama"/>
    <s v="Rajesh "/>
    <n v="7549794524"/>
    <s v="WEIGHING SCALE 60 KG"/>
    <s v="ge-20033990"/>
    <s v="Keyboard For Weighing Scale (Repaired)"/>
    <s v="SF00048"/>
    <x v="13"/>
    <x v="7"/>
    <n v="1"/>
    <n v="360"/>
    <n v="360"/>
    <n v="64.8"/>
    <n v="424.8"/>
    <m/>
    <s v="Running"/>
  </r>
  <r>
    <d v="2025-11-10T16:23:13"/>
    <s v="Nov-25"/>
    <x v="0"/>
    <s v="BMC"/>
    <e v="#N/A"/>
    <s v=""/>
    <x v="177"/>
    <s v="simri BMC"/>
    <s v="Ankit Kumar"/>
    <n v="9060744847"/>
    <s v="Everest Smart Tab-based Android Terminal (Table-top) with Inbuilt Printer"/>
    <s v="GTD-23013868"/>
    <s v="WiFi Serial Device (Wysence)"/>
    <s v="SF00056"/>
    <x v="13"/>
    <x v="7"/>
    <n v="1"/>
    <n v="925"/>
    <n v="925"/>
    <n v="166.5"/>
    <n v="1091.5"/>
    <m/>
    <e v="#N/A"/>
  </r>
  <r>
    <d v="2025-11-08T13:37:26"/>
    <s v="Nov-25"/>
    <x v="0"/>
    <s v="MPG"/>
    <e v="#N/A"/>
    <s v=""/>
    <x v="257"/>
    <s v="barui "/>
    <s v="sanoj Kumar "/>
    <n v="8825331739"/>
    <s v="WEIGHING SCALE 60 KG"/>
    <s v="GNE-23061103"/>
    <s v="SWS Motherboard (Version 1.1)"/>
    <s v="RM00973"/>
    <x v="13"/>
    <x v="7"/>
    <n v="1"/>
    <n v="2080"/>
    <n v="2080"/>
    <n v="374.4"/>
    <n v="2454.4"/>
    <m/>
    <s v="Running"/>
  </r>
  <r>
    <d v="2025-11-08T14:30:06"/>
    <s v="Nov-25"/>
    <x v="0"/>
    <s v="MPG"/>
    <e v="#N/A"/>
    <s v=""/>
    <x v="258"/>
    <s v="Vishnupatti 2"/>
    <s v="Kamlesh ray"/>
    <n v="7739872833"/>
    <s v="WEIGHING SCALE 60 KG"/>
    <s v="GE-19122124"/>
    <s v="Keyboard For Weighing Scale (Repaired)"/>
    <s v="SF00048"/>
    <x v="13"/>
    <x v="7"/>
    <n v="1"/>
    <n v="360"/>
    <n v="360"/>
    <n v="64.8"/>
    <n v="424.8"/>
    <m/>
    <s v="Running"/>
  </r>
  <r>
    <d v="2025-11-06T14:57:38"/>
    <s v="Nov-25"/>
    <x v="1"/>
    <s v="MPG"/>
    <e v="#N/A"/>
    <s v=""/>
    <x v="185"/>
    <s v="Hutar"/>
    <s v="Chinki Devi"/>
    <n v="7667809258"/>
    <s v="WEIGHING SCALE 60 KG"/>
    <s v="GNE-23060581"/>
    <s v="Weighing Scale Display Old (Repaired)"/>
    <s v="RM01026"/>
    <x v="14"/>
    <x v="7"/>
    <n v="1"/>
    <n v="625"/>
    <n v="625"/>
    <n v="112.5"/>
    <n v="737.5"/>
    <m/>
    <e v="#N/A"/>
  </r>
  <r>
    <d v="2025-11-05T16:02:14"/>
    <s v="Nov-25"/>
    <x v="0"/>
    <s v="MPG"/>
    <d v="2024-02-01T00:00:00"/>
    <n v="21"/>
    <x v="259"/>
    <s v="KAITHA"/>
    <s v="Poonam Devi"/>
    <n v="9128754517"/>
    <s v="EKOMILK ULTRA PRO ANALYSER"/>
    <n v="391603"/>
    <s v="Fatscan 9 Pin Connector with Cable"/>
    <s v="SF00144"/>
    <x v="13"/>
    <x v="7"/>
    <n v="1"/>
    <n v="120"/>
    <n v="120"/>
    <n v="21.599999999999998"/>
    <n v="141.6"/>
    <m/>
    <s v="Running"/>
  </r>
  <r>
    <d v="2025-11-05T16:40:35"/>
    <s v="Nov-25"/>
    <x v="0"/>
    <s v="MPG"/>
    <d v="2025-07-31T00:00:00"/>
    <n v="3"/>
    <x v="260"/>
    <s v="Gomukh jangli tol"/>
    <s v="dharmendra kumar"/>
    <n v="7283027574"/>
    <s v="Everest Smart Tab-based Android Terminal (Table-top) with Inbuilt Printer"/>
    <s v="GTD-23060390"/>
    <s v="Battery 3.7V/2600Mah"/>
    <s v="RM00980"/>
    <x v="13"/>
    <x v="7"/>
    <n v="1"/>
    <n v="350"/>
    <n v="350"/>
    <n v="63"/>
    <n v="413"/>
    <m/>
    <s v="Running"/>
  </r>
  <r>
    <d v="2025-11-05T14:55:06"/>
    <s v="Nov-25"/>
    <x v="0"/>
    <s v="MPG"/>
    <d v="2024-08-31T00:00:00"/>
    <n v="14"/>
    <x v="261"/>
    <s v="Baswar "/>
    <s v="Anand Jaiswal "/>
    <n v="7004559738"/>
    <s v="EKOMILK ULTRA PRO ANALYSER"/>
    <n v="399065"/>
    <s v="Ekomilk Sieringe With Plunger"/>
    <s v="RM00530"/>
    <x v="13"/>
    <x v="7"/>
    <n v="1"/>
    <n v="70"/>
    <n v="70"/>
    <n v="12.6"/>
    <n v="82.6"/>
    <m/>
    <s v="Running"/>
  </r>
  <r>
    <d v="2025-11-05T16:42:31"/>
    <s v="Nov-25"/>
    <x v="0"/>
    <s v="MPG"/>
    <d v="2024-12-05T00:00:00"/>
    <n v="11"/>
    <x v="181"/>
    <s v="Rohuaa S Kamal "/>
    <s v="Manoj Kumar sah"/>
    <n v="7549729151"/>
    <s v="Everest Smart Tab-based Android Terminal (Table-top) with Inbuilt Printer"/>
    <s v="gtd-22122577"/>
    <s v="Battery 3.7V/2600Mah"/>
    <s v="RM00980"/>
    <x v="13"/>
    <x v="7"/>
    <n v="1"/>
    <n v="350"/>
    <n v="350"/>
    <n v="63"/>
    <n v="413"/>
    <m/>
    <s v="Running"/>
  </r>
  <r>
    <d v="2025-11-04T10:00:49"/>
    <s v="Nov-25"/>
    <x v="0"/>
    <s v="MPG"/>
    <d v="2022-08-06T00:00:00"/>
    <n v="38"/>
    <x v="189"/>
    <s v="juwsh"/>
    <s v="mairtyumjay Kumar "/>
    <n v="7979912299"/>
    <s v="WEIGHING SCALE 60 KG"/>
    <s v="Ge-19122127"/>
    <s v="Weighing Scale Motherboard Old"/>
    <s v="RM00420"/>
    <x v="13"/>
    <x v="7"/>
    <n v="1"/>
    <n v="2080"/>
    <n v="2080"/>
    <n v="374.4"/>
    <n v="2454.4"/>
    <m/>
    <s v="Running"/>
  </r>
  <r>
    <d v="2025-11-03T17:14:26"/>
    <s v="Nov-25"/>
    <x v="0"/>
    <s v="MPG"/>
    <e v="#N/A"/>
    <s v=""/>
    <x v="151"/>
    <s v="Gomukh Kalyanpur                                                                                    "/>
    <s v="Nisha devi"/>
    <n v="9631135565"/>
    <s v="Everest Smart Tab-based Android Terminal (Table-top) with Inbuilt Printer"/>
    <s v="GTD-23060411"/>
    <s v="Battery 3.7V/2600Mah"/>
    <s v="RM00980"/>
    <x v="13"/>
    <x v="7"/>
    <n v="1"/>
    <n v="350"/>
    <n v="350"/>
    <n v="63"/>
    <n v="413"/>
    <m/>
    <s v="Nov'25 Closed"/>
  </r>
  <r>
    <d v="2025-11-01T00:00:00"/>
    <s v="Nov-25"/>
    <x v="0"/>
    <s v="MPG"/>
    <d v="2025-04-23T00:00:00"/>
    <n v="6"/>
    <x v="63"/>
    <s v="banderha purbi"/>
    <s v="manish kumar bharti"/>
    <n v="8051888251"/>
    <s v="Everest Smart Tab-based Android Terminal (Table-top) with Inbuilt Printer"/>
    <s v="gtd-23014090"/>
    <s v="Battery 3.7V/2600Mah"/>
    <s v="RM00980"/>
    <x v="13"/>
    <x v="7"/>
    <n v="1"/>
    <n v="350"/>
    <n v="350"/>
    <n v="63"/>
    <n v="413"/>
    <m/>
    <s v="Running"/>
  </r>
  <r>
    <d v="2025-12-31T09:56:07"/>
    <s v="Dec-25"/>
    <x v="0"/>
    <s v="MPG"/>
    <d v="2022-12-20T00:00:00"/>
    <n v="36"/>
    <x v="29"/>
    <s v="Laxmipur"/>
    <s v="Rajive Kumar"/>
    <n v="7765934465"/>
    <s v="WEIGHING SCALE 60 KG"/>
    <s v="GNE-22123343"/>
    <s v="Load Cell 100 Kg 60310"/>
    <s v="RM00006"/>
    <x v="15"/>
    <x v="8"/>
    <n v="1"/>
    <n v="2800"/>
    <n v="2800"/>
    <n v="504"/>
    <n v="3304"/>
    <m/>
    <s v="Running"/>
  </r>
  <r>
    <d v="2025-12-31T15:37:03"/>
    <s v="Dec-25"/>
    <x v="0"/>
    <s v="MPG"/>
    <d v="2025-02-10T00:00:00"/>
    <n v="10"/>
    <x v="262"/>
    <s v="Gomukh nirpur"/>
    <s v="Vijay ray"/>
    <n v="9801495461"/>
    <s v="EKOMILK ULTRA PRO ANALYSER"/>
    <s v="SN/E00390594"/>
    <s v="Ekomilk Keyboard"/>
    <s v="RM00512"/>
    <x v="15"/>
    <x v="8"/>
    <n v="1"/>
    <n v="770"/>
    <n v="770"/>
    <n v="138.6"/>
    <n v="908.6"/>
    <m/>
    <s v="Running"/>
  </r>
  <r>
    <d v="2025-12-29T18:40:39"/>
    <s v="Dec-25"/>
    <x v="0"/>
    <s v="MPG"/>
    <d v="2021-09-14T00:00:00"/>
    <n v="51"/>
    <x v="44"/>
    <s v="Tabhaka"/>
    <s v="Rahul Kumar"/>
    <n v="7667270854"/>
    <s v="WEIGHING SCALE 60 KG"/>
    <s v="E-17116848"/>
    <s v="IC AT 89S52 Programing"/>
    <s v="RM00194"/>
    <x v="15"/>
    <x v="8"/>
    <n v="1"/>
    <n v="788"/>
    <n v="788"/>
    <n v="141.84"/>
    <n v="929.84"/>
    <m/>
    <s v="Running"/>
  </r>
  <r>
    <d v="2025-12-29T18:40:39"/>
    <s v="Dec-25"/>
    <x v="0"/>
    <s v="MPG"/>
    <d v="2021-09-14T00:00:00"/>
    <n v="51"/>
    <x v="44"/>
    <s v="Tabhaka"/>
    <s v="Rahul Kumar"/>
    <n v="7667270854"/>
    <s v="WEIGHING SCALE 60 KG"/>
    <s v="E-17116848"/>
    <s v="Weighing Scale Motherboard Old"/>
    <s v="RM00420"/>
    <x v="15"/>
    <x v="8"/>
    <n v="1"/>
    <n v="2080"/>
    <n v="2080"/>
    <n v="374.4"/>
    <n v="2454.4"/>
    <m/>
    <s v="Running"/>
  </r>
  <r>
    <d v="2025-12-29T15:28:42"/>
    <s v="Dec-25"/>
    <x v="0"/>
    <s v="MPG"/>
    <d v="2022-04-14T00:00:00"/>
    <n v="44"/>
    <x v="263"/>
    <s v="Ramovariya"/>
    <s v="Santosh Kumar Singh"/>
    <n v="7654831161"/>
    <s v="EKOMILK ULTRA PRO ANALYSER"/>
    <n v="359884"/>
    <s v="Ekomilk Sieringe With Plunger"/>
    <s v="RM00530"/>
    <x v="15"/>
    <x v="8"/>
    <n v="1"/>
    <n v="70"/>
    <n v="70"/>
    <n v="12.6"/>
    <n v="82.6"/>
    <m/>
    <s v="Running"/>
  </r>
  <r>
    <d v="2025-12-25T16:09:52"/>
    <s v="Dec-25"/>
    <x v="0"/>
    <s v="MPG"/>
    <d v="2023-02-01T00:00:00"/>
    <n v="34"/>
    <x v="264"/>
    <s v="pawai "/>
    <s v="ritesh Kumar "/>
    <n v="9771640116"/>
    <s v="STIRRER UNIT EV5600"/>
    <s v="s-22033310"/>
    <s v="Stirrer Timer PCB"/>
    <s v="RM00478"/>
    <x v="15"/>
    <x v="8"/>
    <n v="1"/>
    <n v="900"/>
    <n v="900"/>
    <n v="162"/>
    <n v="1062"/>
    <m/>
    <s v="Running"/>
  </r>
  <r>
    <d v="2025-12-23T16:44:55"/>
    <s v="Dec-25"/>
    <x v="0"/>
    <s v="MPG"/>
    <d v="2022-11-01T00:00:00"/>
    <n v="37"/>
    <x v="169"/>
    <s v="jakhaur "/>
    <s v="Niraj Singh "/>
    <n v="6202734219"/>
    <s v="WEIGHING SCALE 60 KG"/>
    <s v="E-17116788"/>
    <s v="Keyboard For Weighing Scale (Repaired)"/>
    <s v="SF00048"/>
    <x v="15"/>
    <x v="8"/>
    <n v="1"/>
    <n v="360"/>
    <n v="360"/>
    <n v="64.8"/>
    <n v="424.8"/>
    <m/>
    <s v="Running"/>
  </r>
  <r>
    <d v="2025-12-23T16:44:55"/>
    <s v="Dec-25"/>
    <x v="0"/>
    <s v="MPG"/>
    <d v="2022-11-01T00:00:00"/>
    <n v="37"/>
    <x v="169"/>
    <s v="jakhaur "/>
    <s v="Niraj Singh "/>
    <n v="6202734219"/>
    <s v="WEIGHING SCALE 60 KG"/>
    <s v="E-17116788"/>
    <s v="Weighing Scale Motherboard Old"/>
    <s v="RM00420"/>
    <x v="15"/>
    <x v="8"/>
    <n v="1"/>
    <n v="2080"/>
    <n v="2080"/>
    <n v="374.4"/>
    <n v="2454.4"/>
    <m/>
    <s v="Running"/>
  </r>
  <r>
    <d v="2025-12-23T16:45:11"/>
    <s v="Dec-25"/>
    <x v="0"/>
    <s v="MPG"/>
    <d v="2022-11-01T00:00:00"/>
    <n v="37"/>
    <x v="169"/>
    <s v="jakhaur "/>
    <s v="Niraj Singh "/>
    <n v="6202734219"/>
    <s v="STIRRER UNIT EV5600"/>
    <s v="S-14062633"/>
    <s v="Stirrer Power Board"/>
    <s v="RM00477"/>
    <x v="15"/>
    <x v="8"/>
    <n v="1"/>
    <n v="1750"/>
    <n v="1750"/>
    <n v="315"/>
    <n v="2065"/>
    <m/>
    <s v="Running"/>
  </r>
  <r>
    <d v="2025-12-23T18:27:13"/>
    <s v="Dec-25"/>
    <x v="0"/>
    <s v="BMC"/>
    <e v="#N/A"/>
    <s v=""/>
    <x v="19"/>
    <s v="SAHIBPUR KAMA"/>
    <s v="Aaditya kumar"/>
    <n v="6205489399"/>
    <s v="Indicator DC Powder Coated (Ver. 2)"/>
    <s v="GNIDP-23035424"/>
    <s v="SWS Motherboard (Version 1.1)"/>
    <s v="RM00973"/>
    <x v="15"/>
    <x v="8"/>
    <n v="1"/>
    <n v="2080"/>
    <n v="2080"/>
    <n v="374.4"/>
    <n v="2454.4"/>
    <m/>
    <e v="#N/A"/>
  </r>
  <r>
    <d v="2025-12-23T16:49:03"/>
    <s v="Dec-25"/>
    <x v="0"/>
    <s v="MPG"/>
    <e v="#N/A"/>
    <s v=""/>
    <x v="265"/>
    <s v="dumari "/>
    <s v="shiv kumar "/>
    <n v="8298525819"/>
    <s v="Everest Smart Tab-based Android Terminal (Table-top) with Inbuilt Printer"/>
    <s v="GTD-23013968"/>
    <s v="DPU Thermal Printer EPM 207"/>
    <s v="RM00282"/>
    <x v="15"/>
    <x v="8"/>
    <n v="1"/>
    <n v="2800"/>
    <n v="2800"/>
    <n v="504"/>
    <n v="3304"/>
    <m/>
    <s v="Running"/>
  </r>
  <r>
    <d v="2025-12-23T18:10:02"/>
    <s v="Dec-25"/>
    <x v="0"/>
    <s v="MPG"/>
    <e v="#N/A"/>
    <s v=""/>
    <x v="266"/>
    <s v="GOMUKH SAIDPUR SAMASTIPUR"/>
    <s v="GOPAL KUMAR"/>
    <n v="9570412085"/>
    <s v="EKOMILK ULTRA PRO ANALYSER"/>
    <n v="362945"/>
    <s v="Ekomilk Sieringe With Plunger"/>
    <s v="RM00530"/>
    <x v="15"/>
    <x v="8"/>
    <n v="1"/>
    <n v="70"/>
    <n v="70"/>
    <n v="12.6"/>
    <n v="82.6"/>
    <m/>
    <s v="Running"/>
  </r>
  <r>
    <d v="2025-12-23T18:10:02"/>
    <s v="Dec-25"/>
    <x v="0"/>
    <s v="MPG"/>
    <e v="#N/A"/>
    <s v=""/>
    <x v="266"/>
    <s v="GOMUKH SAIDPUR SAMASTIPUR"/>
    <s v="GOPAL KUMAR"/>
    <n v="9570412085"/>
    <s v="EKOMILK ULTRA PRO ANALYSER"/>
    <n v="362945"/>
    <s v="Ekomilk Sieringe With Plunger"/>
    <s v="RM00530"/>
    <x v="15"/>
    <x v="8"/>
    <n v="1"/>
    <n v="70"/>
    <n v="70"/>
    <n v="12.6"/>
    <n v="82.6"/>
    <m/>
    <s v="Running"/>
  </r>
  <r>
    <d v="2025-12-22T13:59:43"/>
    <s v="Dec-25"/>
    <x v="0"/>
    <s v="MPG"/>
    <d v="2019-06-06T00:00:00"/>
    <n v="78"/>
    <x v="186"/>
    <s v="Subhanipur"/>
    <s v="Anik kumar"/>
    <n v="7545865422"/>
    <s v="WEIGHING SCALE 60 KG"/>
    <s v="E-17127323"/>
    <s v="Weighing Scale Motherboard Old"/>
    <s v="RM00420"/>
    <x v="15"/>
    <x v="8"/>
    <n v="1"/>
    <n v="2080"/>
    <n v="2080"/>
    <n v="374.4"/>
    <n v="2454.4"/>
    <m/>
    <s v="Running"/>
  </r>
  <r>
    <d v="2025-12-20T15:53:40"/>
    <s v="Dec-25"/>
    <x v="0"/>
    <s v="MPG"/>
    <d v="2017-09-01T00:00:00"/>
    <n v="99"/>
    <x v="1"/>
    <s v="MSK MPG gauripur"/>
    <s v="Chandan Kumar"/>
    <n v="6299652936"/>
    <s v="WEIGHING SCALE 60 KG"/>
    <s v="E-214082361"/>
    <s v="Keyboard For Weighing Scale New Design"/>
    <s v="RM01176"/>
    <x v="15"/>
    <x v="8"/>
    <n v="1"/>
    <n v="1266"/>
    <n v="1266"/>
    <n v="227.88"/>
    <n v="1493.88"/>
    <m/>
    <s v="Running"/>
  </r>
  <r>
    <d v="2025-12-20T15:53:40"/>
    <s v="Dec-25"/>
    <x v="0"/>
    <s v="MPG"/>
    <d v="2017-09-01T00:00:00"/>
    <n v="99"/>
    <x v="1"/>
    <s v="MSK MPG gauripur"/>
    <s v="Chandan Kumar"/>
    <n v="6299652936"/>
    <s v="WEIGHING SCALE 60 KG"/>
    <s v="E-214082361"/>
    <s v="EWS Battery Backup SMPS (BBLC)"/>
    <s v="RM00241"/>
    <x v="15"/>
    <x v="8"/>
    <n v="1"/>
    <n v="825"/>
    <n v="825"/>
    <n v="148.5"/>
    <n v="973.5"/>
    <m/>
    <s v="Running"/>
  </r>
  <r>
    <d v="2025-12-20T20:06:17"/>
    <s v="Dec-25"/>
    <x v="0"/>
    <s v="MPG"/>
    <e v="#N/A"/>
    <s v=""/>
    <x v="267"/>
    <s v="Gomukh Muradpur"/>
    <s v="Dhruv kumar singh"/>
    <n v="9508950984"/>
    <s v="EKOMILK ULTRA PRO ANALYSER"/>
    <n v="364751"/>
    <s v="Fatscan 4pin Female Connector with 6&quot; cable"/>
    <s v="RM01658"/>
    <x v="15"/>
    <x v="8"/>
    <n v="1"/>
    <n v="120"/>
    <n v="120"/>
    <n v="21.599999999999998"/>
    <n v="141.6"/>
    <m/>
    <s v="Oct '25 Closed"/>
  </r>
  <r>
    <d v="2025-12-20T20:11:34"/>
    <s v="Dec-25"/>
    <x v="0"/>
    <s v="BMC"/>
    <e v="#N/A"/>
    <s v=""/>
    <x v="73"/>
    <s v="purvi araria "/>
    <s v="yogesh yadav "/>
    <n v="9631676073"/>
    <s v="EKOMILK ULTRA PRO ANALYSER"/>
    <n v="387787"/>
    <s v="Fatscan 4pin Female Connector with 6&quot; cable"/>
    <s v="RM01658"/>
    <x v="15"/>
    <x v="8"/>
    <n v="1"/>
    <n v="120"/>
    <n v="120"/>
    <n v="21.599999999999998"/>
    <n v="141.6"/>
    <m/>
    <e v="#N/A"/>
  </r>
  <r>
    <d v="2025-12-20T20:11:34"/>
    <s v="Dec-25"/>
    <x v="0"/>
    <s v="BMC"/>
    <e v="#N/A"/>
    <s v=""/>
    <x v="73"/>
    <s v="purvi araria "/>
    <s v="yogesh yadav "/>
    <n v="9631676073"/>
    <s v="EKOMILK ULTRA PRO ANALYSER"/>
    <n v="387787"/>
    <s v="Fatscan 9 Pin Connector with Cable"/>
    <s v="SF00144"/>
    <x v="15"/>
    <x v="8"/>
    <n v="1"/>
    <n v="120"/>
    <n v="120"/>
    <n v="21.599999999999998"/>
    <n v="141.6"/>
    <m/>
    <e v="#N/A"/>
  </r>
  <r>
    <d v="2025-12-20T20:11:34"/>
    <s v="Dec-25"/>
    <x v="0"/>
    <s v="BMC"/>
    <e v="#N/A"/>
    <s v=""/>
    <x v="73"/>
    <s v="purvi araria "/>
    <s v="yogesh yadav "/>
    <n v="9631676073"/>
    <s v="EKOMILK ULTRA PRO ANALYSER"/>
    <n v="387787"/>
    <s v="Ekomilk Switch Small"/>
    <s v="RM00536"/>
    <x v="15"/>
    <x v="8"/>
    <n v="1"/>
    <n v="140"/>
    <n v="140"/>
    <n v="25.2"/>
    <n v="165.2"/>
    <m/>
    <e v="#N/A"/>
  </r>
  <r>
    <d v="2025-12-20T16:45:23"/>
    <s v="Dec-25"/>
    <x v="1"/>
    <s v="MPG"/>
    <e v="#N/A"/>
    <s v=""/>
    <x v="268"/>
    <s v="Pandra"/>
    <s v="Ravi Gop"/>
    <n v="6206527757"/>
    <s v="EKOMILK ULTRA PRO ANALYSER"/>
    <n v="380982"/>
    <s v="FatScan Double Sensor Measuring Mini PCB (4 para) with Sensor (Repaired)"/>
    <s v="SF00130"/>
    <x v="15"/>
    <x v="8"/>
    <n v="1"/>
    <n v="8000"/>
    <n v="8000"/>
    <n v="1440"/>
    <n v="9440"/>
    <m/>
    <e v="#N/A"/>
  </r>
  <r>
    <d v="2025-12-20T15:58:56"/>
    <s v="Dec-25"/>
    <x v="0"/>
    <s v="MPG"/>
    <d v="2024-08-20T00:00:00"/>
    <n v="16"/>
    <x v="197"/>
    <s v="Ranganv"/>
    <s v="kumar avinash"/>
    <n v="6200446459"/>
    <s v="EKOMILK ULTRA PRO ANALYSER"/>
    <n v="387342"/>
    <s v="Fatscan &quot; Y &quot; Pipe"/>
    <s v="SF00145"/>
    <x v="15"/>
    <x v="8"/>
    <n v="1"/>
    <n v="84"/>
    <n v="84"/>
    <n v="15.12"/>
    <n v="99.12"/>
    <m/>
    <s v="Nov'25 Closed"/>
  </r>
  <r>
    <d v="2025-12-20T15:58:56"/>
    <s v="Dec-25"/>
    <x v="0"/>
    <s v="MPG"/>
    <d v="2024-08-20T00:00:00"/>
    <n v="16"/>
    <x v="197"/>
    <s v="Ranganv"/>
    <s v="kumar avinash"/>
    <n v="6200446459"/>
    <s v="EKOMILK ULTRA PRO ANALYSER"/>
    <n v="387342"/>
    <s v="Ekomilk Keyboard"/>
    <s v="RM00512"/>
    <x v="15"/>
    <x v="8"/>
    <n v="1"/>
    <n v="770"/>
    <n v="770"/>
    <n v="138.6"/>
    <n v="908.6"/>
    <m/>
    <s v="Nov'25 Closed"/>
  </r>
  <r>
    <d v="2025-12-20T15:56:50"/>
    <s v="Dec-25"/>
    <x v="0"/>
    <s v="MPG"/>
    <d v="2024-12-05T00:00:00"/>
    <n v="12"/>
    <x v="259"/>
    <s v="ketha "/>
    <s v="Gautam Kumar "/>
    <n v="7091136803"/>
    <s v="EKOMILK ULTRA PRO ANALYSER"/>
    <s v="SN/E00391603"/>
    <s v="Fatscan 9 Pin Connector with Cable"/>
    <s v="SF00144"/>
    <x v="15"/>
    <x v="8"/>
    <n v="1"/>
    <n v="120"/>
    <n v="120"/>
    <n v="21.599999999999998"/>
    <n v="141.6"/>
    <m/>
    <s v="Running"/>
  </r>
  <r>
    <d v="2025-12-20T15:56:50"/>
    <s v="Dec-25"/>
    <x v="0"/>
    <s v="MPG"/>
    <d v="2024-12-05T00:00:00"/>
    <n v="12"/>
    <x v="259"/>
    <s v="ketha "/>
    <s v="Gautam Kumar "/>
    <n v="7091136803"/>
    <s v="EKOMILK ULTRA PRO ANALYSER"/>
    <s v="SN/E00391603"/>
    <s v="Fatscan 4pin Female Connector with 6&quot; cable"/>
    <s v="RM01658"/>
    <x v="15"/>
    <x v="8"/>
    <n v="1"/>
    <n v="120"/>
    <n v="120"/>
    <n v="21.599999999999998"/>
    <n v="141.6"/>
    <m/>
    <s v="Running"/>
  </r>
  <r>
    <d v="2025-12-20T15:56:50"/>
    <s v="Dec-25"/>
    <x v="0"/>
    <s v="MPG"/>
    <d v="2024-12-05T00:00:00"/>
    <n v="12"/>
    <x v="259"/>
    <s v="ketha "/>
    <s v="Gautam Kumar "/>
    <n v="7091136803"/>
    <s v="EKOMILK ULTRA PRO ANALYSER"/>
    <s v="SN/E00391603"/>
    <s v="Ekomilk Switch Small"/>
    <s v="RM00536"/>
    <x v="15"/>
    <x v="8"/>
    <n v="1"/>
    <n v="140"/>
    <n v="140"/>
    <n v="25.2"/>
    <n v="165.2"/>
    <m/>
    <s v="Running"/>
  </r>
  <r>
    <d v="2025-12-20T15:19:03"/>
    <s v="Dec-25"/>
    <x v="0"/>
    <s v="MPG"/>
    <d v="2023-03-24T00:00:00"/>
    <n v="32"/>
    <x v="269"/>
    <s v="shar maf 2"/>
    <s v="manoj yadav "/>
    <n v="7250181967"/>
    <s v="Everest Smart Tab-based Android Terminal (Table-top) with Inbuilt Printer"/>
    <s v="GTD-23024128"/>
    <s v="Battery 3.7V/2600Mah"/>
    <s v="RM00980"/>
    <x v="15"/>
    <x v="8"/>
    <n v="1"/>
    <n v="350"/>
    <n v="350"/>
    <n v="63"/>
    <n v="413"/>
    <m/>
    <s v="Running"/>
  </r>
  <r>
    <d v="2025-12-19T15:47:04"/>
    <s v="Dec-25"/>
    <x v="0"/>
    <s v="MPG"/>
    <d v="2024-10-25T00:00:00"/>
    <n v="13"/>
    <x v="79"/>
    <s v="Gomukh Pahadpur"/>
    <s v="Arvind Pal"/>
    <n v="9931327599"/>
    <s v="Everest Smart Tab-based Android Terminal (Table-top) with Inbuilt Printer"/>
    <s v="GTD-23013986"/>
    <s v="Battery 3.7V/2600Mah"/>
    <s v="RM00980"/>
    <x v="15"/>
    <x v="8"/>
    <n v="1"/>
    <n v="350"/>
    <n v="350"/>
    <n v="63"/>
    <n v="413"/>
    <m/>
    <s v="Running"/>
  </r>
  <r>
    <d v="2025-12-19T17:02:36"/>
    <s v="Dec-25"/>
    <x v="0"/>
    <s v="MPG"/>
    <d v="2023-03-24T00:00:00"/>
    <n v="32"/>
    <x v="43"/>
    <s v="bhanpur "/>
    <s v="Pritam Kumari "/>
    <n v="9661990974"/>
    <s v="WEIGHING SCALE 60 KG"/>
    <s v="GNE-23024409"/>
    <s v="Connector 5 Pin Metal M/F"/>
    <s v="RM00727"/>
    <x v="15"/>
    <x v="8"/>
    <n v="1"/>
    <n v="225"/>
    <n v="225"/>
    <n v="40.5"/>
    <n v="265.5"/>
    <m/>
    <s v="Running"/>
  </r>
  <r>
    <d v="2025-12-19T17:02:36"/>
    <s v="Dec-25"/>
    <x v="0"/>
    <s v="MPG"/>
    <d v="2023-03-24T00:00:00"/>
    <n v="32"/>
    <x v="43"/>
    <s v="bhanpur "/>
    <s v="Pritam Kumari "/>
    <n v="9661990974"/>
    <s v="WEIGHING SCALE 60 KG"/>
    <s v="GNE-23024409"/>
    <s v="SWS Motherboard (Version 1.1)"/>
    <s v="RM00973"/>
    <x v="15"/>
    <x v="8"/>
    <n v="1"/>
    <n v="2080"/>
    <n v="2080"/>
    <n v="374.4"/>
    <n v="2454.4"/>
    <m/>
    <s v="Running"/>
  </r>
  <r>
    <d v="2025-12-18T17:15:28"/>
    <s v="Dec-25"/>
    <x v="0"/>
    <s v="MPG"/>
    <d v="2025-07-15T00:00:00"/>
    <n v="5"/>
    <x v="270"/>
    <s v="bachrukhi"/>
    <s v="arbind jha"/>
    <n v="9798613295"/>
    <s v="WEIGHING SCALE 60 KG"/>
    <s v="E-214082404"/>
    <s v="Keyboard For Weighing Scale (Repaired)"/>
    <s v="SF00048"/>
    <x v="15"/>
    <x v="8"/>
    <n v="1"/>
    <n v="360"/>
    <n v="360"/>
    <n v="64.8"/>
    <n v="424.8"/>
    <m/>
    <s v="Running"/>
  </r>
  <r>
    <d v="2025-12-18T12:35:58"/>
    <s v="Dec-25"/>
    <x v="0"/>
    <s v="MPG"/>
    <d v="2023-12-04T00:00:00"/>
    <n v="24"/>
    <x v="271"/>
    <s v="Gomukh rani-3"/>
    <s v="Saurab kumar "/>
    <n v="9590157880"/>
    <s v="EKOMILK ULTRA PRO ANALYSER"/>
    <n v="382419"/>
    <s v="Ekomilk Motorpump Set New"/>
    <s v="TR00181"/>
    <x v="15"/>
    <x v="8"/>
    <n v="1"/>
    <n v="2000"/>
    <n v="2000"/>
    <n v="360"/>
    <n v="2360"/>
    <m/>
    <s v="Running"/>
  </r>
  <r>
    <d v="2025-12-18T16:07:51"/>
    <s v="Dec-25"/>
    <x v="0"/>
    <s v="MPG"/>
    <e v="#N/A"/>
    <s v=""/>
    <x v="272"/>
    <s v="Gomukh Sajua2 "/>
    <s v="Satyam viswas"/>
    <n v="8651499099"/>
    <s v="EKOMILK ULTRA PRO ANALYSER"/>
    <n v="210840"/>
    <s v="Fatscan 4pin Female Connector with 6&quot; cable"/>
    <s v="RM01658"/>
    <x v="15"/>
    <x v="8"/>
    <n v="1"/>
    <n v="120"/>
    <n v="120"/>
    <n v="21.599999999999998"/>
    <n v="141.6"/>
    <m/>
    <s v="Running"/>
  </r>
  <r>
    <d v="2025-12-18T16:07:51"/>
    <s v="Dec-25"/>
    <x v="0"/>
    <s v="MPG"/>
    <e v="#N/A"/>
    <s v=""/>
    <x v="272"/>
    <s v="Gomukh Sajua2 "/>
    <s v="Satyam viswas"/>
    <n v="8651499099"/>
    <s v="EKOMILK ULTRA PRO ANALYSER"/>
    <n v="210840"/>
    <s v="Fatscan &quot; Y &quot; Pipe"/>
    <s v="SF00145"/>
    <x v="15"/>
    <x v="8"/>
    <n v="1"/>
    <n v="84"/>
    <n v="84"/>
    <n v="15.12"/>
    <n v="99.12"/>
    <m/>
    <s v="Running"/>
  </r>
  <r>
    <d v="2025-12-17T16:24:44"/>
    <s v="Dec-25"/>
    <x v="0"/>
    <s v="MPG"/>
    <d v="2017-09-01T00:00:00"/>
    <n v="99"/>
    <x v="209"/>
    <s v="gomukh mahdadpur"/>
    <s v="sunil kumar"/>
    <n v="6204394263"/>
    <s v="WEIGHING SCALE 60 KG"/>
    <s v="E-214082385"/>
    <s v="Keyboard For Weighing Scale (Repaired)"/>
    <s v="SF00048"/>
    <x v="15"/>
    <x v="8"/>
    <n v="1"/>
    <n v="360"/>
    <n v="360"/>
    <n v="64.8"/>
    <n v="424.8"/>
    <m/>
    <s v="Running"/>
  </r>
  <r>
    <d v="2025-12-17T16:24:44"/>
    <s v="Dec-25"/>
    <x v="0"/>
    <s v="MPG"/>
    <d v="2017-09-01T00:00:00"/>
    <n v="99"/>
    <x v="209"/>
    <s v="gomukh mahdadpur"/>
    <s v="sunil kumar"/>
    <n v="6204394263"/>
    <s v="WEIGHING SCALE 60 KG"/>
    <s v="E-214082385"/>
    <s v="SWS Display 2*16 Big"/>
    <s v="RM01090"/>
    <x v="15"/>
    <x v="8"/>
    <n v="1"/>
    <n v="550"/>
    <n v="550"/>
    <n v="99"/>
    <n v="649"/>
    <m/>
    <s v="Running"/>
  </r>
  <r>
    <d v="2025-12-17T13:09:38"/>
    <s v="Dec-25"/>
    <x v="0"/>
    <s v="MPG"/>
    <d v="2025-01-30T00:00:00"/>
    <n v="10"/>
    <x v="273"/>
    <s v="Gomukh Kaudesari"/>
    <s v="Ramakant Singh "/>
    <n v="9931256142"/>
    <s v="EKOMILK ULTRA PRO ANALYSER"/>
    <n v="360243"/>
    <s v="Ekomilk Bush"/>
    <s v="RM00510"/>
    <x v="15"/>
    <x v="8"/>
    <n v="1"/>
    <n v="49"/>
    <n v="49"/>
    <n v="8.82"/>
    <n v="57.82"/>
    <m/>
    <s v="Running"/>
  </r>
  <r>
    <d v="2025-12-17T15:15:03"/>
    <s v="Dec-25"/>
    <x v="1"/>
    <s v="MPG"/>
    <e v="#N/A"/>
    <s v=""/>
    <x v="164"/>
    <s v="RONHE"/>
    <s v="VIJAY XALXO"/>
    <n v="7561962180"/>
    <s v="Everest Smart Tab-based Android Terminal (Table-top) with Inbuilt Printer"/>
    <s v="GTD-23060303"/>
    <s v="DPU Thermal Printer EPM 207"/>
    <s v="RM00282"/>
    <x v="15"/>
    <x v="8"/>
    <n v="1"/>
    <n v="2800"/>
    <n v="2800"/>
    <n v="504"/>
    <n v="3304"/>
    <m/>
    <e v="#N/A"/>
  </r>
  <r>
    <d v="2025-12-17T15:12:23"/>
    <s v="Dec-25"/>
    <x v="1"/>
    <s v="BMC"/>
    <e v="#N/A"/>
    <s v=""/>
    <x v="22"/>
    <s v="Itki"/>
    <s v="Amit Tiwari "/>
    <n v="8210761749"/>
    <s v="Everest Smart Tab-based Android Terminal (Table-top) with Inbuilt Printer"/>
    <s v="GTD-23060345"/>
    <s v="DPU Thermal Printer EPM 207"/>
    <s v="RM00282"/>
    <x v="15"/>
    <x v="8"/>
    <n v="1"/>
    <n v="2800"/>
    <n v="2800"/>
    <n v="504"/>
    <n v="3304"/>
    <m/>
    <e v="#N/A"/>
  </r>
  <r>
    <d v="2025-12-16T15:32:18"/>
    <s v="Dec-25"/>
    <x v="0"/>
    <s v="MPG"/>
    <d v="2025-01-04T00:00:00"/>
    <n v="11"/>
    <x v="274"/>
    <s v="kaithi"/>
    <s v="mithun kumar"/>
    <n v="6204674632"/>
    <s v="EKOMILK ULTRA PRO ANALYSER"/>
    <n v="385964"/>
    <s v="Ekomilk Keyboard"/>
    <s v="RM00512"/>
    <x v="15"/>
    <x v="8"/>
    <n v="1"/>
    <n v="770"/>
    <n v="770"/>
    <n v="138.6"/>
    <n v="908.6"/>
    <m/>
    <s v="Running"/>
  </r>
  <r>
    <d v="2025-12-16T15:32:18"/>
    <s v="Dec-25"/>
    <x v="0"/>
    <s v="MPG"/>
    <d v="2025-01-04T00:00:00"/>
    <n v="11"/>
    <x v="274"/>
    <s v="kaithi"/>
    <s v="mithun kumar"/>
    <n v="6204674632"/>
    <s v="EKOMILK ULTRA PRO ANALYSER"/>
    <n v="385964"/>
    <s v="Fatscan Sensor to Syringe Pipe"/>
    <s v="SF00146"/>
    <x v="15"/>
    <x v="8"/>
    <n v="1"/>
    <n v="44"/>
    <n v="44"/>
    <n v="7.92"/>
    <n v="51.92"/>
    <m/>
    <s v="Running"/>
  </r>
  <r>
    <d v="2025-12-16T15:32:18"/>
    <s v="Dec-25"/>
    <x v="0"/>
    <s v="MPG"/>
    <d v="2025-01-04T00:00:00"/>
    <n v="11"/>
    <x v="274"/>
    <s v="kaithi"/>
    <s v="mithun kumar"/>
    <n v="6204674632"/>
    <s v="EKOMILK ULTRA PRO ANALYSER"/>
    <n v="385964"/>
    <s v="Fatscan Sensor to Syringe Pipe"/>
    <s v="SF00146"/>
    <x v="15"/>
    <x v="8"/>
    <n v="1"/>
    <n v="44"/>
    <n v="44"/>
    <n v="7.92"/>
    <n v="51.92"/>
    <m/>
    <s v="Running"/>
  </r>
  <r>
    <d v="2025-12-16T15:32:44"/>
    <s v="Dec-25"/>
    <x v="0"/>
    <s v="MPG"/>
    <d v="2025-01-04T00:00:00"/>
    <n v="11"/>
    <x v="274"/>
    <s v="kaithi"/>
    <s v="mithun kumar"/>
    <n v="6204674632"/>
    <s v="WEIGHING SCALE 60 KG"/>
    <s v="GNE-23114066"/>
    <s v="Keyboard For Weighing Scale (Repaired)"/>
    <s v="SF00048"/>
    <x v="15"/>
    <x v="8"/>
    <n v="1"/>
    <n v="360"/>
    <n v="360"/>
    <n v="64.8"/>
    <n v="424.8"/>
    <m/>
    <s v="Running"/>
  </r>
  <r>
    <d v="2025-12-16T12:28:11"/>
    <s v="Dec-25"/>
    <x v="0"/>
    <s v="MPG"/>
    <d v="2025-01-24T00:00:00"/>
    <n v="10"/>
    <x v="20"/>
    <s v="Gomukh Gauchhari"/>
    <s v="Khagesh"/>
    <n v="8084852614"/>
    <s v="WEIGHING SCALE 60 KG"/>
    <s v="GNE-23024516"/>
    <s v="Connector 5 Pin Metal M/F"/>
    <s v="RM00727"/>
    <x v="15"/>
    <x v="8"/>
    <n v="1"/>
    <n v="225"/>
    <n v="225"/>
    <n v="40.5"/>
    <n v="265.5"/>
    <m/>
    <s v="Running"/>
  </r>
  <r>
    <d v="2025-12-16T12:27:50"/>
    <s v="Dec-25"/>
    <x v="0"/>
    <s v="MPG"/>
    <d v="2025-01-24T00:00:00"/>
    <n v="10"/>
    <x v="20"/>
    <s v="Gomukh Gauchhari"/>
    <s v="Khagesh"/>
    <n v="8084852614"/>
    <s v="EKOMILK ULTRA PRO ANALYSER"/>
    <n v="2346391"/>
    <s v="Ekomilk Switch Small"/>
    <s v="RM00536"/>
    <x v="15"/>
    <x v="8"/>
    <n v="1"/>
    <n v="140"/>
    <n v="140"/>
    <n v="25.2"/>
    <n v="165.2"/>
    <m/>
    <s v="Running"/>
  </r>
  <r>
    <d v="2025-12-16T12:27:50"/>
    <s v="Dec-25"/>
    <x v="0"/>
    <s v="MPG"/>
    <d v="2025-01-24T00:00:00"/>
    <n v="10"/>
    <x v="20"/>
    <s v="Gomukh Gauchhari"/>
    <s v="Khagesh"/>
    <n v="8084852614"/>
    <s v="EKOMILK ULTRA PRO ANALYSER"/>
    <n v="2346391"/>
    <s v="Fatscan 9 Pin Connector with Cable"/>
    <s v="SF00144"/>
    <x v="15"/>
    <x v="8"/>
    <n v="1"/>
    <n v="120"/>
    <n v="120"/>
    <n v="21.599999999999998"/>
    <n v="141.6"/>
    <m/>
    <s v="Running"/>
  </r>
  <r>
    <d v="2025-12-16T12:27:50"/>
    <s v="Dec-25"/>
    <x v="0"/>
    <s v="MPG"/>
    <d v="2025-01-24T00:00:00"/>
    <n v="10"/>
    <x v="20"/>
    <s v="Gomukh Gauchhari"/>
    <s v="Khagesh"/>
    <n v="8084852614"/>
    <s v="EKOMILK ULTRA PRO ANALYSER"/>
    <n v="2346391"/>
    <s v="Ekomilk LCD Display"/>
    <s v="RM00511"/>
    <x v="15"/>
    <x v="8"/>
    <n v="1"/>
    <n v="790"/>
    <n v="790"/>
    <n v="142.19999999999999"/>
    <n v="932.2"/>
    <m/>
    <s v="Running"/>
  </r>
  <r>
    <d v="2025-12-16T12:46:00"/>
    <s v="Dec-25"/>
    <x v="0"/>
    <s v="BMC"/>
    <e v="#N/A"/>
    <s v=""/>
    <x v="275"/>
    <s v="BMC asarganj"/>
    <s v="Dheeraj Kumar"/>
    <n v="6201859567"/>
    <s v="EKOMILK ULTRA PRO ANALYSER"/>
    <n v="183572"/>
    <s v="Fatscan 4pin Female Connector with 6&quot; cable"/>
    <s v="RM01658"/>
    <x v="15"/>
    <x v="8"/>
    <n v="1"/>
    <n v="120"/>
    <n v="120"/>
    <n v="21.599999999999998"/>
    <n v="141.6"/>
    <m/>
    <e v="#N/A"/>
  </r>
  <r>
    <d v="2025-12-16T12:46:00"/>
    <s v="Dec-25"/>
    <x v="0"/>
    <s v="BMC"/>
    <e v="#N/A"/>
    <s v=""/>
    <x v="275"/>
    <s v="BMC asarganj"/>
    <s v="Dheeraj Kumar"/>
    <n v="6201859567"/>
    <s v="EKOMILK ULTRA PRO ANALYSER"/>
    <n v="183572"/>
    <s v="Ekomilk Sieringe With Plunger"/>
    <s v="RM00530"/>
    <x v="15"/>
    <x v="8"/>
    <n v="1"/>
    <n v="70"/>
    <n v="70"/>
    <n v="12.6"/>
    <n v="82.6"/>
    <m/>
    <e v="#N/A"/>
  </r>
  <r>
    <d v="2025-12-16T12:46:00"/>
    <s v="Dec-25"/>
    <x v="0"/>
    <s v="BMC"/>
    <e v="#N/A"/>
    <s v=""/>
    <x v="275"/>
    <s v="BMC asarganj"/>
    <s v="Dheeraj Kumar"/>
    <n v="6201859567"/>
    <s v="EKOMILK ULTRA PRO ANALYSER"/>
    <n v="183572"/>
    <s v="Ekomilk Sieringe With Plunger"/>
    <s v="RM00530"/>
    <x v="15"/>
    <x v="8"/>
    <n v="1"/>
    <n v="70"/>
    <n v="70"/>
    <n v="12.6"/>
    <n v="82.6"/>
    <m/>
    <e v="#N/A"/>
  </r>
  <r>
    <d v="2025-12-16T16:00:59"/>
    <s v="Dec-25"/>
    <x v="0"/>
    <s v="MPG"/>
    <d v="2025-07-31T00:00:00"/>
    <n v="4"/>
    <x v="276"/>
    <s v="singarpur"/>
    <s v="yogesh yadav "/>
    <n v="9113404461"/>
    <s v="Everest Smart Tab-based Android Terminal (Table-top) with Inbuilt Printer"/>
    <s v="gtd-23014057"/>
    <s v="DPU DC To DC Converter 12V To 5V"/>
    <s v="RM00493"/>
    <x v="15"/>
    <x v="8"/>
    <n v="1"/>
    <n v="780"/>
    <n v="780"/>
    <n v="140.4"/>
    <n v="920.4"/>
    <m/>
    <s v="Running"/>
  </r>
  <r>
    <d v="2025-12-16T16:05:49"/>
    <s v="Dec-25"/>
    <x v="0"/>
    <s v="MPG"/>
    <e v="#N/A"/>
    <s v=""/>
    <x v="83"/>
    <s v="Gomukh bheet"/>
    <s v="Dharamveer kumar "/>
    <n v="7808020360"/>
    <s v="WEIGHING SCALE 60 KG"/>
    <s v="GE-20034001"/>
    <s v="EWS Battery Backup SMPS (BBLC)"/>
    <s v="RM00241"/>
    <x v="15"/>
    <x v="8"/>
    <n v="1"/>
    <n v="825"/>
    <n v="825"/>
    <n v="148.5"/>
    <n v="973.5"/>
    <m/>
    <s v="Running"/>
  </r>
  <r>
    <d v="2025-12-15T14:37:30"/>
    <s v="Dec-25"/>
    <x v="0"/>
    <s v="MPG"/>
    <d v="2022-10-01T00:00:00"/>
    <n v="38"/>
    <x v="126"/>
    <s v="desuaa "/>
    <s v="diraj"/>
    <n v="9955935034"/>
    <s v="WEIGHING SCALE 60 KG"/>
    <s v="E-17127303"/>
    <s v="Keyboard For Weighing Scale (Repaired)"/>
    <s v="SF00048"/>
    <x v="15"/>
    <x v="8"/>
    <n v="1"/>
    <n v="360"/>
    <n v="360"/>
    <n v="64.8"/>
    <n v="424.8"/>
    <m/>
    <s v="Running"/>
  </r>
  <r>
    <d v="2025-12-15T16:26:37"/>
    <s v="Dec-25"/>
    <x v="0"/>
    <s v="MPG"/>
    <d v="2024-10-25T00:00:00"/>
    <n v="13"/>
    <x v="277"/>
    <s v="Sikraul Lak "/>
    <s v="Manoj Kumar Paswan "/>
    <n v="7004788241"/>
    <s v="WEIGHING SCALE 60 KG"/>
    <s v="gne-23114051"/>
    <s v="Keyboard For Weighing Scale New Design"/>
    <s v="RM01176"/>
    <x v="15"/>
    <x v="8"/>
    <n v="1"/>
    <n v="1266"/>
    <n v="1266"/>
    <n v="227.88"/>
    <n v="1493.88"/>
    <m/>
    <s v="Running"/>
  </r>
  <r>
    <d v="2025-12-15T14:46:22"/>
    <s v="Dec-25"/>
    <x v="0"/>
    <s v="BMC"/>
    <e v="#N/A"/>
    <s v=""/>
    <x v="177"/>
    <s v="simri BMC"/>
    <s v="Ankit Kumar"/>
    <n v="9060744847"/>
    <s v="WEIGHING SCALE 60 KG"/>
    <s v="GE-20033995"/>
    <s v="Connector 5 Pin Metal M/F"/>
    <s v="RM00727"/>
    <x v="15"/>
    <x v="8"/>
    <n v="1"/>
    <n v="225"/>
    <n v="225"/>
    <n v="40.5"/>
    <n v="265.5"/>
    <m/>
    <e v="#N/A"/>
  </r>
  <r>
    <d v="2025-12-13T16:19:20"/>
    <s v="Dec-25"/>
    <x v="0"/>
    <s v="MPG"/>
    <d v="2024-10-25T00:00:00"/>
    <n v="13"/>
    <x v="124"/>
    <s v="Basaon Kala"/>
    <s v="Shivji Singh "/>
    <n v="6202993543"/>
    <s v="STIRRER UNIT EV5600"/>
    <s v="S-22033305"/>
    <s v="Stirrer Timer PCB"/>
    <s v="RM00478"/>
    <x v="15"/>
    <x v="8"/>
    <n v="1"/>
    <n v="900"/>
    <n v="900"/>
    <n v="162"/>
    <n v="1062"/>
    <m/>
    <s v="Running"/>
  </r>
  <r>
    <d v="2025-12-13T15:49:23"/>
    <s v="Dec-25"/>
    <x v="0"/>
    <s v="MPG"/>
    <d v="2022-12-20T00:00:00"/>
    <n v="35"/>
    <x v="29"/>
    <s v="Laxmipur"/>
    <s v="Rajive Kumar"/>
    <n v="7765934465"/>
    <s v="EKOMILK ULTRA PRO ANALYSER"/>
    <n v="378760"/>
    <s v="Fatscan Motor Pump Pipe"/>
    <s v="SF00147"/>
    <x v="15"/>
    <x v="8"/>
    <n v="1"/>
    <n v="125"/>
    <n v="125"/>
    <n v="22.5"/>
    <n v="147.5"/>
    <m/>
    <s v="Running"/>
  </r>
  <r>
    <d v="2025-12-13T15:49:23"/>
    <s v="Dec-25"/>
    <x v="0"/>
    <s v="MPG"/>
    <d v="2022-12-20T00:00:00"/>
    <n v="35"/>
    <x v="29"/>
    <s v="Laxmipur"/>
    <s v="Rajive Kumar"/>
    <n v="7765934465"/>
    <s v="EKOMILK ULTRA PRO ANALYSER"/>
    <n v="378760"/>
    <s v="Fatscan Motor Pump Pipe"/>
    <s v="SF00147"/>
    <x v="15"/>
    <x v="8"/>
    <n v="1"/>
    <n v="125"/>
    <n v="125"/>
    <n v="22.5"/>
    <n v="147.5"/>
    <m/>
    <s v="Running"/>
  </r>
  <r>
    <d v="2025-12-13T17:25:21"/>
    <s v="Dec-25"/>
    <x v="0"/>
    <s v="MPG"/>
    <e v="#N/A"/>
    <s v=""/>
    <x v="278"/>
    <s v="prashpur kadwa gomukh"/>
    <s v="Nawal kishor rai"/>
    <n v="9801450809"/>
    <s v="WEIGHING SCALE 60 KG"/>
    <s v="GNE-22102066"/>
    <s v="SWS Motherboard (Version 1.1)"/>
    <s v="RM00973"/>
    <x v="15"/>
    <x v="8"/>
    <n v="1"/>
    <n v="2080"/>
    <n v="2080"/>
    <n v="374.4"/>
    <n v="2454.4"/>
    <m/>
    <s v="Running"/>
  </r>
  <r>
    <d v="2025-12-13T13:37:26"/>
    <s v="Dec-25"/>
    <x v="0"/>
    <s v="MPG"/>
    <e v="#N/A"/>
    <s v=""/>
    <x v="58"/>
    <s v="CHAVGAIN"/>
    <s v="Puspa Devi"/>
    <n v="8651691707"/>
    <s v="WEIGHING SCALE 60 KG"/>
    <s v="GNE-22123327"/>
    <s v="Keyboard For Weighing Scale New Design"/>
    <s v="RM01176"/>
    <x v="15"/>
    <x v="8"/>
    <n v="1"/>
    <n v="1266"/>
    <n v="1266"/>
    <n v="227.88"/>
    <n v="1493.88"/>
    <m/>
    <s v="Running"/>
  </r>
  <r>
    <d v="2025-12-12T16:00:09"/>
    <s v="Dec-25"/>
    <x v="0"/>
    <s v="MPG"/>
    <d v="2025-10-09T00:00:00"/>
    <n v="2"/>
    <x v="236"/>
    <s v="GOMUKH PATHAKTOL"/>
    <s v="chandan"/>
    <n v="9631389655"/>
    <s v="WEIGHING SCALE 60 KG"/>
    <s v="ge-19122133"/>
    <s v="Keyboard For Weighing Scale (Repaired)"/>
    <s v="SF00048"/>
    <x v="15"/>
    <x v="8"/>
    <n v="1"/>
    <n v="360"/>
    <n v="360"/>
    <n v="64.8"/>
    <n v="424.8"/>
    <m/>
    <s v="Running"/>
  </r>
  <r>
    <d v="2025-12-12T11:41:33"/>
    <s v="Dec-25"/>
    <x v="0"/>
    <s v="MPG"/>
    <d v="2025-01-09T00:00:00"/>
    <n v="11"/>
    <x v="59"/>
    <s v="Gomukh Bochaha"/>
    <s v=" sopander ray"/>
    <n v="9939074043"/>
    <s v="WEIGHING SCALE 60 KG"/>
    <s v="GE-19122123"/>
    <s v="Connector 5 Pin Metal M/F"/>
    <s v="RM00727"/>
    <x v="15"/>
    <x v="8"/>
    <n v="1"/>
    <n v="225"/>
    <n v="225"/>
    <n v="40.5"/>
    <n v="265.5"/>
    <m/>
    <s v="Running"/>
  </r>
  <r>
    <d v="2025-12-12T16:04:04"/>
    <s v="Dec-25"/>
    <x v="0"/>
    <s v="MPG"/>
    <d v="2025-05-21T00:00:00"/>
    <n v="6"/>
    <x v="279"/>
    <s v="GOMUKH RAMAIYA"/>
    <s v="INDU DEVI"/>
    <n v="7079704525"/>
    <s v="EKOMILK ULTRA PRO ANALYSER"/>
    <n v="399048"/>
    <s v="Ekomilk Bush"/>
    <s v="RM00510"/>
    <x v="15"/>
    <x v="8"/>
    <n v="1"/>
    <n v="49"/>
    <n v="49"/>
    <n v="8.82"/>
    <n v="57.82"/>
    <m/>
    <s v="Running"/>
  </r>
  <r>
    <d v="2025-12-12T16:04:04"/>
    <s v="Dec-25"/>
    <x v="0"/>
    <s v="MPG"/>
    <d v="2025-05-21T00:00:00"/>
    <n v="6"/>
    <x v="279"/>
    <s v="GOMUKH RAMAIYA"/>
    <s v="INDU DEVI"/>
    <n v="7079704525"/>
    <s v="EKOMILK ULTRA PRO ANALYSER"/>
    <n v="399048"/>
    <s v="Fatscan Motor Pump Pipe"/>
    <s v="SF00147"/>
    <x v="15"/>
    <x v="8"/>
    <n v="1"/>
    <n v="125"/>
    <n v="125"/>
    <n v="22.5"/>
    <n v="147.5"/>
    <m/>
    <s v="Running"/>
  </r>
  <r>
    <d v="2025-12-12T16:04:04"/>
    <s v="Dec-25"/>
    <x v="0"/>
    <s v="MPG"/>
    <d v="2025-05-21T00:00:00"/>
    <n v="6"/>
    <x v="279"/>
    <s v="GOMUKH RAMAIYA"/>
    <s v="INDU DEVI"/>
    <n v="7079704525"/>
    <s v="EKOMILK ULTRA PRO ANALYSER"/>
    <n v="399048"/>
    <s v="Fatscan Motor Pump Pipe"/>
    <s v="SF00147"/>
    <x v="15"/>
    <x v="8"/>
    <n v="1"/>
    <n v="125"/>
    <n v="125"/>
    <n v="22.5"/>
    <n v="147.5"/>
    <m/>
    <s v="Running"/>
  </r>
  <r>
    <d v="2025-12-12T16:41:10"/>
    <s v="Dec-25"/>
    <x v="0"/>
    <s v="MPG"/>
    <d v="2023-12-08T00:00:00"/>
    <n v="24"/>
    <x v="280"/>
    <s v="gangasarai "/>
    <s v="amarjit kumar "/>
    <n v="9135466492"/>
    <s v="WEIGHING SCALE 60 KG"/>
    <s v="GNE-23114035"/>
    <s v="Keyboard For Weighing Scale New Design"/>
    <s v="RM01176"/>
    <x v="15"/>
    <x v="8"/>
    <n v="1"/>
    <n v="1266"/>
    <n v="1266"/>
    <n v="227.88"/>
    <n v="1493.88"/>
    <m/>
    <s v="Running"/>
  </r>
  <r>
    <d v="2025-12-11T15:37:38"/>
    <s v="Dec-25"/>
    <x v="0"/>
    <s v="MPG"/>
    <d v="2023-03-31T00:00:00"/>
    <n v="32"/>
    <x v="245"/>
    <s v="HENWA"/>
    <s v="Abhishek Kumar "/>
    <n v="8651032442"/>
    <s v="EKOMILK ULTRA PRO ANALYSER"/>
    <n v="358573"/>
    <s v="Fatscan Motor Pump Pipe"/>
    <s v="SF00147"/>
    <x v="15"/>
    <x v="8"/>
    <n v="1"/>
    <n v="125"/>
    <n v="125"/>
    <n v="22.5"/>
    <n v="147.5"/>
    <m/>
    <s v="Running"/>
  </r>
  <r>
    <d v="2025-12-11T15:37:38"/>
    <s v="Dec-25"/>
    <x v="0"/>
    <s v="MPG"/>
    <d v="2023-03-31T00:00:00"/>
    <n v="32"/>
    <x v="245"/>
    <s v="HENWA"/>
    <s v="Abhishek Kumar "/>
    <n v="8651032442"/>
    <s v="EKOMILK ULTRA PRO ANALYSER"/>
    <n v="358573"/>
    <s v="Fatscan Motor Pump Pipe"/>
    <s v="SF00147"/>
    <x v="15"/>
    <x v="8"/>
    <n v="1"/>
    <n v="125"/>
    <n v="125"/>
    <n v="22.5"/>
    <n v="147.5"/>
    <m/>
    <s v="Running"/>
  </r>
  <r>
    <d v="2025-12-11T13:57:15"/>
    <s v="Dec-25"/>
    <x v="0"/>
    <s v="MPG"/>
    <d v="2022-07-08T00:00:00"/>
    <n v="41"/>
    <x v="281"/>
    <s v="Gomukh Samastipur "/>
    <s v="Kundan kumar "/>
    <n v="7903495537"/>
    <s v="Everest Smart Tab-based Android Terminal (Table-top) with Inbuilt Printer"/>
    <s v="GTD-23014063"/>
    <s v="DPU Thermal Printer EPM 207"/>
    <s v="RM00282"/>
    <x v="15"/>
    <x v="8"/>
    <n v="1"/>
    <n v="2800"/>
    <n v="2800"/>
    <n v="504"/>
    <n v="3304"/>
    <m/>
    <s v="Running"/>
  </r>
  <r>
    <d v="2025-12-11T13:26:27"/>
    <s v="Dec-25"/>
    <x v="1"/>
    <s v="MPG"/>
    <e v="#N/A"/>
    <s v=""/>
    <x v="282"/>
    <s v="Makunda"/>
    <s v="Bal Kishor Tiwari"/>
    <n v="8252963106"/>
    <s v="WEIGHING SCALE 60 KG"/>
    <s v="GNE-23060576"/>
    <s v="Keyboard For Weighing Scale New Design"/>
    <s v="RM01176"/>
    <x v="15"/>
    <x v="8"/>
    <n v="1"/>
    <n v="1266"/>
    <n v="1266"/>
    <n v="227.88"/>
    <n v="1493.88"/>
    <m/>
    <e v="#N/A"/>
  </r>
  <r>
    <d v="2025-12-11T13:27:11"/>
    <s v="Dec-25"/>
    <x v="1"/>
    <s v="MPG"/>
    <e v="#N/A"/>
    <s v=""/>
    <x v="282"/>
    <s v="Makunda"/>
    <s v="Bal Kishor Tiwari"/>
    <n v="8252963106"/>
    <s v="Everest Smart Tab-based Android Terminal (Table-top) with Inbuilt Printer"/>
    <s v="GTD-23060325"/>
    <s v="Battery 3.7V/2600Mah"/>
    <s v="RM00980"/>
    <x v="15"/>
    <x v="8"/>
    <n v="1"/>
    <n v="350"/>
    <n v="350"/>
    <n v="63"/>
    <n v="413"/>
    <m/>
    <e v="#N/A"/>
  </r>
  <r>
    <d v="2025-12-11T15:39:33"/>
    <s v="Dec-25"/>
    <x v="0"/>
    <s v="MPG"/>
    <d v="2022-04-13T00:00:00"/>
    <n v="43"/>
    <x v="283"/>
    <s v="ENGLISH DUBAULI"/>
    <s v="Akshay kumar Yadav"/>
    <n v="8651703765"/>
    <s v="WEIGHING SCALE 60 KG"/>
    <s v="GNE-21101016"/>
    <s v="Keyboard For Weighing Scale New Design"/>
    <s v="RM01176"/>
    <x v="15"/>
    <x v="8"/>
    <n v="1"/>
    <n v="1266"/>
    <n v="1266"/>
    <n v="227.88"/>
    <n v="1493.88"/>
    <m/>
    <s v="Running"/>
  </r>
  <r>
    <d v="2025-12-11T16:56:19"/>
    <s v="Dec-25"/>
    <x v="0"/>
    <s v="MPG"/>
    <d v="2025-01-04T00:00:00"/>
    <n v="11"/>
    <x v="274"/>
    <s v="kaithi"/>
    <s v="mithun kumar"/>
    <n v="6204674632"/>
    <s v="EKOMILK ULTRA PRO ANALYSER"/>
    <n v="385964"/>
    <s v="Fatscan &quot; Y &quot; Pipe"/>
    <s v="SF00145"/>
    <x v="15"/>
    <x v="8"/>
    <n v="1"/>
    <n v="84"/>
    <n v="84"/>
    <n v="15.12"/>
    <n v="99.12"/>
    <m/>
    <s v="Running"/>
  </r>
  <r>
    <d v="2025-12-10T13:54:45"/>
    <s v="Dec-25"/>
    <x v="0"/>
    <s v="MPG"/>
    <d v="2023-03-27T00:00:00"/>
    <n v="32"/>
    <x v="284"/>
    <s v="karari pipariya 2"/>
    <s v="Rakesh Kumar "/>
    <n v="8340283114"/>
    <s v="EKOMILK ULTRA PRO ANALYSER"/>
    <n v="387783"/>
    <s v="Ekomilk Sieringe With Plunger"/>
    <s v="RM00530"/>
    <x v="15"/>
    <x v="8"/>
    <n v="1"/>
    <n v="70"/>
    <n v="70"/>
    <n v="12.6"/>
    <n v="82.6"/>
    <m/>
    <s v="Running"/>
  </r>
  <r>
    <d v="2025-12-10T13:54:45"/>
    <s v="Dec-25"/>
    <x v="0"/>
    <s v="MPG"/>
    <d v="2023-03-27T00:00:00"/>
    <n v="32"/>
    <x v="284"/>
    <s v="karari pipariya 2"/>
    <s v="Rakesh Kumar "/>
    <n v="8340283114"/>
    <s v="EKOMILK ULTRA PRO ANALYSER"/>
    <n v="387783"/>
    <s v="Ekomilk Sieringe With Plunger"/>
    <s v="RM00530"/>
    <x v="15"/>
    <x v="8"/>
    <n v="1"/>
    <n v="70"/>
    <n v="70"/>
    <n v="12.6"/>
    <n v="82.6"/>
    <m/>
    <s v="Running"/>
  </r>
  <r>
    <d v="2025-12-10T14:42:00"/>
    <s v="Dec-25"/>
    <x v="0"/>
    <s v="BMC"/>
    <e v="#N/A"/>
    <s v=""/>
    <x v="275"/>
    <s v="BMC asarganj"/>
    <s v="Dheeraj Kumar"/>
    <n v="6201859567"/>
    <s v="EKOMILK ULTRA PRO ANALYSER"/>
    <n v="183572"/>
    <s v="Ekomilk Air Bubble"/>
    <s v="RM00509"/>
    <x v="15"/>
    <x v="8"/>
    <n v="1"/>
    <n v="62"/>
    <n v="62"/>
    <n v="11.16"/>
    <n v="73.16"/>
    <m/>
    <e v="#N/A"/>
  </r>
  <r>
    <d v="2025-12-09T13:22:00"/>
    <s v="Dec-25"/>
    <x v="0"/>
    <s v="MPG"/>
    <d v="2021-03-01T00:00:00"/>
    <n v="57"/>
    <x v="238"/>
    <s v="Khesrahiya"/>
    <s v="Nitesh Kumar"/>
    <n v="7654339470"/>
    <s v="EKOMILK ULTRA PRO ANALYSER"/>
    <n v="312377"/>
    <s v="Ekomilk Switch Small"/>
    <s v="RM00536"/>
    <x v="15"/>
    <x v="8"/>
    <n v="1"/>
    <n v="140"/>
    <n v="140"/>
    <n v="25.2"/>
    <n v="165.2"/>
    <m/>
    <s v="Running"/>
  </r>
  <r>
    <d v="2025-12-09T13:22:00"/>
    <s v="Dec-25"/>
    <x v="0"/>
    <s v="MPG"/>
    <d v="2021-03-01T00:00:00"/>
    <n v="57"/>
    <x v="238"/>
    <s v="Khesrahiya"/>
    <s v="Nitesh Kumar"/>
    <n v="7654339470"/>
    <s v="EKOMILK ULTRA PRO ANALYSER"/>
    <n v="312377"/>
    <s v="Ekomilk Bush"/>
    <s v="RM00510"/>
    <x v="15"/>
    <x v="8"/>
    <n v="1"/>
    <n v="49"/>
    <n v="49"/>
    <n v="8.82"/>
    <n v="57.82"/>
    <m/>
    <s v="Running"/>
  </r>
  <r>
    <d v="2025-12-09T13:22:00"/>
    <s v="Dec-25"/>
    <x v="0"/>
    <s v="MPG"/>
    <d v="2021-03-01T00:00:00"/>
    <n v="57"/>
    <x v="238"/>
    <s v="Khesrahiya"/>
    <s v="Nitesh Kumar"/>
    <n v="7654339470"/>
    <s v="EKOMILK ULTRA PRO ANALYSER"/>
    <n v="312377"/>
    <s v="Ekomilk Sieringe With Plunger"/>
    <s v="RM00530"/>
    <x v="15"/>
    <x v="8"/>
    <n v="1"/>
    <n v="70"/>
    <n v="70"/>
    <n v="12.6"/>
    <n v="82.6"/>
    <m/>
    <s v="Running"/>
  </r>
  <r>
    <d v="2025-12-09T13:22:15"/>
    <s v="Dec-25"/>
    <x v="0"/>
    <s v="MPG"/>
    <d v="2021-03-01T00:00:00"/>
    <n v="57"/>
    <x v="238"/>
    <s v="Khesrahiya"/>
    <s v="Nitesh Kumar"/>
    <n v="7654339470"/>
    <s v="WEIGHING SCALE 60 KG"/>
    <s v="GE-19122146"/>
    <s v="Keyboard For Weighing Scale (Repaired)"/>
    <s v="SF00048"/>
    <x v="15"/>
    <x v="8"/>
    <n v="1"/>
    <n v="360"/>
    <n v="360"/>
    <n v="64.8"/>
    <n v="424.8"/>
    <m/>
    <s v="Running"/>
  </r>
  <r>
    <d v="2025-12-09T15:50:32"/>
    <s v="Dec-25"/>
    <x v="0"/>
    <s v="BMC"/>
    <e v="#N/A"/>
    <s v=""/>
    <x v="35"/>
    <s v="Musrigharari bmc"/>
    <s v="Ajay Kumar"/>
    <n v="8969914657"/>
    <s v="Everest Smart Tab-based Android Terminal (Table-top) with Inbuilt Printer"/>
    <s v="GTD-23013885"/>
    <s v="Battery 3.7V/2600Mah"/>
    <s v="RM00980"/>
    <x v="15"/>
    <x v="8"/>
    <n v="1"/>
    <n v="350"/>
    <n v="350"/>
    <n v="63"/>
    <n v="413"/>
    <m/>
    <e v="#N/A"/>
  </r>
  <r>
    <d v="2025-12-09T13:10:49"/>
    <s v="Dec-25"/>
    <x v="1"/>
    <s v="MPG"/>
    <e v="#N/A"/>
    <s v=""/>
    <x v="282"/>
    <s v="Makunda"/>
    <s v="Bal Kishor Tiwari"/>
    <n v="8252963106"/>
    <s v="Everest Smart Tab-based Android Terminal (Table-top) with Inbuilt Printer"/>
    <s v="GTD-23060325"/>
    <s v="DPU DC To DC Converter 12V To 5V"/>
    <s v="RM00493"/>
    <x v="15"/>
    <x v="8"/>
    <n v="1"/>
    <n v="780"/>
    <n v="780"/>
    <n v="140.4"/>
    <n v="920.4"/>
    <m/>
    <e v="#N/A"/>
  </r>
  <r>
    <d v="2025-12-09T13:10:49"/>
    <s v="Dec-25"/>
    <x v="1"/>
    <s v="MPG"/>
    <e v="#N/A"/>
    <s v=""/>
    <x v="282"/>
    <s v="Makunda"/>
    <s v="Bal Kishor Tiwari"/>
    <n v="8252963106"/>
    <s v="Everest Smart Tab-based Android Terminal (Table-top) with Inbuilt Printer"/>
    <s v="GTD-23060325"/>
    <s v="DPU DC To DC Converter 12V To 5V"/>
    <s v="RM00493"/>
    <x v="15"/>
    <x v="8"/>
    <n v="1"/>
    <n v="780"/>
    <n v="780"/>
    <n v="140.4"/>
    <n v="920.4"/>
    <m/>
    <e v="#N/A"/>
  </r>
  <r>
    <d v="2025-12-09T13:11:53"/>
    <s v="Dec-25"/>
    <x v="1"/>
    <s v="MPG"/>
    <e v="#N/A"/>
    <s v=""/>
    <x v="282"/>
    <s v="Makunda"/>
    <s v="Bal Kishor Tiwari"/>
    <n v="8252963106"/>
    <s v="WEIGHING SCALE 60 KG"/>
    <s v="GNE-23060576"/>
    <s v="SWS Motherboard (Version 1.1)"/>
    <s v="RM00973"/>
    <x v="15"/>
    <x v="8"/>
    <n v="1"/>
    <n v="2080"/>
    <n v="2080"/>
    <n v="374.4"/>
    <n v="2454.4"/>
    <m/>
    <e v="#N/A"/>
  </r>
  <r>
    <d v="2025-12-08T15:43:38"/>
    <s v="Dec-25"/>
    <x v="0"/>
    <s v="MPG"/>
    <d v="2023-05-03T00:00:00"/>
    <n v="31"/>
    <x v="217"/>
    <s v="batta rampur "/>
    <s v="kanhaiya kumar "/>
    <n v="8051647327"/>
    <s v="EKOMILK ULTRA PRO ANALYSER"/>
    <n v="378198"/>
    <s v="Fatscan Motor Pump Pipe"/>
    <s v="SF00147"/>
    <x v="15"/>
    <x v="8"/>
    <n v="1"/>
    <n v="125"/>
    <n v="125"/>
    <n v="22.5"/>
    <n v="147.5"/>
    <m/>
    <s v="Running"/>
  </r>
  <r>
    <d v="2025-12-08T15:43:38"/>
    <s v="Dec-25"/>
    <x v="0"/>
    <s v="MPG"/>
    <d v="2023-05-03T00:00:00"/>
    <n v="31"/>
    <x v="217"/>
    <s v="batta rampur "/>
    <s v="kanhaiya kumar "/>
    <n v="8051647327"/>
    <s v="EKOMILK ULTRA PRO ANALYSER"/>
    <n v="378198"/>
    <s v="Fatscan Motor Pump Pipe"/>
    <s v="SF00147"/>
    <x v="15"/>
    <x v="8"/>
    <n v="1"/>
    <n v="125"/>
    <n v="125"/>
    <n v="22.5"/>
    <n v="147.5"/>
    <m/>
    <s v="Running"/>
  </r>
  <r>
    <d v="2025-12-08T15:43:38"/>
    <s v="Dec-25"/>
    <x v="0"/>
    <s v="MPG"/>
    <d v="2023-05-03T00:00:00"/>
    <n v="31"/>
    <x v="217"/>
    <s v="batta rampur "/>
    <s v="kanhaiya kumar "/>
    <n v="8051647327"/>
    <s v="EKOMILK ULTRA PRO ANALYSER"/>
    <n v="378198"/>
    <s v="Ekomilk Sieringe With Plunger"/>
    <s v="RM00530"/>
    <x v="15"/>
    <x v="8"/>
    <n v="1"/>
    <n v="70"/>
    <n v="70"/>
    <n v="12.6"/>
    <n v="82.6"/>
    <m/>
    <s v="Running"/>
  </r>
  <r>
    <d v="2025-12-08T15:43:38"/>
    <s v="Dec-25"/>
    <x v="0"/>
    <s v="MPG"/>
    <d v="2023-05-03T00:00:00"/>
    <n v="31"/>
    <x v="217"/>
    <s v="batta rampur "/>
    <s v="kanhaiya kumar "/>
    <n v="8051647327"/>
    <s v="EKOMILK ULTRA PRO ANALYSER"/>
    <n v="378198"/>
    <s v="Ekomilk Sieringe With Plunger"/>
    <s v="RM00530"/>
    <x v="15"/>
    <x v="8"/>
    <n v="1"/>
    <n v="70"/>
    <n v="70"/>
    <n v="12.6"/>
    <n v="82.6"/>
    <m/>
    <s v="Running"/>
  </r>
  <r>
    <d v="2025-12-08T15:37:22"/>
    <s v="Dec-25"/>
    <x v="0"/>
    <s v="MPG"/>
    <d v="2022-11-01T00:00:00"/>
    <n v="37"/>
    <x v="130"/>
    <s v="pokharma"/>
    <s v="khushbu kumari"/>
    <n v="8789633532"/>
    <s v="WEIGHING SCALE 60 KG"/>
    <s v="E-214082363"/>
    <s v="Keyboard For Weighing Scale (Repaired)"/>
    <s v="SF00048"/>
    <x v="15"/>
    <x v="8"/>
    <n v="1"/>
    <n v="360"/>
    <n v="360"/>
    <n v="64.8"/>
    <n v="424.8"/>
    <m/>
    <s v="Running"/>
  </r>
  <r>
    <d v="2025-12-06T14:56:45"/>
    <s v="Dec-25"/>
    <x v="0"/>
    <s v="MPG"/>
    <d v="2023-02-25T00:00:00"/>
    <n v="33"/>
    <x v="54"/>
    <s v="Rasalpur "/>
    <s v="prabhat Kumar "/>
    <n v="9518257138"/>
    <s v="EKOMILK ULTRA PRO ANALYSER"/>
    <n v="277217"/>
    <s v="Ekomilk Sieringe With Plunger"/>
    <s v="RM00530"/>
    <x v="15"/>
    <x v="8"/>
    <n v="1"/>
    <n v="70"/>
    <n v="70"/>
    <n v="12.6"/>
    <n v="82.6"/>
    <m/>
    <s v="Running"/>
  </r>
  <r>
    <d v="2025-12-06T14:56:45"/>
    <s v="Dec-25"/>
    <x v="0"/>
    <s v="MPG"/>
    <d v="2023-02-25T00:00:00"/>
    <n v="33"/>
    <x v="54"/>
    <s v="Rasalpur "/>
    <s v="prabhat Kumar "/>
    <n v="9518257138"/>
    <s v="EKOMILK ULTRA PRO ANALYSER"/>
    <n v="277217"/>
    <s v="Ekomilk Switch Small"/>
    <s v="RM00536"/>
    <x v="15"/>
    <x v="8"/>
    <n v="1"/>
    <n v="140"/>
    <n v="140"/>
    <n v="25.2"/>
    <n v="165.2"/>
    <m/>
    <s v="Running"/>
  </r>
  <r>
    <d v="2025-12-06T14:56:45"/>
    <s v="Dec-25"/>
    <x v="0"/>
    <s v="MPG"/>
    <d v="2023-02-25T00:00:00"/>
    <n v="33"/>
    <x v="54"/>
    <s v="Rasalpur "/>
    <s v="prabhat Kumar "/>
    <n v="9518257138"/>
    <s v="EKOMILK ULTRA PRO ANALYSER"/>
    <n v="277217"/>
    <s v="Ekomilk Bush"/>
    <s v="RM00510"/>
    <x v="15"/>
    <x v="8"/>
    <n v="1"/>
    <n v="49"/>
    <n v="49"/>
    <n v="8.82"/>
    <n v="57.82"/>
    <m/>
    <s v="Running"/>
  </r>
  <r>
    <d v="2025-12-06T11:42:02"/>
    <s v="Dec-25"/>
    <x v="0"/>
    <s v="MPG"/>
    <d v="2025-04-18T00:00:00"/>
    <n v="7"/>
    <x v="285"/>
    <s v="gawpur Bhagbatpur"/>
    <s v=" jabahar ray"/>
    <n v="9182488109"/>
    <s v="Everest Smart Tab-based Android Terminal (Table-top) with Inbuilt Printer"/>
    <s v="GTD-23060419"/>
    <s v="DPU Thermal Printer EPM 207"/>
    <s v="RM00282"/>
    <x v="15"/>
    <x v="8"/>
    <n v="1"/>
    <n v="2800"/>
    <n v="2800"/>
    <n v="504"/>
    <n v="3304"/>
    <m/>
    <s v="Running"/>
  </r>
  <r>
    <d v="2025-12-05T11:59:40"/>
    <s v="Dec-25"/>
    <x v="0"/>
    <s v="BMC"/>
    <e v="#N/A"/>
    <s v=""/>
    <x v="286"/>
    <s v="ALAULI BMC"/>
    <s v="AMIT KUMAR"/>
    <n v="9155273222"/>
    <s v="Everest Smart Tab-based Android Terminal (Table-top) with Inbuilt Printer"/>
    <s v="GTD-23111293"/>
    <s v="DPU Thermal Printer EPM 207"/>
    <s v="RM00282"/>
    <x v="15"/>
    <x v="8"/>
    <n v="1"/>
    <n v="2800"/>
    <n v="2800"/>
    <n v="504"/>
    <n v="3304"/>
    <m/>
    <e v="#N/A"/>
  </r>
  <r>
    <d v="2025-12-05T16:05:08"/>
    <s v="Dec-25"/>
    <x v="0"/>
    <s v="MPG"/>
    <d v="2024-09-27T00:00:00"/>
    <n v="14"/>
    <x v="287"/>
    <s v="govindpur"/>
    <s v="Guddu kumar"/>
    <n v="9142069647"/>
    <s v="STIRRER UNIT EV5600"/>
    <s v="GS-23104595"/>
    <s v="Stirrer Timer PCB"/>
    <s v="RM00478"/>
    <x v="15"/>
    <x v="8"/>
    <n v="1"/>
    <n v="900"/>
    <n v="900"/>
    <n v="162"/>
    <n v="1062"/>
    <m/>
    <s v="Running"/>
  </r>
  <r>
    <d v="2025-12-05T16:10:00"/>
    <s v="Dec-25"/>
    <x v="0"/>
    <s v="MPG"/>
    <e v="#N/A"/>
    <s v=""/>
    <x v="229"/>
    <s v="Gomukh Motichak"/>
    <s v="jitendra kumar"/>
    <n v="7301951783"/>
    <s v="EKOMILK ULTRA PRO ANALYSER"/>
    <n v="2352097"/>
    <s v="Fatscan 9 Pin Connector with Cable"/>
    <s v="SF00144"/>
    <x v="15"/>
    <x v="8"/>
    <n v="1"/>
    <n v="120"/>
    <n v="120"/>
    <n v="21.599999999999998"/>
    <n v="141.6"/>
    <m/>
    <s v="Running"/>
  </r>
  <r>
    <d v="2025-12-05T16:10:00"/>
    <s v="Dec-25"/>
    <x v="0"/>
    <s v="MPG"/>
    <e v="#N/A"/>
    <s v=""/>
    <x v="229"/>
    <s v="Gomukh Motichak"/>
    <s v="jitendra kumar"/>
    <n v="7301951783"/>
    <s v="EKOMILK ULTRA PRO ANALYSER"/>
    <n v="2352097"/>
    <s v="Fatscan &quot; Y &quot; Pipe"/>
    <s v="SF00145"/>
    <x v="15"/>
    <x v="8"/>
    <n v="1"/>
    <n v="84"/>
    <n v="84"/>
    <n v="15.12"/>
    <n v="99.12"/>
    <m/>
    <s v="Running"/>
  </r>
  <r>
    <d v="2025-12-04T16:05:22"/>
    <s v="Dec-25"/>
    <x v="0"/>
    <s v="MPG"/>
    <d v="2024-09-15T00:00:00"/>
    <n v="14"/>
    <x v="86"/>
    <s v="bandar "/>
    <s v="manish kumar "/>
    <n v="7061077270"/>
    <s v="WEIGHING SCALE 60 KG"/>
    <s v="GNE-23024433"/>
    <s v="SWS Motherboard (Version 1.1)"/>
    <s v="RM00973"/>
    <x v="15"/>
    <x v="8"/>
    <n v="1"/>
    <n v="2080"/>
    <n v="2080"/>
    <n v="374.4"/>
    <n v="2454.4"/>
    <m/>
    <s v="Running"/>
  </r>
  <r>
    <d v="2025-12-03T16:35:36"/>
    <s v="Dec-25"/>
    <x v="0"/>
    <s v="MPG"/>
    <d v="2025-01-29T00:00:00"/>
    <n v="10"/>
    <x v="288"/>
    <s v="surari "/>
    <s v="Dipak kumar "/>
    <n v="9344340511"/>
    <s v="STIRRER UNIT EV5600"/>
    <s v="S-22040033"/>
    <s v="Stirrer Timer PCB"/>
    <s v="RM00478"/>
    <x v="15"/>
    <x v="8"/>
    <n v="1"/>
    <n v="900"/>
    <n v="900"/>
    <n v="162"/>
    <n v="1062"/>
    <m/>
    <s v="Running"/>
  </r>
  <r>
    <d v="2025-12-03T17:42:32"/>
    <s v="Dec-25"/>
    <x v="0"/>
    <s v="MPG"/>
    <e v="#N/A"/>
    <s v=""/>
    <x v="267"/>
    <s v="Gomukh Muradpur"/>
    <s v="Dhruv kumar singh"/>
    <n v="9508950984"/>
    <s v="Everest Smart Tab-based Android Terminal (Table-top) with Inbuilt Printer"/>
    <s v="GTD-23014097"/>
    <s v="DPU DC To DC Converter 12V To 5V"/>
    <s v="RM00493"/>
    <x v="15"/>
    <x v="8"/>
    <n v="1"/>
    <n v="780"/>
    <n v="780"/>
    <n v="140.4"/>
    <n v="920.4"/>
    <m/>
    <s v="Oct '25 Closed"/>
  </r>
  <r>
    <d v="2025-12-03T17:42:49"/>
    <s v="Dec-25"/>
    <x v="0"/>
    <s v="MPG"/>
    <e v="#N/A"/>
    <s v=""/>
    <x v="267"/>
    <s v="Gomukh Muradpur"/>
    <s v="Dhruv kumar singh"/>
    <n v="9508950984"/>
    <s v="EKOMILK ULTRA PRO ANALYSER"/>
    <n v="364751"/>
    <s v="Fatscan &quot; Y &quot; Pipe"/>
    <s v="SF00145"/>
    <x v="15"/>
    <x v="8"/>
    <n v="1"/>
    <n v="84"/>
    <n v="84"/>
    <n v="15.12"/>
    <n v="99.12"/>
    <m/>
    <s v="Oct '25 Closed"/>
  </r>
  <r>
    <d v="2025-12-03T16:38:07"/>
    <s v="Dec-25"/>
    <x v="0"/>
    <s v="MPG"/>
    <d v="2025-05-19T00:00:00"/>
    <n v="6"/>
    <x v="207"/>
    <s v="gohar nagar"/>
    <s v="ram parvesh yadav "/>
    <n v="9709965750"/>
    <s v="Everest Smart Tab-based Android Terminal (Table-top) with Inbuilt Printer"/>
    <s v="GTD-23060384"/>
    <s v="Battery 3.7V/2600Mah"/>
    <s v="RM00980"/>
    <x v="15"/>
    <x v="8"/>
    <n v="1"/>
    <n v="350"/>
    <n v="350"/>
    <n v="63"/>
    <n v="413"/>
    <m/>
    <s v="Running"/>
  </r>
  <r>
    <d v="2025-12-02T15:59:46"/>
    <s v="Dec-25"/>
    <x v="0"/>
    <s v="MPG"/>
    <d v="2020-04-15T00:00:00"/>
    <n v="67"/>
    <x v="61"/>
    <s v="BORNA RASALPUR"/>
    <s v="PANKAJ RAY"/>
    <n v="8340595380"/>
    <s v="EKOMILK ULTRA PRO ANALYSER"/>
    <n v="310523"/>
    <s v="Ekomilk Sieringe With Plunger"/>
    <s v="RM00530"/>
    <x v="15"/>
    <x v="8"/>
    <n v="1"/>
    <n v="70"/>
    <n v="70"/>
    <n v="12.6"/>
    <n v="82.6"/>
    <m/>
    <s v="Running"/>
  </r>
  <r>
    <d v="2025-12-02T15:59:46"/>
    <s v="Dec-25"/>
    <x v="0"/>
    <s v="MPG"/>
    <d v="2020-04-15T00:00:00"/>
    <n v="67"/>
    <x v="61"/>
    <s v="BORNA RASALPUR"/>
    <s v="PANKAJ RAY"/>
    <n v="8340595380"/>
    <s v="EKOMILK ULTRA PRO ANALYSER"/>
    <n v="310523"/>
    <s v="Ekomilk Sieringe With Plunger"/>
    <s v="RM00530"/>
    <x v="15"/>
    <x v="8"/>
    <n v="1"/>
    <n v="70"/>
    <n v="70"/>
    <n v="12.6"/>
    <n v="82.6"/>
    <m/>
    <s v="Running"/>
  </r>
  <r>
    <d v="2025-12-02T15:57:37"/>
    <s v="Dec-25"/>
    <x v="0"/>
    <s v="BMC"/>
    <e v="#N/A"/>
    <s v=""/>
    <x v="177"/>
    <s v="simri BMC"/>
    <s v="Ankit Kumar"/>
    <n v="9060744847"/>
    <s v="EKOMILK ULTRA PRO ANALYSER"/>
    <n v="2346394"/>
    <s v="Ekomilk Sieringe With Plunger"/>
    <s v="RM00530"/>
    <x v="15"/>
    <x v="8"/>
    <n v="1"/>
    <n v="70"/>
    <n v="70"/>
    <n v="12.6"/>
    <n v="82.6"/>
    <m/>
    <e v="#N/A"/>
  </r>
  <r>
    <d v="2025-12-02T15:57:37"/>
    <s v="Dec-25"/>
    <x v="0"/>
    <s v="BMC"/>
    <e v="#N/A"/>
    <s v=""/>
    <x v="177"/>
    <s v="simri BMC"/>
    <s v="Ankit Kumar"/>
    <n v="9060744847"/>
    <s v="EKOMILK ULTRA PRO ANALYSER"/>
    <n v="2346394"/>
    <s v="Fatscan &quot; Y &quot; Pipe"/>
    <s v="SF00145"/>
    <x v="15"/>
    <x v="8"/>
    <n v="1"/>
    <n v="84"/>
    <n v="84"/>
    <n v="15.12"/>
    <n v="99.12"/>
    <m/>
    <e v="#N/A"/>
  </r>
  <r>
    <d v="2025-12-02T15:57:37"/>
    <s v="Dec-25"/>
    <x v="0"/>
    <s v="BMC"/>
    <e v="#N/A"/>
    <s v=""/>
    <x v="177"/>
    <s v="simri BMC"/>
    <s v="Ankit Kumar"/>
    <n v="9060744847"/>
    <s v="EKOMILK ULTRA PRO ANALYSER"/>
    <n v="2346394"/>
    <s v="Ekomilk Bush"/>
    <s v="RM00510"/>
    <x v="15"/>
    <x v="8"/>
    <n v="1"/>
    <n v="49"/>
    <n v="49"/>
    <n v="8.82"/>
    <n v="57.82"/>
    <m/>
    <e v="#N/A"/>
  </r>
  <r>
    <d v="2025-12-02T15:23:45"/>
    <s v="Dec-25"/>
    <x v="1"/>
    <s v="MPG"/>
    <e v="#N/A"/>
    <s v=""/>
    <x v="109"/>
    <s v="Dighiya"/>
    <s v="Sohel Ansari"/>
    <n v="8709453609"/>
    <s v="EKOMILK ULTRA PRO ANALYSER"/>
    <n v="390572"/>
    <s v="Ekomilk Sensor To Sieringe Pipe"/>
    <s v="RM00528"/>
    <x v="15"/>
    <x v="8"/>
    <n v="1"/>
    <n v="44"/>
    <n v="44"/>
    <n v="7.92"/>
    <n v="51.92"/>
    <m/>
    <e v="#N/A"/>
  </r>
  <r>
    <d v="2025-12-02T15:37:13"/>
    <s v="Dec-25"/>
    <x v="0"/>
    <s v="MPG"/>
    <e v="#N/A"/>
    <s v=""/>
    <x v="228"/>
    <s v="Gomukh Dulhar"/>
    <s v="Krishnand ray "/>
    <n v="6200792161"/>
    <s v="Everest Smart Tab-based Android Terminal (Table-top) with Inbuilt Printer"/>
    <s v="GTD-23024224"/>
    <s v="WI-FI SERIAL DEVICE WITH EXTERNAL POWER SUPPLY (WI-SENSE)"/>
    <s v="SF00082"/>
    <x v="15"/>
    <x v="8"/>
    <n v="1"/>
    <n v="925"/>
    <n v="925"/>
    <n v="166.5"/>
    <n v="1091.5"/>
    <m/>
    <s v="Running"/>
  </r>
  <r>
    <d v="2025-12-02T18:57:23"/>
    <s v="Dec-25"/>
    <x v="0"/>
    <s v="MPG"/>
    <d v="2023-03-27T00:00:00"/>
    <n v="32"/>
    <x v="284"/>
    <s v="karari pipariya 2"/>
    <s v="Rakesh Kumar "/>
    <n v="8340283114"/>
    <s v="EKOMILK ULTRA PRO ANALYSER"/>
    <n v="387783"/>
    <s v="Ekomilk Sieringe With Plunger"/>
    <s v="RM00530"/>
    <x v="15"/>
    <x v="8"/>
    <n v="1"/>
    <n v="70"/>
    <n v="70"/>
    <n v="12.6"/>
    <n v="82.6"/>
    <m/>
    <s v="Running"/>
  </r>
  <r>
    <d v="2025-12-02T18:57:23"/>
    <s v="Dec-25"/>
    <x v="0"/>
    <s v="MPG"/>
    <d v="2023-03-27T00:00:00"/>
    <n v="32"/>
    <x v="284"/>
    <s v="karari pipariya 2"/>
    <s v="Rakesh Kumar "/>
    <n v="8340283114"/>
    <s v="EKOMILK ULTRA PRO ANALYSER"/>
    <n v="387783"/>
    <s v="Ekomilk Sieringe With Plunger"/>
    <s v="RM00530"/>
    <x v="15"/>
    <x v="8"/>
    <n v="1"/>
    <n v="70"/>
    <n v="70"/>
    <n v="12.6"/>
    <n v="82.6"/>
    <m/>
    <s v="Running"/>
  </r>
  <r>
    <d v="2025-12-01T15:27:03"/>
    <s v="Dec-25"/>
    <x v="0"/>
    <s v="MPG"/>
    <d v="2022-06-17T00:00:00"/>
    <n v="41"/>
    <x v="9"/>
    <s v="Ramanath pur"/>
    <s v="Birjnandan thakur "/>
    <n v="9304265355"/>
    <s v="WEIGHING SCALE 60 KG"/>
    <s v="GNE-22102070"/>
    <s v="SWS Motherboard (Version 1.1)"/>
    <s v="RM00973"/>
    <x v="15"/>
    <x v="8"/>
    <n v="1"/>
    <n v="2080"/>
    <n v="2080"/>
    <n v="374.4"/>
    <n v="2454.4"/>
    <m/>
    <s v="Running"/>
  </r>
  <r>
    <d v="2025-12-01T15:27:24"/>
    <s v="Dec-25"/>
    <x v="0"/>
    <s v="MPG"/>
    <d v="2022-06-17T00:00:00"/>
    <n v="41"/>
    <x v="9"/>
    <s v="Ramanath pur"/>
    <s v="Birjnandan thakur "/>
    <n v="9304265355"/>
    <s v="STIRRER UNIT EV5600"/>
    <s v="S-22092422"/>
    <s v="Stirrer Power Board"/>
    <s v="RM00477"/>
    <x v="15"/>
    <x v="8"/>
    <n v="1"/>
    <n v="1750"/>
    <n v="1750"/>
    <n v="315"/>
    <n v="2065"/>
    <m/>
    <s v="Running"/>
  </r>
  <r>
    <d v="2025-12-01T15:27:24"/>
    <s v="Dec-25"/>
    <x v="0"/>
    <s v="MPG"/>
    <d v="2022-06-17T00:00:00"/>
    <n v="41"/>
    <x v="9"/>
    <s v="Ramanath pur"/>
    <s v="Birjnandan thakur "/>
    <n v="9304265355"/>
    <s v="STIRRER UNIT EV5600"/>
    <s v="S-22092422"/>
    <s v="Stirrer Timer PCB"/>
    <s v="RM00478"/>
    <x v="15"/>
    <x v="8"/>
    <n v="1"/>
    <n v="900"/>
    <n v="900"/>
    <n v="162"/>
    <n v="1062"/>
    <m/>
    <s v="Running"/>
  </r>
  <r>
    <d v="2025-12-01T15:25:43"/>
    <s v="Dec-25"/>
    <x v="0"/>
    <s v="MPG"/>
    <d v="2024-12-05T00:00:00"/>
    <n v="11"/>
    <x v="93"/>
    <s v="tilthi "/>
    <s v="jitendra kumar"/>
    <n v="6206967505"/>
    <s v="EKOMILK ULTRA PRO ANALYSER"/>
    <n v="382421"/>
    <s v="Fatscan Motor Pump Pipe"/>
    <s v="SF00147"/>
    <x v="15"/>
    <x v="8"/>
    <n v="1"/>
    <n v="125"/>
    <n v="125"/>
    <n v="22.5"/>
    <n v="147.5"/>
    <m/>
    <s v="Running"/>
  </r>
  <r>
    <d v="2025-12-01T15:25:43"/>
    <s v="Dec-25"/>
    <x v="0"/>
    <s v="MPG"/>
    <d v="2024-12-05T00:00:00"/>
    <n v="11"/>
    <x v="93"/>
    <s v="tilthi "/>
    <s v="jitendra kumar"/>
    <n v="6206967505"/>
    <s v="EKOMILK ULTRA PRO ANALYSER"/>
    <n v="382421"/>
    <s v="Eko Motor Pump Pipe"/>
    <s v="RM00856"/>
    <x v="15"/>
    <x v="8"/>
    <n v="1"/>
    <n v="125"/>
    <n v="125"/>
    <n v="22.5"/>
    <n v="147.5"/>
    <m/>
    <s v="Running"/>
  </r>
  <r>
    <d v="2025-12-01T16:56:42"/>
    <s v="Dec-25"/>
    <x v="0"/>
    <s v="MPG"/>
    <d v="2024-02-01T00:00:00"/>
    <n v="22"/>
    <x v="289"/>
    <s v="beldariya "/>
    <s v="Rohit Kumar "/>
    <n v="7970919662"/>
    <s v="Everest Smart Tab-based Android Terminal (Table-top) with Inbuilt Printer"/>
    <s v="GTD-23111282"/>
    <s v="DPU DC To DC Converter 12V To 5V"/>
    <s v="RM00493"/>
    <x v="15"/>
    <x v="8"/>
    <n v="1"/>
    <n v="780"/>
    <n v="780"/>
    <n v="140.4"/>
    <n v="920.4"/>
    <m/>
    <s v="Running"/>
  </r>
  <r>
    <d v="2025-12-01T16:56:42"/>
    <s v="Dec-25"/>
    <x v="0"/>
    <s v="MPG"/>
    <d v="2024-02-01T00:00:00"/>
    <n v="22"/>
    <x v="289"/>
    <s v="beldariya "/>
    <s v="Rohit Kumar "/>
    <n v="7970919662"/>
    <s v="Everest Smart Tab-based Android Terminal (Table-top) with Inbuilt Printer"/>
    <s v="GTD-23111282"/>
    <s v="DPU DC To DC Converter 12V To 5V"/>
    <s v="RM00493"/>
    <x v="15"/>
    <x v="8"/>
    <n v="1"/>
    <n v="780"/>
    <n v="780"/>
    <n v="140.4"/>
    <n v="920.4"/>
    <m/>
    <s v="Runnin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F23" firstHeaderRow="0" firstDataRow="1" firstDataCol="3"/>
  <pivotFields count="23">
    <pivotField compact="0" numFmtId="14" outline="0" subtotalTop="0" showAll="0" defaultSubtotal="0"/>
    <pivotField compact="0" outline="0" showAll="0" defaultSubtotal="0"/>
    <pivotField axis="axisRow" compact="0" outline="0" showAll="0" defaultSubtotal="0">
      <items count="3">
        <item x="0"/>
        <item x="1"/>
        <item x="2"/>
      </items>
    </pivotField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6">
        <item x="0"/>
        <item x="2"/>
        <item x="1"/>
        <item x="4"/>
        <item x="3"/>
        <item x="5"/>
        <item x="6"/>
        <item x="15"/>
        <item x="9"/>
        <item x="10"/>
        <item x="11"/>
        <item x="12"/>
        <item x="13"/>
        <item x="14"/>
        <item x="7"/>
        <item x="8"/>
      </items>
    </pivotField>
    <pivotField axis="axisRow" compact="0" numFmtId="16" outline="0" showAll="0" defaultSubtotal="0">
      <items count="9">
        <item x="0"/>
        <item x="1"/>
        <item x="2"/>
        <item x="3"/>
        <item x="5"/>
        <item x="6"/>
        <item x="7"/>
        <item x="4"/>
        <item x="8"/>
      </items>
    </pivotField>
    <pivotField compact="0" outline="0" showAll="0" defaultSubtotal="0"/>
    <pivotField compact="0" numFmtId="43" outline="0" showAll="0" defaultSubtotal="0"/>
    <pivotField dataField="1" compact="0" numFmtId="43" outline="0" showAll="0" defaultSubtotal="0"/>
    <pivotField dataField="1" compact="0" numFmtId="43" outline="0" showAll="0" defaultSubtotal="0"/>
    <pivotField dataField="1" compact="0" numFmtId="43" outline="0" showAll="0" defaultSubtotal="0"/>
    <pivotField compact="0" outline="0" subtotalTop="0" showAll="0" defaultSubtotal="0"/>
    <pivotField compact="0" outline="0" subtotalTop="0" showAll="0" defaultSubtotal="0"/>
  </pivotFields>
  <rowFields count="3">
    <field x="2"/>
    <field x="14"/>
    <field x="15"/>
  </rowFields>
  <rowItems count="20">
    <i>
      <x/>
      <x/>
      <x/>
    </i>
    <i r="1">
      <x v="1"/>
      <x v="1"/>
    </i>
    <i r="1">
      <x v="3"/>
      <x v="1"/>
    </i>
    <i r="1">
      <x v="6"/>
      <x v="3"/>
    </i>
    <i r="1">
      <x v="7"/>
      <x v="8"/>
    </i>
    <i r="1">
      <x v="8"/>
      <x v="4"/>
    </i>
    <i r="1">
      <x v="10"/>
      <x v="5"/>
    </i>
    <i r="1">
      <x v="12"/>
      <x v="6"/>
    </i>
    <i r="1">
      <x v="14"/>
      <x v="7"/>
    </i>
    <i>
      <x v="1"/>
      <x v="2"/>
      <x v="1"/>
    </i>
    <i r="1">
      <x v="4"/>
      <x v="2"/>
    </i>
    <i r="1">
      <x v="5"/>
      <x v="3"/>
    </i>
    <i r="1">
      <x v="7"/>
      <x v="8"/>
    </i>
    <i r="1">
      <x v="9"/>
      <x v="4"/>
    </i>
    <i r="1">
      <x v="11"/>
      <x v="5"/>
    </i>
    <i r="1">
      <x v="12"/>
      <x v="6"/>
    </i>
    <i r="1">
      <x v="13"/>
      <x v="6"/>
    </i>
    <i r="1">
      <x v="15"/>
      <x v="7"/>
    </i>
    <i>
      <x v="2"/>
      <x v="5"/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Basic" fld="18" baseField="0" baseItem="0" numFmtId="43"/>
    <dataField name="Sum of GST" fld="19" baseField="0" baseItem="0" numFmtId="43"/>
    <dataField name="Sum of Total" fld="20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C94B6B-79EB-473C-B279-BE1143D21C93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B295" firstHeaderRow="2" firstDataRow="2" firstDataCol="1"/>
  <pivotFields count="23"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26">
        <item m="1" x="324"/>
        <item x="177"/>
        <item x="286"/>
        <item m="1" x="295"/>
        <item m="1" x="296"/>
        <item x="22"/>
        <item x="68"/>
        <item x="163"/>
        <item m="1" x="292"/>
        <item m="1" x="309"/>
        <item m="1" x="315"/>
        <item x="131"/>
        <item x="89"/>
        <item x="47"/>
        <item x="214"/>
        <item x="225"/>
        <item x="182"/>
        <item m="1" x="294"/>
        <item m="1" x="310"/>
        <item m="1" x="322"/>
        <item m="1" x="301"/>
        <item m="1" x="303"/>
        <item m="1" x="293"/>
        <item m="1" x="311"/>
        <item m="1" x="306"/>
        <item m="1" x="312"/>
        <item m="1" x="302"/>
        <item m="1" x="304"/>
        <item x="160"/>
        <item m="1" x="290"/>
        <item x="227"/>
        <item x="77"/>
        <item x="189"/>
        <item x="169"/>
        <item x="213"/>
        <item x="193"/>
        <item x="98"/>
        <item x="170"/>
        <item x="237"/>
        <item x="116"/>
        <item x="159"/>
        <item x="43"/>
        <item x="284"/>
        <item x="280"/>
        <item x="168"/>
        <item x="247"/>
        <item x="178"/>
        <item x="198"/>
        <item x="276"/>
        <item x="64"/>
        <item x="194"/>
        <item x="232"/>
        <item x="123"/>
        <item m="1" x="317"/>
        <item x="197"/>
        <item x="220"/>
        <item x="60"/>
        <item x="179"/>
        <item x="259"/>
        <item x="142"/>
        <item x="226"/>
        <item m="1" x="323"/>
        <item x="174"/>
        <item x="27"/>
        <item x="156"/>
        <item m="1" x="291"/>
        <item x="130"/>
        <item x="100"/>
        <item x="264"/>
        <item x="155"/>
        <item x="217"/>
        <item x="11"/>
        <item x="32"/>
        <item x="80"/>
        <item x="88"/>
        <item x="46"/>
        <item x="289"/>
        <item x="86"/>
        <item x="93"/>
        <item x="270"/>
        <item x="120"/>
        <item x="139"/>
        <item m="1" x="320"/>
        <item m="1" x="297"/>
        <item m="1" x="298"/>
        <item m="1" x="305"/>
        <item m="1" x="300"/>
        <item m="1" x="299"/>
        <item m="1" x="321"/>
        <item x="20"/>
        <item x="211"/>
        <item x="63"/>
        <item x="70"/>
        <item x="176"/>
        <item x="12"/>
        <item x="271"/>
        <item x="158"/>
        <item x="208"/>
        <item x="241"/>
        <item x="162"/>
        <item x="253"/>
        <item x="115"/>
        <item x="157"/>
        <item x="223"/>
        <item x="166"/>
        <item x="231"/>
        <item x="62"/>
        <item x="187"/>
        <item x="95"/>
        <item x="188"/>
        <item x="7"/>
        <item x="243"/>
        <item x="249"/>
        <item x="50"/>
        <item x="269"/>
        <item x="66"/>
        <item x="15"/>
        <item x="234"/>
        <item x="175"/>
        <item x="52"/>
        <item x="288"/>
        <item x="207"/>
        <item x="165"/>
        <item x="287"/>
        <item x="274"/>
        <item x="183"/>
        <item x="281"/>
        <item x="84"/>
        <item x="82"/>
        <item x="151"/>
        <item x="40"/>
        <item x="180"/>
        <item x="192"/>
        <item x="204"/>
        <item x="196"/>
        <item x="181"/>
        <item x="10"/>
        <item x="260"/>
        <item m="1" x="319"/>
        <item m="1" x="313"/>
        <item x="186"/>
        <item x="71"/>
        <item x="61"/>
        <item x="256"/>
        <item x="41"/>
        <item x="44"/>
        <item x="9"/>
        <item x="250"/>
        <item x="126"/>
        <item x="252"/>
        <item x="94"/>
        <item x="125"/>
        <item x="122"/>
        <item x="161"/>
        <item x="210"/>
        <item x="37"/>
        <item x="219"/>
        <item x="59"/>
        <item x="90"/>
        <item x="279"/>
        <item x="167"/>
        <item x="236"/>
        <item m="1" x="318"/>
        <item x="75"/>
        <item x="99"/>
        <item x="53"/>
        <item x="38"/>
        <item x="51"/>
        <item x="238"/>
        <item x="224"/>
        <item x="54"/>
        <item x="149"/>
        <item x="134"/>
        <item x="101"/>
        <item x="195"/>
        <item x="285"/>
        <item x="230"/>
        <item x="33"/>
        <item x="24"/>
        <item x="248"/>
        <item x="283"/>
        <item x="263"/>
        <item x="65"/>
        <item x="235"/>
        <item x="221"/>
        <item x="78"/>
        <item x="246"/>
        <item x="255"/>
        <item x="240"/>
        <item x="118"/>
        <item x="244"/>
        <item x="239"/>
        <item x="261"/>
        <item x="277"/>
        <item x="184"/>
        <item x="79"/>
        <item x="124"/>
        <item x="135"/>
        <item x="111"/>
        <item x="203"/>
        <item x="114"/>
        <item x="273"/>
        <item x="119"/>
        <item x="222"/>
        <item m="1" x="316"/>
        <item x="21"/>
        <item m="1" x="314"/>
        <item m="1" x="307"/>
        <item x="129"/>
        <item x="154"/>
        <item x="141"/>
        <item x="209"/>
        <item x="1"/>
        <item x="0"/>
        <item x="191"/>
        <item m="1" x="308"/>
        <item x="16"/>
        <item x="113"/>
        <item x="242"/>
        <item x="245"/>
        <item x="251"/>
        <item x="216"/>
        <item x="201"/>
        <item x="282"/>
        <item x="153"/>
        <item x="103"/>
        <item x="109"/>
        <item x="173"/>
        <item x="172"/>
        <item x="104"/>
        <item x="164"/>
        <item x="205"/>
        <item x="171"/>
        <item x="67"/>
        <item x="105"/>
        <item x="268"/>
        <item x="106"/>
        <item x="102"/>
        <item x="199"/>
        <item x="107"/>
        <item x="200"/>
        <item x="190"/>
        <item x="108"/>
        <item x="136"/>
        <item x="152"/>
        <item x="150"/>
        <item x="146"/>
        <item x="218"/>
        <item x="185"/>
        <item x="110"/>
        <item x="2"/>
        <item x="3"/>
        <item x="4"/>
        <item x="5"/>
        <item x="6"/>
        <item x="8"/>
        <item x="13"/>
        <item x="14"/>
        <item x="17"/>
        <item x="18"/>
        <item x="19"/>
        <item x="23"/>
        <item x="25"/>
        <item x="26"/>
        <item x="28"/>
        <item x="29"/>
        <item x="30"/>
        <item x="31"/>
        <item x="34"/>
        <item x="35"/>
        <item x="36"/>
        <item x="39"/>
        <item x="42"/>
        <item x="45"/>
        <item x="48"/>
        <item x="49"/>
        <item x="55"/>
        <item x="56"/>
        <item x="57"/>
        <item x="58"/>
        <item x="69"/>
        <item x="72"/>
        <item x="73"/>
        <item x="74"/>
        <item x="76"/>
        <item x="81"/>
        <item x="83"/>
        <item x="85"/>
        <item x="87"/>
        <item x="91"/>
        <item x="92"/>
        <item x="96"/>
        <item x="97"/>
        <item x="112"/>
        <item x="117"/>
        <item x="121"/>
        <item x="127"/>
        <item x="128"/>
        <item x="132"/>
        <item x="133"/>
        <item x="137"/>
        <item x="138"/>
        <item x="140"/>
        <item x="143"/>
        <item x="144"/>
        <item x="145"/>
        <item x="147"/>
        <item x="148"/>
        <item x="202"/>
        <item x="206"/>
        <item x="212"/>
        <item x="215"/>
        <item x="228"/>
        <item x="229"/>
        <item x="233"/>
        <item x="254"/>
        <item x="257"/>
        <item x="258"/>
        <item x="262"/>
        <item x="265"/>
        <item x="266"/>
        <item x="267"/>
        <item x="272"/>
        <item x="275"/>
        <item x="278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43" outline="0" showAll="0"/>
    <pivotField compact="0" numFmtId="43" outline="0" showAll="0"/>
    <pivotField compact="0" numFmtId="43" outline="0" showAll="0"/>
    <pivotField dataField="1" compact="0" numFmtId="43" outline="0" showAll="0"/>
    <pivotField compact="0" outline="0" showAll="0"/>
    <pivotField compact="0" outline="0" showAll="0"/>
  </pivotFields>
  <rowFields count="1">
    <field x="6"/>
  </rowFields>
  <rowItems count="291">
    <i>
      <x v="1"/>
    </i>
    <i>
      <x v="2"/>
    </i>
    <i>
      <x v="5"/>
    </i>
    <i>
      <x v="6"/>
    </i>
    <i>
      <x v="7"/>
    </i>
    <i>
      <x v="11"/>
    </i>
    <i>
      <x v="12"/>
    </i>
    <i>
      <x v="13"/>
    </i>
    <i>
      <x v="14"/>
    </i>
    <i>
      <x v="15"/>
    </i>
    <i>
      <x v="16"/>
    </i>
    <i>
      <x v="28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4"/>
    </i>
    <i>
      <x v="55"/>
    </i>
    <i>
      <x v="56"/>
    </i>
    <i>
      <x v="57"/>
    </i>
    <i>
      <x v="58"/>
    </i>
    <i>
      <x v="59"/>
    </i>
    <i>
      <x v="60"/>
    </i>
    <i>
      <x v="62"/>
    </i>
    <i>
      <x v="63"/>
    </i>
    <i>
      <x v="64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5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 t="grand">
      <x/>
    </i>
  </rowItems>
  <colItems count="1">
    <i/>
  </colItems>
  <dataFields count="1">
    <dataField name="Sum of Total" fld="20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W739" totalsRowShown="0" headerRowDxfId="115" dataDxfId="113" headerRowBorderDxfId="114">
  <autoFilter ref="A1:W739" xr:uid="{00000000-000C-0000-FFFF-FFFF00000000}"/>
  <tableColumns count="23">
    <tableColumn id="1" xr3:uid="{00000000-0010-0000-0000-000001000000}" name="L" dataDxfId="112"/>
    <tableColumn id="2" xr3:uid="{00000000-0010-0000-0000-000002000000}" name="Month" dataDxfId="111">
      <calculatedColumnFormula>TEXT(A2,"mmm-yy")</calculatedColumnFormula>
    </tableColumn>
    <tableColumn id="3" xr3:uid="{00000000-0010-0000-0000-000003000000}" name="State" dataDxfId="110"/>
    <tableColumn id="19" xr3:uid="{00000000-0010-0000-0000-000013000000}" name="Type" dataDxfId="109"/>
    <tableColumn id="21" xr3:uid="{00000000-0010-0000-0000-000015000000}" name="MPG Ope Date" dataDxfId="108"/>
    <tableColumn id="22" xr3:uid="{00000000-0010-0000-0000-000016000000}" name="Complain Month" dataDxfId="107">
      <calculatedColumnFormula>IFERROR(DATEDIF(Table1[[#This Row],[MPG Ope Date]],Table1[[#This Row],[L]],"M"),"")</calculatedColumnFormula>
    </tableColumn>
    <tableColumn id="4" xr3:uid="{00000000-0010-0000-0000-000004000000}" name="VLCC_Code" dataDxfId="106"/>
    <tableColumn id="5" xr3:uid="{00000000-0010-0000-0000-000005000000}" name="vlcc_name" dataDxfId="105"/>
    <tableColumn id="6" xr3:uid="{00000000-0010-0000-0000-000006000000}" name="Contact_Person" dataDxfId="104"/>
    <tableColumn id="7" xr3:uid="{00000000-0010-0000-0000-000007000000}" name="Contact_Person_No" dataDxfId="103"/>
    <tableColumn id="8" xr3:uid="{00000000-0010-0000-0000-000008000000}" name="machine" dataDxfId="102"/>
    <tableColumn id="9" xr3:uid="{00000000-0010-0000-0000-000009000000}" name="serial_no" dataDxfId="101"/>
    <tableColumn id="10" xr3:uid="{00000000-0010-0000-0000-00000A000000}" name="Replace Parts" dataDxfId="100"/>
    <tableColumn id="11" xr3:uid="{00000000-0010-0000-0000-00000B000000}" name="SAP Code" dataDxfId="99"/>
    <tableColumn id="12" xr3:uid="{00000000-0010-0000-0000-00000C000000}" name="Invoice No" dataDxfId="98"/>
    <tableColumn id="13" xr3:uid="{00000000-0010-0000-0000-00000D000000}" name="Invoice Date" dataDxfId="97"/>
    <tableColumn id="14" xr3:uid="{00000000-0010-0000-0000-00000E000000}" name="Qty" dataDxfId="96"/>
    <tableColumn id="15" xr3:uid="{00000000-0010-0000-0000-00000F000000}" name="Rate" dataDxfId="95" dataCellStyle="Comma"/>
    <tableColumn id="16" xr3:uid="{00000000-0010-0000-0000-000010000000}" name="Basic" dataDxfId="94" dataCellStyle="Comma">
      <calculatedColumnFormula>+Q2*R2</calculatedColumnFormula>
    </tableColumn>
    <tableColumn id="17" xr3:uid="{00000000-0010-0000-0000-000011000000}" name="GST" dataDxfId="93" dataCellStyle="Comma">
      <calculatedColumnFormula>+S2*0.18</calculatedColumnFormula>
    </tableColumn>
    <tableColumn id="18" xr3:uid="{00000000-0010-0000-0000-000012000000}" name="Total" dataDxfId="92" dataCellStyle="Comma">
      <calculatedColumnFormula>+S2+T2</calculatedColumnFormula>
    </tableColumn>
    <tableColumn id="23" xr3:uid="{519DBA02-2359-4A80-A01C-33BA19603DF1}" name="Recoverable" dataDxfId="91" dataCellStyle="Comma"/>
    <tableColumn id="20" xr3:uid="{00000000-0010-0000-0000-000014000000}" name="Status" dataDxfId="9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F23"/>
  <sheetViews>
    <sheetView workbookViewId="0">
      <selection activeCell="G23" sqref="G23"/>
    </sheetView>
  </sheetViews>
  <sheetFormatPr defaultRowHeight="15" x14ac:dyDescent="0.25"/>
  <cols>
    <col min="1" max="3" width="14.28515625" bestFit="1" customWidth="1"/>
    <col min="4" max="4" width="12" bestFit="1" customWidth="1"/>
    <col min="5" max="5" width="11.5703125" bestFit="1" customWidth="1"/>
    <col min="6" max="6" width="12" bestFit="1" customWidth="1"/>
    <col min="7" max="7" width="11.7109375" bestFit="1" customWidth="1"/>
  </cols>
  <sheetData>
    <row r="3" spans="1:6" x14ac:dyDescent="0.25">
      <c r="A3" s="5" t="s">
        <v>151</v>
      </c>
      <c r="B3" s="5" t="s">
        <v>156</v>
      </c>
      <c r="C3" s="5" t="s">
        <v>157</v>
      </c>
      <c r="D3" t="s">
        <v>365</v>
      </c>
      <c r="E3" t="s">
        <v>366</v>
      </c>
      <c r="F3" t="s">
        <v>367</v>
      </c>
    </row>
    <row r="4" spans="1:6" x14ac:dyDescent="0.25">
      <c r="A4" t="s">
        <v>153</v>
      </c>
      <c r="B4" t="s">
        <v>158</v>
      </c>
      <c r="C4" s="4">
        <v>45876</v>
      </c>
      <c r="D4" s="6">
        <v>33802</v>
      </c>
      <c r="E4" s="6">
        <v>6084.3600000000015</v>
      </c>
      <c r="F4" s="6">
        <v>39886.359999999979</v>
      </c>
    </row>
    <row r="5" spans="1:6" x14ac:dyDescent="0.25">
      <c r="B5" t="s">
        <v>268</v>
      </c>
      <c r="C5" s="4">
        <v>45877</v>
      </c>
      <c r="D5" s="6">
        <v>31682</v>
      </c>
      <c r="E5" s="6">
        <v>5702.76</v>
      </c>
      <c r="F5" s="6">
        <v>37384.75999999998</v>
      </c>
    </row>
    <row r="6" spans="1:6" x14ac:dyDescent="0.25">
      <c r="B6" t="s">
        <v>363</v>
      </c>
      <c r="C6" s="4">
        <v>45877</v>
      </c>
      <c r="D6" s="6">
        <v>33502</v>
      </c>
      <c r="E6" s="6">
        <v>6030.3600000000006</v>
      </c>
      <c r="F6" s="6">
        <v>39532.359999999986</v>
      </c>
    </row>
    <row r="7" spans="1:6" x14ac:dyDescent="0.25">
      <c r="B7" t="s">
        <v>480</v>
      </c>
      <c r="C7" s="4">
        <v>45897</v>
      </c>
      <c r="D7" s="6">
        <v>46694</v>
      </c>
      <c r="E7" s="6">
        <v>8404.9200000000019</v>
      </c>
      <c r="F7" s="6">
        <v>55098.919999999976</v>
      </c>
    </row>
    <row r="8" spans="1:6" x14ac:dyDescent="0.25">
      <c r="B8" t="s">
        <v>992</v>
      </c>
      <c r="C8" s="4" t="s">
        <v>992</v>
      </c>
      <c r="D8" s="6">
        <v>67332</v>
      </c>
      <c r="E8" s="6">
        <v>12119.760000000006</v>
      </c>
      <c r="F8" s="6">
        <v>79451.75999999998</v>
      </c>
    </row>
    <row r="9" spans="1:6" x14ac:dyDescent="0.25">
      <c r="B9" t="s">
        <v>744</v>
      </c>
      <c r="C9" s="4">
        <v>45967</v>
      </c>
      <c r="D9" s="6">
        <v>52227</v>
      </c>
      <c r="E9" s="6">
        <v>9400.8600000000024</v>
      </c>
      <c r="F9" s="6">
        <v>61627.859999999993</v>
      </c>
    </row>
    <row r="10" spans="1:6" x14ac:dyDescent="0.25">
      <c r="B10" t="s">
        <v>833</v>
      </c>
      <c r="C10" s="4">
        <v>45986</v>
      </c>
      <c r="D10" s="6">
        <v>45021</v>
      </c>
      <c r="E10" s="6">
        <v>8103.7800000000016</v>
      </c>
      <c r="F10" s="6">
        <v>53124.779999999984</v>
      </c>
    </row>
    <row r="11" spans="1:6" x14ac:dyDescent="0.25">
      <c r="B11" t="s">
        <v>890</v>
      </c>
      <c r="C11" s="4">
        <v>45991</v>
      </c>
      <c r="D11" s="6">
        <v>34305</v>
      </c>
      <c r="E11" s="6">
        <v>6174.9</v>
      </c>
      <c r="F11" s="6">
        <v>40479.899999999994</v>
      </c>
    </row>
    <row r="12" spans="1:6" x14ac:dyDescent="0.25">
      <c r="B12" t="s">
        <v>893</v>
      </c>
      <c r="C12" s="4">
        <v>45918</v>
      </c>
      <c r="D12" s="6">
        <v>80256</v>
      </c>
      <c r="E12" s="6">
        <v>14446.080000000005</v>
      </c>
      <c r="F12" s="6">
        <v>94702.080000000031</v>
      </c>
    </row>
    <row r="13" spans="1:6" x14ac:dyDescent="0.25">
      <c r="A13" t="s">
        <v>152</v>
      </c>
      <c r="B13" t="s">
        <v>159</v>
      </c>
      <c r="C13" s="4">
        <v>45877</v>
      </c>
      <c r="D13" s="6">
        <v>9300</v>
      </c>
      <c r="E13" s="6">
        <v>1674</v>
      </c>
      <c r="F13" s="6">
        <v>10974</v>
      </c>
    </row>
    <row r="14" spans="1:6" x14ac:dyDescent="0.25">
      <c r="B14" t="s">
        <v>362</v>
      </c>
      <c r="C14" s="4">
        <v>45880</v>
      </c>
      <c r="D14" s="6">
        <v>25850</v>
      </c>
      <c r="E14" s="6">
        <v>4653</v>
      </c>
      <c r="F14" s="6">
        <v>30503</v>
      </c>
    </row>
    <row r="15" spans="1:6" x14ac:dyDescent="0.25">
      <c r="B15" t="s">
        <v>398</v>
      </c>
      <c r="C15" s="4">
        <v>45897</v>
      </c>
      <c r="D15" s="6">
        <v>35055</v>
      </c>
      <c r="E15" s="6">
        <v>6309.9</v>
      </c>
      <c r="F15" s="6">
        <v>41364.9</v>
      </c>
    </row>
    <row r="16" spans="1:6" x14ac:dyDescent="0.25">
      <c r="B16" t="s">
        <v>992</v>
      </c>
      <c r="C16" s="4" t="s">
        <v>992</v>
      </c>
      <c r="D16" s="6">
        <v>18900</v>
      </c>
      <c r="E16" s="6">
        <v>3402.0000000000005</v>
      </c>
      <c r="F16" s="6">
        <v>22302.000000000004</v>
      </c>
    </row>
    <row r="17" spans="1:6" x14ac:dyDescent="0.25">
      <c r="B17" t="s">
        <v>743</v>
      </c>
      <c r="C17" s="4">
        <v>45967</v>
      </c>
      <c r="D17" s="6">
        <v>46692</v>
      </c>
      <c r="E17" s="6">
        <v>8404.56</v>
      </c>
      <c r="F17" s="6">
        <v>55096.56</v>
      </c>
    </row>
    <row r="18" spans="1:6" x14ac:dyDescent="0.25">
      <c r="B18" t="s">
        <v>832</v>
      </c>
      <c r="C18" s="4">
        <v>45986</v>
      </c>
      <c r="D18" s="6">
        <v>1154</v>
      </c>
      <c r="E18" s="6">
        <v>207.71999999999997</v>
      </c>
      <c r="F18" s="6">
        <v>1361.7199999999998</v>
      </c>
    </row>
    <row r="19" spans="1:6" x14ac:dyDescent="0.25">
      <c r="B19" t="s">
        <v>890</v>
      </c>
      <c r="C19" s="4">
        <v>45991</v>
      </c>
      <c r="D19" s="6">
        <v>8000</v>
      </c>
      <c r="E19" s="6">
        <v>1440</v>
      </c>
      <c r="F19" s="6">
        <v>9440</v>
      </c>
    </row>
    <row r="20" spans="1:6" x14ac:dyDescent="0.25">
      <c r="B20" t="s">
        <v>889</v>
      </c>
      <c r="C20" s="4">
        <v>45991</v>
      </c>
      <c r="D20" s="6">
        <v>625</v>
      </c>
      <c r="E20" s="6">
        <v>112.5</v>
      </c>
      <c r="F20" s="6">
        <v>737.5</v>
      </c>
    </row>
    <row r="21" spans="1:6" x14ac:dyDescent="0.25">
      <c r="B21" t="s">
        <v>894</v>
      </c>
      <c r="C21" s="4">
        <v>45918</v>
      </c>
      <c r="D21" s="6">
        <v>71584</v>
      </c>
      <c r="E21" s="6">
        <v>12885.12</v>
      </c>
      <c r="F21" s="6">
        <v>84469.12000000001</v>
      </c>
    </row>
    <row r="22" spans="1:6" x14ac:dyDescent="0.25">
      <c r="A22" t="s">
        <v>399</v>
      </c>
      <c r="B22" t="s">
        <v>398</v>
      </c>
      <c r="C22" s="4">
        <v>45897</v>
      </c>
      <c r="D22" s="6">
        <v>8500</v>
      </c>
      <c r="E22" s="6">
        <v>1530</v>
      </c>
      <c r="F22" s="6">
        <v>10030</v>
      </c>
    </row>
    <row r="23" spans="1:6" x14ac:dyDescent="0.25">
      <c r="A23" t="s">
        <v>364</v>
      </c>
      <c r="D23" s="6">
        <v>650481</v>
      </c>
      <c r="E23" s="6">
        <v>117086.58</v>
      </c>
      <c r="F23" s="6">
        <v>767567.57999999973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BB910-9A05-459B-8319-A9226CBF3EBC}">
  <dimension ref="A3:M337"/>
  <sheetViews>
    <sheetView tabSelected="1" topLeftCell="A272" workbookViewId="0">
      <selection activeCell="P292" sqref="P292"/>
    </sheetView>
  </sheetViews>
  <sheetFormatPr defaultRowHeight="15" x14ac:dyDescent="0.25"/>
  <cols>
    <col min="1" max="1" width="13.28515625" bestFit="1" customWidth="1"/>
    <col min="2" max="2" width="11.5703125" bestFit="1" customWidth="1"/>
    <col min="7" max="7" width="13.140625" bestFit="1" customWidth="1"/>
    <col min="8" max="8" width="13.28515625" bestFit="1" customWidth="1"/>
    <col min="9" max="9" width="7.5703125" bestFit="1" customWidth="1"/>
    <col min="10" max="10" width="15.7109375" bestFit="1" customWidth="1"/>
    <col min="11" max="11" width="14.85546875" bestFit="1" customWidth="1"/>
    <col min="12" max="13" width="11.5703125" bestFit="1" customWidth="1"/>
  </cols>
  <sheetData>
    <row r="3" spans="1:13" x14ac:dyDescent="0.25">
      <c r="A3" s="5" t="s">
        <v>367</v>
      </c>
    </row>
    <row r="4" spans="1:13" x14ac:dyDescent="0.25">
      <c r="A4" s="5" t="s">
        <v>154</v>
      </c>
      <c r="B4" t="s">
        <v>110</v>
      </c>
      <c r="G4" s="59" t="s">
        <v>1021</v>
      </c>
      <c r="H4" s="59" t="s">
        <v>154</v>
      </c>
      <c r="I4" s="59" t="s">
        <v>368</v>
      </c>
      <c r="J4" s="59" t="s">
        <v>1019</v>
      </c>
      <c r="K4" s="59" t="s">
        <v>110</v>
      </c>
      <c r="L4" s="59" t="s">
        <v>1018</v>
      </c>
      <c r="M4" s="59" t="s">
        <v>1022</v>
      </c>
    </row>
    <row r="5" spans="1:13" x14ac:dyDescent="0.25">
      <c r="A5">
        <v>1012</v>
      </c>
      <c r="B5" s="6">
        <v>3089.24</v>
      </c>
      <c r="G5" s="23" t="s">
        <v>1025</v>
      </c>
      <c r="H5" s="23">
        <v>1012</v>
      </c>
      <c r="I5" s="60" t="s">
        <v>1020</v>
      </c>
      <c r="J5" s="61">
        <v>0</v>
      </c>
      <c r="K5" s="61">
        <v>3089.24</v>
      </c>
      <c r="L5" s="63">
        <v>0</v>
      </c>
      <c r="M5" s="61">
        <v>3089.24</v>
      </c>
    </row>
    <row r="6" spans="1:13" x14ac:dyDescent="0.25">
      <c r="A6">
        <v>1054</v>
      </c>
      <c r="B6" s="6">
        <v>3304</v>
      </c>
      <c r="G6" s="23" t="s">
        <v>1026</v>
      </c>
      <c r="H6" s="23">
        <v>1054</v>
      </c>
      <c r="I6" s="60" t="s">
        <v>1020</v>
      </c>
      <c r="J6" s="61">
        <v>0</v>
      </c>
      <c r="K6" s="61">
        <v>3304</v>
      </c>
      <c r="L6" s="63">
        <v>0</v>
      </c>
      <c r="M6" s="61">
        <v>3304</v>
      </c>
    </row>
    <row r="7" spans="1:13" x14ac:dyDescent="0.25">
      <c r="A7">
        <v>2001</v>
      </c>
      <c r="B7" s="6">
        <v>21612.880000000001</v>
      </c>
      <c r="G7" s="23" t="s">
        <v>1027</v>
      </c>
      <c r="H7" s="23">
        <v>2001</v>
      </c>
      <c r="I7" s="60" t="s">
        <v>1020</v>
      </c>
      <c r="J7" s="61">
        <v>0</v>
      </c>
      <c r="K7" s="61">
        <v>21612.880000000001</v>
      </c>
      <c r="L7" s="63">
        <v>0</v>
      </c>
      <c r="M7" s="61">
        <v>21612.880000000001</v>
      </c>
    </row>
    <row r="8" spans="1:13" x14ac:dyDescent="0.25">
      <c r="A8">
        <v>2002</v>
      </c>
      <c r="B8" s="6">
        <v>40674.6</v>
      </c>
      <c r="G8" s="23" t="s">
        <v>1028</v>
      </c>
      <c r="H8" s="23">
        <v>2002</v>
      </c>
      <c r="I8" s="60" t="s">
        <v>1020</v>
      </c>
      <c r="J8" s="61">
        <v>0</v>
      </c>
      <c r="K8" s="61">
        <v>40674.6</v>
      </c>
      <c r="L8" s="63">
        <v>0</v>
      </c>
      <c r="M8" s="61">
        <v>40674.6</v>
      </c>
    </row>
    <row r="9" spans="1:13" x14ac:dyDescent="0.25">
      <c r="A9">
        <v>2005</v>
      </c>
      <c r="B9" s="6">
        <v>10030</v>
      </c>
      <c r="G9" s="23" t="s">
        <v>1029</v>
      </c>
      <c r="H9" s="23">
        <v>2005</v>
      </c>
      <c r="I9" s="60" t="s">
        <v>1020</v>
      </c>
      <c r="J9" s="61">
        <v>0</v>
      </c>
      <c r="K9" s="61">
        <v>10030</v>
      </c>
      <c r="L9" s="63">
        <v>0</v>
      </c>
      <c r="M9" s="61">
        <v>10030</v>
      </c>
    </row>
    <row r="10" spans="1:13" x14ac:dyDescent="0.25">
      <c r="A10">
        <v>10010038</v>
      </c>
      <c r="B10" s="6">
        <v>615.96</v>
      </c>
      <c r="G10" s="23" t="s">
        <v>1030</v>
      </c>
      <c r="H10" s="23">
        <v>10010071</v>
      </c>
      <c r="I10" s="60" t="s">
        <v>1020</v>
      </c>
      <c r="J10" s="61">
        <v>0</v>
      </c>
      <c r="K10" s="61">
        <v>103.84</v>
      </c>
      <c r="L10" s="63">
        <v>0</v>
      </c>
      <c r="M10" s="61">
        <v>103.84</v>
      </c>
    </row>
    <row r="11" spans="1:13" x14ac:dyDescent="0.25">
      <c r="A11">
        <v>10010044</v>
      </c>
      <c r="B11" s="6">
        <v>932.2</v>
      </c>
      <c r="G11" s="23" t="s">
        <v>1031</v>
      </c>
      <c r="H11" s="23">
        <v>10020022</v>
      </c>
      <c r="I11" s="60" t="s">
        <v>1020</v>
      </c>
      <c r="J11" s="61">
        <v>0</v>
      </c>
      <c r="K11" s="61">
        <v>165.2</v>
      </c>
      <c r="L11" s="63">
        <v>0</v>
      </c>
      <c r="M11" s="61">
        <v>165.2</v>
      </c>
    </row>
    <row r="12" spans="1:13" x14ac:dyDescent="0.25">
      <c r="A12">
        <v>10010071</v>
      </c>
      <c r="B12" s="6">
        <v>103.84</v>
      </c>
      <c r="G12" s="23" t="s">
        <v>1032</v>
      </c>
      <c r="H12" s="23">
        <v>10020028</v>
      </c>
      <c r="I12" s="60" t="s">
        <v>1020</v>
      </c>
      <c r="J12" s="61">
        <v>0</v>
      </c>
      <c r="K12" s="61">
        <v>51.92</v>
      </c>
      <c r="L12" s="63">
        <v>0</v>
      </c>
      <c r="M12" s="61">
        <v>51.92</v>
      </c>
    </row>
    <row r="13" spans="1:13" x14ac:dyDescent="0.25">
      <c r="A13">
        <v>10010082</v>
      </c>
      <c r="B13" s="6">
        <v>1062</v>
      </c>
      <c r="G13" s="23" t="s">
        <v>1033</v>
      </c>
      <c r="H13" s="23">
        <v>10020037</v>
      </c>
      <c r="I13" s="60" t="s">
        <v>1020</v>
      </c>
      <c r="J13" s="61">
        <v>0</v>
      </c>
      <c r="K13" s="61">
        <v>3032.6000000000004</v>
      </c>
      <c r="L13" s="63">
        <v>0</v>
      </c>
      <c r="M13" s="61">
        <v>3032.6000000000004</v>
      </c>
    </row>
    <row r="14" spans="1:13" x14ac:dyDescent="0.25">
      <c r="A14">
        <v>10010095</v>
      </c>
      <c r="B14" s="6">
        <v>413</v>
      </c>
      <c r="G14" s="23" t="s">
        <v>1034</v>
      </c>
      <c r="H14" s="23">
        <v>10030062</v>
      </c>
      <c r="I14" s="60" t="s">
        <v>1020</v>
      </c>
      <c r="J14" s="61">
        <v>0</v>
      </c>
      <c r="K14" s="61">
        <v>3462.12</v>
      </c>
      <c r="L14" s="63">
        <v>0</v>
      </c>
      <c r="M14" s="61">
        <v>3462.12</v>
      </c>
    </row>
    <row r="15" spans="1:13" x14ac:dyDescent="0.25">
      <c r="A15">
        <v>10010103</v>
      </c>
      <c r="B15" s="6">
        <v>165.2</v>
      </c>
      <c r="G15" s="23" t="s">
        <v>1035</v>
      </c>
      <c r="H15" s="23">
        <v>10060025</v>
      </c>
      <c r="I15" s="60" t="s">
        <v>1020</v>
      </c>
      <c r="J15" s="61">
        <v>0</v>
      </c>
      <c r="K15" s="61">
        <v>5734.8</v>
      </c>
      <c r="L15" s="63">
        <v>0</v>
      </c>
      <c r="M15" s="61">
        <v>5734.8</v>
      </c>
    </row>
    <row r="16" spans="1:13" x14ac:dyDescent="0.25">
      <c r="A16">
        <v>10020002</v>
      </c>
      <c r="B16" s="6">
        <v>3569.5</v>
      </c>
      <c r="G16" s="23" t="s">
        <v>1036</v>
      </c>
      <c r="H16" s="23">
        <v>10060034</v>
      </c>
      <c r="I16" s="60" t="s">
        <v>1020</v>
      </c>
      <c r="J16" s="61">
        <v>0</v>
      </c>
      <c r="K16" s="61">
        <v>2867.4</v>
      </c>
      <c r="L16" s="63">
        <v>0</v>
      </c>
      <c r="M16" s="61">
        <v>2867.4</v>
      </c>
    </row>
    <row r="17" spans="1:13" x14ac:dyDescent="0.25">
      <c r="A17">
        <v>10020008</v>
      </c>
      <c r="B17" s="6">
        <v>147.5</v>
      </c>
      <c r="G17" s="23" t="s">
        <v>1037</v>
      </c>
      <c r="H17" s="23">
        <v>10060036</v>
      </c>
      <c r="I17" s="60" t="s">
        <v>1020</v>
      </c>
      <c r="J17" s="61">
        <v>0</v>
      </c>
      <c r="K17" s="61">
        <v>269.04000000000002</v>
      </c>
      <c r="L17" s="63">
        <v>0</v>
      </c>
      <c r="M17" s="61">
        <v>269.04000000000002</v>
      </c>
    </row>
    <row r="18" spans="1:13" x14ac:dyDescent="0.25">
      <c r="A18">
        <v>10020022</v>
      </c>
      <c r="B18" s="6">
        <v>165.2</v>
      </c>
      <c r="G18" s="23" t="s">
        <v>1038</v>
      </c>
      <c r="H18" s="23">
        <v>10060064</v>
      </c>
      <c r="I18" s="60" t="s">
        <v>1020</v>
      </c>
      <c r="J18" s="61">
        <v>0</v>
      </c>
      <c r="K18" s="61">
        <v>1840.8</v>
      </c>
      <c r="L18" s="63">
        <v>0</v>
      </c>
      <c r="M18" s="61">
        <v>1840.8</v>
      </c>
    </row>
    <row r="19" spans="1:13" x14ac:dyDescent="0.25">
      <c r="A19">
        <v>10020023</v>
      </c>
      <c r="B19" s="6">
        <v>3693.4</v>
      </c>
      <c r="G19" s="23" t="s">
        <v>1039</v>
      </c>
      <c r="H19" s="23">
        <v>10070049</v>
      </c>
      <c r="I19" s="60" t="s">
        <v>1020</v>
      </c>
      <c r="J19" s="61">
        <v>0</v>
      </c>
      <c r="K19" s="61">
        <v>826</v>
      </c>
      <c r="L19" s="63">
        <v>0</v>
      </c>
      <c r="M19" s="61">
        <v>826</v>
      </c>
    </row>
    <row r="20" spans="1:13" x14ac:dyDescent="0.25">
      <c r="A20">
        <v>10020026</v>
      </c>
      <c r="B20" s="6">
        <v>5534.2</v>
      </c>
      <c r="G20" s="23" t="s">
        <v>1040</v>
      </c>
      <c r="H20" s="23">
        <v>10080070</v>
      </c>
      <c r="I20" s="60" t="s">
        <v>1020</v>
      </c>
      <c r="J20" s="61">
        <v>0</v>
      </c>
      <c r="K20" s="61">
        <v>3127</v>
      </c>
      <c r="L20" s="63">
        <v>0</v>
      </c>
      <c r="M20" s="61">
        <v>3127</v>
      </c>
    </row>
    <row r="21" spans="1:13" x14ac:dyDescent="0.25">
      <c r="A21">
        <v>10020028</v>
      </c>
      <c r="B21" s="6">
        <v>51.92</v>
      </c>
      <c r="G21" s="23" t="s">
        <v>1041</v>
      </c>
      <c r="H21" s="23">
        <v>10080106</v>
      </c>
      <c r="I21" s="60" t="s">
        <v>1020</v>
      </c>
      <c r="J21" s="61">
        <v>0</v>
      </c>
      <c r="K21" s="61">
        <v>285.56</v>
      </c>
      <c r="L21" s="63">
        <v>0</v>
      </c>
      <c r="M21" s="61">
        <v>285.56</v>
      </c>
    </row>
    <row r="22" spans="1:13" x14ac:dyDescent="0.25">
      <c r="A22">
        <v>10020029</v>
      </c>
      <c r="B22" s="6">
        <v>165.2</v>
      </c>
      <c r="G22" s="23" t="s">
        <v>1042</v>
      </c>
      <c r="H22" s="23">
        <v>10090004</v>
      </c>
      <c r="I22" s="60" t="s">
        <v>1020</v>
      </c>
      <c r="J22" s="61">
        <v>0</v>
      </c>
      <c r="K22" s="61">
        <v>1333.4</v>
      </c>
      <c r="L22" s="63">
        <v>0</v>
      </c>
      <c r="M22" s="61">
        <v>1333.4</v>
      </c>
    </row>
    <row r="23" spans="1:13" x14ac:dyDescent="0.25">
      <c r="A23">
        <v>10020032</v>
      </c>
      <c r="B23" s="6">
        <v>1073.8</v>
      </c>
      <c r="G23" s="23" t="s">
        <v>1043</v>
      </c>
      <c r="H23" s="23">
        <v>10090023</v>
      </c>
      <c r="I23" s="60" t="s">
        <v>1020</v>
      </c>
      <c r="J23" s="61">
        <v>0</v>
      </c>
      <c r="K23" s="61">
        <v>103.84</v>
      </c>
      <c r="L23" s="63">
        <v>0</v>
      </c>
      <c r="M23" s="61">
        <v>103.84</v>
      </c>
    </row>
    <row r="24" spans="1:13" x14ac:dyDescent="0.25">
      <c r="A24">
        <v>10020034</v>
      </c>
      <c r="B24" s="6">
        <v>3304</v>
      </c>
      <c r="G24" s="23" t="s">
        <v>1044</v>
      </c>
      <c r="H24" s="23">
        <v>10090030</v>
      </c>
      <c r="I24" s="60" t="s">
        <v>1020</v>
      </c>
      <c r="J24" s="61">
        <v>0</v>
      </c>
      <c r="K24" s="61">
        <v>1321.6</v>
      </c>
      <c r="L24" s="63">
        <v>0</v>
      </c>
      <c r="M24" s="61">
        <v>1321.6</v>
      </c>
    </row>
    <row r="25" spans="1:13" x14ac:dyDescent="0.25">
      <c r="A25">
        <v>10020035</v>
      </c>
      <c r="B25" s="6">
        <v>265.5</v>
      </c>
      <c r="G25" s="23" t="s">
        <v>1045</v>
      </c>
      <c r="H25" s="23">
        <v>10090039</v>
      </c>
      <c r="I25" s="60" t="s">
        <v>1020</v>
      </c>
      <c r="J25" s="61">
        <v>0</v>
      </c>
      <c r="K25" s="61">
        <v>6023.9</v>
      </c>
      <c r="L25" s="63">
        <v>0</v>
      </c>
      <c r="M25" s="61">
        <v>6023.9</v>
      </c>
    </row>
    <row r="26" spans="1:13" x14ac:dyDescent="0.25">
      <c r="A26">
        <v>10020037</v>
      </c>
      <c r="B26" s="6">
        <v>3032.6000000000004</v>
      </c>
      <c r="G26" s="23" t="s">
        <v>1046</v>
      </c>
      <c r="H26" s="23">
        <v>10090057</v>
      </c>
      <c r="I26" s="60" t="s">
        <v>1020</v>
      </c>
      <c r="J26" s="61">
        <v>0</v>
      </c>
      <c r="K26" s="61">
        <v>2773</v>
      </c>
      <c r="L26" s="63">
        <v>0</v>
      </c>
      <c r="M26" s="61">
        <v>2773</v>
      </c>
    </row>
    <row r="27" spans="1:13" x14ac:dyDescent="0.25">
      <c r="A27">
        <v>10020041</v>
      </c>
      <c r="B27" s="6">
        <v>908.6</v>
      </c>
      <c r="G27" s="23" t="s">
        <v>1047</v>
      </c>
      <c r="H27" s="23">
        <v>10100056</v>
      </c>
      <c r="I27" s="60" t="s">
        <v>1020</v>
      </c>
      <c r="J27" s="61">
        <v>0</v>
      </c>
      <c r="K27" s="61">
        <v>1536.3600000000001</v>
      </c>
      <c r="L27" s="63">
        <v>0</v>
      </c>
      <c r="M27" s="61">
        <v>1536.3600000000001</v>
      </c>
    </row>
    <row r="28" spans="1:13" x14ac:dyDescent="0.25">
      <c r="A28">
        <v>10020042</v>
      </c>
      <c r="B28" s="6">
        <v>3132.9</v>
      </c>
      <c r="G28" s="23" t="s">
        <v>1048</v>
      </c>
      <c r="H28" s="23">
        <v>10110017</v>
      </c>
      <c r="I28" s="60" t="s">
        <v>1020</v>
      </c>
      <c r="J28" s="61">
        <v>0</v>
      </c>
      <c r="K28" s="61">
        <v>413</v>
      </c>
      <c r="L28" s="63">
        <v>0</v>
      </c>
      <c r="M28" s="61">
        <v>413</v>
      </c>
    </row>
    <row r="29" spans="1:13" x14ac:dyDescent="0.25">
      <c r="A29">
        <v>10020043</v>
      </c>
      <c r="B29" s="6">
        <v>330.4</v>
      </c>
      <c r="G29" s="23" t="s">
        <v>1049</v>
      </c>
      <c r="H29" s="23">
        <v>10110044</v>
      </c>
      <c r="I29" s="60" t="s">
        <v>1020</v>
      </c>
      <c r="J29" s="61">
        <v>0</v>
      </c>
      <c r="K29" s="61">
        <v>2454.4</v>
      </c>
      <c r="L29" s="63">
        <v>0</v>
      </c>
      <c r="M29" s="61">
        <v>2454.4</v>
      </c>
    </row>
    <row r="30" spans="1:13" x14ac:dyDescent="0.25">
      <c r="A30">
        <v>10020059</v>
      </c>
      <c r="B30" s="6">
        <v>1493.88</v>
      </c>
      <c r="G30" s="23" t="s">
        <v>1050</v>
      </c>
      <c r="H30" s="23">
        <v>10110056</v>
      </c>
      <c r="I30" s="60" t="s">
        <v>1020</v>
      </c>
      <c r="J30" s="61">
        <v>0</v>
      </c>
      <c r="K30" s="61">
        <v>920.4</v>
      </c>
      <c r="L30" s="63">
        <v>0</v>
      </c>
      <c r="M30" s="61">
        <v>920.4</v>
      </c>
    </row>
    <row r="31" spans="1:13" x14ac:dyDescent="0.25">
      <c r="A31">
        <v>10020062</v>
      </c>
      <c r="B31" s="6">
        <v>3569.5</v>
      </c>
      <c r="G31" s="23" t="s">
        <v>1051</v>
      </c>
      <c r="H31" s="23">
        <v>10120042</v>
      </c>
      <c r="I31" s="60" t="s">
        <v>1020</v>
      </c>
      <c r="J31" s="61">
        <v>0</v>
      </c>
      <c r="K31" s="61">
        <v>181.72</v>
      </c>
      <c r="L31" s="63">
        <v>0</v>
      </c>
      <c r="M31" s="61">
        <v>181.72</v>
      </c>
    </row>
    <row r="32" spans="1:13" x14ac:dyDescent="0.25">
      <c r="A32">
        <v>10020063</v>
      </c>
      <c r="B32" s="6">
        <v>413</v>
      </c>
      <c r="G32" s="23" t="s">
        <v>1052</v>
      </c>
      <c r="H32" s="23">
        <v>10120065</v>
      </c>
      <c r="I32" s="60" t="s">
        <v>1020</v>
      </c>
      <c r="J32" s="61">
        <v>0</v>
      </c>
      <c r="K32" s="61">
        <v>2454.4</v>
      </c>
      <c r="L32" s="63">
        <v>0</v>
      </c>
      <c r="M32" s="61">
        <v>2454.4</v>
      </c>
    </row>
    <row r="33" spans="1:13" x14ac:dyDescent="0.25">
      <c r="A33">
        <v>10020076</v>
      </c>
      <c r="B33" s="6">
        <v>3569.5</v>
      </c>
      <c r="G33" s="23" t="s">
        <v>1053</v>
      </c>
      <c r="H33" s="23">
        <v>10120082</v>
      </c>
      <c r="I33" s="60" t="s">
        <v>1020</v>
      </c>
      <c r="J33" s="61">
        <v>0</v>
      </c>
      <c r="K33" s="61">
        <v>424.8</v>
      </c>
      <c r="L33" s="63">
        <v>0</v>
      </c>
      <c r="M33" s="61">
        <v>424.8</v>
      </c>
    </row>
    <row r="34" spans="1:13" x14ac:dyDescent="0.25">
      <c r="A34">
        <v>10020078</v>
      </c>
      <c r="B34" s="6">
        <v>115.64</v>
      </c>
      <c r="G34" s="23" t="s">
        <v>1054</v>
      </c>
      <c r="H34" s="23">
        <v>10130007</v>
      </c>
      <c r="I34" s="60" t="s">
        <v>1020</v>
      </c>
      <c r="J34" s="61">
        <v>0</v>
      </c>
      <c r="K34" s="61">
        <v>599.43999999999994</v>
      </c>
      <c r="L34" s="63">
        <v>0</v>
      </c>
      <c r="M34" s="61">
        <v>599.43999999999994</v>
      </c>
    </row>
    <row r="35" spans="1:13" x14ac:dyDescent="0.25">
      <c r="A35">
        <v>10020079</v>
      </c>
      <c r="B35" s="6">
        <v>920.4</v>
      </c>
      <c r="G35" s="23" t="s">
        <v>1055</v>
      </c>
      <c r="H35" s="23">
        <v>10130013</v>
      </c>
      <c r="I35" s="60" t="s">
        <v>1020</v>
      </c>
      <c r="J35" s="61">
        <v>0</v>
      </c>
      <c r="K35" s="61">
        <v>954.62</v>
      </c>
      <c r="L35" s="63">
        <v>0</v>
      </c>
      <c r="M35" s="61">
        <v>954.62</v>
      </c>
    </row>
    <row r="36" spans="1:13" x14ac:dyDescent="0.25">
      <c r="A36">
        <v>10030003</v>
      </c>
      <c r="B36" s="6">
        <v>3650.92</v>
      </c>
      <c r="G36" s="23" t="s">
        <v>1056</v>
      </c>
      <c r="H36" s="23">
        <v>10130108</v>
      </c>
      <c r="I36" s="60" t="s">
        <v>1020</v>
      </c>
      <c r="J36" s="61">
        <v>0</v>
      </c>
      <c r="K36" s="61">
        <v>1775.9</v>
      </c>
      <c r="L36" s="63">
        <v>0</v>
      </c>
      <c r="M36" s="61">
        <v>1775.9</v>
      </c>
    </row>
    <row r="37" spans="1:13" x14ac:dyDescent="0.25">
      <c r="A37">
        <v>10030013</v>
      </c>
      <c r="B37" s="6">
        <v>413</v>
      </c>
      <c r="G37" s="23" t="s">
        <v>1057</v>
      </c>
      <c r="H37" s="23">
        <v>10140004</v>
      </c>
      <c r="I37" s="60" t="s">
        <v>1020</v>
      </c>
      <c r="J37" s="61">
        <v>0</v>
      </c>
      <c r="K37" s="61">
        <v>99.12</v>
      </c>
      <c r="L37" s="63">
        <v>0</v>
      </c>
      <c r="M37" s="61">
        <v>99.12</v>
      </c>
    </row>
    <row r="38" spans="1:13" x14ac:dyDescent="0.25">
      <c r="A38">
        <v>10030018</v>
      </c>
      <c r="B38" s="6">
        <v>165.2</v>
      </c>
      <c r="G38" s="23" t="s">
        <v>1058</v>
      </c>
      <c r="H38" s="23">
        <v>10140010</v>
      </c>
      <c r="I38" s="60" t="s">
        <v>1020</v>
      </c>
      <c r="J38" s="61">
        <v>0</v>
      </c>
      <c r="K38" s="61">
        <v>1714.54</v>
      </c>
      <c r="L38" s="63">
        <v>0</v>
      </c>
      <c r="M38" s="61">
        <v>1714.54</v>
      </c>
    </row>
    <row r="39" spans="1:13" x14ac:dyDescent="0.25">
      <c r="A39">
        <v>10030023</v>
      </c>
      <c r="B39" s="6">
        <v>413</v>
      </c>
      <c r="G39" s="23" t="s">
        <v>1059</v>
      </c>
      <c r="H39" s="23">
        <v>10140051</v>
      </c>
      <c r="I39" s="60" t="s">
        <v>1020</v>
      </c>
      <c r="J39" s="61">
        <v>0</v>
      </c>
      <c r="K39" s="61">
        <v>413</v>
      </c>
      <c r="L39" s="63">
        <v>0</v>
      </c>
      <c r="M39" s="61">
        <v>413</v>
      </c>
    </row>
    <row r="40" spans="1:13" x14ac:dyDescent="0.25">
      <c r="A40">
        <v>10030062</v>
      </c>
      <c r="B40" s="6">
        <v>3462.12</v>
      </c>
      <c r="G40" s="23" t="s">
        <v>1060</v>
      </c>
      <c r="H40" s="23">
        <v>10140145</v>
      </c>
      <c r="I40" s="60" t="s">
        <v>1020</v>
      </c>
      <c r="J40" s="61">
        <v>0</v>
      </c>
      <c r="K40" s="61">
        <v>4637.3999999999996</v>
      </c>
      <c r="L40" s="63">
        <v>0</v>
      </c>
      <c r="M40" s="61">
        <v>4637.3999999999996</v>
      </c>
    </row>
    <row r="41" spans="1:13" x14ac:dyDescent="0.25">
      <c r="A41">
        <v>10030063</v>
      </c>
      <c r="B41" s="6">
        <v>413</v>
      </c>
      <c r="G41" s="23" t="s">
        <v>1061</v>
      </c>
      <c r="H41" s="23">
        <v>10140159</v>
      </c>
      <c r="I41" s="60" t="s">
        <v>1020</v>
      </c>
      <c r="J41" s="61">
        <v>0</v>
      </c>
      <c r="K41" s="61">
        <v>57.82</v>
      </c>
      <c r="L41" s="63">
        <v>0</v>
      </c>
      <c r="M41" s="61">
        <v>57.82</v>
      </c>
    </row>
    <row r="42" spans="1:13" x14ac:dyDescent="0.25">
      <c r="A42">
        <v>10030064</v>
      </c>
      <c r="B42" s="6">
        <v>6171.4</v>
      </c>
      <c r="G42" s="23" t="s">
        <v>1062</v>
      </c>
      <c r="H42" s="23">
        <v>10140168</v>
      </c>
      <c r="I42" s="60" t="s">
        <v>1020</v>
      </c>
      <c r="J42" s="61">
        <v>0</v>
      </c>
      <c r="K42" s="61">
        <v>1333.4</v>
      </c>
      <c r="L42" s="63">
        <v>0</v>
      </c>
      <c r="M42" s="61">
        <v>1333.4</v>
      </c>
    </row>
    <row r="43" spans="1:13" x14ac:dyDescent="0.25">
      <c r="A43">
        <v>10030065</v>
      </c>
      <c r="B43" s="6">
        <v>413</v>
      </c>
      <c r="G43" s="23" t="s">
        <v>1063</v>
      </c>
      <c r="H43" s="23">
        <v>10550003</v>
      </c>
      <c r="I43" s="60" t="s">
        <v>1020</v>
      </c>
      <c r="J43" s="61">
        <v>0</v>
      </c>
      <c r="K43" s="61">
        <v>1475</v>
      </c>
      <c r="L43" s="63">
        <v>0</v>
      </c>
      <c r="M43" s="61">
        <v>1475</v>
      </c>
    </row>
    <row r="44" spans="1:13" x14ac:dyDescent="0.25">
      <c r="A44">
        <v>10030066</v>
      </c>
      <c r="B44" s="6">
        <v>590</v>
      </c>
      <c r="G44" s="23" t="s">
        <v>1064</v>
      </c>
      <c r="H44" s="23">
        <v>20010003</v>
      </c>
      <c r="I44" s="60" t="s">
        <v>1020</v>
      </c>
      <c r="J44" s="61">
        <v>0</v>
      </c>
      <c r="K44" s="61">
        <v>1493.88</v>
      </c>
      <c r="L44" s="63">
        <v>0</v>
      </c>
      <c r="M44" s="61">
        <v>1493.88</v>
      </c>
    </row>
    <row r="45" spans="1:13" x14ac:dyDescent="0.25">
      <c r="A45">
        <v>10030070</v>
      </c>
      <c r="B45" s="6">
        <v>214.76</v>
      </c>
      <c r="G45" s="23" t="s">
        <v>1065</v>
      </c>
      <c r="H45" s="23">
        <v>20010004</v>
      </c>
      <c r="I45" s="60" t="s">
        <v>1020</v>
      </c>
      <c r="J45" s="61">
        <v>0</v>
      </c>
      <c r="K45" s="61">
        <v>3304</v>
      </c>
      <c r="L45" s="63">
        <v>0</v>
      </c>
      <c r="M45" s="61">
        <v>3304</v>
      </c>
    </row>
    <row r="46" spans="1:13" x14ac:dyDescent="0.25">
      <c r="A46">
        <v>10030071</v>
      </c>
      <c r="B46" s="6">
        <v>5994.4</v>
      </c>
      <c r="G46" s="23" t="s">
        <v>1066</v>
      </c>
      <c r="H46" s="23">
        <v>20010009</v>
      </c>
      <c r="I46" s="60" t="s">
        <v>1020</v>
      </c>
      <c r="J46" s="61">
        <v>0</v>
      </c>
      <c r="K46" s="61">
        <v>6202.08</v>
      </c>
      <c r="L46" s="63">
        <v>0</v>
      </c>
      <c r="M46" s="61">
        <v>6202.08</v>
      </c>
    </row>
    <row r="47" spans="1:13" x14ac:dyDescent="0.25">
      <c r="A47">
        <v>10060004</v>
      </c>
      <c r="B47" s="6">
        <v>424.8</v>
      </c>
      <c r="G47" s="23" t="s">
        <v>1067</v>
      </c>
      <c r="H47" s="23">
        <v>20010012</v>
      </c>
      <c r="I47" s="60" t="s">
        <v>1020</v>
      </c>
      <c r="J47" s="61">
        <v>0</v>
      </c>
      <c r="K47" s="61">
        <v>82.6</v>
      </c>
      <c r="L47" s="63">
        <v>0</v>
      </c>
      <c r="M47" s="61">
        <v>82.6</v>
      </c>
    </row>
    <row r="48" spans="1:13" x14ac:dyDescent="0.25">
      <c r="A48">
        <v>10060011</v>
      </c>
      <c r="B48" s="6">
        <v>2454.4</v>
      </c>
      <c r="G48" s="23" t="s">
        <v>1068</v>
      </c>
      <c r="H48" s="23">
        <v>20010016</v>
      </c>
      <c r="I48" s="60" t="s">
        <v>1020</v>
      </c>
      <c r="J48" s="61">
        <v>0</v>
      </c>
      <c r="K48" s="61">
        <v>413</v>
      </c>
      <c r="L48" s="63">
        <v>0</v>
      </c>
      <c r="M48" s="61">
        <v>413</v>
      </c>
    </row>
    <row r="49" spans="1:13" x14ac:dyDescent="0.25">
      <c r="A49">
        <v>10060022</v>
      </c>
      <c r="B49" s="6">
        <v>5051.58</v>
      </c>
      <c r="G49" s="23" t="s">
        <v>1069</v>
      </c>
      <c r="H49" s="23">
        <v>20010017</v>
      </c>
      <c r="I49" s="60" t="s">
        <v>1020</v>
      </c>
      <c r="J49" s="61">
        <v>0</v>
      </c>
      <c r="K49" s="61">
        <v>10494.92</v>
      </c>
      <c r="L49" s="63">
        <v>0</v>
      </c>
      <c r="M49" s="61">
        <v>10494.92</v>
      </c>
    </row>
    <row r="50" spans="1:13" x14ac:dyDescent="0.25">
      <c r="A50">
        <v>10060025</v>
      </c>
      <c r="B50" s="6">
        <v>5734.8</v>
      </c>
      <c r="G50" s="23" t="s">
        <v>1070</v>
      </c>
      <c r="H50" s="23">
        <v>20010023</v>
      </c>
      <c r="I50" s="60" t="s">
        <v>1020</v>
      </c>
      <c r="J50" s="61">
        <v>0</v>
      </c>
      <c r="K50" s="61">
        <v>12744</v>
      </c>
      <c r="L50" s="63">
        <v>0</v>
      </c>
      <c r="M50" s="61">
        <v>12744</v>
      </c>
    </row>
    <row r="51" spans="1:13" x14ac:dyDescent="0.25">
      <c r="A51">
        <v>10060026</v>
      </c>
      <c r="B51" s="6">
        <v>1062</v>
      </c>
      <c r="G51" s="23" t="s">
        <v>1071</v>
      </c>
      <c r="H51" s="23">
        <v>20010027</v>
      </c>
      <c r="I51" s="60" t="s">
        <v>1020</v>
      </c>
      <c r="J51" s="61">
        <v>0</v>
      </c>
      <c r="K51" s="61">
        <v>5758.4</v>
      </c>
      <c r="L51" s="63">
        <v>0</v>
      </c>
      <c r="M51" s="61">
        <v>5758.4</v>
      </c>
    </row>
    <row r="52" spans="1:13" x14ac:dyDescent="0.25">
      <c r="A52">
        <v>10060029</v>
      </c>
      <c r="B52" s="6">
        <v>1062</v>
      </c>
      <c r="G52" s="23" t="s">
        <v>1072</v>
      </c>
      <c r="H52" s="23">
        <v>20010041</v>
      </c>
      <c r="I52" s="60" t="s">
        <v>1020</v>
      </c>
      <c r="J52" s="61">
        <v>0</v>
      </c>
      <c r="K52" s="61">
        <v>3304</v>
      </c>
      <c r="L52" s="63">
        <v>0</v>
      </c>
      <c r="M52" s="61">
        <v>3304</v>
      </c>
    </row>
    <row r="53" spans="1:13" x14ac:dyDescent="0.25">
      <c r="A53">
        <v>10060031</v>
      </c>
      <c r="B53" s="6">
        <v>295</v>
      </c>
      <c r="G53" s="23" t="s">
        <v>1073</v>
      </c>
      <c r="H53" s="23">
        <v>20010042</v>
      </c>
      <c r="I53" s="60" t="s">
        <v>1020</v>
      </c>
      <c r="J53" s="61">
        <v>0</v>
      </c>
      <c r="K53" s="61">
        <v>13334</v>
      </c>
      <c r="L53" s="63">
        <v>0</v>
      </c>
      <c r="M53" s="61">
        <v>13334</v>
      </c>
    </row>
    <row r="54" spans="1:13" x14ac:dyDescent="0.25">
      <c r="A54">
        <v>10060032</v>
      </c>
      <c r="B54" s="6">
        <v>625.4</v>
      </c>
      <c r="G54" s="23" t="s">
        <v>1074</v>
      </c>
      <c r="H54" s="23">
        <v>20010051</v>
      </c>
      <c r="I54" s="60" t="s">
        <v>1020</v>
      </c>
      <c r="J54" s="61">
        <v>0</v>
      </c>
      <c r="K54" s="61">
        <v>9440</v>
      </c>
      <c r="L54" s="63">
        <v>0</v>
      </c>
      <c r="M54" s="61">
        <v>9440</v>
      </c>
    </row>
    <row r="55" spans="1:13" x14ac:dyDescent="0.25">
      <c r="A55">
        <v>10060033</v>
      </c>
      <c r="B55" s="6">
        <v>413</v>
      </c>
      <c r="G55" s="23" t="s">
        <v>1075</v>
      </c>
      <c r="H55" s="23">
        <v>20010054</v>
      </c>
      <c r="I55" s="60" t="s">
        <v>1020</v>
      </c>
      <c r="J55" s="61">
        <v>0</v>
      </c>
      <c r="K55" s="61">
        <v>991.2</v>
      </c>
      <c r="L55" s="63">
        <v>0</v>
      </c>
      <c r="M55" s="61">
        <v>991.2</v>
      </c>
    </row>
    <row r="56" spans="1:13" x14ac:dyDescent="0.25">
      <c r="A56">
        <v>10060034</v>
      </c>
      <c r="B56" s="6">
        <v>2867.4</v>
      </c>
      <c r="G56" s="23" t="s">
        <v>1076</v>
      </c>
      <c r="H56" s="23">
        <v>20020002</v>
      </c>
      <c r="I56" s="60" t="s">
        <v>1020</v>
      </c>
      <c r="J56" s="61">
        <v>0</v>
      </c>
      <c r="K56" s="61">
        <v>20060</v>
      </c>
      <c r="L56" s="63">
        <v>0</v>
      </c>
      <c r="M56" s="61">
        <v>20060</v>
      </c>
    </row>
    <row r="57" spans="1:13" x14ac:dyDescent="0.25">
      <c r="A57">
        <v>10060036</v>
      </c>
      <c r="B57" s="6">
        <v>269.04000000000002</v>
      </c>
      <c r="G57" s="23" t="s">
        <v>1077</v>
      </c>
      <c r="H57" s="23">
        <v>20020003</v>
      </c>
      <c r="I57" s="60" t="s">
        <v>1020</v>
      </c>
      <c r="J57" s="61">
        <v>0</v>
      </c>
      <c r="K57" s="61">
        <v>4277.5</v>
      </c>
      <c r="L57" s="63">
        <v>0</v>
      </c>
      <c r="M57" s="61">
        <v>4277.5</v>
      </c>
    </row>
    <row r="58" spans="1:13" x14ac:dyDescent="0.25">
      <c r="A58">
        <v>10060049</v>
      </c>
      <c r="B58" s="6">
        <v>165.2</v>
      </c>
      <c r="G58" s="23" t="s">
        <v>1078</v>
      </c>
      <c r="H58" s="23">
        <v>20020004</v>
      </c>
      <c r="I58" s="60" t="s">
        <v>1020</v>
      </c>
      <c r="J58" s="61">
        <v>0</v>
      </c>
      <c r="K58" s="61">
        <v>9440</v>
      </c>
      <c r="L58" s="63">
        <v>0</v>
      </c>
      <c r="M58" s="61">
        <v>9440</v>
      </c>
    </row>
    <row r="59" spans="1:13" x14ac:dyDescent="0.25">
      <c r="A59">
        <v>10060058</v>
      </c>
      <c r="B59" s="6">
        <v>413</v>
      </c>
      <c r="G59" s="23" t="s">
        <v>1079</v>
      </c>
      <c r="H59" s="23">
        <v>20020006</v>
      </c>
      <c r="I59" s="60" t="s">
        <v>1020</v>
      </c>
      <c r="J59" s="61">
        <v>0</v>
      </c>
      <c r="K59" s="61">
        <v>10030</v>
      </c>
      <c r="L59" s="63">
        <v>0</v>
      </c>
      <c r="M59" s="61">
        <v>10030</v>
      </c>
    </row>
    <row r="60" spans="1:13" x14ac:dyDescent="0.25">
      <c r="A60">
        <v>10060064</v>
      </c>
      <c r="B60" s="6">
        <v>1840.8</v>
      </c>
      <c r="G60" s="23" t="s">
        <v>1080</v>
      </c>
      <c r="H60" s="23">
        <v>20020007</v>
      </c>
      <c r="I60" s="60" t="s">
        <v>1020</v>
      </c>
      <c r="J60" s="61">
        <v>0</v>
      </c>
      <c r="K60" s="61">
        <v>3304</v>
      </c>
      <c r="L60" s="63">
        <v>0</v>
      </c>
      <c r="M60" s="61">
        <v>3304</v>
      </c>
    </row>
    <row r="61" spans="1:13" x14ac:dyDescent="0.25">
      <c r="A61">
        <v>10060069</v>
      </c>
      <c r="B61" s="6">
        <v>3374.8</v>
      </c>
      <c r="G61" s="23" t="s">
        <v>1081</v>
      </c>
      <c r="H61" s="23">
        <v>20020014</v>
      </c>
      <c r="I61" s="60" t="s">
        <v>1020</v>
      </c>
      <c r="J61" s="61">
        <v>0</v>
      </c>
      <c r="K61" s="61">
        <v>3304</v>
      </c>
      <c r="L61" s="63">
        <v>0</v>
      </c>
      <c r="M61" s="61">
        <v>3304</v>
      </c>
    </row>
    <row r="62" spans="1:13" x14ac:dyDescent="0.25">
      <c r="A62">
        <v>10060074</v>
      </c>
      <c r="B62" s="6">
        <v>2770.6400000000003</v>
      </c>
      <c r="G62" s="23" t="s">
        <v>1082</v>
      </c>
      <c r="H62" s="23">
        <v>20030005</v>
      </c>
      <c r="I62" s="60" t="s">
        <v>1020</v>
      </c>
      <c r="J62" s="61">
        <v>0</v>
      </c>
      <c r="K62" s="61">
        <v>11226.52</v>
      </c>
      <c r="L62" s="63">
        <v>0</v>
      </c>
      <c r="M62" s="61">
        <v>11226.52</v>
      </c>
    </row>
    <row r="63" spans="1:13" x14ac:dyDescent="0.25">
      <c r="A63">
        <v>10060109</v>
      </c>
      <c r="B63" s="6">
        <v>424.8</v>
      </c>
      <c r="G63" s="23" t="s">
        <v>1083</v>
      </c>
      <c r="H63" s="23">
        <v>20040004</v>
      </c>
      <c r="I63" s="60" t="s">
        <v>1020</v>
      </c>
      <c r="J63" s="61">
        <v>0</v>
      </c>
      <c r="K63" s="61">
        <v>99.12</v>
      </c>
      <c r="L63" s="63">
        <v>0</v>
      </c>
      <c r="M63" s="61">
        <v>99.12</v>
      </c>
    </row>
    <row r="64" spans="1:13" x14ac:dyDescent="0.25">
      <c r="A64">
        <v>10060114</v>
      </c>
      <c r="B64" s="6">
        <v>413</v>
      </c>
      <c r="G64" s="23" t="s">
        <v>1084</v>
      </c>
      <c r="H64" s="23">
        <v>20040006</v>
      </c>
      <c r="I64" s="60" t="s">
        <v>1020</v>
      </c>
      <c r="J64" s="61">
        <v>0</v>
      </c>
      <c r="K64" s="61">
        <v>9440</v>
      </c>
      <c r="L64" s="63">
        <v>0</v>
      </c>
      <c r="M64" s="61">
        <v>9440</v>
      </c>
    </row>
    <row r="65" spans="1:13" x14ac:dyDescent="0.25">
      <c r="A65">
        <v>10060116</v>
      </c>
      <c r="B65" s="6">
        <v>413</v>
      </c>
      <c r="G65" s="23" t="s">
        <v>1085</v>
      </c>
      <c r="H65" s="23">
        <v>20060004</v>
      </c>
      <c r="I65" s="60" t="s">
        <v>1020</v>
      </c>
      <c r="J65" s="61">
        <v>0</v>
      </c>
      <c r="K65" s="61">
        <v>6973.8</v>
      </c>
      <c r="L65" s="63">
        <v>0</v>
      </c>
      <c r="M65" s="61">
        <v>6973.8</v>
      </c>
    </row>
    <row r="66" spans="1:13" x14ac:dyDescent="0.25">
      <c r="A66">
        <v>10070048</v>
      </c>
      <c r="B66" s="6">
        <v>2183</v>
      </c>
      <c r="G66" s="23" t="s">
        <v>1086</v>
      </c>
      <c r="H66" s="23">
        <v>20060007</v>
      </c>
      <c r="I66" s="60" t="s">
        <v>1020</v>
      </c>
      <c r="J66" s="61">
        <v>0</v>
      </c>
      <c r="K66" s="61">
        <v>99.12</v>
      </c>
      <c r="L66" s="63">
        <v>0</v>
      </c>
      <c r="M66" s="61">
        <v>99.12</v>
      </c>
    </row>
    <row r="67" spans="1:13" x14ac:dyDescent="0.25">
      <c r="A67">
        <v>10070049</v>
      </c>
      <c r="B67" s="6">
        <v>826</v>
      </c>
      <c r="G67" s="23" t="s">
        <v>1087</v>
      </c>
      <c r="H67" s="23">
        <v>20060009</v>
      </c>
      <c r="I67" s="60" t="s">
        <v>1020</v>
      </c>
      <c r="J67" s="61">
        <v>0</v>
      </c>
      <c r="K67" s="61">
        <v>413</v>
      </c>
      <c r="L67" s="63">
        <v>0</v>
      </c>
      <c r="M67" s="61">
        <v>413</v>
      </c>
    </row>
    <row r="68" spans="1:13" x14ac:dyDescent="0.25">
      <c r="A68">
        <v>10070063</v>
      </c>
      <c r="B68" s="6">
        <v>4808.5</v>
      </c>
      <c r="G68" s="23" t="s">
        <v>1088</v>
      </c>
      <c r="H68" s="23">
        <v>20070010</v>
      </c>
      <c r="I68" s="60" t="s">
        <v>1020</v>
      </c>
      <c r="J68" s="61">
        <v>0</v>
      </c>
      <c r="K68" s="61">
        <v>10030</v>
      </c>
      <c r="L68" s="63">
        <v>0</v>
      </c>
      <c r="M68" s="61">
        <v>10030</v>
      </c>
    </row>
    <row r="69" spans="1:13" x14ac:dyDescent="0.25">
      <c r="A69">
        <v>10080015</v>
      </c>
      <c r="B69" s="6">
        <v>1536.3600000000001</v>
      </c>
      <c r="G69" s="23" t="s">
        <v>1089</v>
      </c>
      <c r="H69" s="23">
        <v>20080018</v>
      </c>
      <c r="I69" s="60" t="s">
        <v>1020</v>
      </c>
      <c r="J69" s="61">
        <v>0</v>
      </c>
      <c r="K69" s="61">
        <v>11894.4</v>
      </c>
      <c r="L69" s="63">
        <v>0</v>
      </c>
      <c r="M69" s="61">
        <v>11894.4</v>
      </c>
    </row>
    <row r="70" spans="1:13" x14ac:dyDescent="0.25">
      <c r="A70">
        <v>10080016</v>
      </c>
      <c r="B70" s="6">
        <v>1398.3</v>
      </c>
      <c r="G70" s="23" t="s">
        <v>1090</v>
      </c>
      <c r="H70" s="23">
        <v>20090012</v>
      </c>
      <c r="I70" s="60" t="s">
        <v>1020</v>
      </c>
      <c r="J70" s="61">
        <v>0</v>
      </c>
      <c r="K70" s="61">
        <v>82.6</v>
      </c>
      <c r="L70" s="63">
        <v>0</v>
      </c>
      <c r="M70" s="61">
        <v>82.6</v>
      </c>
    </row>
    <row r="71" spans="1:13" x14ac:dyDescent="0.25">
      <c r="A71">
        <v>10080032</v>
      </c>
      <c r="B71" s="6">
        <v>413</v>
      </c>
      <c r="G71" s="23" t="s">
        <v>1091</v>
      </c>
      <c r="H71" s="23">
        <v>20090014</v>
      </c>
      <c r="I71" s="60" t="s">
        <v>1020</v>
      </c>
      <c r="J71" s="61">
        <v>0</v>
      </c>
      <c r="K71" s="61">
        <v>2797.78</v>
      </c>
      <c r="L71" s="63">
        <v>0</v>
      </c>
      <c r="M71" s="61">
        <v>2797.78</v>
      </c>
    </row>
    <row r="72" spans="1:13" x14ac:dyDescent="0.25">
      <c r="A72">
        <v>10080048</v>
      </c>
      <c r="B72" s="6">
        <v>2360</v>
      </c>
      <c r="G72" s="23" t="s">
        <v>1092</v>
      </c>
      <c r="H72" s="23">
        <v>30200028</v>
      </c>
      <c r="I72" s="60" t="s">
        <v>1020</v>
      </c>
      <c r="J72" s="61">
        <v>0</v>
      </c>
      <c r="K72" s="61">
        <v>10030</v>
      </c>
      <c r="L72" s="63">
        <v>0</v>
      </c>
      <c r="M72" s="61">
        <v>10030</v>
      </c>
    </row>
    <row r="73" spans="1:13" x14ac:dyDescent="0.25">
      <c r="A73">
        <v>10080055</v>
      </c>
      <c r="B73" s="6">
        <v>202.96</v>
      </c>
      <c r="G73" s="23" t="s">
        <v>1093</v>
      </c>
      <c r="H73" s="23">
        <v>10010102</v>
      </c>
      <c r="I73" s="60" t="s">
        <v>1020</v>
      </c>
      <c r="J73" s="61">
        <v>0</v>
      </c>
      <c r="K73" s="61">
        <v>826</v>
      </c>
      <c r="L73" s="63">
        <v>0</v>
      </c>
      <c r="M73" s="61">
        <v>826</v>
      </c>
    </row>
    <row r="74" spans="1:13" x14ac:dyDescent="0.25">
      <c r="A74">
        <v>10080070</v>
      </c>
      <c r="B74" s="6">
        <v>3127</v>
      </c>
      <c r="G74" s="23" t="s">
        <v>1094</v>
      </c>
      <c r="H74" s="23">
        <v>10030030</v>
      </c>
      <c r="I74" s="60" t="s">
        <v>1020</v>
      </c>
      <c r="J74" s="61">
        <v>0</v>
      </c>
      <c r="K74" s="61">
        <v>2761.2000000000003</v>
      </c>
      <c r="L74" s="63">
        <v>0</v>
      </c>
      <c r="M74" s="61">
        <v>2761.2000000000003</v>
      </c>
    </row>
    <row r="75" spans="1:13" x14ac:dyDescent="0.25">
      <c r="A75">
        <v>10080077</v>
      </c>
      <c r="B75" s="6">
        <v>2454.4</v>
      </c>
      <c r="G75" s="23" t="s">
        <v>1095</v>
      </c>
      <c r="H75" s="23">
        <v>1008</v>
      </c>
      <c r="I75" s="60" t="s">
        <v>1020</v>
      </c>
      <c r="J75" s="61">
        <v>0</v>
      </c>
      <c r="K75" s="61">
        <v>2815.48</v>
      </c>
      <c r="L75" s="63">
        <v>0</v>
      </c>
      <c r="M75" s="61">
        <v>2815.48</v>
      </c>
    </row>
    <row r="76" spans="1:13" x14ac:dyDescent="0.25">
      <c r="A76">
        <v>10080087</v>
      </c>
      <c r="B76" s="6">
        <v>4139.4399999999996</v>
      </c>
      <c r="G76" s="23" t="s">
        <v>1096</v>
      </c>
      <c r="H76" s="23">
        <v>10060073</v>
      </c>
      <c r="I76" s="60" t="s">
        <v>1020</v>
      </c>
      <c r="J76" s="61">
        <v>0</v>
      </c>
      <c r="K76" s="61">
        <v>413</v>
      </c>
      <c r="L76" s="63">
        <v>0</v>
      </c>
      <c r="M76" s="61">
        <v>413</v>
      </c>
    </row>
    <row r="77" spans="1:13" x14ac:dyDescent="0.25">
      <c r="A77">
        <v>10080088</v>
      </c>
      <c r="B77" s="6">
        <v>51.92</v>
      </c>
      <c r="G77" s="23" t="s">
        <v>1097</v>
      </c>
      <c r="H77" s="23">
        <v>10010100</v>
      </c>
      <c r="I77" s="60" t="s">
        <v>1020</v>
      </c>
      <c r="J77" s="61">
        <v>0</v>
      </c>
      <c r="K77" s="61">
        <v>2478</v>
      </c>
      <c r="L77" s="63">
        <v>0</v>
      </c>
      <c r="M77" s="61">
        <v>2478</v>
      </c>
    </row>
    <row r="78" spans="1:13" x14ac:dyDescent="0.25">
      <c r="A78">
        <v>10080100</v>
      </c>
      <c r="B78" s="6">
        <v>4366</v>
      </c>
      <c r="G78" s="23" t="s">
        <v>1098</v>
      </c>
      <c r="H78" s="23">
        <v>1011</v>
      </c>
      <c r="I78" s="60" t="s">
        <v>1020</v>
      </c>
      <c r="J78" s="61">
        <v>0</v>
      </c>
      <c r="K78" s="61">
        <v>4449.78</v>
      </c>
      <c r="L78" s="63">
        <v>0</v>
      </c>
      <c r="M78" s="61">
        <v>4449.78</v>
      </c>
    </row>
    <row r="79" spans="1:13" x14ac:dyDescent="0.25">
      <c r="A79">
        <v>10080106</v>
      </c>
      <c r="B79" s="6">
        <v>285.56</v>
      </c>
      <c r="G79" s="23" t="s">
        <v>1099</v>
      </c>
      <c r="H79" s="23">
        <v>1002</v>
      </c>
      <c r="I79" s="60" t="s">
        <v>1020</v>
      </c>
      <c r="J79" s="61">
        <v>0</v>
      </c>
      <c r="K79" s="61">
        <v>1321.6</v>
      </c>
      <c r="L79" s="63">
        <v>0</v>
      </c>
      <c r="M79" s="61">
        <v>1321.6</v>
      </c>
    </row>
    <row r="80" spans="1:13" x14ac:dyDescent="0.25">
      <c r="A80">
        <v>10090001</v>
      </c>
      <c r="B80" s="6">
        <v>424.8</v>
      </c>
      <c r="G80" s="23" t="s">
        <v>1100</v>
      </c>
      <c r="H80" s="23">
        <v>1001</v>
      </c>
      <c r="I80" s="60" t="s">
        <v>1020</v>
      </c>
      <c r="J80" s="61">
        <v>0</v>
      </c>
      <c r="K80" s="61">
        <v>5587.3</v>
      </c>
      <c r="L80" s="63">
        <v>0</v>
      </c>
      <c r="M80" s="61">
        <v>5587.3</v>
      </c>
    </row>
    <row r="81" spans="1:13" x14ac:dyDescent="0.25">
      <c r="A81">
        <v>10090002</v>
      </c>
      <c r="B81" s="6">
        <v>1659.08</v>
      </c>
      <c r="G81" s="23" t="s">
        <v>1101</v>
      </c>
      <c r="H81" s="23">
        <v>1009</v>
      </c>
      <c r="I81" s="60" t="s">
        <v>1020</v>
      </c>
      <c r="J81" s="61">
        <v>0</v>
      </c>
      <c r="K81" s="61">
        <v>3280.4</v>
      </c>
      <c r="L81" s="63">
        <v>0</v>
      </c>
      <c r="M81" s="61">
        <v>3280.4</v>
      </c>
    </row>
    <row r="82" spans="1:13" x14ac:dyDescent="0.25">
      <c r="A82">
        <v>10090004</v>
      </c>
      <c r="B82" s="6">
        <v>1333.4</v>
      </c>
      <c r="G82" s="23" t="s">
        <v>1102</v>
      </c>
      <c r="H82" s="23">
        <v>10130096</v>
      </c>
      <c r="I82" s="60" t="s">
        <v>1020</v>
      </c>
      <c r="J82" s="61">
        <v>0</v>
      </c>
      <c r="K82" s="61">
        <v>181.72</v>
      </c>
      <c r="L82" s="63">
        <v>0</v>
      </c>
      <c r="M82" s="61">
        <v>181.72</v>
      </c>
    </row>
    <row r="83" spans="1:13" x14ac:dyDescent="0.25">
      <c r="A83">
        <v>10090006</v>
      </c>
      <c r="B83" s="6">
        <v>2159.4</v>
      </c>
      <c r="G83" s="23" t="s">
        <v>1103</v>
      </c>
      <c r="H83" s="23">
        <v>1013</v>
      </c>
      <c r="I83" s="60" t="s">
        <v>1020</v>
      </c>
      <c r="J83" s="61">
        <v>0</v>
      </c>
      <c r="K83" s="61">
        <v>5594.38</v>
      </c>
      <c r="L83" s="63">
        <v>0</v>
      </c>
      <c r="M83" s="61">
        <v>5594.38</v>
      </c>
    </row>
    <row r="84" spans="1:13" x14ac:dyDescent="0.25">
      <c r="A84">
        <v>10090007</v>
      </c>
      <c r="B84" s="6">
        <v>424.8</v>
      </c>
      <c r="G84" s="23" t="s">
        <v>1104</v>
      </c>
      <c r="H84" s="23">
        <v>1007</v>
      </c>
      <c r="I84" s="60" t="s">
        <v>1020</v>
      </c>
      <c r="J84" s="61">
        <v>0</v>
      </c>
      <c r="K84" s="61">
        <v>7179.12</v>
      </c>
      <c r="L84" s="63">
        <v>0</v>
      </c>
      <c r="M84" s="61">
        <v>7179.12</v>
      </c>
    </row>
    <row r="85" spans="1:13" x14ac:dyDescent="0.25">
      <c r="A85">
        <v>10090008</v>
      </c>
      <c r="B85" s="6">
        <v>3304</v>
      </c>
      <c r="G85" s="23" t="s">
        <v>1105</v>
      </c>
      <c r="H85" s="23">
        <v>10110113</v>
      </c>
      <c r="I85" s="60" t="s">
        <v>1020</v>
      </c>
      <c r="J85" s="61">
        <v>0</v>
      </c>
      <c r="K85" s="61">
        <v>413</v>
      </c>
      <c r="L85" s="63">
        <v>0</v>
      </c>
      <c r="M85" s="61">
        <v>413</v>
      </c>
    </row>
    <row r="86" spans="1:13" x14ac:dyDescent="0.25">
      <c r="A86">
        <v>10090015</v>
      </c>
      <c r="B86" s="6">
        <v>908.6</v>
      </c>
      <c r="G86" s="23" t="s">
        <v>1106</v>
      </c>
      <c r="H86" s="23">
        <v>2003</v>
      </c>
      <c r="I86" s="60" t="s">
        <v>1020</v>
      </c>
      <c r="J86" s="61">
        <v>0</v>
      </c>
      <c r="K86" s="61">
        <v>10030</v>
      </c>
      <c r="L86" s="63">
        <v>0</v>
      </c>
      <c r="M86" s="61">
        <v>10030</v>
      </c>
    </row>
    <row r="87" spans="1:13" x14ac:dyDescent="0.25">
      <c r="A87">
        <v>10090023</v>
      </c>
      <c r="B87" s="6">
        <v>103.84</v>
      </c>
      <c r="G87" s="23" t="s">
        <v>1107</v>
      </c>
      <c r="H87" s="23">
        <v>20010002</v>
      </c>
      <c r="I87" s="60" t="s">
        <v>1020</v>
      </c>
      <c r="J87" s="61">
        <v>0</v>
      </c>
      <c r="K87" s="61">
        <v>413</v>
      </c>
      <c r="L87" s="63">
        <v>0</v>
      </c>
      <c r="M87" s="61">
        <v>413</v>
      </c>
    </row>
    <row r="88" spans="1:13" x14ac:dyDescent="0.25">
      <c r="A88">
        <v>10090024</v>
      </c>
      <c r="B88" s="6">
        <v>973.5</v>
      </c>
      <c r="G88" s="23" t="s">
        <v>1108</v>
      </c>
      <c r="H88" s="23">
        <v>0</v>
      </c>
      <c r="I88" s="60" t="s">
        <v>1020</v>
      </c>
      <c r="J88" s="61">
        <v>0</v>
      </c>
      <c r="K88" s="61">
        <v>26480.380000000005</v>
      </c>
      <c r="L88" s="63">
        <v>0</v>
      </c>
      <c r="M88" s="61">
        <v>26480.380000000005</v>
      </c>
    </row>
    <row r="89" spans="1:13" x14ac:dyDescent="0.25">
      <c r="A89">
        <v>10090029</v>
      </c>
      <c r="B89" s="6">
        <v>3304</v>
      </c>
      <c r="G89" s="23" t="s">
        <v>1109</v>
      </c>
      <c r="H89" s="23">
        <v>1014</v>
      </c>
      <c r="I89" s="60" t="s">
        <v>1020</v>
      </c>
      <c r="J89" s="61">
        <v>0</v>
      </c>
      <c r="K89" s="61">
        <v>413</v>
      </c>
      <c r="L89" s="63">
        <v>0</v>
      </c>
      <c r="M89" s="61">
        <v>413</v>
      </c>
    </row>
    <row r="90" spans="1:13" x14ac:dyDescent="0.25">
      <c r="A90">
        <v>10090030</v>
      </c>
      <c r="B90" s="6">
        <v>1321.6</v>
      </c>
      <c r="G90" s="23" t="s">
        <v>1110</v>
      </c>
      <c r="H90" s="23">
        <v>10030067</v>
      </c>
      <c r="I90" s="60" t="s">
        <v>1020</v>
      </c>
      <c r="J90" s="61">
        <v>0</v>
      </c>
      <c r="K90" s="61">
        <v>413</v>
      </c>
      <c r="L90" s="63">
        <v>0</v>
      </c>
      <c r="M90" s="61">
        <v>413</v>
      </c>
    </row>
    <row r="91" spans="1:13" x14ac:dyDescent="0.25">
      <c r="A91">
        <v>10090033</v>
      </c>
      <c r="B91" s="6">
        <v>413</v>
      </c>
      <c r="G91" s="23" t="s">
        <v>1111</v>
      </c>
      <c r="H91" s="23">
        <v>1003</v>
      </c>
      <c r="I91" s="60" t="s">
        <v>1020</v>
      </c>
      <c r="J91" s="61">
        <v>0</v>
      </c>
      <c r="K91" s="61">
        <v>379.95999999999992</v>
      </c>
      <c r="L91" s="63">
        <v>0</v>
      </c>
      <c r="M91" s="61">
        <v>379.95999999999992</v>
      </c>
    </row>
    <row r="92" spans="1:13" x14ac:dyDescent="0.25">
      <c r="A92">
        <v>10090036</v>
      </c>
      <c r="B92" s="6">
        <v>1097.4000000000001</v>
      </c>
      <c r="G92" s="23" t="s">
        <v>1112</v>
      </c>
      <c r="H92" s="23">
        <v>10010038</v>
      </c>
      <c r="I92" s="60" t="s">
        <v>1020</v>
      </c>
      <c r="J92" s="61" t="s">
        <v>1113</v>
      </c>
      <c r="K92" s="61">
        <v>615.96</v>
      </c>
      <c r="L92" s="63">
        <v>615.96</v>
      </c>
      <c r="M92" s="61">
        <v>0</v>
      </c>
    </row>
    <row r="93" spans="1:13" x14ac:dyDescent="0.25">
      <c r="A93">
        <v>10090039</v>
      </c>
      <c r="B93" s="6">
        <v>6023.9</v>
      </c>
      <c r="G93" s="23" t="s">
        <v>1114</v>
      </c>
      <c r="H93" s="23">
        <v>10010044</v>
      </c>
      <c r="I93" s="60" t="s">
        <v>1020</v>
      </c>
      <c r="J93" s="61" t="s">
        <v>1113</v>
      </c>
      <c r="K93" s="61">
        <v>932.2</v>
      </c>
      <c r="L93" s="63">
        <v>932.2</v>
      </c>
      <c r="M93" s="61">
        <v>0</v>
      </c>
    </row>
    <row r="94" spans="1:13" x14ac:dyDescent="0.25">
      <c r="A94">
        <v>10090042</v>
      </c>
      <c r="B94" s="6">
        <v>51.92</v>
      </c>
      <c r="G94" s="23" t="s">
        <v>1115</v>
      </c>
      <c r="H94" s="23">
        <v>10010082</v>
      </c>
      <c r="I94" s="60" t="s">
        <v>1020</v>
      </c>
      <c r="J94" s="61" t="s">
        <v>1113</v>
      </c>
      <c r="K94" s="61">
        <v>1062</v>
      </c>
      <c r="L94" s="63">
        <v>0</v>
      </c>
      <c r="M94" s="61">
        <v>1062</v>
      </c>
    </row>
    <row r="95" spans="1:13" x14ac:dyDescent="0.25">
      <c r="A95">
        <v>10090046</v>
      </c>
      <c r="B95" s="6">
        <v>165.2</v>
      </c>
      <c r="G95" s="23" t="s">
        <v>1116</v>
      </c>
      <c r="H95" s="23">
        <v>10010095</v>
      </c>
      <c r="I95" s="60" t="s">
        <v>1020</v>
      </c>
      <c r="J95" s="61" t="s">
        <v>1113</v>
      </c>
      <c r="K95" s="61">
        <v>413</v>
      </c>
      <c r="L95" s="63">
        <v>413</v>
      </c>
      <c r="M95" s="61">
        <v>0</v>
      </c>
    </row>
    <row r="96" spans="1:13" x14ac:dyDescent="0.25">
      <c r="A96">
        <v>10090057</v>
      </c>
      <c r="B96" s="6">
        <v>2773</v>
      </c>
      <c r="G96" s="23" t="s">
        <v>1117</v>
      </c>
      <c r="H96" s="23">
        <v>10010103</v>
      </c>
      <c r="I96" s="60" t="s">
        <v>1020</v>
      </c>
      <c r="J96" s="61" t="s">
        <v>1113</v>
      </c>
      <c r="K96" s="61">
        <v>165.2</v>
      </c>
      <c r="L96" s="63">
        <v>165.2</v>
      </c>
      <c r="M96" s="61">
        <v>0</v>
      </c>
    </row>
    <row r="97" spans="1:13" x14ac:dyDescent="0.25">
      <c r="A97">
        <v>10090059</v>
      </c>
      <c r="B97" s="6">
        <v>1062</v>
      </c>
      <c r="G97" s="23" t="s">
        <v>1118</v>
      </c>
      <c r="H97" s="23">
        <v>10020002</v>
      </c>
      <c r="I97" s="60" t="s">
        <v>1020</v>
      </c>
      <c r="J97" s="61" t="s">
        <v>1113</v>
      </c>
      <c r="K97" s="61">
        <v>3569.5</v>
      </c>
      <c r="L97" s="63">
        <v>3569.5</v>
      </c>
      <c r="M97" s="61">
        <v>0</v>
      </c>
    </row>
    <row r="98" spans="1:13" x14ac:dyDescent="0.25">
      <c r="A98">
        <v>10090065</v>
      </c>
      <c r="B98" s="6">
        <v>826</v>
      </c>
      <c r="G98" s="23" t="s">
        <v>1119</v>
      </c>
      <c r="H98" s="23">
        <v>10020023</v>
      </c>
      <c r="I98" s="60" t="s">
        <v>1020</v>
      </c>
      <c r="J98" s="61" t="s">
        <v>1113</v>
      </c>
      <c r="K98" s="61">
        <v>3693.4</v>
      </c>
      <c r="L98" s="63">
        <v>2476</v>
      </c>
      <c r="M98" s="61">
        <v>1217.4000000000001</v>
      </c>
    </row>
    <row r="99" spans="1:13" x14ac:dyDescent="0.25">
      <c r="A99">
        <v>10090066</v>
      </c>
      <c r="B99" s="6">
        <v>1062</v>
      </c>
      <c r="G99" s="23" t="s">
        <v>1120</v>
      </c>
      <c r="H99" s="23">
        <v>10020026</v>
      </c>
      <c r="I99" s="60" t="s">
        <v>1020</v>
      </c>
      <c r="J99" s="61" t="s">
        <v>1113</v>
      </c>
      <c r="K99" s="61">
        <v>5534.2</v>
      </c>
      <c r="L99" s="63">
        <v>5534.2</v>
      </c>
      <c r="M99" s="61">
        <v>0</v>
      </c>
    </row>
    <row r="100" spans="1:13" x14ac:dyDescent="0.25">
      <c r="A100">
        <v>10100049</v>
      </c>
      <c r="B100" s="6">
        <v>1062</v>
      </c>
      <c r="G100" s="23" t="s">
        <v>1121</v>
      </c>
      <c r="H100" s="23">
        <v>10020029</v>
      </c>
      <c r="I100" s="60" t="s">
        <v>1020</v>
      </c>
      <c r="J100" s="61" t="s">
        <v>1113</v>
      </c>
      <c r="K100" s="61">
        <v>165.2</v>
      </c>
      <c r="L100" s="63">
        <v>0</v>
      </c>
      <c r="M100" s="61">
        <v>165.2</v>
      </c>
    </row>
    <row r="101" spans="1:13" x14ac:dyDescent="0.25">
      <c r="A101">
        <v>10100056</v>
      </c>
      <c r="B101" s="6">
        <v>1536.3600000000001</v>
      </c>
      <c r="G101" s="23" t="s">
        <v>1122</v>
      </c>
      <c r="H101" s="23">
        <v>10020032</v>
      </c>
      <c r="I101" s="60" t="s">
        <v>1020</v>
      </c>
      <c r="J101" s="61" t="s">
        <v>1113</v>
      </c>
      <c r="K101" s="61">
        <v>1073.8</v>
      </c>
      <c r="L101" s="63">
        <v>1073.8</v>
      </c>
      <c r="M101" s="61">
        <v>0</v>
      </c>
    </row>
    <row r="102" spans="1:13" x14ac:dyDescent="0.25">
      <c r="A102">
        <v>10110017</v>
      </c>
      <c r="B102" s="6">
        <v>413</v>
      </c>
      <c r="G102" s="23" t="s">
        <v>1123</v>
      </c>
      <c r="H102" s="23">
        <v>10020034</v>
      </c>
      <c r="I102" s="60" t="s">
        <v>1020</v>
      </c>
      <c r="J102" s="61" t="s">
        <v>1113</v>
      </c>
      <c r="K102" s="61">
        <v>3304</v>
      </c>
      <c r="L102" s="63">
        <v>3304</v>
      </c>
      <c r="M102" s="61">
        <v>0</v>
      </c>
    </row>
    <row r="103" spans="1:13" x14ac:dyDescent="0.25">
      <c r="A103">
        <v>10110019</v>
      </c>
      <c r="B103" s="6">
        <v>3304</v>
      </c>
      <c r="G103" s="23" t="s">
        <v>1124</v>
      </c>
      <c r="H103" s="23">
        <v>10020035</v>
      </c>
      <c r="I103" s="60" t="s">
        <v>1020</v>
      </c>
      <c r="J103" s="61" t="s">
        <v>1113</v>
      </c>
      <c r="K103" s="61">
        <v>265.5</v>
      </c>
      <c r="L103" s="63">
        <v>265.5</v>
      </c>
      <c r="M103" s="61">
        <v>0</v>
      </c>
    </row>
    <row r="104" spans="1:13" x14ac:dyDescent="0.25">
      <c r="A104">
        <v>10110021</v>
      </c>
      <c r="B104" s="6">
        <v>264.32</v>
      </c>
      <c r="G104" s="23" t="s">
        <v>1125</v>
      </c>
      <c r="H104" s="23">
        <v>10020041</v>
      </c>
      <c r="I104" s="60" t="s">
        <v>1020</v>
      </c>
      <c r="J104" s="61" t="s">
        <v>1113</v>
      </c>
      <c r="K104" s="61">
        <v>908.6</v>
      </c>
      <c r="L104" s="63">
        <v>847</v>
      </c>
      <c r="M104" s="61">
        <v>61.600000000000023</v>
      </c>
    </row>
    <row r="105" spans="1:13" x14ac:dyDescent="0.25">
      <c r="A105">
        <v>10110044</v>
      </c>
      <c r="B105" s="6">
        <v>2454.4</v>
      </c>
      <c r="G105" s="23" t="s">
        <v>1126</v>
      </c>
      <c r="H105" s="23">
        <v>10020042</v>
      </c>
      <c r="I105" s="60" t="s">
        <v>1020</v>
      </c>
      <c r="J105" s="61" t="s">
        <v>1113</v>
      </c>
      <c r="K105" s="61">
        <v>3132.9</v>
      </c>
      <c r="L105" s="63">
        <v>3132.9</v>
      </c>
      <c r="M105" s="61">
        <v>0</v>
      </c>
    </row>
    <row r="106" spans="1:13" x14ac:dyDescent="0.25">
      <c r="A106">
        <v>10110049</v>
      </c>
      <c r="B106" s="6">
        <v>2867.4</v>
      </c>
      <c r="G106" s="23" t="s">
        <v>1127</v>
      </c>
      <c r="H106" s="23">
        <v>10020043</v>
      </c>
      <c r="I106" s="60" t="s">
        <v>1020</v>
      </c>
      <c r="J106" s="61" t="s">
        <v>1113</v>
      </c>
      <c r="K106" s="61">
        <v>330.4</v>
      </c>
      <c r="L106" s="63">
        <v>330.4</v>
      </c>
      <c r="M106" s="61">
        <v>0</v>
      </c>
    </row>
    <row r="107" spans="1:13" x14ac:dyDescent="0.25">
      <c r="A107">
        <v>10110055</v>
      </c>
      <c r="B107" s="6">
        <v>6259.9</v>
      </c>
      <c r="G107" s="23" t="s">
        <v>1128</v>
      </c>
      <c r="H107" s="23">
        <v>10020059</v>
      </c>
      <c r="I107" s="60" t="s">
        <v>1020</v>
      </c>
      <c r="J107" s="61" t="s">
        <v>1113</v>
      </c>
      <c r="K107" s="61">
        <v>1493.88</v>
      </c>
      <c r="L107" s="63">
        <v>1493.88</v>
      </c>
      <c r="M107" s="61">
        <v>0</v>
      </c>
    </row>
    <row r="108" spans="1:13" x14ac:dyDescent="0.25">
      <c r="A108">
        <v>10110056</v>
      </c>
      <c r="B108" s="6">
        <v>920.4</v>
      </c>
      <c r="G108" s="23" t="s">
        <v>1129</v>
      </c>
      <c r="H108" s="23">
        <v>10020062</v>
      </c>
      <c r="I108" s="60" t="s">
        <v>1020</v>
      </c>
      <c r="J108" s="61" t="s">
        <v>1113</v>
      </c>
      <c r="K108" s="61">
        <v>3569.5</v>
      </c>
      <c r="L108" s="63">
        <v>1519</v>
      </c>
      <c r="M108" s="61">
        <v>2050.5</v>
      </c>
    </row>
    <row r="109" spans="1:13" x14ac:dyDescent="0.25">
      <c r="A109">
        <v>10110065</v>
      </c>
      <c r="B109" s="6">
        <v>82.6</v>
      </c>
      <c r="G109" s="23" t="s">
        <v>1130</v>
      </c>
      <c r="H109" s="23">
        <v>10020063</v>
      </c>
      <c r="I109" s="60" t="s">
        <v>1020</v>
      </c>
      <c r="J109" s="61" t="s">
        <v>1113</v>
      </c>
      <c r="K109" s="61">
        <v>413</v>
      </c>
      <c r="L109" s="63">
        <v>413</v>
      </c>
      <c r="M109" s="61">
        <v>0</v>
      </c>
    </row>
    <row r="110" spans="1:13" x14ac:dyDescent="0.25">
      <c r="A110">
        <v>10110066</v>
      </c>
      <c r="B110" s="6">
        <v>82.6</v>
      </c>
      <c r="G110" s="23" t="s">
        <v>1131</v>
      </c>
      <c r="H110" s="23">
        <v>10020076</v>
      </c>
      <c r="I110" s="60" t="s">
        <v>1020</v>
      </c>
      <c r="J110" s="61" t="s">
        <v>1113</v>
      </c>
      <c r="K110" s="61">
        <v>3569.5</v>
      </c>
      <c r="L110" s="63">
        <v>3569.5</v>
      </c>
      <c r="M110" s="61">
        <v>0</v>
      </c>
    </row>
    <row r="111" spans="1:13" x14ac:dyDescent="0.25">
      <c r="A111">
        <v>10110078</v>
      </c>
      <c r="B111" s="6">
        <v>82.6</v>
      </c>
      <c r="G111" s="23" t="s">
        <v>1132</v>
      </c>
      <c r="H111" s="23">
        <v>10020078</v>
      </c>
      <c r="I111" s="60" t="s">
        <v>1020</v>
      </c>
      <c r="J111" s="61" t="s">
        <v>1113</v>
      </c>
      <c r="K111" s="61">
        <v>115.64</v>
      </c>
      <c r="L111" s="63">
        <v>0</v>
      </c>
      <c r="M111" s="61">
        <v>115.64</v>
      </c>
    </row>
    <row r="112" spans="1:13" x14ac:dyDescent="0.25">
      <c r="A112">
        <v>10110094</v>
      </c>
      <c r="B112" s="6">
        <v>1091.5</v>
      </c>
      <c r="G112" s="23" t="s">
        <v>1133</v>
      </c>
      <c r="H112" s="23">
        <v>10020079</v>
      </c>
      <c r="I112" s="60" t="s">
        <v>1020</v>
      </c>
      <c r="J112" s="61" t="s">
        <v>1113</v>
      </c>
      <c r="K112" s="61">
        <v>920.4</v>
      </c>
      <c r="L112" s="63">
        <v>920.4</v>
      </c>
      <c r="M112" s="61">
        <v>0</v>
      </c>
    </row>
    <row r="113" spans="1:13" x14ac:dyDescent="0.25">
      <c r="A113">
        <v>10110105</v>
      </c>
      <c r="B113" s="6">
        <v>6584.4</v>
      </c>
      <c r="G113" s="23" t="s">
        <v>1134</v>
      </c>
      <c r="H113" s="23">
        <v>10030003</v>
      </c>
      <c r="I113" s="60" t="s">
        <v>1020</v>
      </c>
      <c r="J113" s="61" t="s">
        <v>1113</v>
      </c>
      <c r="K113" s="61">
        <v>3650.92</v>
      </c>
      <c r="L113" s="63">
        <v>289</v>
      </c>
      <c r="M113" s="61">
        <v>3361.92</v>
      </c>
    </row>
    <row r="114" spans="1:13" x14ac:dyDescent="0.25">
      <c r="A114">
        <v>10110164</v>
      </c>
      <c r="B114" s="6">
        <v>413</v>
      </c>
      <c r="G114" s="23" t="s">
        <v>1135</v>
      </c>
      <c r="H114" s="23">
        <v>10030013</v>
      </c>
      <c r="I114" s="60" t="s">
        <v>1020</v>
      </c>
      <c r="J114" s="61" t="s">
        <v>1113</v>
      </c>
      <c r="K114" s="61">
        <v>413</v>
      </c>
      <c r="L114" s="63">
        <v>0</v>
      </c>
      <c r="M114" s="61">
        <v>413</v>
      </c>
    </row>
    <row r="115" spans="1:13" x14ac:dyDescent="0.25">
      <c r="A115">
        <v>10120001</v>
      </c>
      <c r="B115" s="6">
        <v>3614.34</v>
      </c>
      <c r="G115" s="23" t="s">
        <v>1136</v>
      </c>
      <c r="H115" s="23">
        <v>10030018</v>
      </c>
      <c r="I115" s="60" t="s">
        <v>1020</v>
      </c>
      <c r="J115" s="61" t="s">
        <v>1113</v>
      </c>
      <c r="K115" s="61">
        <v>165.2</v>
      </c>
      <c r="L115" s="63">
        <v>165.2</v>
      </c>
      <c r="M115" s="61">
        <v>0</v>
      </c>
    </row>
    <row r="116" spans="1:13" x14ac:dyDescent="0.25">
      <c r="A116">
        <v>10120006</v>
      </c>
      <c r="B116" s="6">
        <v>6608.0000000000009</v>
      </c>
      <c r="G116" s="23" t="s">
        <v>1137</v>
      </c>
      <c r="H116" s="23">
        <v>10030023</v>
      </c>
      <c r="I116" s="60" t="s">
        <v>1020</v>
      </c>
      <c r="J116" s="61" t="s">
        <v>1113</v>
      </c>
      <c r="K116" s="61">
        <v>413</v>
      </c>
      <c r="L116" s="63">
        <v>413</v>
      </c>
      <c r="M116" s="61">
        <v>0</v>
      </c>
    </row>
    <row r="117" spans="1:13" x14ac:dyDescent="0.25">
      <c r="A117">
        <v>10120014</v>
      </c>
      <c r="B117" s="6">
        <v>1332.22</v>
      </c>
      <c r="G117" s="23" t="s">
        <v>1138</v>
      </c>
      <c r="H117" s="23">
        <v>10030063</v>
      </c>
      <c r="I117" s="60" t="s">
        <v>1020</v>
      </c>
      <c r="J117" s="61" t="s">
        <v>1113</v>
      </c>
      <c r="K117" s="61">
        <v>413</v>
      </c>
      <c r="L117" s="63">
        <v>413</v>
      </c>
      <c r="M117" s="61">
        <v>0</v>
      </c>
    </row>
    <row r="118" spans="1:13" x14ac:dyDescent="0.25">
      <c r="A118">
        <v>10120018</v>
      </c>
      <c r="B118" s="6">
        <v>1398.3</v>
      </c>
      <c r="G118" s="23" t="s">
        <v>1139</v>
      </c>
      <c r="H118" s="23">
        <v>10030064</v>
      </c>
      <c r="I118" s="60" t="s">
        <v>1020</v>
      </c>
      <c r="J118" s="61" t="s">
        <v>1113</v>
      </c>
      <c r="K118" s="61">
        <v>6171.4</v>
      </c>
      <c r="L118" s="63">
        <v>6171.4</v>
      </c>
      <c r="M118" s="61">
        <v>0</v>
      </c>
    </row>
    <row r="119" spans="1:13" x14ac:dyDescent="0.25">
      <c r="A119">
        <v>10120022</v>
      </c>
      <c r="B119" s="6">
        <v>1688.5800000000002</v>
      </c>
      <c r="G119" s="23" t="s">
        <v>1140</v>
      </c>
      <c r="H119" s="23">
        <v>10030065</v>
      </c>
      <c r="I119" s="60" t="s">
        <v>1020</v>
      </c>
      <c r="J119" s="61" t="s">
        <v>1113</v>
      </c>
      <c r="K119" s="61">
        <v>413</v>
      </c>
      <c r="L119" s="63">
        <v>413</v>
      </c>
      <c r="M119" s="61">
        <v>0</v>
      </c>
    </row>
    <row r="120" spans="1:13" x14ac:dyDescent="0.25">
      <c r="A120">
        <v>10120025</v>
      </c>
      <c r="B120" s="6">
        <v>6224.5</v>
      </c>
      <c r="G120" s="23" t="s">
        <v>1141</v>
      </c>
      <c r="H120" s="23">
        <v>10030066</v>
      </c>
      <c r="I120" s="60" t="s">
        <v>1020</v>
      </c>
      <c r="J120" s="61" t="s">
        <v>1113</v>
      </c>
      <c r="K120" s="61">
        <v>590</v>
      </c>
      <c r="L120" s="63">
        <v>590</v>
      </c>
      <c r="M120" s="61">
        <v>0</v>
      </c>
    </row>
    <row r="121" spans="1:13" x14ac:dyDescent="0.25">
      <c r="A121">
        <v>10120029</v>
      </c>
      <c r="B121" s="6">
        <v>8295.4</v>
      </c>
      <c r="G121" s="23" t="s">
        <v>1142</v>
      </c>
      <c r="H121" s="23">
        <v>10030070</v>
      </c>
      <c r="I121" s="60" t="s">
        <v>1020</v>
      </c>
      <c r="J121" s="61" t="s">
        <v>1113</v>
      </c>
      <c r="K121" s="61">
        <v>214.76</v>
      </c>
      <c r="L121" s="63">
        <v>214.76</v>
      </c>
      <c r="M121" s="61">
        <v>0</v>
      </c>
    </row>
    <row r="122" spans="1:13" x14ac:dyDescent="0.25">
      <c r="A122">
        <v>10120030</v>
      </c>
      <c r="B122" s="6">
        <v>1062</v>
      </c>
      <c r="G122" s="23" t="s">
        <v>1143</v>
      </c>
      <c r="H122" s="23">
        <v>10030071</v>
      </c>
      <c r="I122" s="60" t="s">
        <v>1020</v>
      </c>
      <c r="J122" s="61" t="s">
        <v>1113</v>
      </c>
      <c r="K122" s="61">
        <v>5994.4</v>
      </c>
      <c r="L122" s="63">
        <v>2456</v>
      </c>
      <c r="M122" s="61">
        <v>3538.3999999999996</v>
      </c>
    </row>
    <row r="123" spans="1:13" x14ac:dyDescent="0.25">
      <c r="A123">
        <v>10120031</v>
      </c>
      <c r="B123" s="6">
        <v>647.81999999999994</v>
      </c>
      <c r="G123" s="23" t="s">
        <v>1144</v>
      </c>
      <c r="H123" s="23">
        <v>10060011</v>
      </c>
      <c r="I123" s="60" t="s">
        <v>1020</v>
      </c>
      <c r="J123" s="61" t="s">
        <v>1113</v>
      </c>
      <c r="K123" s="61">
        <v>2454.4</v>
      </c>
      <c r="L123" s="63">
        <v>0</v>
      </c>
      <c r="M123" s="61">
        <v>2454.4</v>
      </c>
    </row>
    <row r="124" spans="1:13" x14ac:dyDescent="0.25">
      <c r="A124">
        <v>10120034</v>
      </c>
      <c r="B124" s="6">
        <v>82.6</v>
      </c>
      <c r="G124" s="23" t="s">
        <v>1145</v>
      </c>
      <c r="H124" s="23">
        <v>10060022</v>
      </c>
      <c r="I124" s="60" t="s">
        <v>1020</v>
      </c>
      <c r="J124" s="61" t="s">
        <v>1113</v>
      </c>
      <c r="K124" s="61">
        <v>5051.58</v>
      </c>
      <c r="L124" s="63">
        <v>0</v>
      </c>
      <c r="M124" s="61">
        <v>5051.58</v>
      </c>
    </row>
    <row r="125" spans="1:13" x14ac:dyDescent="0.25">
      <c r="A125">
        <v>10120035</v>
      </c>
      <c r="B125" s="6">
        <v>1515.1200000000001</v>
      </c>
      <c r="G125" s="23" t="s">
        <v>1146</v>
      </c>
      <c r="H125" s="23">
        <v>10060026</v>
      </c>
      <c r="I125" s="60" t="s">
        <v>1020</v>
      </c>
      <c r="J125" s="61" t="s">
        <v>1113</v>
      </c>
      <c r="K125" s="61">
        <v>1062</v>
      </c>
      <c r="L125" s="63">
        <v>1062</v>
      </c>
      <c r="M125" s="61">
        <v>0</v>
      </c>
    </row>
    <row r="126" spans="1:13" x14ac:dyDescent="0.25">
      <c r="A126">
        <v>10120042</v>
      </c>
      <c r="B126" s="6">
        <v>181.72</v>
      </c>
      <c r="G126" s="23" t="s">
        <v>1147</v>
      </c>
      <c r="H126" s="23">
        <v>10060029</v>
      </c>
      <c r="I126" s="60" t="s">
        <v>1020</v>
      </c>
      <c r="J126" s="61" t="s">
        <v>1113</v>
      </c>
      <c r="K126" s="61">
        <v>1062</v>
      </c>
      <c r="L126" s="63">
        <v>1062</v>
      </c>
      <c r="M126" s="61">
        <v>0</v>
      </c>
    </row>
    <row r="127" spans="1:13" x14ac:dyDescent="0.25">
      <c r="A127">
        <v>10120051</v>
      </c>
      <c r="B127" s="6">
        <v>2636.12</v>
      </c>
      <c r="G127" s="23" t="s">
        <v>1148</v>
      </c>
      <c r="H127" s="23">
        <v>10060031</v>
      </c>
      <c r="I127" s="60" t="s">
        <v>1020</v>
      </c>
      <c r="J127" s="61" t="s">
        <v>1113</v>
      </c>
      <c r="K127" s="61">
        <v>295</v>
      </c>
      <c r="L127" s="63">
        <v>0</v>
      </c>
      <c r="M127" s="61">
        <v>295</v>
      </c>
    </row>
    <row r="128" spans="1:13" x14ac:dyDescent="0.25">
      <c r="A128">
        <v>10120065</v>
      </c>
      <c r="B128" s="6">
        <v>2454.4</v>
      </c>
      <c r="G128" s="23" t="s">
        <v>1149</v>
      </c>
      <c r="H128" s="23">
        <v>10060032</v>
      </c>
      <c r="I128" s="60" t="s">
        <v>1020</v>
      </c>
      <c r="J128" s="61" t="s">
        <v>1113</v>
      </c>
      <c r="K128" s="61">
        <v>625.4</v>
      </c>
      <c r="L128" s="63">
        <v>248</v>
      </c>
      <c r="M128" s="61">
        <v>377.4</v>
      </c>
    </row>
    <row r="129" spans="1:13" x14ac:dyDescent="0.25">
      <c r="A129">
        <v>10120082</v>
      </c>
      <c r="B129" s="6">
        <v>424.8</v>
      </c>
      <c r="G129" s="23" t="s">
        <v>1150</v>
      </c>
      <c r="H129" s="23">
        <v>10060033</v>
      </c>
      <c r="I129" s="60" t="s">
        <v>1020</v>
      </c>
      <c r="J129" s="61" t="s">
        <v>1113</v>
      </c>
      <c r="K129" s="61">
        <v>413</v>
      </c>
      <c r="L129" s="63">
        <v>413</v>
      </c>
      <c r="M129" s="61">
        <v>0</v>
      </c>
    </row>
    <row r="130" spans="1:13" x14ac:dyDescent="0.25">
      <c r="A130">
        <v>10120083</v>
      </c>
      <c r="B130" s="6">
        <v>2823.74</v>
      </c>
      <c r="G130" s="23" t="s">
        <v>1151</v>
      </c>
      <c r="H130" s="23">
        <v>10060049</v>
      </c>
      <c r="I130" s="60" t="s">
        <v>1020</v>
      </c>
      <c r="J130" s="61" t="s">
        <v>1113</v>
      </c>
      <c r="K130" s="61">
        <v>165.2</v>
      </c>
      <c r="L130" s="63">
        <v>165.2</v>
      </c>
      <c r="M130" s="61">
        <v>0</v>
      </c>
    </row>
    <row r="131" spans="1:13" x14ac:dyDescent="0.25">
      <c r="A131">
        <v>10120089</v>
      </c>
      <c r="B131" s="6">
        <v>1138.7</v>
      </c>
      <c r="G131" s="23" t="s">
        <v>1152</v>
      </c>
      <c r="H131" s="23">
        <v>10060058</v>
      </c>
      <c r="I131" s="60" t="s">
        <v>1020</v>
      </c>
      <c r="J131" s="61" t="s">
        <v>1113</v>
      </c>
      <c r="K131" s="61">
        <v>413</v>
      </c>
      <c r="L131" s="63">
        <v>413</v>
      </c>
      <c r="M131" s="61">
        <v>0</v>
      </c>
    </row>
    <row r="132" spans="1:13" x14ac:dyDescent="0.25">
      <c r="A132">
        <v>10120094</v>
      </c>
      <c r="B132" s="6">
        <v>3003.1000000000004</v>
      </c>
      <c r="G132" s="23" t="s">
        <v>1153</v>
      </c>
      <c r="H132" s="23">
        <v>10060069</v>
      </c>
      <c r="I132" s="60" t="s">
        <v>1020</v>
      </c>
      <c r="J132" s="61" t="s">
        <v>1113</v>
      </c>
      <c r="K132" s="61">
        <v>3374.8</v>
      </c>
      <c r="L132" s="63">
        <v>0</v>
      </c>
      <c r="M132" s="61">
        <v>3374.8</v>
      </c>
    </row>
    <row r="133" spans="1:13" x14ac:dyDescent="0.25">
      <c r="A133">
        <v>10120104</v>
      </c>
      <c r="B133" s="6">
        <v>3060.92</v>
      </c>
      <c r="G133" s="23" t="s">
        <v>1154</v>
      </c>
      <c r="H133" s="23">
        <v>10060074</v>
      </c>
      <c r="I133" s="60" t="s">
        <v>1020</v>
      </c>
      <c r="J133" s="61" t="s">
        <v>1113</v>
      </c>
      <c r="K133" s="61">
        <v>2770.6400000000003</v>
      </c>
      <c r="L133" s="63">
        <v>1166</v>
      </c>
      <c r="M133" s="61">
        <v>1604.6400000000003</v>
      </c>
    </row>
    <row r="134" spans="1:13" x14ac:dyDescent="0.25">
      <c r="A134">
        <v>10120107</v>
      </c>
      <c r="B134" s="6">
        <v>352.82</v>
      </c>
      <c r="G134" s="23" t="s">
        <v>1155</v>
      </c>
      <c r="H134" s="23">
        <v>10060109</v>
      </c>
      <c r="I134" s="60" t="s">
        <v>1020</v>
      </c>
      <c r="J134" s="61" t="s">
        <v>1113</v>
      </c>
      <c r="K134" s="61">
        <v>424.8</v>
      </c>
      <c r="L134" s="63">
        <v>424.8</v>
      </c>
      <c r="M134" s="61">
        <v>0</v>
      </c>
    </row>
    <row r="135" spans="1:13" x14ac:dyDescent="0.25">
      <c r="A135">
        <v>10120111</v>
      </c>
      <c r="B135" s="6">
        <v>6873.5</v>
      </c>
      <c r="G135" s="23" t="s">
        <v>1156</v>
      </c>
      <c r="H135" s="23">
        <v>10060114</v>
      </c>
      <c r="I135" s="60" t="s">
        <v>1020</v>
      </c>
      <c r="J135" s="61" t="s">
        <v>1113</v>
      </c>
      <c r="K135" s="61">
        <v>413</v>
      </c>
      <c r="L135" s="63">
        <v>413</v>
      </c>
      <c r="M135" s="61">
        <v>0</v>
      </c>
    </row>
    <row r="136" spans="1:13" x14ac:dyDescent="0.25">
      <c r="A136">
        <v>10120114</v>
      </c>
      <c r="B136" s="6">
        <v>2489.8000000000002</v>
      </c>
      <c r="G136" s="23" t="s">
        <v>1157</v>
      </c>
      <c r="H136" s="23">
        <v>10060116</v>
      </c>
      <c r="I136" s="60" t="s">
        <v>1020</v>
      </c>
      <c r="J136" s="61" t="s">
        <v>1113</v>
      </c>
      <c r="K136" s="61">
        <v>413</v>
      </c>
      <c r="L136" s="63">
        <v>413</v>
      </c>
      <c r="M136" s="61">
        <v>0</v>
      </c>
    </row>
    <row r="137" spans="1:13" x14ac:dyDescent="0.25">
      <c r="A137">
        <v>10130003</v>
      </c>
      <c r="B137" s="6">
        <v>2666.7999999999997</v>
      </c>
      <c r="G137" s="23" t="s">
        <v>1158</v>
      </c>
      <c r="H137" s="23">
        <v>10070048</v>
      </c>
      <c r="I137" s="60" t="s">
        <v>1020</v>
      </c>
      <c r="J137" s="61" t="s">
        <v>1113</v>
      </c>
      <c r="K137" s="61">
        <v>2183</v>
      </c>
      <c r="L137" s="63">
        <v>2183</v>
      </c>
      <c r="M137" s="61">
        <v>0</v>
      </c>
    </row>
    <row r="138" spans="1:13" x14ac:dyDescent="0.25">
      <c r="A138">
        <v>10130006</v>
      </c>
      <c r="B138" s="6">
        <v>1696.8400000000001</v>
      </c>
      <c r="G138" s="23" t="s">
        <v>1159</v>
      </c>
      <c r="H138" s="23">
        <v>10070063</v>
      </c>
      <c r="I138" s="60" t="s">
        <v>1020</v>
      </c>
      <c r="J138" s="61" t="s">
        <v>1113</v>
      </c>
      <c r="K138" s="61">
        <v>4808.5</v>
      </c>
      <c r="L138" s="63">
        <v>4808.5</v>
      </c>
      <c r="M138" s="61">
        <v>0</v>
      </c>
    </row>
    <row r="139" spans="1:13" x14ac:dyDescent="0.25">
      <c r="A139">
        <v>10130007</v>
      </c>
      <c r="B139" s="6">
        <v>599.43999999999994</v>
      </c>
      <c r="G139" s="23" t="s">
        <v>1160</v>
      </c>
      <c r="H139" s="23">
        <v>10080015</v>
      </c>
      <c r="I139" s="60" t="s">
        <v>1020</v>
      </c>
      <c r="J139" s="61" t="s">
        <v>1113</v>
      </c>
      <c r="K139" s="61">
        <v>1536.3600000000001</v>
      </c>
      <c r="L139" s="63">
        <v>1536.3600000000001</v>
      </c>
      <c r="M139" s="61">
        <v>0</v>
      </c>
    </row>
    <row r="140" spans="1:13" x14ac:dyDescent="0.25">
      <c r="A140">
        <v>10130012</v>
      </c>
      <c r="B140" s="6">
        <v>1283.8399999999999</v>
      </c>
      <c r="G140" s="23" t="s">
        <v>1161</v>
      </c>
      <c r="H140" s="23">
        <v>10080016</v>
      </c>
      <c r="I140" s="60" t="s">
        <v>1020</v>
      </c>
      <c r="J140" s="61" t="s">
        <v>1113</v>
      </c>
      <c r="K140" s="61">
        <v>1398.3</v>
      </c>
      <c r="L140" s="63">
        <v>0</v>
      </c>
      <c r="M140" s="61">
        <v>1398.3</v>
      </c>
    </row>
    <row r="141" spans="1:13" x14ac:dyDescent="0.25">
      <c r="A141">
        <v>10130013</v>
      </c>
      <c r="B141" s="6">
        <v>954.62</v>
      </c>
      <c r="G141" s="23" t="s">
        <v>1162</v>
      </c>
      <c r="H141" s="23">
        <v>10080032</v>
      </c>
      <c r="I141" s="60" t="s">
        <v>1020</v>
      </c>
      <c r="J141" s="61" t="s">
        <v>1113</v>
      </c>
      <c r="K141" s="61">
        <v>413</v>
      </c>
      <c r="L141" s="63">
        <v>413</v>
      </c>
      <c r="M141" s="61">
        <v>0</v>
      </c>
    </row>
    <row r="142" spans="1:13" x14ac:dyDescent="0.25">
      <c r="A142">
        <v>10130016</v>
      </c>
      <c r="B142" s="6">
        <v>1703.9199999999998</v>
      </c>
      <c r="G142" s="23" t="s">
        <v>1163</v>
      </c>
      <c r="H142" s="23">
        <v>10080048</v>
      </c>
      <c r="I142" s="60" t="s">
        <v>1020</v>
      </c>
      <c r="J142" s="61" t="s">
        <v>1113</v>
      </c>
      <c r="K142" s="61">
        <v>2360</v>
      </c>
      <c r="L142" s="63">
        <v>1031</v>
      </c>
      <c r="M142" s="61">
        <v>1329</v>
      </c>
    </row>
    <row r="143" spans="1:13" x14ac:dyDescent="0.25">
      <c r="A143">
        <v>10130025</v>
      </c>
      <c r="B143" s="6">
        <v>295</v>
      </c>
      <c r="G143" s="23" t="s">
        <v>1164</v>
      </c>
      <c r="H143" s="23">
        <v>10080055</v>
      </c>
      <c r="I143" s="60" t="s">
        <v>1020</v>
      </c>
      <c r="J143" s="61" t="s">
        <v>1113</v>
      </c>
      <c r="K143" s="61">
        <v>202.96</v>
      </c>
      <c r="L143" s="63">
        <v>202.96</v>
      </c>
      <c r="M143" s="61">
        <v>0</v>
      </c>
    </row>
    <row r="144" spans="1:13" x14ac:dyDescent="0.25">
      <c r="A144">
        <v>10130026</v>
      </c>
      <c r="B144" s="6">
        <v>1648.4599999999998</v>
      </c>
      <c r="G144" s="23" t="s">
        <v>1165</v>
      </c>
      <c r="H144" s="23">
        <v>10080077</v>
      </c>
      <c r="I144" s="60" t="s">
        <v>1020</v>
      </c>
      <c r="J144" s="61" t="s">
        <v>1113</v>
      </c>
      <c r="K144" s="61">
        <v>2454.4</v>
      </c>
      <c r="L144" s="63">
        <v>0</v>
      </c>
      <c r="M144" s="61">
        <v>2454.4</v>
      </c>
    </row>
    <row r="145" spans="1:13" x14ac:dyDescent="0.25">
      <c r="A145">
        <v>10130030</v>
      </c>
      <c r="B145" s="6">
        <v>1062</v>
      </c>
      <c r="G145" s="23" t="s">
        <v>1166</v>
      </c>
      <c r="H145" s="23">
        <v>10080087</v>
      </c>
      <c r="I145" s="60" t="s">
        <v>1020</v>
      </c>
      <c r="J145" s="61" t="s">
        <v>1113</v>
      </c>
      <c r="K145" s="61">
        <v>4139.4399999999996</v>
      </c>
      <c r="L145" s="63">
        <v>4139.4399999999996</v>
      </c>
      <c r="M145" s="61">
        <v>0</v>
      </c>
    </row>
    <row r="146" spans="1:13" x14ac:dyDescent="0.25">
      <c r="A146">
        <v>10130032</v>
      </c>
      <c r="B146" s="6">
        <v>2879.2000000000003</v>
      </c>
      <c r="G146" s="23" t="s">
        <v>1167</v>
      </c>
      <c r="H146" s="23">
        <v>10080088</v>
      </c>
      <c r="I146" s="60" t="s">
        <v>1020</v>
      </c>
      <c r="J146" s="61" t="s">
        <v>1113</v>
      </c>
      <c r="K146" s="61">
        <v>51.92</v>
      </c>
      <c r="L146" s="63">
        <v>0</v>
      </c>
      <c r="M146" s="61">
        <v>51.92</v>
      </c>
    </row>
    <row r="147" spans="1:13" x14ac:dyDescent="0.25">
      <c r="A147">
        <v>10130070</v>
      </c>
      <c r="B147" s="6">
        <v>1358.18</v>
      </c>
      <c r="G147" s="23" t="s">
        <v>1168</v>
      </c>
      <c r="H147" s="23">
        <v>10080100</v>
      </c>
      <c r="I147" s="60" t="s">
        <v>1020</v>
      </c>
      <c r="J147" s="61" t="s">
        <v>1113</v>
      </c>
      <c r="K147" s="61">
        <v>4366</v>
      </c>
      <c r="L147" s="63">
        <v>4366</v>
      </c>
      <c r="M147" s="61">
        <v>0</v>
      </c>
    </row>
    <row r="148" spans="1:13" x14ac:dyDescent="0.25">
      <c r="A148">
        <v>10130073</v>
      </c>
      <c r="B148" s="6">
        <v>1359.3599999999997</v>
      </c>
      <c r="G148" s="23" t="s">
        <v>1169</v>
      </c>
      <c r="H148" s="23">
        <v>10090002</v>
      </c>
      <c r="I148" s="60" t="s">
        <v>1020</v>
      </c>
      <c r="J148" s="61" t="s">
        <v>1113</v>
      </c>
      <c r="K148" s="61">
        <v>1659.08</v>
      </c>
      <c r="L148" s="63">
        <v>1659.08</v>
      </c>
      <c r="M148" s="61">
        <v>0</v>
      </c>
    </row>
    <row r="149" spans="1:13" x14ac:dyDescent="0.25">
      <c r="A149">
        <v>10130098</v>
      </c>
      <c r="B149" s="6">
        <v>3304</v>
      </c>
      <c r="G149" s="23" t="s">
        <v>1170</v>
      </c>
      <c r="H149" s="23">
        <v>10090006</v>
      </c>
      <c r="I149" s="60" t="s">
        <v>1020</v>
      </c>
      <c r="J149" s="61" t="s">
        <v>1113</v>
      </c>
      <c r="K149" s="61">
        <v>2159.4</v>
      </c>
      <c r="L149" s="63">
        <v>1208</v>
      </c>
      <c r="M149" s="61">
        <v>951.40000000000009</v>
      </c>
    </row>
    <row r="150" spans="1:13" x14ac:dyDescent="0.25">
      <c r="A150">
        <v>10130108</v>
      </c>
      <c r="B150" s="6">
        <v>1775.9</v>
      </c>
      <c r="G150" s="23" t="s">
        <v>1171</v>
      </c>
      <c r="H150" s="23">
        <v>10090007</v>
      </c>
      <c r="I150" s="60" t="s">
        <v>1020</v>
      </c>
      <c r="J150" s="61" t="s">
        <v>1113</v>
      </c>
      <c r="K150" s="61">
        <v>424.8</v>
      </c>
      <c r="L150" s="63">
        <v>424.8</v>
      </c>
      <c r="M150" s="61">
        <v>0</v>
      </c>
    </row>
    <row r="151" spans="1:13" x14ac:dyDescent="0.25">
      <c r="A151">
        <v>10140001</v>
      </c>
      <c r="B151" s="6">
        <v>2360</v>
      </c>
      <c r="G151" s="23" t="s">
        <v>1172</v>
      </c>
      <c r="H151" s="23">
        <v>10090008</v>
      </c>
      <c r="I151" s="60" t="s">
        <v>1020</v>
      </c>
      <c r="J151" s="61" t="s">
        <v>1113</v>
      </c>
      <c r="K151" s="61">
        <v>3304</v>
      </c>
      <c r="L151" s="63">
        <v>0</v>
      </c>
      <c r="M151" s="61">
        <v>3304</v>
      </c>
    </row>
    <row r="152" spans="1:13" x14ac:dyDescent="0.25">
      <c r="A152">
        <v>10140003</v>
      </c>
      <c r="B152" s="6">
        <v>165.2</v>
      </c>
      <c r="G152" s="23" t="s">
        <v>1173</v>
      </c>
      <c r="H152" s="23">
        <v>10090029</v>
      </c>
      <c r="I152" s="60" t="s">
        <v>1020</v>
      </c>
      <c r="J152" s="61" t="s">
        <v>1113</v>
      </c>
      <c r="K152" s="61">
        <v>3304</v>
      </c>
      <c r="L152" s="63">
        <v>3304</v>
      </c>
      <c r="M152" s="61">
        <v>0</v>
      </c>
    </row>
    <row r="153" spans="1:13" x14ac:dyDescent="0.25">
      <c r="A153">
        <v>10140004</v>
      </c>
      <c r="B153" s="6">
        <v>99.12</v>
      </c>
      <c r="G153" s="23" t="s">
        <v>1174</v>
      </c>
      <c r="H153" s="23">
        <v>10090033</v>
      </c>
      <c r="I153" s="60" t="s">
        <v>1020</v>
      </c>
      <c r="J153" s="61" t="s">
        <v>1113</v>
      </c>
      <c r="K153" s="61">
        <v>413</v>
      </c>
      <c r="L153" s="63">
        <v>413</v>
      </c>
      <c r="M153" s="61">
        <v>0</v>
      </c>
    </row>
    <row r="154" spans="1:13" x14ac:dyDescent="0.25">
      <c r="A154">
        <v>10140007</v>
      </c>
      <c r="B154" s="6">
        <v>1493.88</v>
      </c>
      <c r="G154" s="23" t="s">
        <v>1175</v>
      </c>
      <c r="H154" s="23">
        <v>10090036</v>
      </c>
      <c r="I154" s="60" t="s">
        <v>1020</v>
      </c>
      <c r="J154" s="61" t="s">
        <v>1113</v>
      </c>
      <c r="K154" s="61">
        <v>1097.4000000000001</v>
      </c>
      <c r="L154" s="63">
        <v>0</v>
      </c>
      <c r="M154" s="61">
        <v>1097.4000000000001</v>
      </c>
    </row>
    <row r="155" spans="1:13" x14ac:dyDescent="0.25">
      <c r="A155">
        <v>10140008</v>
      </c>
      <c r="B155" s="6">
        <v>82.6</v>
      </c>
      <c r="G155" s="23" t="s">
        <v>1176</v>
      </c>
      <c r="H155" s="23">
        <v>10090042</v>
      </c>
      <c r="I155" s="60" t="s">
        <v>1020</v>
      </c>
      <c r="J155" s="61" t="s">
        <v>1113</v>
      </c>
      <c r="K155" s="61">
        <v>51.92</v>
      </c>
      <c r="L155" s="63">
        <v>51.92</v>
      </c>
      <c r="M155" s="61">
        <v>0</v>
      </c>
    </row>
    <row r="156" spans="1:13" x14ac:dyDescent="0.25">
      <c r="A156">
        <v>10140010</v>
      </c>
      <c r="B156" s="6">
        <v>1714.54</v>
      </c>
      <c r="G156" s="23" t="s">
        <v>1177</v>
      </c>
      <c r="H156" s="23">
        <v>10090046</v>
      </c>
      <c r="I156" s="60" t="s">
        <v>1020</v>
      </c>
      <c r="J156" s="61" t="s">
        <v>1113</v>
      </c>
      <c r="K156" s="61">
        <v>165.2</v>
      </c>
      <c r="L156" s="63">
        <v>165.2</v>
      </c>
      <c r="M156" s="61">
        <v>0</v>
      </c>
    </row>
    <row r="157" spans="1:13" x14ac:dyDescent="0.25">
      <c r="A157">
        <v>10140012</v>
      </c>
      <c r="B157" s="6">
        <v>3304</v>
      </c>
      <c r="G157" s="23" t="s">
        <v>1178</v>
      </c>
      <c r="H157" s="23">
        <v>10090059</v>
      </c>
      <c r="I157" s="60" t="s">
        <v>1020</v>
      </c>
      <c r="J157" s="61" t="s">
        <v>1113</v>
      </c>
      <c r="K157" s="61">
        <v>1062</v>
      </c>
      <c r="L157" s="63">
        <v>1062</v>
      </c>
      <c r="M157" s="61">
        <v>0</v>
      </c>
    </row>
    <row r="158" spans="1:13" x14ac:dyDescent="0.25">
      <c r="A158">
        <v>10140018</v>
      </c>
      <c r="B158" s="6">
        <v>2065</v>
      </c>
      <c r="G158" s="23" t="s">
        <v>1179</v>
      </c>
      <c r="H158" s="23">
        <v>10090065</v>
      </c>
      <c r="I158" s="60" t="s">
        <v>1020</v>
      </c>
      <c r="J158" s="61" t="s">
        <v>1113</v>
      </c>
      <c r="K158" s="61">
        <v>826</v>
      </c>
      <c r="L158" s="63">
        <v>826</v>
      </c>
      <c r="M158" s="61">
        <v>0</v>
      </c>
    </row>
    <row r="159" spans="1:13" x14ac:dyDescent="0.25">
      <c r="A159">
        <v>10140034</v>
      </c>
      <c r="B159" s="6">
        <v>82.6</v>
      </c>
      <c r="G159" s="23" t="s">
        <v>1180</v>
      </c>
      <c r="H159" s="23">
        <v>10090066</v>
      </c>
      <c r="I159" s="60" t="s">
        <v>1020</v>
      </c>
      <c r="J159" s="61" t="s">
        <v>1113</v>
      </c>
      <c r="K159" s="61">
        <v>1062</v>
      </c>
      <c r="L159" s="63">
        <v>1062</v>
      </c>
      <c r="M159" s="61">
        <v>0</v>
      </c>
    </row>
    <row r="160" spans="1:13" x14ac:dyDescent="0.25">
      <c r="A160">
        <v>10140041</v>
      </c>
      <c r="B160" s="6">
        <v>413</v>
      </c>
      <c r="G160" s="23" t="s">
        <v>1181</v>
      </c>
      <c r="H160" s="23">
        <v>10100049</v>
      </c>
      <c r="I160" s="60" t="s">
        <v>1020</v>
      </c>
      <c r="J160" s="61" t="s">
        <v>1113</v>
      </c>
      <c r="K160" s="61">
        <v>1062</v>
      </c>
      <c r="L160" s="63">
        <v>1062</v>
      </c>
      <c r="M160" s="61">
        <v>0</v>
      </c>
    </row>
    <row r="161" spans="1:13" x14ac:dyDescent="0.25">
      <c r="A161">
        <v>10140043</v>
      </c>
      <c r="B161" s="6">
        <v>1493.88</v>
      </c>
      <c r="G161" s="23" t="s">
        <v>1182</v>
      </c>
      <c r="H161" s="23">
        <v>10110019</v>
      </c>
      <c r="I161" s="60" t="s">
        <v>1020</v>
      </c>
      <c r="J161" s="61" t="s">
        <v>1113</v>
      </c>
      <c r="K161" s="61">
        <v>3304</v>
      </c>
      <c r="L161" s="63">
        <v>13</v>
      </c>
      <c r="M161" s="61">
        <v>3291</v>
      </c>
    </row>
    <row r="162" spans="1:13" x14ac:dyDescent="0.25">
      <c r="A162">
        <v>10140047</v>
      </c>
      <c r="B162" s="6">
        <v>3304</v>
      </c>
      <c r="G162" s="23" t="s">
        <v>1183</v>
      </c>
      <c r="H162" s="23">
        <v>10110021</v>
      </c>
      <c r="I162" s="60" t="s">
        <v>1020</v>
      </c>
      <c r="J162" s="61" t="s">
        <v>1113</v>
      </c>
      <c r="K162" s="61">
        <v>264.32</v>
      </c>
      <c r="L162" s="63">
        <v>0</v>
      </c>
      <c r="M162" s="61">
        <v>264.32</v>
      </c>
    </row>
    <row r="163" spans="1:13" x14ac:dyDescent="0.25">
      <c r="A163">
        <v>10140051</v>
      </c>
      <c r="B163" s="6">
        <v>413</v>
      </c>
      <c r="G163" s="23" t="s">
        <v>1184</v>
      </c>
      <c r="H163" s="23">
        <v>10110049</v>
      </c>
      <c r="I163" s="60" t="s">
        <v>1020</v>
      </c>
      <c r="J163" s="61" t="s">
        <v>1113</v>
      </c>
      <c r="K163" s="61">
        <v>2867.4</v>
      </c>
      <c r="L163" s="63">
        <v>2867.4</v>
      </c>
      <c r="M163" s="61">
        <v>0</v>
      </c>
    </row>
    <row r="164" spans="1:13" x14ac:dyDescent="0.25">
      <c r="A164">
        <v>10140069</v>
      </c>
      <c r="B164" s="6">
        <v>5310</v>
      </c>
      <c r="G164" s="23" t="s">
        <v>1185</v>
      </c>
      <c r="H164" s="23">
        <v>10110055</v>
      </c>
      <c r="I164" s="60" t="s">
        <v>1020</v>
      </c>
      <c r="J164" s="61" t="s">
        <v>1113</v>
      </c>
      <c r="K164" s="61">
        <v>6259.9</v>
      </c>
      <c r="L164" s="63">
        <v>1091</v>
      </c>
      <c r="M164" s="61">
        <v>5168.8999999999996</v>
      </c>
    </row>
    <row r="165" spans="1:13" x14ac:dyDescent="0.25">
      <c r="A165">
        <v>10140098</v>
      </c>
      <c r="B165" s="6">
        <v>5310</v>
      </c>
      <c r="G165" s="23" t="s">
        <v>1186</v>
      </c>
      <c r="H165" s="23">
        <v>10110065</v>
      </c>
      <c r="I165" s="60" t="s">
        <v>1020</v>
      </c>
      <c r="J165" s="61" t="s">
        <v>1113</v>
      </c>
      <c r="K165" s="61">
        <v>82.6</v>
      </c>
      <c r="L165" s="63">
        <v>0</v>
      </c>
      <c r="M165" s="61">
        <v>82.6</v>
      </c>
    </row>
    <row r="166" spans="1:13" x14ac:dyDescent="0.25">
      <c r="A166">
        <v>10140119</v>
      </c>
      <c r="B166" s="6">
        <v>82.6</v>
      </c>
      <c r="G166" s="23" t="s">
        <v>1187</v>
      </c>
      <c r="H166" s="23">
        <v>10110066</v>
      </c>
      <c r="I166" s="60" t="s">
        <v>1020</v>
      </c>
      <c r="J166" s="61" t="s">
        <v>1113</v>
      </c>
      <c r="K166" s="61">
        <v>82.6</v>
      </c>
      <c r="L166" s="63">
        <v>0</v>
      </c>
      <c r="M166" s="61">
        <v>82.6</v>
      </c>
    </row>
    <row r="167" spans="1:13" x14ac:dyDescent="0.25">
      <c r="A167">
        <v>10140120</v>
      </c>
      <c r="B167" s="6">
        <v>1493.88</v>
      </c>
      <c r="G167" s="23" t="s">
        <v>1188</v>
      </c>
      <c r="H167" s="23">
        <v>10110078</v>
      </c>
      <c r="I167" s="60" t="s">
        <v>1020</v>
      </c>
      <c r="J167" s="61" t="s">
        <v>1113</v>
      </c>
      <c r="K167" s="61">
        <v>82.6</v>
      </c>
      <c r="L167" s="63">
        <v>82.6</v>
      </c>
      <c r="M167" s="61">
        <v>0</v>
      </c>
    </row>
    <row r="168" spans="1:13" x14ac:dyDescent="0.25">
      <c r="A168">
        <v>10140126</v>
      </c>
      <c r="B168" s="6">
        <v>10974</v>
      </c>
      <c r="G168" s="23" t="s">
        <v>1189</v>
      </c>
      <c r="H168" s="23">
        <v>10110094</v>
      </c>
      <c r="I168" s="60" t="s">
        <v>1020</v>
      </c>
      <c r="J168" s="61" t="s">
        <v>1113</v>
      </c>
      <c r="K168" s="61">
        <v>1091.5</v>
      </c>
      <c r="L168" s="63">
        <v>191</v>
      </c>
      <c r="M168" s="61">
        <v>900.5</v>
      </c>
    </row>
    <row r="169" spans="1:13" x14ac:dyDescent="0.25">
      <c r="A169">
        <v>10140129</v>
      </c>
      <c r="B169" s="6">
        <v>2489.8000000000002</v>
      </c>
      <c r="G169" s="23" t="s">
        <v>1190</v>
      </c>
      <c r="H169" s="23">
        <v>10110105</v>
      </c>
      <c r="I169" s="60" t="s">
        <v>1020</v>
      </c>
      <c r="J169" s="61" t="s">
        <v>1113</v>
      </c>
      <c r="K169" s="61">
        <v>6584.4</v>
      </c>
      <c r="L169" s="63">
        <v>6336</v>
      </c>
      <c r="M169" s="61">
        <v>248.39999999999964</v>
      </c>
    </row>
    <row r="170" spans="1:13" x14ac:dyDescent="0.25">
      <c r="A170">
        <v>10140131</v>
      </c>
      <c r="B170" s="6">
        <v>5859.88</v>
      </c>
      <c r="G170" s="23" t="s">
        <v>1191</v>
      </c>
      <c r="H170" s="23">
        <v>10110164</v>
      </c>
      <c r="I170" s="60" t="s">
        <v>1020</v>
      </c>
      <c r="J170" s="61" t="s">
        <v>1113</v>
      </c>
      <c r="K170" s="61">
        <v>413</v>
      </c>
      <c r="L170" s="63">
        <v>413</v>
      </c>
      <c r="M170" s="61">
        <v>0</v>
      </c>
    </row>
    <row r="171" spans="1:13" x14ac:dyDescent="0.25">
      <c r="A171">
        <v>10140145</v>
      </c>
      <c r="B171" s="6">
        <v>4637.3999999999996</v>
      </c>
      <c r="G171" s="23" t="s">
        <v>1192</v>
      </c>
      <c r="H171" s="23">
        <v>10120006</v>
      </c>
      <c r="I171" s="60" t="s">
        <v>1020</v>
      </c>
      <c r="J171" s="61" t="s">
        <v>1113</v>
      </c>
      <c r="K171" s="61">
        <v>6608.0000000000009</v>
      </c>
      <c r="L171" s="63">
        <v>1529</v>
      </c>
      <c r="M171" s="61">
        <v>5079.0000000000009</v>
      </c>
    </row>
    <row r="172" spans="1:13" x14ac:dyDescent="0.25">
      <c r="A172">
        <v>10140153</v>
      </c>
      <c r="B172" s="6">
        <v>4630.32</v>
      </c>
      <c r="G172" s="23" t="s">
        <v>1193</v>
      </c>
      <c r="H172" s="23">
        <v>10120014</v>
      </c>
      <c r="I172" s="60" t="s">
        <v>1020</v>
      </c>
      <c r="J172" s="61" t="s">
        <v>1113</v>
      </c>
      <c r="K172" s="61">
        <v>1332.22</v>
      </c>
      <c r="L172" s="63">
        <v>0</v>
      </c>
      <c r="M172" s="61">
        <v>1332.22</v>
      </c>
    </row>
    <row r="173" spans="1:13" x14ac:dyDescent="0.25">
      <c r="A173">
        <v>10140155</v>
      </c>
      <c r="B173" s="6">
        <v>2360</v>
      </c>
      <c r="G173" s="23" t="s">
        <v>1194</v>
      </c>
      <c r="H173" s="23">
        <v>10120018</v>
      </c>
      <c r="I173" s="60" t="s">
        <v>1020</v>
      </c>
      <c r="J173" s="61" t="s">
        <v>1113</v>
      </c>
      <c r="K173" s="61">
        <v>1398.3</v>
      </c>
      <c r="L173" s="63">
        <v>1398.3</v>
      </c>
      <c r="M173" s="61">
        <v>0</v>
      </c>
    </row>
    <row r="174" spans="1:13" x14ac:dyDescent="0.25">
      <c r="A174">
        <v>10140156</v>
      </c>
      <c r="B174" s="6">
        <v>1062</v>
      </c>
      <c r="G174" s="23" t="s">
        <v>1195</v>
      </c>
      <c r="H174" s="23">
        <v>10120025</v>
      </c>
      <c r="I174" s="60" t="s">
        <v>1020</v>
      </c>
      <c r="J174" s="61" t="s">
        <v>1113</v>
      </c>
      <c r="K174" s="61">
        <v>6224.5</v>
      </c>
      <c r="L174" s="63">
        <v>4003</v>
      </c>
      <c r="M174" s="61">
        <v>2221.5</v>
      </c>
    </row>
    <row r="175" spans="1:13" x14ac:dyDescent="0.25">
      <c r="A175">
        <v>10140159</v>
      </c>
      <c r="B175" s="6">
        <v>57.82</v>
      </c>
      <c r="G175" s="23" t="s">
        <v>1196</v>
      </c>
      <c r="H175" s="23">
        <v>10120029</v>
      </c>
      <c r="I175" s="60" t="s">
        <v>1020</v>
      </c>
      <c r="J175" s="61" t="s">
        <v>1113</v>
      </c>
      <c r="K175" s="61">
        <v>8295.4</v>
      </c>
      <c r="L175" s="63">
        <v>4293</v>
      </c>
      <c r="M175" s="61">
        <v>4002.3999999999996</v>
      </c>
    </row>
    <row r="176" spans="1:13" x14ac:dyDescent="0.25">
      <c r="A176">
        <v>10140168</v>
      </c>
      <c r="B176" s="6">
        <v>1333.4</v>
      </c>
      <c r="G176" s="23" t="s">
        <v>1197</v>
      </c>
      <c r="H176" s="23">
        <v>10120030</v>
      </c>
      <c r="I176" s="60" t="s">
        <v>1020</v>
      </c>
      <c r="J176" s="61" t="s">
        <v>1113</v>
      </c>
      <c r="K176" s="61">
        <v>1062</v>
      </c>
      <c r="L176" s="63">
        <v>0</v>
      </c>
      <c r="M176" s="61">
        <v>1062</v>
      </c>
    </row>
    <row r="177" spans="1:13" x14ac:dyDescent="0.25">
      <c r="A177">
        <v>10140179</v>
      </c>
      <c r="B177" s="6">
        <v>920.4</v>
      </c>
      <c r="G177" s="23" t="s">
        <v>1198</v>
      </c>
      <c r="H177" s="23">
        <v>10120031</v>
      </c>
      <c r="I177" s="60" t="s">
        <v>1020</v>
      </c>
      <c r="J177" s="61" t="s">
        <v>1113</v>
      </c>
      <c r="K177" s="61">
        <v>647.81999999999994</v>
      </c>
      <c r="L177" s="63">
        <v>647.81999999999994</v>
      </c>
      <c r="M177" s="61">
        <v>0</v>
      </c>
    </row>
    <row r="178" spans="1:13" x14ac:dyDescent="0.25">
      <c r="A178">
        <v>10180001</v>
      </c>
      <c r="B178" s="6">
        <v>690.3</v>
      </c>
      <c r="G178" s="23" t="s">
        <v>1199</v>
      </c>
      <c r="H178" s="23">
        <v>10120034</v>
      </c>
      <c r="I178" s="60" t="s">
        <v>1020</v>
      </c>
      <c r="J178" s="61" t="s">
        <v>1113</v>
      </c>
      <c r="K178" s="61">
        <v>82.6</v>
      </c>
      <c r="L178" s="63">
        <v>82.6</v>
      </c>
      <c r="M178" s="61">
        <v>0</v>
      </c>
    </row>
    <row r="179" spans="1:13" x14ac:dyDescent="0.25">
      <c r="A179">
        <v>10250001</v>
      </c>
      <c r="B179" s="6">
        <v>82.6</v>
      </c>
      <c r="G179" s="23" t="s">
        <v>1200</v>
      </c>
      <c r="H179" s="23">
        <v>10120051</v>
      </c>
      <c r="I179" s="60" t="s">
        <v>1020</v>
      </c>
      <c r="J179" s="61" t="s">
        <v>1113</v>
      </c>
      <c r="K179" s="61">
        <v>2636.12</v>
      </c>
      <c r="L179" s="63">
        <v>2636.12</v>
      </c>
      <c r="M179" s="61">
        <v>0</v>
      </c>
    </row>
    <row r="180" spans="1:13" x14ac:dyDescent="0.25">
      <c r="A180">
        <v>10320001</v>
      </c>
      <c r="B180" s="6">
        <v>165.2</v>
      </c>
      <c r="G180" s="23" t="s">
        <v>1201</v>
      </c>
      <c r="H180" s="23">
        <v>10120083</v>
      </c>
      <c r="I180" s="60" t="s">
        <v>1020</v>
      </c>
      <c r="J180" s="61" t="s">
        <v>1113</v>
      </c>
      <c r="K180" s="61">
        <v>2823.74</v>
      </c>
      <c r="L180" s="63">
        <v>0</v>
      </c>
      <c r="M180" s="61">
        <v>2823.74</v>
      </c>
    </row>
    <row r="181" spans="1:13" x14ac:dyDescent="0.25">
      <c r="A181">
        <v>10330001</v>
      </c>
      <c r="B181" s="6">
        <v>424.8</v>
      </c>
      <c r="G181" s="23" t="s">
        <v>1202</v>
      </c>
      <c r="H181" s="23">
        <v>10120089</v>
      </c>
      <c r="I181" s="60" t="s">
        <v>1020</v>
      </c>
      <c r="J181" s="61" t="s">
        <v>1113</v>
      </c>
      <c r="K181" s="61">
        <v>1138.7</v>
      </c>
      <c r="L181" s="63">
        <v>1138.7</v>
      </c>
      <c r="M181" s="61">
        <v>0</v>
      </c>
    </row>
    <row r="182" spans="1:13" x14ac:dyDescent="0.25">
      <c r="A182">
        <v>10360001</v>
      </c>
      <c r="B182" s="6">
        <v>1498.6</v>
      </c>
      <c r="G182" s="23" t="s">
        <v>1203</v>
      </c>
      <c r="H182" s="23">
        <v>10120094</v>
      </c>
      <c r="I182" s="60" t="s">
        <v>1020</v>
      </c>
      <c r="J182" s="61" t="s">
        <v>1113</v>
      </c>
      <c r="K182" s="61">
        <v>3003.1000000000004</v>
      </c>
      <c r="L182" s="63">
        <v>2168</v>
      </c>
      <c r="M182" s="61">
        <v>835.10000000000036</v>
      </c>
    </row>
    <row r="183" spans="1:13" x14ac:dyDescent="0.25">
      <c r="A183">
        <v>10400001</v>
      </c>
      <c r="B183" s="6">
        <v>8893.66</v>
      </c>
      <c r="G183" s="23" t="s">
        <v>1204</v>
      </c>
      <c r="H183" s="23">
        <v>10120104</v>
      </c>
      <c r="I183" s="60" t="s">
        <v>1020</v>
      </c>
      <c r="J183" s="61" t="s">
        <v>1113</v>
      </c>
      <c r="K183" s="61">
        <v>3060.92</v>
      </c>
      <c r="L183" s="63">
        <v>3060.92</v>
      </c>
      <c r="M183" s="61">
        <v>0</v>
      </c>
    </row>
    <row r="184" spans="1:13" x14ac:dyDescent="0.25">
      <c r="A184">
        <v>10410001</v>
      </c>
      <c r="B184" s="6">
        <v>424.8</v>
      </c>
      <c r="G184" s="23" t="s">
        <v>1205</v>
      </c>
      <c r="H184" s="23">
        <v>10120107</v>
      </c>
      <c r="I184" s="60" t="s">
        <v>1020</v>
      </c>
      <c r="J184" s="61" t="s">
        <v>1113</v>
      </c>
      <c r="K184" s="61">
        <v>352.82</v>
      </c>
      <c r="L184" s="63">
        <v>352.82</v>
      </c>
      <c r="M184" s="61">
        <v>0</v>
      </c>
    </row>
    <row r="185" spans="1:13" x14ac:dyDescent="0.25">
      <c r="A185">
        <v>10460001</v>
      </c>
      <c r="B185" s="6">
        <v>1062</v>
      </c>
      <c r="G185" s="23" t="s">
        <v>1206</v>
      </c>
      <c r="H185" s="23">
        <v>10120111</v>
      </c>
      <c r="I185" s="60" t="s">
        <v>1020</v>
      </c>
      <c r="J185" s="61" t="s">
        <v>1113</v>
      </c>
      <c r="K185" s="61">
        <v>6873.5</v>
      </c>
      <c r="L185" s="63">
        <v>1389</v>
      </c>
      <c r="M185" s="61">
        <v>5484.5</v>
      </c>
    </row>
    <row r="186" spans="1:13" x14ac:dyDescent="0.25">
      <c r="A186">
        <v>10480008</v>
      </c>
      <c r="B186" s="6">
        <v>1493.88</v>
      </c>
      <c r="G186" s="23" t="s">
        <v>1207</v>
      </c>
      <c r="H186" s="23">
        <v>10120114</v>
      </c>
      <c r="I186" s="60" t="s">
        <v>1020</v>
      </c>
      <c r="J186" s="61" t="s">
        <v>1113</v>
      </c>
      <c r="K186" s="61">
        <v>2489.8000000000002</v>
      </c>
      <c r="L186" s="63">
        <v>2489.8000000000002</v>
      </c>
      <c r="M186" s="61">
        <v>0</v>
      </c>
    </row>
    <row r="187" spans="1:13" x14ac:dyDescent="0.25">
      <c r="A187">
        <v>10480022</v>
      </c>
      <c r="B187" s="6">
        <v>8437</v>
      </c>
      <c r="G187" s="23" t="s">
        <v>1208</v>
      </c>
      <c r="H187" s="23">
        <v>10130003</v>
      </c>
      <c r="I187" s="60" t="s">
        <v>1020</v>
      </c>
      <c r="J187" s="61" t="s">
        <v>1113</v>
      </c>
      <c r="K187" s="61">
        <v>2666.7999999999997</v>
      </c>
      <c r="L187" s="63">
        <v>2666.7999999999997</v>
      </c>
      <c r="M187" s="61">
        <v>0</v>
      </c>
    </row>
    <row r="188" spans="1:13" x14ac:dyDescent="0.25">
      <c r="A188">
        <v>10510001</v>
      </c>
      <c r="B188" s="6">
        <v>1493.88</v>
      </c>
      <c r="G188" s="23" t="s">
        <v>1209</v>
      </c>
      <c r="H188" s="23">
        <v>10130006</v>
      </c>
      <c r="I188" s="60" t="s">
        <v>1020</v>
      </c>
      <c r="J188" s="61" t="s">
        <v>1113</v>
      </c>
      <c r="K188" s="61">
        <v>1696.8400000000001</v>
      </c>
      <c r="L188" s="63">
        <v>0</v>
      </c>
      <c r="M188" s="61">
        <v>1696.8400000000001</v>
      </c>
    </row>
    <row r="189" spans="1:13" x14ac:dyDescent="0.25">
      <c r="A189">
        <v>10510004</v>
      </c>
      <c r="B189" s="6">
        <v>377.6</v>
      </c>
      <c r="G189" s="23" t="s">
        <v>1210</v>
      </c>
      <c r="H189" s="23">
        <v>10130012</v>
      </c>
      <c r="I189" s="60" t="s">
        <v>1020</v>
      </c>
      <c r="J189" s="61" t="s">
        <v>1113</v>
      </c>
      <c r="K189" s="61">
        <v>1283.8399999999999</v>
      </c>
      <c r="L189" s="63">
        <v>1283.8399999999999</v>
      </c>
      <c r="M189" s="61">
        <v>0</v>
      </c>
    </row>
    <row r="190" spans="1:13" x14ac:dyDescent="0.25">
      <c r="A190">
        <v>10550003</v>
      </c>
      <c r="B190" s="6">
        <v>1475</v>
      </c>
      <c r="G190" s="23" t="s">
        <v>1211</v>
      </c>
      <c r="H190" s="23">
        <v>10130026</v>
      </c>
      <c r="I190" s="60" t="s">
        <v>1020</v>
      </c>
      <c r="J190" s="61" t="s">
        <v>1113</v>
      </c>
      <c r="K190" s="61">
        <v>1648.4599999999998</v>
      </c>
      <c r="L190" s="63">
        <v>1616</v>
      </c>
      <c r="M190" s="61">
        <v>32.459999999999809</v>
      </c>
    </row>
    <row r="191" spans="1:13" x14ac:dyDescent="0.25">
      <c r="A191">
        <v>20010003</v>
      </c>
      <c r="B191" s="6">
        <v>1493.88</v>
      </c>
      <c r="G191" s="23" t="s">
        <v>1212</v>
      </c>
      <c r="H191" s="23">
        <v>10130030</v>
      </c>
      <c r="I191" s="60" t="s">
        <v>1020</v>
      </c>
      <c r="J191" s="61" t="s">
        <v>1113</v>
      </c>
      <c r="K191" s="61">
        <v>1062</v>
      </c>
      <c r="L191" s="63">
        <v>1062</v>
      </c>
      <c r="M191" s="61">
        <v>0</v>
      </c>
    </row>
    <row r="192" spans="1:13" x14ac:dyDescent="0.25">
      <c r="A192">
        <v>20010004</v>
      </c>
      <c r="B192" s="6">
        <v>3304</v>
      </c>
      <c r="G192" s="23" t="s">
        <v>1213</v>
      </c>
      <c r="H192" s="23">
        <v>10130032</v>
      </c>
      <c r="I192" s="60" t="s">
        <v>1020</v>
      </c>
      <c r="J192" s="61" t="s">
        <v>1113</v>
      </c>
      <c r="K192" s="61">
        <v>2879.2000000000003</v>
      </c>
      <c r="L192" s="63">
        <v>2879.2000000000003</v>
      </c>
      <c r="M192" s="61">
        <v>0</v>
      </c>
    </row>
    <row r="193" spans="1:13" x14ac:dyDescent="0.25">
      <c r="A193">
        <v>20010009</v>
      </c>
      <c r="B193" s="6">
        <v>6202.08</v>
      </c>
      <c r="G193" s="23" t="s">
        <v>1214</v>
      </c>
      <c r="H193" s="23">
        <v>10130070</v>
      </c>
      <c r="I193" s="60" t="s">
        <v>1020</v>
      </c>
      <c r="J193" s="61" t="s">
        <v>1113</v>
      </c>
      <c r="K193" s="61">
        <v>1358.18</v>
      </c>
      <c r="L193" s="63">
        <v>1358.18</v>
      </c>
      <c r="M193" s="61">
        <v>0</v>
      </c>
    </row>
    <row r="194" spans="1:13" x14ac:dyDescent="0.25">
      <c r="A194">
        <v>20010012</v>
      </c>
      <c r="B194" s="6">
        <v>82.6</v>
      </c>
      <c r="G194" s="23" t="s">
        <v>1215</v>
      </c>
      <c r="H194" s="23">
        <v>10130073</v>
      </c>
      <c r="I194" s="60" t="s">
        <v>1020</v>
      </c>
      <c r="J194" s="61" t="s">
        <v>1113</v>
      </c>
      <c r="K194" s="61">
        <v>1359.3599999999997</v>
      </c>
      <c r="L194" s="63">
        <v>1359.3599999999997</v>
      </c>
      <c r="M194" s="61">
        <v>0</v>
      </c>
    </row>
    <row r="195" spans="1:13" x14ac:dyDescent="0.25">
      <c r="A195">
        <v>20010016</v>
      </c>
      <c r="B195" s="6">
        <v>413</v>
      </c>
      <c r="G195" s="23" t="s">
        <v>1216</v>
      </c>
      <c r="H195" s="23">
        <v>10130098</v>
      </c>
      <c r="I195" s="60" t="s">
        <v>1020</v>
      </c>
      <c r="J195" s="61" t="s">
        <v>1113</v>
      </c>
      <c r="K195" s="61">
        <v>3304</v>
      </c>
      <c r="L195" s="63">
        <v>3028</v>
      </c>
      <c r="M195" s="61">
        <v>276</v>
      </c>
    </row>
    <row r="196" spans="1:13" x14ac:dyDescent="0.25">
      <c r="A196">
        <v>20010017</v>
      </c>
      <c r="B196" s="6">
        <v>10494.92</v>
      </c>
      <c r="G196" s="23" t="s">
        <v>1217</v>
      </c>
      <c r="H196" s="23">
        <v>10140001</v>
      </c>
      <c r="I196" s="60" t="s">
        <v>1020</v>
      </c>
      <c r="J196" s="61" t="s">
        <v>1113</v>
      </c>
      <c r="K196" s="61">
        <v>2360</v>
      </c>
      <c r="L196" s="63">
        <v>1287</v>
      </c>
      <c r="M196" s="61">
        <v>1073</v>
      </c>
    </row>
    <row r="197" spans="1:13" x14ac:dyDescent="0.25">
      <c r="A197">
        <v>20010023</v>
      </c>
      <c r="B197" s="6">
        <v>12744</v>
      </c>
      <c r="G197" s="23" t="s">
        <v>1218</v>
      </c>
      <c r="H197" s="23">
        <v>10140003</v>
      </c>
      <c r="I197" s="60" t="s">
        <v>1020</v>
      </c>
      <c r="J197" s="61" t="s">
        <v>1113</v>
      </c>
      <c r="K197" s="61">
        <v>165.2</v>
      </c>
      <c r="L197" s="63">
        <v>165.2</v>
      </c>
      <c r="M197" s="61">
        <v>0</v>
      </c>
    </row>
    <row r="198" spans="1:13" x14ac:dyDescent="0.25">
      <c r="A198">
        <v>20010027</v>
      </c>
      <c r="B198" s="6">
        <v>5758.4</v>
      </c>
      <c r="G198" s="23" t="s">
        <v>1219</v>
      </c>
      <c r="H198" s="23">
        <v>10140007</v>
      </c>
      <c r="I198" s="60" t="s">
        <v>1020</v>
      </c>
      <c r="J198" s="61" t="s">
        <v>1113</v>
      </c>
      <c r="K198" s="61">
        <v>1493.88</v>
      </c>
      <c r="L198" s="63">
        <v>0</v>
      </c>
      <c r="M198" s="61">
        <v>1493.88</v>
      </c>
    </row>
    <row r="199" spans="1:13" x14ac:dyDescent="0.25">
      <c r="A199">
        <v>20010041</v>
      </c>
      <c r="B199" s="6">
        <v>3304</v>
      </c>
      <c r="G199" s="23" t="s">
        <v>1220</v>
      </c>
      <c r="H199" s="23">
        <v>10140008</v>
      </c>
      <c r="I199" s="60" t="s">
        <v>1020</v>
      </c>
      <c r="J199" s="61" t="s">
        <v>1113</v>
      </c>
      <c r="K199" s="61">
        <v>82.6</v>
      </c>
      <c r="L199" s="63">
        <v>82.6</v>
      </c>
      <c r="M199" s="61">
        <v>0</v>
      </c>
    </row>
    <row r="200" spans="1:13" x14ac:dyDescent="0.25">
      <c r="A200">
        <v>20010042</v>
      </c>
      <c r="B200" s="6">
        <v>13334</v>
      </c>
      <c r="G200" s="23" t="s">
        <v>1221</v>
      </c>
      <c r="H200" s="23">
        <v>10140012</v>
      </c>
      <c r="I200" s="60" t="s">
        <v>1020</v>
      </c>
      <c r="J200" s="61" t="s">
        <v>1113</v>
      </c>
      <c r="K200" s="61">
        <v>3304</v>
      </c>
      <c r="L200" s="63">
        <v>3304</v>
      </c>
      <c r="M200" s="61">
        <v>0</v>
      </c>
    </row>
    <row r="201" spans="1:13" x14ac:dyDescent="0.25">
      <c r="A201">
        <v>20010051</v>
      </c>
      <c r="B201" s="6">
        <v>9440</v>
      </c>
      <c r="G201" s="23" t="s">
        <v>1222</v>
      </c>
      <c r="H201" s="23">
        <v>10140018</v>
      </c>
      <c r="I201" s="60" t="s">
        <v>1020</v>
      </c>
      <c r="J201" s="61" t="s">
        <v>1113</v>
      </c>
      <c r="K201" s="61">
        <v>2065</v>
      </c>
      <c r="L201" s="63">
        <v>2065</v>
      </c>
      <c r="M201" s="61">
        <v>0</v>
      </c>
    </row>
    <row r="202" spans="1:13" x14ac:dyDescent="0.25">
      <c r="A202">
        <v>20010054</v>
      </c>
      <c r="B202" s="6">
        <v>991.2</v>
      </c>
      <c r="G202" s="23" t="s">
        <v>1223</v>
      </c>
      <c r="H202" s="23">
        <v>10140034</v>
      </c>
      <c r="I202" s="60" t="s">
        <v>1020</v>
      </c>
      <c r="J202" s="61" t="s">
        <v>1113</v>
      </c>
      <c r="K202" s="61">
        <v>82.6</v>
      </c>
      <c r="L202" s="63">
        <v>82.6</v>
      </c>
      <c r="M202" s="61">
        <v>0</v>
      </c>
    </row>
    <row r="203" spans="1:13" x14ac:dyDescent="0.25">
      <c r="A203">
        <v>20020002</v>
      </c>
      <c r="B203" s="6">
        <v>20060</v>
      </c>
      <c r="G203" s="23" t="s">
        <v>1224</v>
      </c>
      <c r="H203" s="23">
        <v>10140041</v>
      </c>
      <c r="I203" s="60" t="s">
        <v>1020</v>
      </c>
      <c r="J203" s="61" t="s">
        <v>1113</v>
      </c>
      <c r="K203" s="61">
        <v>413</v>
      </c>
      <c r="L203" s="63">
        <v>413</v>
      </c>
      <c r="M203" s="61">
        <v>0</v>
      </c>
    </row>
    <row r="204" spans="1:13" x14ac:dyDescent="0.25">
      <c r="A204">
        <v>20020003</v>
      </c>
      <c r="B204" s="6">
        <v>4277.5</v>
      </c>
      <c r="G204" s="23" t="s">
        <v>1225</v>
      </c>
      <c r="H204" s="23">
        <v>10140043</v>
      </c>
      <c r="I204" s="60" t="s">
        <v>1020</v>
      </c>
      <c r="J204" s="61" t="s">
        <v>1113</v>
      </c>
      <c r="K204" s="61">
        <v>1493.88</v>
      </c>
      <c r="L204" s="63">
        <v>0</v>
      </c>
      <c r="M204" s="61">
        <v>1493.88</v>
      </c>
    </row>
    <row r="205" spans="1:13" x14ac:dyDescent="0.25">
      <c r="A205">
        <v>20020004</v>
      </c>
      <c r="B205" s="6">
        <v>9440</v>
      </c>
      <c r="G205" s="23" t="s">
        <v>1226</v>
      </c>
      <c r="H205" s="23">
        <v>10140047</v>
      </c>
      <c r="I205" s="60" t="s">
        <v>1020</v>
      </c>
      <c r="J205" s="61" t="s">
        <v>1113</v>
      </c>
      <c r="K205" s="61">
        <v>3304</v>
      </c>
      <c r="L205" s="63">
        <v>3304</v>
      </c>
      <c r="M205" s="61">
        <v>0</v>
      </c>
    </row>
    <row r="206" spans="1:13" x14ac:dyDescent="0.25">
      <c r="A206">
        <v>20020006</v>
      </c>
      <c r="B206" s="6">
        <v>10030</v>
      </c>
      <c r="G206" s="23" t="s">
        <v>1227</v>
      </c>
      <c r="H206" s="23">
        <v>10140069</v>
      </c>
      <c r="I206" s="60" t="s">
        <v>1020</v>
      </c>
      <c r="J206" s="61" t="s">
        <v>1113</v>
      </c>
      <c r="K206" s="61">
        <v>5310</v>
      </c>
      <c r="L206" s="63">
        <v>0</v>
      </c>
      <c r="M206" s="61">
        <v>5310</v>
      </c>
    </row>
    <row r="207" spans="1:13" x14ac:dyDescent="0.25">
      <c r="A207">
        <v>20020007</v>
      </c>
      <c r="B207" s="6">
        <v>3304</v>
      </c>
      <c r="G207" s="23" t="s">
        <v>1228</v>
      </c>
      <c r="H207" s="23">
        <v>10140098</v>
      </c>
      <c r="I207" s="60" t="s">
        <v>1020</v>
      </c>
      <c r="J207" s="61" t="s">
        <v>1113</v>
      </c>
      <c r="K207" s="61">
        <v>5310</v>
      </c>
      <c r="L207" s="63">
        <v>0</v>
      </c>
      <c r="M207" s="61">
        <v>5310</v>
      </c>
    </row>
    <row r="208" spans="1:13" x14ac:dyDescent="0.25">
      <c r="A208">
        <v>20020014</v>
      </c>
      <c r="B208" s="6">
        <v>3304</v>
      </c>
      <c r="G208" s="23" t="s">
        <v>1229</v>
      </c>
      <c r="H208" s="23">
        <v>10140119</v>
      </c>
      <c r="I208" s="60" t="s">
        <v>1020</v>
      </c>
      <c r="J208" s="61" t="s">
        <v>1113</v>
      </c>
      <c r="K208" s="61">
        <v>82.6</v>
      </c>
      <c r="L208" s="63">
        <v>0</v>
      </c>
      <c r="M208" s="61">
        <v>82.6</v>
      </c>
    </row>
    <row r="209" spans="1:13" x14ac:dyDescent="0.25">
      <c r="A209">
        <v>20030005</v>
      </c>
      <c r="B209" s="6">
        <v>11226.52</v>
      </c>
      <c r="G209" s="23" t="s">
        <v>1230</v>
      </c>
      <c r="H209" s="23">
        <v>10140120</v>
      </c>
      <c r="I209" s="60" t="s">
        <v>1020</v>
      </c>
      <c r="J209" s="61" t="s">
        <v>1113</v>
      </c>
      <c r="K209" s="61">
        <v>1493.88</v>
      </c>
      <c r="L209" s="63">
        <v>1493.88</v>
      </c>
      <c r="M209" s="61">
        <v>0</v>
      </c>
    </row>
    <row r="210" spans="1:13" x14ac:dyDescent="0.25">
      <c r="A210">
        <v>20040004</v>
      </c>
      <c r="B210" s="6">
        <v>99.12</v>
      </c>
      <c r="G210" s="23" t="s">
        <v>1231</v>
      </c>
      <c r="H210" s="23">
        <v>10140126</v>
      </c>
      <c r="I210" s="60" t="s">
        <v>1020</v>
      </c>
      <c r="J210" s="61" t="s">
        <v>1113</v>
      </c>
      <c r="K210" s="61">
        <v>10974</v>
      </c>
      <c r="L210" s="63">
        <v>0</v>
      </c>
      <c r="M210" s="61">
        <v>10974</v>
      </c>
    </row>
    <row r="211" spans="1:13" x14ac:dyDescent="0.25">
      <c r="A211">
        <v>20040006</v>
      </c>
      <c r="B211" s="6">
        <v>9440</v>
      </c>
      <c r="G211" s="23" t="s">
        <v>1232</v>
      </c>
      <c r="H211" s="23">
        <v>10140129</v>
      </c>
      <c r="I211" s="60" t="s">
        <v>1020</v>
      </c>
      <c r="J211" s="61" t="s">
        <v>1113</v>
      </c>
      <c r="K211" s="61">
        <v>2489.8000000000002</v>
      </c>
      <c r="L211" s="63">
        <v>2489.8000000000002</v>
      </c>
      <c r="M211" s="61">
        <v>0</v>
      </c>
    </row>
    <row r="212" spans="1:13" x14ac:dyDescent="0.25">
      <c r="A212">
        <v>20060004</v>
      </c>
      <c r="B212" s="6">
        <v>6973.8</v>
      </c>
      <c r="G212" s="23" t="s">
        <v>1233</v>
      </c>
      <c r="H212" s="23">
        <v>10140131</v>
      </c>
      <c r="I212" s="60" t="s">
        <v>1020</v>
      </c>
      <c r="J212" s="61" t="s">
        <v>1113</v>
      </c>
      <c r="K212" s="61">
        <v>5859.88</v>
      </c>
      <c r="L212" s="63">
        <v>5859.88</v>
      </c>
      <c r="M212" s="61">
        <v>0</v>
      </c>
    </row>
    <row r="213" spans="1:13" x14ac:dyDescent="0.25">
      <c r="A213">
        <v>20060007</v>
      </c>
      <c r="B213" s="6">
        <v>99.12</v>
      </c>
      <c r="G213" s="23" t="s">
        <v>1234</v>
      </c>
      <c r="H213" s="23">
        <v>10140153</v>
      </c>
      <c r="I213" s="60" t="s">
        <v>1020</v>
      </c>
      <c r="J213" s="61" t="s">
        <v>1113</v>
      </c>
      <c r="K213" s="61">
        <v>4630.32</v>
      </c>
      <c r="L213" s="63">
        <v>4630.32</v>
      </c>
      <c r="M213" s="61">
        <v>0</v>
      </c>
    </row>
    <row r="214" spans="1:13" x14ac:dyDescent="0.25">
      <c r="A214">
        <v>20060009</v>
      </c>
      <c r="B214" s="6">
        <v>413</v>
      </c>
      <c r="G214" s="23" t="s">
        <v>1235</v>
      </c>
      <c r="H214" s="23">
        <v>10140155</v>
      </c>
      <c r="I214" s="60" t="s">
        <v>1020</v>
      </c>
      <c r="J214" s="61" t="s">
        <v>1113</v>
      </c>
      <c r="K214" s="61">
        <v>2360</v>
      </c>
      <c r="L214" s="63">
        <v>2360</v>
      </c>
      <c r="M214" s="61">
        <v>0</v>
      </c>
    </row>
    <row r="215" spans="1:13" x14ac:dyDescent="0.25">
      <c r="A215">
        <v>20070010</v>
      </c>
      <c r="B215" s="6">
        <v>10030</v>
      </c>
      <c r="G215" s="23" t="s">
        <v>1236</v>
      </c>
      <c r="H215" s="23">
        <v>10140156</v>
      </c>
      <c r="I215" s="60" t="s">
        <v>1020</v>
      </c>
      <c r="J215" s="61" t="s">
        <v>1113</v>
      </c>
      <c r="K215" s="61">
        <v>1062</v>
      </c>
      <c r="L215" s="63">
        <v>1062</v>
      </c>
      <c r="M215" s="61">
        <v>0</v>
      </c>
    </row>
    <row r="216" spans="1:13" x14ac:dyDescent="0.25">
      <c r="A216">
        <v>20080018</v>
      </c>
      <c r="B216" s="6">
        <v>11894.4</v>
      </c>
      <c r="G216" s="23" t="s">
        <v>1237</v>
      </c>
      <c r="H216" s="23">
        <v>10140179</v>
      </c>
      <c r="I216" s="60" t="s">
        <v>1020</v>
      </c>
      <c r="J216" s="61" t="s">
        <v>1113</v>
      </c>
      <c r="K216" s="61">
        <v>920.4</v>
      </c>
      <c r="L216" s="63">
        <v>161</v>
      </c>
      <c r="M216" s="61">
        <v>759.4</v>
      </c>
    </row>
    <row r="217" spans="1:13" x14ac:dyDescent="0.25">
      <c r="A217">
        <v>20090012</v>
      </c>
      <c r="B217" s="6">
        <v>82.6</v>
      </c>
      <c r="G217" s="23" t="s">
        <v>1238</v>
      </c>
      <c r="H217" s="23">
        <v>10250001</v>
      </c>
      <c r="I217" s="60" t="s">
        <v>1020</v>
      </c>
      <c r="J217" s="61" t="s">
        <v>1113</v>
      </c>
      <c r="K217" s="61">
        <v>82.6</v>
      </c>
      <c r="L217" s="63">
        <v>82.6</v>
      </c>
      <c r="M217" s="61">
        <v>0</v>
      </c>
    </row>
    <row r="218" spans="1:13" x14ac:dyDescent="0.25">
      <c r="A218">
        <v>20090014</v>
      </c>
      <c r="B218" s="6">
        <v>2797.78</v>
      </c>
      <c r="G218" s="23" t="s">
        <v>1239</v>
      </c>
      <c r="H218" s="23">
        <v>10360001</v>
      </c>
      <c r="I218" s="60" t="s">
        <v>1020</v>
      </c>
      <c r="J218" s="61" t="s">
        <v>1113</v>
      </c>
      <c r="K218" s="61">
        <v>1498.6</v>
      </c>
      <c r="L218" s="63">
        <v>1498.6</v>
      </c>
      <c r="M218" s="61">
        <v>0</v>
      </c>
    </row>
    <row r="219" spans="1:13" x14ac:dyDescent="0.25">
      <c r="A219">
        <v>30200028</v>
      </c>
      <c r="B219" s="6">
        <v>10030</v>
      </c>
      <c r="G219" s="23" t="s">
        <v>1240</v>
      </c>
      <c r="H219" s="23">
        <v>10400001</v>
      </c>
      <c r="I219" s="60" t="s">
        <v>1020</v>
      </c>
      <c r="J219" s="61" t="s">
        <v>1113</v>
      </c>
      <c r="K219" s="61">
        <v>8893.66</v>
      </c>
      <c r="L219" s="63">
        <v>8893.66</v>
      </c>
      <c r="M219" s="61">
        <v>0</v>
      </c>
    </row>
    <row r="220" spans="1:13" x14ac:dyDescent="0.25">
      <c r="A220">
        <v>10120010</v>
      </c>
      <c r="B220" s="6">
        <v>1090.32</v>
      </c>
      <c r="G220" s="23" t="s">
        <v>1241</v>
      </c>
      <c r="H220" s="23">
        <v>10410001</v>
      </c>
      <c r="I220" s="60" t="s">
        <v>1020</v>
      </c>
      <c r="J220" s="61" t="s">
        <v>1113</v>
      </c>
      <c r="K220" s="61">
        <v>424.8</v>
      </c>
      <c r="L220" s="63">
        <v>424.8</v>
      </c>
      <c r="M220" s="61">
        <v>0</v>
      </c>
    </row>
    <row r="221" spans="1:13" x14ac:dyDescent="0.25">
      <c r="A221">
        <v>10010102</v>
      </c>
      <c r="B221" s="6">
        <v>826</v>
      </c>
      <c r="G221" s="23" t="s">
        <v>1242</v>
      </c>
      <c r="H221" s="23">
        <v>10460001</v>
      </c>
      <c r="I221" s="60" t="s">
        <v>1020</v>
      </c>
      <c r="J221" s="61" t="s">
        <v>1113</v>
      </c>
      <c r="K221" s="61">
        <v>1062</v>
      </c>
      <c r="L221" s="63">
        <v>1062</v>
      </c>
      <c r="M221" s="61">
        <v>0</v>
      </c>
    </row>
    <row r="222" spans="1:13" x14ac:dyDescent="0.25">
      <c r="A222">
        <v>10030030</v>
      </c>
      <c r="B222" s="6">
        <v>2761.2000000000003</v>
      </c>
      <c r="G222" s="23" t="s">
        <v>1243</v>
      </c>
      <c r="H222" s="23">
        <v>10480008</v>
      </c>
      <c r="I222" s="60" t="s">
        <v>1020</v>
      </c>
      <c r="J222" s="61" t="s">
        <v>1113</v>
      </c>
      <c r="K222" s="61">
        <v>1493.88</v>
      </c>
      <c r="L222" s="63">
        <v>1493.88</v>
      </c>
      <c r="M222" s="61">
        <v>0</v>
      </c>
    </row>
    <row r="223" spans="1:13" x14ac:dyDescent="0.25">
      <c r="A223">
        <v>10120017</v>
      </c>
      <c r="B223" s="6">
        <v>82.6</v>
      </c>
      <c r="G223" s="23" t="s">
        <v>1244</v>
      </c>
      <c r="H223" s="23">
        <v>10480022</v>
      </c>
      <c r="I223" s="60" t="s">
        <v>1020</v>
      </c>
      <c r="J223" s="61" t="s">
        <v>1113</v>
      </c>
      <c r="K223" s="61">
        <v>8437</v>
      </c>
      <c r="L223" s="63">
        <v>3446</v>
      </c>
      <c r="M223" s="61">
        <v>4991</v>
      </c>
    </row>
    <row r="224" spans="1:13" x14ac:dyDescent="0.25">
      <c r="A224">
        <v>1008</v>
      </c>
      <c r="B224" s="6">
        <v>2815.48</v>
      </c>
      <c r="G224" s="23" t="s">
        <v>1245</v>
      </c>
      <c r="H224" s="23">
        <v>10510001</v>
      </c>
      <c r="I224" s="60" t="s">
        <v>1020</v>
      </c>
      <c r="J224" s="61" t="s">
        <v>1113</v>
      </c>
      <c r="K224" s="61">
        <v>1493.88</v>
      </c>
      <c r="L224" s="63">
        <v>1493.88</v>
      </c>
      <c r="M224" s="61">
        <v>0</v>
      </c>
    </row>
    <row r="225" spans="1:13" x14ac:dyDescent="0.25">
      <c r="A225">
        <v>10060073</v>
      </c>
      <c r="B225" s="6">
        <v>413</v>
      </c>
      <c r="G225" s="23" t="s">
        <v>1246</v>
      </c>
      <c r="H225" s="23">
        <v>10510004</v>
      </c>
      <c r="I225" s="60" t="s">
        <v>1020</v>
      </c>
      <c r="J225" s="61" t="s">
        <v>1113</v>
      </c>
      <c r="K225" s="61">
        <v>377.6</v>
      </c>
      <c r="L225" s="63">
        <v>377.6</v>
      </c>
      <c r="M225" s="61">
        <v>0</v>
      </c>
    </row>
    <row r="226" spans="1:13" x14ac:dyDescent="0.25">
      <c r="A226">
        <v>10130090</v>
      </c>
      <c r="B226" s="6">
        <v>973.5</v>
      </c>
      <c r="G226" s="23" t="s">
        <v>1247</v>
      </c>
      <c r="H226" s="23">
        <v>10120017</v>
      </c>
      <c r="I226" s="60" t="s">
        <v>1020</v>
      </c>
      <c r="J226" s="61" t="s">
        <v>1113</v>
      </c>
      <c r="K226" s="61">
        <v>82.6</v>
      </c>
      <c r="L226" s="63">
        <v>82.6</v>
      </c>
      <c r="M226" s="61">
        <v>0</v>
      </c>
    </row>
    <row r="227" spans="1:13" x14ac:dyDescent="0.25">
      <c r="A227">
        <v>10010100</v>
      </c>
      <c r="B227" s="6">
        <v>2478</v>
      </c>
      <c r="G227" s="23" t="s">
        <v>1248</v>
      </c>
      <c r="H227" s="23">
        <v>10130090</v>
      </c>
      <c r="I227" s="60" t="s">
        <v>1020</v>
      </c>
      <c r="J227" s="61" t="s">
        <v>1113</v>
      </c>
      <c r="K227" s="61">
        <v>973.5</v>
      </c>
      <c r="L227" s="63">
        <v>973.5</v>
      </c>
      <c r="M227" s="61">
        <v>0</v>
      </c>
    </row>
    <row r="228" spans="1:13" x14ac:dyDescent="0.25">
      <c r="A228">
        <v>10100014</v>
      </c>
      <c r="B228" s="6">
        <v>2454.4</v>
      </c>
      <c r="G228" s="23" t="s">
        <v>1249</v>
      </c>
      <c r="H228" s="23">
        <v>10100014</v>
      </c>
      <c r="I228" s="60" t="s">
        <v>1020</v>
      </c>
      <c r="J228" s="61" t="s">
        <v>1113</v>
      </c>
      <c r="K228" s="61">
        <v>2454.4</v>
      </c>
      <c r="L228" s="63">
        <v>0</v>
      </c>
      <c r="M228" s="61">
        <v>2454.4</v>
      </c>
    </row>
    <row r="229" spans="1:13" x14ac:dyDescent="0.25">
      <c r="A229">
        <v>10090064</v>
      </c>
      <c r="B229" s="6">
        <v>2153.5</v>
      </c>
      <c r="G229" s="23" t="s">
        <v>1250</v>
      </c>
      <c r="H229" s="23">
        <v>10090064</v>
      </c>
      <c r="I229" s="60" t="s">
        <v>1020</v>
      </c>
      <c r="J229" s="61" t="s">
        <v>1113</v>
      </c>
      <c r="K229" s="61">
        <v>2153.5</v>
      </c>
      <c r="L229" s="63">
        <v>2153.5</v>
      </c>
      <c r="M229" s="61">
        <v>0</v>
      </c>
    </row>
    <row r="230" spans="1:13" x14ac:dyDescent="0.25">
      <c r="A230">
        <v>1011</v>
      </c>
      <c r="B230" s="6">
        <v>4449.78</v>
      </c>
      <c r="G230" s="23" t="s">
        <v>1251</v>
      </c>
      <c r="H230" s="23">
        <v>10100051</v>
      </c>
      <c r="I230" s="60" t="s">
        <v>1020</v>
      </c>
      <c r="J230" s="61" t="s">
        <v>1113</v>
      </c>
      <c r="K230" s="61">
        <v>512.12</v>
      </c>
      <c r="L230" s="63">
        <v>512.12</v>
      </c>
      <c r="M230" s="61">
        <v>0</v>
      </c>
    </row>
    <row r="231" spans="1:13" x14ac:dyDescent="0.25">
      <c r="A231">
        <v>1002</v>
      </c>
      <c r="B231" s="6">
        <v>1321.6</v>
      </c>
      <c r="G231" s="23" t="s">
        <v>1252</v>
      </c>
      <c r="H231" s="23">
        <v>10090021</v>
      </c>
      <c r="I231" s="60" t="s">
        <v>1020</v>
      </c>
      <c r="J231" s="61" t="s">
        <v>1113</v>
      </c>
      <c r="K231" s="61">
        <v>811.84</v>
      </c>
      <c r="L231" s="63">
        <v>811.84</v>
      </c>
      <c r="M231" s="61">
        <v>0</v>
      </c>
    </row>
    <row r="232" spans="1:13" x14ac:dyDescent="0.25">
      <c r="A232">
        <v>1001</v>
      </c>
      <c r="B232" s="6">
        <v>5587.3</v>
      </c>
      <c r="G232" s="23" t="s">
        <v>1253</v>
      </c>
      <c r="H232" s="23">
        <v>10030021</v>
      </c>
      <c r="I232" s="60" t="s">
        <v>1020</v>
      </c>
      <c r="J232" s="61" t="s">
        <v>1113</v>
      </c>
      <c r="K232" s="61">
        <v>51.92</v>
      </c>
      <c r="L232" s="63">
        <v>51.92</v>
      </c>
      <c r="M232" s="61">
        <v>0</v>
      </c>
    </row>
    <row r="233" spans="1:13" x14ac:dyDescent="0.25">
      <c r="A233">
        <v>1009</v>
      </c>
      <c r="B233" s="6">
        <v>3280.4</v>
      </c>
      <c r="G233" s="23" t="s">
        <v>1254</v>
      </c>
      <c r="H233" s="23">
        <v>10100021</v>
      </c>
      <c r="I233" s="60" t="s">
        <v>1020</v>
      </c>
      <c r="J233" s="61" t="s">
        <v>1113</v>
      </c>
      <c r="K233" s="61">
        <v>507.4</v>
      </c>
      <c r="L233" s="63">
        <v>214</v>
      </c>
      <c r="M233" s="61">
        <v>293.39999999999998</v>
      </c>
    </row>
    <row r="234" spans="1:13" x14ac:dyDescent="0.25">
      <c r="A234">
        <v>10100051</v>
      </c>
      <c r="B234" s="6">
        <v>512.12</v>
      </c>
      <c r="G234" s="23" t="s">
        <v>1255</v>
      </c>
      <c r="H234" s="23">
        <v>10130085</v>
      </c>
      <c r="I234" s="60" t="s">
        <v>1020</v>
      </c>
      <c r="J234" s="61" t="s">
        <v>1113</v>
      </c>
      <c r="K234" s="61">
        <v>3384.2400000000002</v>
      </c>
      <c r="L234" s="63">
        <v>3384.2400000000002</v>
      </c>
      <c r="M234" s="61">
        <v>0</v>
      </c>
    </row>
    <row r="235" spans="1:13" x14ac:dyDescent="0.25">
      <c r="A235">
        <v>10130044</v>
      </c>
      <c r="B235" s="6">
        <v>4423.82</v>
      </c>
      <c r="G235" s="23" t="s">
        <v>1256</v>
      </c>
      <c r="H235" s="23">
        <v>10110116</v>
      </c>
      <c r="I235" s="60" t="s">
        <v>1020</v>
      </c>
      <c r="J235" s="61" t="s">
        <v>1113</v>
      </c>
      <c r="K235" s="61">
        <v>677.31999999999994</v>
      </c>
      <c r="L235" s="63">
        <v>677.31999999999994</v>
      </c>
      <c r="M235" s="61">
        <v>0</v>
      </c>
    </row>
    <row r="236" spans="1:13" x14ac:dyDescent="0.25">
      <c r="A236">
        <v>10090021</v>
      </c>
      <c r="B236" s="6">
        <v>811.84</v>
      </c>
      <c r="G236" s="23" t="s">
        <v>1257</v>
      </c>
      <c r="H236" s="23">
        <v>10010013</v>
      </c>
      <c r="I236" s="60" t="s">
        <v>1020</v>
      </c>
      <c r="J236" s="61" t="s">
        <v>1113</v>
      </c>
      <c r="K236" s="61">
        <v>269.03999999999996</v>
      </c>
      <c r="L236" s="63">
        <v>269.03999999999996</v>
      </c>
      <c r="M236" s="61">
        <v>0</v>
      </c>
    </row>
    <row r="237" spans="1:13" x14ac:dyDescent="0.25">
      <c r="A237">
        <v>10130096</v>
      </c>
      <c r="B237" s="6">
        <v>181.72</v>
      </c>
      <c r="G237" s="23" t="s">
        <v>1258</v>
      </c>
      <c r="H237" s="23">
        <v>10080093</v>
      </c>
      <c r="I237" s="60" t="s">
        <v>1020</v>
      </c>
      <c r="J237" s="61" t="s">
        <v>1113</v>
      </c>
      <c r="K237" s="61">
        <v>165.2</v>
      </c>
      <c r="L237" s="63">
        <v>165.2</v>
      </c>
      <c r="M237" s="61">
        <v>0</v>
      </c>
    </row>
    <row r="238" spans="1:13" x14ac:dyDescent="0.25">
      <c r="A238">
        <v>10030021</v>
      </c>
      <c r="B238" s="6">
        <v>51.92</v>
      </c>
      <c r="G238" s="23" t="s">
        <v>1259</v>
      </c>
      <c r="H238" s="23">
        <v>10110111</v>
      </c>
      <c r="I238" s="60" t="s">
        <v>1020</v>
      </c>
      <c r="J238" s="61" t="s">
        <v>1113</v>
      </c>
      <c r="K238" s="61">
        <v>1062</v>
      </c>
      <c r="L238" s="63">
        <v>107</v>
      </c>
      <c r="M238" s="61">
        <v>955</v>
      </c>
    </row>
    <row r="239" spans="1:13" x14ac:dyDescent="0.25">
      <c r="A239">
        <v>1013</v>
      </c>
      <c r="B239" s="6">
        <v>5594.38</v>
      </c>
      <c r="G239" s="23" t="s">
        <v>1260</v>
      </c>
      <c r="H239" s="23">
        <v>10030037</v>
      </c>
      <c r="I239" s="60" t="s">
        <v>1020</v>
      </c>
      <c r="J239" s="61" t="s">
        <v>1113</v>
      </c>
      <c r="K239" s="61">
        <v>1345.2</v>
      </c>
      <c r="L239" s="63">
        <v>1345.2</v>
      </c>
      <c r="M239" s="61">
        <v>0</v>
      </c>
    </row>
    <row r="240" spans="1:13" x14ac:dyDescent="0.25">
      <c r="A240">
        <v>10100021</v>
      </c>
      <c r="B240" s="6">
        <v>507.4</v>
      </c>
      <c r="G240" s="23" t="s">
        <v>1261</v>
      </c>
      <c r="H240" s="23">
        <v>10140032</v>
      </c>
      <c r="I240" s="60" t="s">
        <v>1020</v>
      </c>
      <c r="J240" s="61" t="s">
        <v>1113</v>
      </c>
      <c r="K240" s="61">
        <v>3971.88</v>
      </c>
      <c r="L240" s="63">
        <v>3971.88</v>
      </c>
      <c r="M240" s="61">
        <v>0</v>
      </c>
    </row>
    <row r="241" spans="1:13" x14ac:dyDescent="0.25">
      <c r="A241">
        <v>10120023</v>
      </c>
      <c r="B241" s="6">
        <v>202.96</v>
      </c>
      <c r="G241" s="23" t="s">
        <v>1262</v>
      </c>
      <c r="H241" s="23">
        <v>10480005</v>
      </c>
      <c r="I241" s="60" t="s">
        <v>1020</v>
      </c>
      <c r="J241" s="61" t="s">
        <v>1113</v>
      </c>
      <c r="K241" s="61">
        <v>413</v>
      </c>
      <c r="L241" s="63">
        <v>413</v>
      </c>
      <c r="M241" s="61">
        <v>0</v>
      </c>
    </row>
    <row r="242" spans="1:13" x14ac:dyDescent="0.25">
      <c r="A242">
        <v>10120013</v>
      </c>
      <c r="B242" s="6">
        <v>1007.72</v>
      </c>
      <c r="G242" s="23" t="s">
        <v>1263</v>
      </c>
      <c r="H242" s="23">
        <v>10030032</v>
      </c>
      <c r="I242" s="60" t="s">
        <v>1020</v>
      </c>
      <c r="J242" s="61" t="s">
        <v>1113</v>
      </c>
      <c r="K242" s="61">
        <v>99.12</v>
      </c>
      <c r="L242" s="63">
        <v>99.12</v>
      </c>
      <c r="M242" s="61">
        <v>0</v>
      </c>
    </row>
    <row r="243" spans="1:13" x14ac:dyDescent="0.25">
      <c r="A243">
        <v>10130085</v>
      </c>
      <c r="B243" s="6">
        <v>3384.2400000000002</v>
      </c>
      <c r="G243" s="23" t="s">
        <v>1264</v>
      </c>
      <c r="H243" s="23">
        <v>10020068</v>
      </c>
      <c r="I243" s="60" t="s">
        <v>1020</v>
      </c>
      <c r="J243" s="61" t="s">
        <v>1113</v>
      </c>
      <c r="K243" s="61">
        <v>8314.2800000000007</v>
      </c>
      <c r="L243" s="63">
        <v>8314.2800000000007</v>
      </c>
      <c r="M243" s="61">
        <v>0</v>
      </c>
    </row>
    <row r="244" spans="1:13" x14ac:dyDescent="0.25">
      <c r="A244">
        <v>10110116</v>
      </c>
      <c r="B244" s="6">
        <v>677.31999999999994</v>
      </c>
      <c r="G244" s="23" t="s">
        <v>1265</v>
      </c>
      <c r="H244" s="23">
        <v>10010076</v>
      </c>
      <c r="I244" s="60" t="s">
        <v>1020</v>
      </c>
      <c r="J244" s="61" t="s">
        <v>1113</v>
      </c>
      <c r="K244" s="61">
        <v>4353.0200000000004</v>
      </c>
      <c r="L244" s="63">
        <v>1041</v>
      </c>
      <c r="M244" s="61">
        <v>3312.0200000000004</v>
      </c>
    </row>
    <row r="245" spans="1:13" x14ac:dyDescent="0.25">
      <c r="A245">
        <v>10010013</v>
      </c>
      <c r="B245" s="6">
        <v>269.03999999999996</v>
      </c>
      <c r="G245" s="23" t="s">
        <v>1266</v>
      </c>
      <c r="H245" s="23">
        <v>10120005</v>
      </c>
      <c r="I245" s="60" t="s">
        <v>1020</v>
      </c>
      <c r="J245" s="61" t="s">
        <v>1113</v>
      </c>
      <c r="K245" s="61">
        <v>269.04000000000002</v>
      </c>
      <c r="L245" s="63">
        <v>201</v>
      </c>
      <c r="M245" s="61">
        <v>68.04000000000002</v>
      </c>
    </row>
    <row r="246" spans="1:13" x14ac:dyDescent="0.25">
      <c r="A246">
        <v>10080093</v>
      </c>
      <c r="B246" s="6">
        <v>165.2</v>
      </c>
      <c r="G246" s="23" t="s">
        <v>1267</v>
      </c>
      <c r="H246" s="23">
        <v>10010097</v>
      </c>
      <c r="I246" s="60" t="s">
        <v>1020</v>
      </c>
      <c r="J246" s="61" t="s">
        <v>1113</v>
      </c>
      <c r="K246" s="61">
        <v>512.12</v>
      </c>
      <c r="L246" s="63">
        <v>512.12</v>
      </c>
      <c r="M246" s="61">
        <v>0</v>
      </c>
    </row>
    <row r="247" spans="1:13" x14ac:dyDescent="0.25">
      <c r="A247">
        <v>10110111</v>
      </c>
      <c r="B247" s="6">
        <v>1062</v>
      </c>
      <c r="G247" s="23" t="s">
        <v>1268</v>
      </c>
      <c r="H247" s="23">
        <v>10100015</v>
      </c>
      <c r="I247" s="60" t="s">
        <v>1020</v>
      </c>
      <c r="J247" s="61" t="s">
        <v>1113</v>
      </c>
      <c r="K247" s="61">
        <v>3304</v>
      </c>
      <c r="L247" s="63">
        <v>3304</v>
      </c>
      <c r="M247" s="61">
        <v>0</v>
      </c>
    </row>
    <row r="248" spans="1:13" x14ac:dyDescent="0.25">
      <c r="A248">
        <v>10030037</v>
      </c>
      <c r="B248" s="6">
        <v>1345.2</v>
      </c>
      <c r="G248" s="23" t="s">
        <v>1269</v>
      </c>
      <c r="H248" s="23">
        <v>10030035</v>
      </c>
      <c r="I248" s="60" t="s">
        <v>1020</v>
      </c>
      <c r="J248" s="61" t="s">
        <v>1113</v>
      </c>
      <c r="K248" s="61">
        <v>413</v>
      </c>
      <c r="L248" s="63">
        <v>413</v>
      </c>
      <c r="M248" s="61">
        <v>0</v>
      </c>
    </row>
    <row r="249" spans="1:13" x14ac:dyDescent="0.25">
      <c r="A249">
        <v>10140032</v>
      </c>
      <c r="B249" s="6">
        <v>3971.88</v>
      </c>
      <c r="G249" s="23" t="s">
        <v>1270</v>
      </c>
      <c r="H249" s="23">
        <v>10140066</v>
      </c>
      <c r="I249" s="60" t="s">
        <v>1020</v>
      </c>
      <c r="J249" s="61" t="s">
        <v>1113</v>
      </c>
      <c r="K249" s="61">
        <v>3569.5</v>
      </c>
      <c r="L249" s="63">
        <v>3425</v>
      </c>
      <c r="M249" s="61">
        <v>144.5</v>
      </c>
    </row>
    <row r="250" spans="1:13" x14ac:dyDescent="0.25">
      <c r="A250">
        <v>10480005</v>
      </c>
      <c r="B250" s="6">
        <v>413</v>
      </c>
      <c r="G250" s="23" t="s">
        <v>1271</v>
      </c>
      <c r="H250" s="23">
        <v>10030034</v>
      </c>
      <c r="I250" s="60" t="s">
        <v>1020</v>
      </c>
      <c r="J250" s="61" t="s">
        <v>1113</v>
      </c>
      <c r="K250" s="61">
        <v>165.2</v>
      </c>
      <c r="L250" s="63">
        <v>165.2</v>
      </c>
      <c r="M250" s="61">
        <v>0</v>
      </c>
    </row>
    <row r="251" spans="1:13" x14ac:dyDescent="0.25">
      <c r="A251">
        <v>10010131</v>
      </c>
      <c r="B251" s="6">
        <v>99.12</v>
      </c>
      <c r="G251" s="23" t="s">
        <v>1272</v>
      </c>
      <c r="H251" s="23">
        <v>10030019</v>
      </c>
      <c r="I251" s="60" t="s">
        <v>1020</v>
      </c>
      <c r="J251" s="61" t="s">
        <v>1113</v>
      </c>
      <c r="K251" s="61">
        <v>3304</v>
      </c>
      <c r="L251" s="63">
        <v>3304</v>
      </c>
      <c r="M251" s="61">
        <v>0</v>
      </c>
    </row>
    <row r="252" spans="1:13" x14ac:dyDescent="0.25">
      <c r="A252">
        <v>1007</v>
      </c>
      <c r="B252" s="6">
        <v>7179.12</v>
      </c>
      <c r="G252" s="23" t="s">
        <v>1273</v>
      </c>
      <c r="H252" s="23">
        <v>10100009</v>
      </c>
      <c r="I252" s="60" t="s">
        <v>1020</v>
      </c>
      <c r="J252" s="61" t="s">
        <v>1113</v>
      </c>
      <c r="K252" s="61">
        <v>1014.8000000000001</v>
      </c>
      <c r="L252" s="63">
        <v>1014.8000000000001</v>
      </c>
      <c r="M252" s="61">
        <v>0</v>
      </c>
    </row>
    <row r="253" spans="1:13" x14ac:dyDescent="0.25">
      <c r="A253">
        <v>10030032</v>
      </c>
      <c r="B253" s="6">
        <v>99.12</v>
      </c>
      <c r="G253" s="23" t="s">
        <v>1274</v>
      </c>
      <c r="H253" s="23">
        <v>10070033</v>
      </c>
      <c r="I253" s="60" t="s">
        <v>1020</v>
      </c>
      <c r="J253" s="61" t="s">
        <v>1113</v>
      </c>
      <c r="K253" s="61">
        <v>165.2</v>
      </c>
      <c r="L253" s="63">
        <v>165.2</v>
      </c>
      <c r="M253" s="61">
        <v>0</v>
      </c>
    </row>
    <row r="254" spans="1:13" x14ac:dyDescent="0.25">
      <c r="A254">
        <v>10020068</v>
      </c>
      <c r="B254" s="6">
        <v>8314.2800000000007</v>
      </c>
      <c r="G254" s="23" t="s">
        <v>1275</v>
      </c>
      <c r="H254" s="23">
        <v>10070016</v>
      </c>
      <c r="I254" s="60" t="s">
        <v>1020</v>
      </c>
      <c r="J254" s="61" t="s">
        <v>1113</v>
      </c>
      <c r="K254" s="61">
        <v>413</v>
      </c>
      <c r="L254" s="63">
        <v>0</v>
      </c>
      <c r="M254" s="61">
        <v>413</v>
      </c>
    </row>
    <row r="255" spans="1:13" x14ac:dyDescent="0.25">
      <c r="A255">
        <v>10110113</v>
      </c>
      <c r="B255" s="6">
        <v>413</v>
      </c>
      <c r="G255" s="23" t="s">
        <v>1276</v>
      </c>
      <c r="H255" s="23">
        <v>10030027</v>
      </c>
      <c r="I255" s="60" t="s">
        <v>1020</v>
      </c>
      <c r="J255" s="61" t="s">
        <v>1113</v>
      </c>
      <c r="K255" s="61">
        <v>413</v>
      </c>
      <c r="L255" s="63">
        <v>413</v>
      </c>
      <c r="M255" s="61">
        <v>0</v>
      </c>
    </row>
    <row r="256" spans="1:13" x14ac:dyDescent="0.25">
      <c r="A256">
        <v>10010076</v>
      </c>
      <c r="B256" s="6">
        <v>4353.0200000000004</v>
      </c>
      <c r="G256" s="23" t="s">
        <v>1277</v>
      </c>
      <c r="H256" s="23">
        <v>10030053</v>
      </c>
      <c r="I256" s="60" t="s">
        <v>1020</v>
      </c>
      <c r="J256" s="61" t="s">
        <v>1113</v>
      </c>
      <c r="K256" s="61">
        <v>6820.4</v>
      </c>
      <c r="L256" s="63">
        <v>6820.4</v>
      </c>
      <c r="M256" s="61">
        <v>0</v>
      </c>
    </row>
    <row r="257" spans="1:13" x14ac:dyDescent="0.25">
      <c r="A257">
        <v>10120005</v>
      </c>
      <c r="B257" s="6">
        <v>269.04000000000002</v>
      </c>
      <c r="G257" s="23" t="s">
        <v>1278</v>
      </c>
      <c r="H257" s="23">
        <v>10020070</v>
      </c>
      <c r="I257" s="60" t="s">
        <v>1020</v>
      </c>
      <c r="J257" s="61" t="s">
        <v>1113</v>
      </c>
      <c r="K257" s="61">
        <v>413</v>
      </c>
      <c r="L257" s="63">
        <v>0</v>
      </c>
      <c r="M257" s="61">
        <v>413</v>
      </c>
    </row>
    <row r="258" spans="1:13" x14ac:dyDescent="0.25">
      <c r="A258">
        <v>10010097</v>
      </c>
      <c r="B258" s="6">
        <v>512.12</v>
      </c>
      <c r="G258" s="23" t="s">
        <v>1279</v>
      </c>
      <c r="H258" s="23">
        <v>10030056</v>
      </c>
      <c r="I258" s="60" t="s">
        <v>1020</v>
      </c>
      <c r="J258" s="61" t="s">
        <v>1113</v>
      </c>
      <c r="K258" s="61">
        <v>413</v>
      </c>
      <c r="L258" s="63">
        <v>0</v>
      </c>
      <c r="M258" s="61">
        <v>413</v>
      </c>
    </row>
    <row r="259" spans="1:13" x14ac:dyDescent="0.25">
      <c r="A259">
        <v>10100015</v>
      </c>
      <c r="B259" s="6">
        <v>3304</v>
      </c>
      <c r="G259" s="23" t="s">
        <v>1280</v>
      </c>
      <c r="H259" s="23">
        <v>10140058</v>
      </c>
      <c r="I259" s="60" t="s">
        <v>1020</v>
      </c>
      <c r="J259" s="61" t="s">
        <v>1113</v>
      </c>
      <c r="K259" s="61">
        <v>2124</v>
      </c>
      <c r="L259" s="63">
        <v>2124</v>
      </c>
      <c r="M259" s="61">
        <v>0</v>
      </c>
    </row>
    <row r="260" spans="1:13" x14ac:dyDescent="0.25">
      <c r="A260">
        <v>10030035</v>
      </c>
      <c r="B260" s="6">
        <v>413</v>
      </c>
      <c r="G260" s="23" t="s">
        <v>1281</v>
      </c>
      <c r="H260" s="23">
        <v>10070013</v>
      </c>
      <c r="I260" s="60" t="s">
        <v>1020</v>
      </c>
      <c r="J260" s="61" t="s">
        <v>1113</v>
      </c>
      <c r="K260" s="61">
        <v>3374.8</v>
      </c>
      <c r="L260" s="63">
        <v>3251</v>
      </c>
      <c r="M260" s="61">
        <v>123.80000000000018</v>
      </c>
    </row>
    <row r="261" spans="1:13" x14ac:dyDescent="0.25">
      <c r="A261">
        <v>2003</v>
      </c>
      <c r="B261" s="6">
        <v>10030</v>
      </c>
      <c r="G261" s="23" t="s">
        <v>1282</v>
      </c>
      <c r="H261" s="23">
        <v>10030010</v>
      </c>
      <c r="I261" s="60" t="s">
        <v>1020</v>
      </c>
      <c r="J261" s="61" t="s">
        <v>1113</v>
      </c>
      <c r="K261" s="61">
        <v>413</v>
      </c>
      <c r="L261" s="63">
        <v>413</v>
      </c>
      <c r="M261" s="61">
        <v>0</v>
      </c>
    </row>
    <row r="262" spans="1:13" x14ac:dyDescent="0.25">
      <c r="A262">
        <v>20010002</v>
      </c>
      <c r="B262" s="6">
        <v>413</v>
      </c>
      <c r="G262" s="23" t="s">
        <v>1283</v>
      </c>
      <c r="H262" s="23">
        <v>10140033</v>
      </c>
      <c r="I262" s="60" t="s">
        <v>1020</v>
      </c>
      <c r="J262" s="61" t="s">
        <v>1113</v>
      </c>
      <c r="K262" s="61">
        <v>2360</v>
      </c>
      <c r="L262" s="63">
        <v>2360</v>
      </c>
      <c r="M262" s="61">
        <v>0</v>
      </c>
    </row>
    <row r="263" spans="1:13" x14ac:dyDescent="0.25">
      <c r="A263">
        <v>10140066</v>
      </c>
      <c r="B263" s="6">
        <v>3569.5</v>
      </c>
      <c r="G263" s="23" t="s">
        <v>1284</v>
      </c>
      <c r="H263" s="23">
        <v>10030031</v>
      </c>
      <c r="I263" s="60" t="s">
        <v>1020</v>
      </c>
      <c r="J263" s="61" t="s">
        <v>1113</v>
      </c>
      <c r="K263" s="61">
        <v>99.12</v>
      </c>
      <c r="L263" s="63">
        <v>0</v>
      </c>
      <c r="M263" s="61">
        <v>99.12</v>
      </c>
    </row>
    <row r="264" spans="1:13" x14ac:dyDescent="0.25">
      <c r="A264">
        <v>10030034</v>
      </c>
      <c r="B264" s="6">
        <v>165.2</v>
      </c>
      <c r="G264" s="23" t="s">
        <v>1285</v>
      </c>
      <c r="H264" s="23">
        <v>10030025</v>
      </c>
      <c r="I264" s="60" t="s">
        <v>1020</v>
      </c>
      <c r="J264" s="61" t="s">
        <v>1113</v>
      </c>
      <c r="K264" s="61">
        <v>908.6</v>
      </c>
      <c r="L264" s="63">
        <v>908.6</v>
      </c>
      <c r="M264" s="61">
        <v>0</v>
      </c>
    </row>
    <row r="265" spans="1:13" x14ac:dyDescent="0.25">
      <c r="A265">
        <v>10030019</v>
      </c>
      <c r="B265" s="6">
        <v>3304</v>
      </c>
      <c r="G265" s="23" t="s">
        <v>1286</v>
      </c>
      <c r="H265" s="23">
        <v>10030038</v>
      </c>
      <c r="I265" s="60" t="s">
        <v>1020</v>
      </c>
      <c r="J265" s="61" t="s">
        <v>1113</v>
      </c>
      <c r="K265" s="61">
        <v>1504.5</v>
      </c>
      <c r="L265" s="63">
        <v>0</v>
      </c>
      <c r="M265" s="61">
        <v>1504.5</v>
      </c>
    </row>
    <row r="266" spans="1:13" x14ac:dyDescent="0.25">
      <c r="A266">
        <v>10100009</v>
      </c>
      <c r="B266" s="6">
        <v>1014.8000000000001</v>
      </c>
      <c r="G266" s="23" t="s">
        <v>1287</v>
      </c>
      <c r="H266" s="23">
        <v>10030051</v>
      </c>
      <c r="I266" s="60" t="s">
        <v>1020</v>
      </c>
      <c r="J266" s="61" t="s">
        <v>1113</v>
      </c>
      <c r="K266" s="61">
        <v>653.72</v>
      </c>
      <c r="L266" s="63">
        <v>653.72</v>
      </c>
      <c r="M266" s="61">
        <v>0</v>
      </c>
    </row>
    <row r="267" spans="1:13" x14ac:dyDescent="0.25">
      <c r="A267">
        <v>10070033</v>
      </c>
      <c r="B267" s="6">
        <v>165.2</v>
      </c>
      <c r="G267" s="23" t="s">
        <v>1288</v>
      </c>
      <c r="H267" s="23">
        <v>10060121</v>
      </c>
      <c r="I267" s="60" t="s">
        <v>1020</v>
      </c>
      <c r="J267" s="61" t="s">
        <v>1113</v>
      </c>
      <c r="K267" s="61">
        <v>3304</v>
      </c>
      <c r="L267" s="63">
        <v>3304</v>
      </c>
      <c r="M267" s="61">
        <v>0</v>
      </c>
    </row>
    <row r="268" spans="1:13" x14ac:dyDescent="0.25">
      <c r="A268">
        <v>10070016</v>
      </c>
      <c r="B268" s="6">
        <v>413</v>
      </c>
      <c r="G268" s="23" t="s">
        <v>1289</v>
      </c>
      <c r="H268" s="23">
        <v>10090047</v>
      </c>
      <c r="I268" s="60" t="s">
        <v>1020</v>
      </c>
      <c r="J268" s="61" t="s">
        <v>1113</v>
      </c>
      <c r="K268" s="61">
        <v>2454.4</v>
      </c>
      <c r="L268" s="63">
        <v>2454.4</v>
      </c>
      <c r="M268" s="61">
        <v>0</v>
      </c>
    </row>
    <row r="269" spans="1:13" x14ac:dyDescent="0.25">
      <c r="A269">
        <v>10030027</v>
      </c>
      <c r="B269" s="6">
        <v>413</v>
      </c>
      <c r="G269" s="23" t="s">
        <v>1290</v>
      </c>
      <c r="H269" s="23">
        <v>10130091</v>
      </c>
      <c r="I269" s="60" t="s">
        <v>1020</v>
      </c>
      <c r="J269" s="61" t="s">
        <v>1113</v>
      </c>
      <c r="K269" s="61">
        <v>908.6</v>
      </c>
      <c r="L269" s="63">
        <v>908.6</v>
      </c>
      <c r="M269" s="61">
        <v>0</v>
      </c>
    </row>
    <row r="270" spans="1:13" x14ac:dyDescent="0.25">
      <c r="A270">
        <v>0</v>
      </c>
      <c r="B270" s="6">
        <v>26480.380000000005</v>
      </c>
      <c r="G270" s="23" t="s">
        <v>1291</v>
      </c>
      <c r="H270" s="23">
        <v>10020025</v>
      </c>
      <c r="I270" s="60" t="s">
        <v>1020</v>
      </c>
      <c r="J270" s="61" t="s">
        <v>1113</v>
      </c>
      <c r="K270" s="61">
        <v>3304</v>
      </c>
      <c r="L270" s="63">
        <v>3304</v>
      </c>
      <c r="M270" s="61">
        <v>0</v>
      </c>
    </row>
    <row r="271" spans="1:13" x14ac:dyDescent="0.25">
      <c r="A271">
        <v>10030053</v>
      </c>
      <c r="B271" s="6">
        <v>6820.4</v>
      </c>
      <c r="G271" s="23" t="s">
        <v>1292</v>
      </c>
      <c r="H271" s="23">
        <v>10110146</v>
      </c>
      <c r="I271" s="60" t="s">
        <v>1020</v>
      </c>
      <c r="J271" s="61" t="s">
        <v>1113</v>
      </c>
      <c r="K271" s="61">
        <v>165.2</v>
      </c>
      <c r="L271" s="63">
        <v>165.2</v>
      </c>
      <c r="M271" s="61">
        <v>0</v>
      </c>
    </row>
    <row r="272" spans="1:13" x14ac:dyDescent="0.25">
      <c r="A272">
        <v>10020070</v>
      </c>
      <c r="B272" s="6">
        <v>413</v>
      </c>
      <c r="G272" s="23" t="s">
        <v>1293</v>
      </c>
      <c r="H272" s="23">
        <v>10030026</v>
      </c>
      <c r="I272" s="60" t="s">
        <v>1020</v>
      </c>
      <c r="J272" s="61" t="s">
        <v>1113</v>
      </c>
      <c r="K272" s="61">
        <v>240.72</v>
      </c>
      <c r="L272" s="63">
        <v>240.72</v>
      </c>
      <c r="M272" s="61">
        <v>0</v>
      </c>
    </row>
    <row r="273" spans="1:13" x14ac:dyDescent="0.25">
      <c r="A273">
        <v>10030056</v>
      </c>
      <c r="B273" s="6">
        <v>413</v>
      </c>
      <c r="G273" s="23" t="s">
        <v>1294</v>
      </c>
      <c r="H273" s="23">
        <v>10480001</v>
      </c>
      <c r="I273" s="60" t="s">
        <v>1020</v>
      </c>
      <c r="J273" s="61" t="s">
        <v>1113</v>
      </c>
      <c r="K273" s="61">
        <v>2454.4</v>
      </c>
      <c r="L273" s="63">
        <v>2454.4</v>
      </c>
      <c r="M273" s="61">
        <v>0</v>
      </c>
    </row>
    <row r="274" spans="1:13" x14ac:dyDescent="0.25">
      <c r="A274">
        <v>1014</v>
      </c>
      <c r="B274" s="6">
        <v>413</v>
      </c>
      <c r="G274" s="23" t="s">
        <v>1295</v>
      </c>
      <c r="H274" s="23">
        <v>10020008</v>
      </c>
      <c r="I274" s="60" t="s">
        <v>1020</v>
      </c>
      <c r="J274" s="61" t="s">
        <v>1296</v>
      </c>
      <c r="K274" s="61">
        <v>147.5</v>
      </c>
      <c r="L274" s="63">
        <v>0</v>
      </c>
      <c r="M274" s="61">
        <v>147.5</v>
      </c>
    </row>
    <row r="275" spans="1:13" x14ac:dyDescent="0.25">
      <c r="A275">
        <v>10140058</v>
      </c>
      <c r="B275" s="6">
        <v>2124</v>
      </c>
      <c r="G275" s="23" t="s">
        <v>1297</v>
      </c>
      <c r="H275" s="23">
        <v>10060004</v>
      </c>
      <c r="I275" s="60" t="s">
        <v>1020</v>
      </c>
      <c r="J275" s="61" t="s">
        <v>1296</v>
      </c>
      <c r="K275" s="61">
        <v>424.8</v>
      </c>
      <c r="L275" s="63">
        <v>0</v>
      </c>
      <c r="M275" s="61">
        <v>424.8</v>
      </c>
    </row>
    <row r="276" spans="1:13" x14ac:dyDescent="0.25">
      <c r="A276">
        <v>10070013</v>
      </c>
      <c r="B276" s="6">
        <v>3374.8</v>
      </c>
      <c r="G276" s="23" t="s">
        <v>1298</v>
      </c>
      <c r="H276" s="23">
        <v>10090001</v>
      </c>
      <c r="I276" s="60" t="s">
        <v>1020</v>
      </c>
      <c r="J276" s="61" t="s">
        <v>1296</v>
      </c>
      <c r="K276" s="61">
        <v>424.8</v>
      </c>
      <c r="L276" s="63">
        <v>0</v>
      </c>
      <c r="M276" s="61">
        <v>424.8</v>
      </c>
    </row>
    <row r="277" spans="1:13" x14ac:dyDescent="0.25">
      <c r="A277">
        <v>10030010</v>
      </c>
      <c r="B277" s="6">
        <v>413</v>
      </c>
      <c r="G277" s="23" t="s">
        <v>1299</v>
      </c>
      <c r="H277" s="23">
        <v>10090015</v>
      </c>
      <c r="I277" s="60" t="s">
        <v>1020</v>
      </c>
      <c r="J277" s="61" t="s">
        <v>1296</v>
      </c>
      <c r="K277" s="61">
        <v>908.6</v>
      </c>
      <c r="L277" s="63">
        <v>0</v>
      </c>
      <c r="M277" s="61">
        <v>908.6</v>
      </c>
    </row>
    <row r="278" spans="1:13" x14ac:dyDescent="0.25">
      <c r="A278">
        <v>10140033</v>
      </c>
      <c r="B278" s="6">
        <v>2360</v>
      </c>
      <c r="G278" s="23" t="s">
        <v>1300</v>
      </c>
      <c r="H278" s="23">
        <v>10090024</v>
      </c>
      <c r="I278" s="60" t="s">
        <v>1020</v>
      </c>
      <c r="J278" s="61" t="s">
        <v>1296</v>
      </c>
      <c r="K278" s="61">
        <v>973.5</v>
      </c>
      <c r="L278" s="63">
        <v>0</v>
      </c>
      <c r="M278" s="61">
        <v>973.5</v>
      </c>
    </row>
    <row r="279" spans="1:13" x14ac:dyDescent="0.25">
      <c r="A279">
        <v>10030067</v>
      </c>
      <c r="B279" s="6">
        <v>413</v>
      </c>
      <c r="G279" s="23" t="s">
        <v>1301</v>
      </c>
      <c r="H279" s="23">
        <v>10120001</v>
      </c>
      <c r="I279" s="60" t="s">
        <v>1020</v>
      </c>
      <c r="J279" s="61" t="s">
        <v>1296</v>
      </c>
      <c r="K279" s="61">
        <v>3614.34</v>
      </c>
      <c r="L279" s="63">
        <v>0</v>
      </c>
      <c r="M279" s="61">
        <v>3614.34</v>
      </c>
    </row>
    <row r="280" spans="1:13" x14ac:dyDescent="0.25">
      <c r="A280">
        <v>10030031</v>
      </c>
      <c r="B280" s="6">
        <v>99.12</v>
      </c>
      <c r="G280" s="23" t="s">
        <v>1302</v>
      </c>
      <c r="H280" s="23">
        <v>10120022</v>
      </c>
      <c r="I280" s="60" t="s">
        <v>1020</v>
      </c>
      <c r="J280" s="61" t="s">
        <v>1296</v>
      </c>
      <c r="K280" s="61">
        <v>1688.5800000000002</v>
      </c>
      <c r="L280" s="63">
        <v>0</v>
      </c>
      <c r="M280" s="61">
        <v>1688.5800000000002</v>
      </c>
    </row>
    <row r="281" spans="1:13" x14ac:dyDescent="0.25">
      <c r="A281">
        <v>10030025</v>
      </c>
      <c r="B281" s="6">
        <v>908.6</v>
      </c>
      <c r="G281" s="23" t="s">
        <v>1303</v>
      </c>
      <c r="H281" s="23">
        <v>10120035</v>
      </c>
      <c r="I281" s="60" t="s">
        <v>1020</v>
      </c>
      <c r="J281" s="61" t="s">
        <v>1296</v>
      </c>
      <c r="K281" s="61">
        <v>1515.1200000000001</v>
      </c>
      <c r="L281" s="63">
        <v>0</v>
      </c>
      <c r="M281" s="61">
        <v>1515.1200000000001</v>
      </c>
    </row>
    <row r="282" spans="1:13" x14ac:dyDescent="0.25">
      <c r="A282">
        <v>10030038</v>
      </c>
      <c r="B282" s="6">
        <v>1504.5</v>
      </c>
      <c r="G282" s="23" t="s">
        <v>1304</v>
      </c>
      <c r="H282" s="23">
        <v>10130016</v>
      </c>
      <c r="I282" s="60" t="s">
        <v>1020</v>
      </c>
      <c r="J282" s="61" t="s">
        <v>1296</v>
      </c>
      <c r="K282" s="61">
        <v>1703.9199999999998</v>
      </c>
      <c r="L282" s="63">
        <v>0</v>
      </c>
      <c r="M282" s="61">
        <v>1703.9199999999998</v>
      </c>
    </row>
    <row r="283" spans="1:13" x14ac:dyDescent="0.25">
      <c r="A283">
        <v>10030051</v>
      </c>
      <c r="B283" s="6">
        <v>653.72</v>
      </c>
      <c r="G283" s="23" t="s">
        <v>1305</v>
      </c>
      <c r="H283" s="23">
        <v>10130025</v>
      </c>
      <c r="I283" s="60" t="s">
        <v>1020</v>
      </c>
      <c r="J283" s="61" t="s">
        <v>1296</v>
      </c>
      <c r="K283" s="61">
        <v>295</v>
      </c>
      <c r="L283" s="63">
        <v>0</v>
      </c>
      <c r="M283" s="61">
        <v>295</v>
      </c>
    </row>
    <row r="284" spans="1:13" x14ac:dyDescent="0.25">
      <c r="A284">
        <v>10110043</v>
      </c>
      <c r="B284" s="6">
        <v>678.5</v>
      </c>
      <c r="G284" s="23" t="s">
        <v>1306</v>
      </c>
      <c r="H284" s="23">
        <v>10180001</v>
      </c>
      <c r="I284" s="60" t="s">
        <v>1020</v>
      </c>
      <c r="J284" s="61" t="s">
        <v>1296</v>
      </c>
      <c r="K284" s="61">
        <v>690.3</v>
      </c>
      <c r="L284" s="63">
        <v>0</v>
      </c>
      <c r="M284" s="61">
        <v>690.3</v>
      </c>
    </row>
    <row r="285" spans="1:13" x14ac:dyDescent="0.25">
      <c r="A285">
        <v>10060121</v>
      </c>
      <c r="B285" s="6">
        <v>3304</v>
      </c>
      <c r="G285" s="23" t="s">
        <v>1307</v>
      </c>
      <c r="H285" s="23">
        <v>10320001</v>
      </c>
      <c r="I285" s="60" t="s">
        <v>1020</v>
      </c>
      <c r="J285" s="61" t="s">
        <v>1296</v>
      </c>
      <c r="K285" s="61">
        <v>165.2</v>
      </c>
      <c r="L285" s="63">
        <v>0</v>
      </c>
      <c r="M285" s="61">
        <v>165.2</v>
      </c>
    </row>
    <row r="286" spans="1:13" x14ac:dyDescent="0.25">
      <c r="A286">
        <v>10090047</v>
      </c>
      <c r="B286" s="6">
        <v>2454.4</v>
      </c>
      <c r="G286" s="23" t="s">
        <v>1308</v>
      </c>
      <c r="H286" s="23">
        <v>10330001</v>
      </c>
      <c r="I286" s="60" t="s">
        <v>1020</v>
      </c>
      <c r="J286" s="61" t="s">
        <v>1296</v>
      </c>
      <c r="K286" s="61">
        <v>424.8</v>
      </c>
      <c r="L286" s="63">
        <v>0</v>
      </c>
      <c r="M286" s="61">
        <v>424.8</v>
      </c>
    </row>
    <row r="287" spans="1:13" x14ac:dyDescent="0.25">
      <c r="A287">
        <v>10130015</v>
      </c>
      <c r="B287" s="6">
        <v>424.8</v>
      </c>
      <c r="G287" s="23" t="s">
        <v>1309</v>
      </c>
      <c r="H287" s="23">
        <v>10120010</v>
      </c>
      <c r="I287" s="60" t="s">
        <v>1020</v>
      </c>
      <c r="J287" s="61" t="s">
        <v>1296</v>
      </c>
      <c r="K287" s="61">
        <v>1090.32</v>
      </c>
      <c r="L287" s="63">
        <v>0</v>
      </c>
      <c r="M287" s="61">
        <v>1090.32</v>
      </c>
    </row>
    <row r="288" spans="1:13" x14ac:dyDescent="0.25">
      <c r="A288">
        <v>10130091</v>
      </c>
      <c r="B288" s="6">
        <v>908.6</v>
      </c>
      <c r="G288" s="23" t="s">
        <v>1310</v>
      </c>
      <c r="H288" s="23">
        <v>10130044</v>
      </c>
      <c r="I288" s="60" t="s">
        <v>1020</v>
      </c>
      <c r="J288" s="61" t="s">
        <v>1296</v>
      </c>
      <c r="K288" s="61">
        <v>4423.82</v>
      </c>
      <c r="L288" s="63">
        <v>0</v>
      </c>
      <c r="M288" s="61">
        <v>4423.82</v>
      </c>
    </row>
    <row r="289" spans="1:13" x14ac:dyDescent="0.25">
      <c r="A289">
        <v>10020025</v>
      </c>
      <c r="B289" s="6">
        <v>3304</v>
      </c>
      <c r="G289" s="23" t="s">
        <v>1311</v>
      </c>
      <c r="H289" s="23">
        <v>10120023</v>
      </c>
      <c r="I289" s="60" t="s">
        <v>1020</v>
      </c>
      <c r="J289" s="61" t="s">
        <v>1296</v>
      </c>
      <c r="K289" s="61">
        <v>202.96</v>
      </c>
      <c r="L289" s="63">
        <v>0</v>
      </c>
      <c r="M289" s="61">
        <v>202.96</v>
      </c>
    </row>
    <row r="290" spans="1:13" x14ac:dyDescent="0.25">
      <c r="A290">
        <v>10110146</v>
      </c>
      <c r="B290" s="6">
        <v>165.2</v>
      </c>
      <c r="G290" s="23" t="s">
        <v>1312</v>
      </c>
      <c r="H290" s="23">
        <v>10120013</v>
      </c>
      <c r="I290" s="60" t="s">
        <v>1020</v>
      </c>
      <c r="J290" s="61" t="s">
        <v>1296</v>
      </c>
      <c r="K290" s="61">
        <v>1007.72</v>
      </c>
      <c r="L290" s="63">
        <v>0</v>
      </c>
      <c r="M290" s="61">
        <v>1007.72</v>
      </c>
    </row>
    <row r="291" spans="1:13" x14ac:dyDescent="0.25">
      <c r="A291">
        <v>10100004</v>
      </c>
      <c r="B291" s="6">
        <v>1161.1199999999999</v>
      </c>
      <c r="G291" s="23" t="s">
        <v>1313</v>
      </c>
      <c r="H291" s="23">
        <v>10010131</v>
      </c>
      <c r="I291" s="60" t="s">
        <v>1020</v>
      </c>
      <c r="J291" s="61" t="s">
        <v>1296</v>
      </c>
      <c r="K291" s="61">
        <v>99.12</v>
      </c>
      <c r="L291" s="63">
        <v>0</v>
      </c>
      <c r="M291" s="61">
        <v>99.12</v>
      </c>
    </row>
    <row r="292" spans="1:13" x14ac:dyDescent="0.25">
      <c r="A292">
        <v>10030026</v>
      </c>
      <c r="B292" s="6">
        <v>240.72</v>
      </c>
      <c r="G292" s="23" t="s">
        <v>1314</v>
      </c>
      <c r="H292" s="23">
        <v>10110043</v>
      </c>
      <c r="I292" s="60" t="s">
        <v>1020</v>
      </c>
      <c r="J292" s="61" t="s">
        <v>1296</v>
      </c>
      <c r="K292" s="61">
        <v>678.5</v>
      </c>
      <c r="L292" s="63">
        <v>0</v>
      </c>
      <c r="M292" s="61">
        <v>678.5</v>
      </c>
    </row>
    <row r="293" spans="1:13" x14ac:dyDescent="0.25">
      <c r="A293">
        <v>1003</v>
      </c>
      <c r="B293" s="6">
        <v>379.95999999999992</v>
      </c>
      <c r="G293" s="23" t="s">
        <v>1315</v>
      </c>
      <c r="H293" s="23">
        <v>10130015</v>
      </c>
      <c r="I293" s="60" t="s">
        <v>1020</v>
      </c>
      <c r="J293" s="61" t="s">
        <v>1296</v>
      </c>
      <c r="K293" s="61">
        <v>424.8</v>
      </c>
      <c r="L293" s="63">
        <v>0</v>
      </c>
      <c r="M293" s="61">
        <v>424.8</v>
      </c>
    </row>
    <row r="294" spans="1:13" x14ac:dyDescent="0.25">
      <c r="A294">
        <v>10480001</v>
      </c>
      <c r="B294" s="6">
        <v>2454.4</v>
      </c>
      <c r="G294" s="23" t="s">
        <v>1316</v>
      </c>
      <c r="H294" s="23">
        <v>10100004</v>
      </c>
      <c r="I294" s="60" t="s">
        <v>1020</v>
      </c>
      <c r="J294" s="61" t="s">
        <v>1296</v>
      </c>
      <c r="K294" s="61">
        <v>1161.1199999999999</v>
      </c>
      <c r="L294" s="63">
        <v>0</v>
      </c>
      <c r="M294" s="61">
        <v>1161.1199999999999</v>
      </c>
    </row>
    <row r="295" spans="1:13" x14ac:dyDescent="0.25">
      <c r="A295" t="s">
        <v>364</v>
      </c>
      <c r="B295" s="6">
        <v>767567.57999999949</v>
      </c>
      <c r="G295" s="59" t="s">
        <v>364</v>
      </c>
      <c r="H295" s="59" t="s">
        <v>364</v>
      </c>
      <c r="I295" s="62"/>
      <c r="J295" s="62"/>
      <c r="K295" s="62">
        <v>767567.57999999949</v>
      </c>
      <c r="L295" s="62">
        <f>SUM(L5:L294)</f>
        <v>243234.94000000009</v>
      </c>
      <c r="M295" s="62">
        <v>524332.64000000013</v>
      </c>
    </row>
    <row r="296" spans="1:13" x14ac:dyDescent="0.25">
      <c r="G296" t="str">
        <f t="shared" ref="G296:G336" si="0">CONCATENATE(H296,I296)</f>
        <v/>
      </c>
      <c r="I296" s="58"/>
      <c r="K296" s="6" t="s">
        <v>1023</v>
      </c>
      <c r="L296">
        <v>2035</v>
      </c>
    </row>
    <row r="297" spans="1:13" x14ac:dyDescent="0.25">
      <c r="G297" t="str">
        <f t="shared" si="0"/>
        <v/>
      </c>
      <c r="I297" s="58"/>
      <c r="K297" s="6" t="s">
        <v>1024</v>
      </c>
      <c r="L297">
        <v>14260</v>
      </c>
    </row>
    <row r="298" spans="1:13" x14ac:dyDescent="0.25">
      <c r="G298" t="str">
        <f t="shared" si="0"/>
        <v/>
      </c>
      <c r="I298" s="58"/>
      <c r="K298" s="6" t="s">
        <v>1317</v>
      </c>
      <c r="L298" s="6">
        <f>L297+L295+L296</f>
        <v>259529.94000000009</v>
      </c>
    </row>
    <row r="299" spans="1:13" x14ac:dyDescent="0.25">
      <c r="G299" t="str">
        <f t="shared" si="0"/>
        <v/>
      </c>
      <c r="I299" s="58"/>
      <c r="K299" s="6"/>
    </row>
    <row r="300" spans="1:13" x14ac:dyDescent="0.25">
      <c r="G300" t="str">
        <f t="shared" si="0"/>
        <v/>
      </c>
      <c r="I300" s="58"/>
      <c r="K300" s="6" t="s">
        <v>1318</v>
      </c>
      <c r="L300" s="6">
        <v>259529.94000000009</v>
      </c>
    </row>
    <row r="301" spans="1:13" x14ac:dyDescent="0.25">
      <c r="G301" t="str">
        <f t="shared" si="0"/>
        <v/>
      </c>
      <c r="I301" s="58"/>
      <c r="K301" s="6"/>
      <c r="L301" s="6"/>
    </row>
    <row r="302" spans="1:13" x14ac:dyDescent="0.25">
      <c r="G302" t="str">
        <f t="shared" si="0"/>
        <v/>
      </c>
      <c r="I302" s="58"/>
      <c r="K302" s="6"/>
      <c r="L302" s="6">
        <f>L298-L300</f>
        <v>0</v>
      </c>
    </row>
    <row r="303" spans="1:13" x14ac:dyDescent="0.25">
      <c r="G303" t="str">
        <f t="shared" si="0"/>
        <v/>
      </c>
      <c r="I303" s="58"/>
      <c r="K303" s="6"/>
    </row>
    <row r="304" spans="1:13" x14ac:dyDescent="0.25">
      <c r="G304" t="str">
        <f t="shared" si="0"/>
        <v/>
      </c>
      <c r="I304" s="58"/>
      <c r="K304" s="6"/>
    </row>
    <row r="305" spans="7:11" x14ac:dyDescent="0.25">
      <c r="G305" t="str">
        <f t="shared" si="0"/>
        <v/>
      </c>
      <c r="I305" s="58"/>
      <c r="K305" s="6"/>
    </row>
    <row r="306" spans="7:11" x14ac:dyDescent="0.25">
      <c r="G306" t="str">
        <f t="shared" si="0"/>
        <v/>
      </c>
      <c r="I306" s="58"/>
      <c r="K306" s="6"/>
    </row>
    <row r="307" spans="7:11" x14ac:dyDescent="0.25">
      <c r="G307" t="str">
        <f t="shared" si="0"/>
        <v/>
      </c>
      <c r="I307" s="58"/>
      <c r="K307" s="6"/>
    </row>
    <row r="308" spans="7:11" x14ac:dyDescent="0.25">
      <c r="G308" t="str">
        <f t="shared" si="0"/>
        <v/>
      </c>
      <c r="I308" s="58"/>
      <c r="K308" s="6"/>
    </row>
    <row r="309" spans="7:11" x14ac:dyDescent="0.25">
      <c r="G309" t="str">
        <f t="shared" si="0"/>
        <v/>
      </c>
      <c r="I309" s="58"/>
      <c r="K309" s="6"/>
    </row>
    <row r="310" spans="7:11" x14ac:dyDescent="0.25">
      <c r="G310" t="str">
        <f t="shared" si="0"/>
        <v/>
      </c>
      <c r="I310" s="58"/>
      <c r="K310" s="6"/>
    </row>
    <row r="311" spans="7:11" x14ac:dyDescent="0.25">
      <c r="G311" t="str">
        <f t="shared" si="0"/>
        <v/>
      </c>
      <c r="I311" s="58"/>
      <c r="K311" s="6"/>
    </row>
    <row r="312" spans="7:11" x14ac:dyDescent="0.25">
      <c r="G312" t="str">
        <f t="shared" si="0"/>
        <v/>
      </c>
      <c r="I312" s="58"/>
      <c r="K312" s="6"/>
    </row>
    <row r="313" spans="7:11" x14ac:dyDescent="0.25">
      <c r="G313" t="str">
        <f t="shared" si="0"/>
        <v/>
      </c>
      <c r="I313" s="58"/>
      <c r="K313" s="6"/>
    </row>
    <row r="314" spans="7:11" x14ac:dyDescent="0.25">
      <c r="G314" t="str">
        <f t="shared" si="0"/>
        <v/>
      </c>
      <c r="I314" s="58"/>
      <c r="K314" s="6"/>
    </row>
    <row r="315" spans="7:11" x14ac:dyDescent="0.25">
      <c r="G315" t="str">
        <f t="shared" si="0"/>
        <v/>
      </c>
      <c r="I315" s="58"/>
      <c r="K315" s="6"/>
    </row>
    <row r="316" spans="7:11" x14ac:dyDescent="0.25">
      <c r="G316" t="str">
        <f t="shared" si="0"/>
        <v/>
      </c>
      <c r="I316" s="58"/>
      <c r="K316" s="6"/>
    </row>
    <row r="317" spans="7:11" x14ac:dyDescent="0.25">
      <c r="G317" t="str">
        <f t="shared" si="0"/>
        <v/>
      </c>
      <c r="I317" s="58"/>
      <c r="K317" s="6"/>
    </row>
    <row r="318" spans="7:11" x14ac:dyDescent="0.25">
      <c r="G318" t="str">
        <f t="shared" si="0"/>
        <v/>
      </c>
      <c r="I318" s="58"/>
      <c r="K318" s="6"/>
    </row>
    <row r="319" spans="7:11" x14ac:dyDescent="0.25">
      <c r="G319" t="str">
        <f t="shared" si="0"/>
        <v/>
      </c>
      <c r="I319" s="58"/>
      <c r="K319" s="6"/>
    </row>
    <row r="320" spans="7:11" x14ac:dyDescent="0.25">
      <c r="G320" t="str">
        <f t="shared" si="0"/>
        <v/>
      </c>
      <c r="I320" s="58"/>
      <c r="K320" s="6"/>
    </row>
    <row r="321" spans="7:11" x14ac:dyDescent="0.25">
      <c r="G321" t="str">
        <f t="shared" si="0"/>
        <v/>
      </c>
      <c r="I321" s="58"/>
      <c r="K321" s="6"/>
    </row>
    <row r="322" spans="7:11" x14ac:dyDescent="0.25">
      <c r="G322" t="str">
        <f t="shared" si="0"/>
        <v/>
      </c>
      <c r="I322" s="58"/>
      <c r="K322" s="6"/>
    </row>
    <row r="323" spans="7:11" x14ac:dyDescent="0.25">
      <c r="G323" t="str">
        <f t="shared" si="0"/>
        <v/>
      </c>
      <c r="I323" s="58"/>
      <c r="K323" s="6"/>
    </row>
    <row r="324" spans="7:11" x14ac:dyDescent="0.25">
      <c r="G324" t="str">
        <f t="shared" si="0"/>
        <v/>
      </c>
      <c r="I324" s="58"/>
      <c r="K324" s="6"/>
    </row>
    <row r="325" spans="7:11" x14ac:dyDescent="0.25">
      <c r="G325" t="str">
        <f t="shared" si="0"/>
        <v/>
      </c>
      <c r="I325" s="58"/>
      <c r="K325" s="6"/>
    </row>
    <row r="326" spans="7:11" x14ac:dyDescent="0.25">
      <c r="G326" t="str">
        <f t="shared" si="0"/>
        <v/>
      </c>
      <c r="I326" s="58"/>
      <c r="K326" s="6"/>
    </row>
    <row r="327" spans="7:11" x14ac:dyDescent="0.25">
      <c r="G327" t="str">
        <f t="shared" si="0"/>
        <v/>
      </c>
      <c r="I327" s="58"/>
      <c r="K327" s="6"/>
    </row>
    <row r="328" spans="7:11" x14ac:dyDescent="0.25">
      <c r="G328" t="str">
        <f t="shared" si="0"/>
        <v/>
      </c>
      <c r="I328" s="58"/>
      <c r="K328" s="6"/>
    </row>
    <row r="329" spans="7:11" x14ac:dyDescent="0.25">
      <c r="G329" t="str">
        <f t="shared" si="0"/>
        <v/>
      </c>
      <c r="I329" s="58"/>
      <c r="K329" s="6"/>
    </row>
    <row r="330" spans="7:11" x14ac:dyDescent="0.25">
      <c r="G330" t="str">
        <f t="shared" si="0"/>
        <v/>
      </c>
      <c r="I330" s="58"/>
      <c r="K330" s="6"/>
    </row>
    <row r="331" spans="7:11" x14ac:dyDescent="0.25">
      <c r="G331" t="str">
        <f t="shared" si="0"/>
        <v/>
      </c>
      <c r="I331" s="58"/>
      <c r="K331" s="6"/>
    </row>
    <row r="332" spans="7:11" x14ac:dyDescent="0.25">
      <c r="G332" t="str">
        <f t="shared" si="0"/>
        <v/>
      </c>
      <c r="I332" s="58"/>
      <c r="K332" s="6"/>
    </row>
    <row r="333" spans="7:11" x14ac:dyDescent="0.25">
      <c r="G333" t="str">
        <f t="shared" si="0"/>
        <v/>
      </c>
      <c r="I333" s="58"/>
      <c r="K333" s="6"/>
    </row>
    <row r="334" spans="7:11" x14ac:dyDescent="0.25">
      <c r="G334" t="str">
        <f t="shared" si="0"/>
        <v/>
      </c>
      <c r="I334" s="58"/>
      <c r="K334" s="6"/>
    </row>
    <row r="335" spans="7:11" x14ac:dyDescent="0.25">
      <c r="G335" t="str">
        <f t="shared" si="0"/>
        <v/>
      </c>
      <c r="I335" s="58"/>
      <c r="K335" s="6"/>
    </row>
    <row r="336" spans="7:11" x14ac:dyDescent="0.25">
      <c r="G336" t="str">
        <f t="shared" si="0"/>
        <v/>
      </c>
      <c r="I336" s="58"/>
      <c r="K336" s="6"/>
    </row>
    <row r="337" spans="7:11" x14ac:dyDescent="0.25">
      <c r="G337" s="56"/>
      <c r="H337" s="56"/>
      <c r="I337" s="56"/>
      <c r="J337" s="56"/>
      <c r="K337" s="57"/>
    </row>
  </sheetData>
  <autoFilter ref="G4:K337" xr:uid="{3B8BB910-9A05-459B-8319-A9226CBF3EBC}">
    <sortState xmlns:xlrd2="http://schemas.microsoft.com/office/spreadsheetml/2017/richdata2" ref="G5:K337">
      <sortCondition ref="I4:I337"/>
    </sortState>
  </autoFilter>
  <conditionalFormatting sqref="G5:G294 G296:G336">
    <cfRule type="duplicateValues" dxfId="89" priority="1"/>
  </conditionalFormatting>
  <conditionalFormatting sqref="H296:H336">
    <cfRule type="duplicateValues" dxfId="88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739"/>
  <sheetViews>
    <sheetView workbookViewId="0">
      <pane ySplit="1" topLeftCell="A720" activePane="bottomLeft" state="frozen"/>
      <selection pane="bottomLeft" activeCell="G2" sqref="G2:G739"/>
    </sheetView>
  </sheetViews>
  <sheetFormatPr defaultRowHeight="15" x14ac:dyDescent="0.25"/>
  <cols>
    <col min="1" max="1" width="20.28515625" customWidth="1"/>
    <col min="2" max="2" width="8.7109375" customWidth="1"/>
    <col min="3" max="3" width="9.28515625" bestFit="1" customWidth="1"/>
    <col min="4" max="4" width="7.28515625" bestFit="1" customWidth="1"/>
    <col min="5" max="5" width="16.5703125" bestFit="1" customWidth="1"/>
    <col min="6" max="6" width="16.5703125" customWidth="1"/>
    <col min="7" max="7" width="12.85546875" bestFit="1" customWidth="1"/>
    <col min="8" max="8" width="32.140625" bestFit="1" customWidth="1"/>
    <col min="9" max="9" width="23" bestFit="1" customWidth="1"/>
    <col min="10" max="10" width="21" bestFit="1" customWidth="1"/>
    <col min="11" max="11" width="68.28515625" bestFit="1" customWidth="1"/>
    <col min="12" max="12" width="15.5703125" bestFit="1" customWidth="1"/>
    <col min="13" max="13" width="68.85546875" bestFit="1" customWidth="1"/>
    <col min="14" max="14" width="11.7109375" bestFit="1" customWidth="1"/>
    <col min="15" max="15" width="12.7109375" bestFit="1" customWidth="1"/>
    <col min="16" max="16" width="14.28515625" bestFit="1" customWidth="1"/>
    <col min="17" max="17" width="6.42578125" bestFit="1" customWidth="1"/>
    <col min="18" max="20" width="9" bestFit="1" customWidth="1"/>
    <col min="21" max="21" width="10" bestFit="1" customWidth="1"/>
    <col min="22" max="22" width="10" customWidth="1"/>
    <col min="23" max="23" width="14.28515625" bestFit="1" customWidth="1"/>
  </cols>
  <sheetData>
    <row r="1" spans="1:23" x14ac:dyDescent="0.25">
      <c r="A1" s="28" t="s">
        <v>995</v>
      </c>
      <c r="B1" s="28" t="s">
        <v>155</v>
      </c>
      <c r="C1" s="28" t="s">
        <v>151</v>
      </c>
      <c r="D1" s="28" t="s">
        <v>368</v>
      </c>
      <c r="E1" s="28" t="s">
        <v>993</v>
      </c>
      <c r="F1" s="28" t="s">
        <v>994</v>
      </c>
      <c r="G1" s="29" t="s">
        <v>154</v>
      </c>
      <c r="H1" s="29" t="s">
        <v>1</v>
      </c>
      <c r="I1" s="29" t="s">
        <v>33</v>
      </c>
      <c r="J1" s="29" t="s">
        <v>34</v>
      </c>
      <c r="K1" s="29" t="s">
        <v>67</v>
      </c>
      <c r="L1" s="29" t="s">
        <v>73</v>
      </c>
      <c r="M1" s="29" t="s">
        <v>104</v>
      </c>
      <c r="N1" s="29" t="s">
        <v>105</v>
      </c>
      <c r="O1" s="29" t="s">
        <v>156</v>
      </c>
      <c r="P1" s="29" t="s">
        <v>157</v>
      </c>
      <c r="Q1" s="29" t="s">
        <v>106</v>
      </c>
      <c r="R1" s="29" t="s">
        <v>107</v>
      </c>
      <c r="S1" s="29" t="s">
        <v>108</v>
      </c>
      <c r="T1" s="29" t="s">
        <v>109</v>
      </c>
      <c r="U1" s="30" t="s">
        <v>110</v>
      </c>
      <c r="V1" s="29" t="s">
        <v>895</v>
      </c>
      <c r="W1" s="29" t="s">
        <v>1004</v>
      </c>
    </row>
    <row r="2" spans="1:23" x14ac:dyDescent="0.25">
      <c r="A2" s="31">
        <v>45773.644502314812</v>
      </c>
      <c r="B2" s="32" t="str">
        <f>TEXT(A2,"mmm-yy")</f>
        <v>Apr-25</v>
      </c>
      <c r="C2" s="32" t="s">
        <v>153</v>
      </c>
      <c r="D2" s="32" t="s">
        <v>369</v>
      </c>
      <c r="E2" s="31">
        <v>43080</v>
      </c>
      <c r="F2" s="32">
        <f>IFERROR(DATEDIF(Table1[[#This Row],[MPG Ope Date]],Table1[[#This Row],[L]],"M"),"")</f>
        <v>88</v>
      </c>
      <c r="G2" s="25">
        <v>10410001</v>
      </c>
      <c r="H2" s="32" t="s">
        <v>2</v>
      </c>
      <c r="I2" s="32" t="s">
        <v>35</v>
      </c>
      <c r="J2" s="32">
        <v>7634979693</v>
      </c>
      <c r="K2" s="32" t="s">
        <v>68</v>
      </c>
      <c r="L2" s="32" t="s">
        <v>74</v>
      </c>
      <c r="M2" s="32" t="s">
        <v>111</v>
      </c>
      <c r="N2" s="32" t="s">
        <v>112</v>
      </c>
      <c r="O2" s="32" t="s">
        <v>158</v>
      </c>
      <c r="P2" s="33">
        <v>45876</v>
      </c>
      <c r="Q2" s="32">
        <v>1</v>
      </c>
      <c r="R2" s="34">
        <v>360</v>
      </c>
      <c r="S2" s="34">
        <f>+Q2*R2</f>
        <v>360</v>
      </c>
      <c r="T2" s="34">
        <f>+S2*0.18</f>
        <v>64.8</v>
      </c>
      <c r="U2" s="34">
        <f>+S2+T2</f>
        <v>424.8</v>
      </c>
      <c r="V2" s="34"/>
      <c r="W2" s="23" t="s">
        <v>1005</v>
      </c>
    </row>
    <row r="3" spans="1:23" x14ac:dyDescent="0.25">
      <c r="A3" s="31">
        <v>45773.612615740742</v>
      </c>
      <c r="B3" s="32" t="str">
        <f t="shared" ref="B3:B66" si="0">TEXT(A3,"mmm-yy")</f>
        <v>Apr-25</v>
      </c>
      <c r="C3" s="32" t="s">
        <v>153</v>
      </c>
      <c r="D3" s="32" t="s">
        <v>0</v>
      </c>
      <c r="E3" s="31" t="e">
        <v>#N/A</v>
      </c>
      <c r="F3" s="32" t="str">
        <f>IFERROR(DATEDIF(Table1[[#This Row],[MPG Ope Date]],Table1[[#This Row],[L]],"M"),"")</f>
        <v/>
      </c>
      <c r="G3" s="25">
        <v>10400001</v>
      </c>
      <c r="H3" s="23" t="s">
        <v>1000</v>
      </c>
      <c r="I3" s="23" t="s">
        <v>1001</v>
      </c>
      <c r="J3" s="23">
        <v>9534770675</v>
      </c>
      <c r="K3" s="32" t="s">
        <v>68</v>
      </c>
      <c r="L3" s="32" t="s">
        <v>75</v>
      </c>
      <c r="M3" s="32" t="s">
        <v>113</v>
      </c>
      <c r="N3" s="32" t="s">
        <v>114</v>
      </c>
      <c r="O3" s="32" t="s">
        <v>158</v>
      </c>
      <c r="P3" s="33">
        <v>45876</v>
      </c>
      <c r="Q3" s="32">
        <v>1</v>
      </c>
      <c r="R3" s="34">
        <v>225</v>
      </c>
      <c r="S3" s="34">
        <f t="shared" ref="S3:S66" si="1">+Q3*R3</f>
        <v>225</v>
      </c>
      <c r="T3" s="34">
        <f t="shared" ref="T3:T66" si="2">+S3*0.18</f>
        <v>40.5</v>
      </c>
      <c r="U3" s="34">
        <f t="shared" ref="U3:U66" si="3">+S3+T3</f>
        <v>265.5</v>
      </c>
      <c r="V3" s="34"/>
      <c r="W3" s="23" t="s">
        <v>1005</v>
      </c>
    </row>
    <row r="4" spans="1:23" x14ac:dyDescent="0.25">
      <c r="A4" s="31">
        <v>45772.612280092595</v>
      </c>
      <c r="B4" s="32" t="str">
        <f t="shared" si="0"/>
        <v>Apr-25</v>
      </c>
      <c r="C4" s="32" t="s">
        <v>153</v>
      </c>
      <c r="D4" s="32" t="s">
        <v>369</v>
      </c>
      <c r="E4" s="31">
        <v>43903</v>
      </c>
      <c r="F4" s="32">
        <f>IFERROR(DATEDIF(Table1[[#This Row],[MPG Ope Date]],Table1[[#This Row],[L]],"M"),"")</f>
        <v>61</v>
      </c>
      <c r="G4" s="24">
        <v>10120010</v>
      </c>
      <c r="H4" s="32" t="s">
        <v>3</v>
      </c>
      <c r="I4" s="32" t="s">
        <v>36</v>
      </c>
      <c r="J4" s="32">
        <v>8651133961</v>
      </c>
      <c r="K4" s="32" t="s">
        <v>69</v>
      </c>
      <c r="L4" s="32">
        <v>277355</v>
      </c>
      <c r="M4" s="32" t="s">
        <v>117</v>
      </c>
      <c r="N4" s="32" t="s">
        <v>118</v>
      </c>
      <c r="O4" s="32" t="s">
        <v>158</v>
      </c>
      <c r="P4" s="33">
        <v>45876</v>
      </c>
      <c r="Q4" s="32">
        <v>1</v>
      </c>
      <c r="R4" s="34">
        <v>770</v>
      </c>
      <c r="S4" s="34">
        <f t="shared" si="1"/>
        <v>770</v>
      </c>
      <c r="T4" s="34">
        <f t="shared" si="2"/>
        <v>138.6</v>
      </c>
      <c r="U4" s="34">
        <f t="shared" si="3"/>
        <v>908.6</v>
      </c>
      <c r="V4" s="34"/>
      <c r="W4" s="23" t="s">
        <v>1005</v>
      </c>
    </row>
    <row r="5" spans="1:23" x14ac:dyDescent="0.25">
      <c r="A5" s="31">
        <v>45772.612280092595</v>
      </c>
      <c r="B5" s="32" t="str">
        <f t="shared" si="0"/>
        <v>Apr-25</v>
      </c>
      <c r="C5" s="32" t="s">
        <v>153</v>
      </c>
      <c r="D5" s="32" t="s">
        <v>369</v>
      </c>
      <c r="E5" s="31">
        <v>43903</v>
      </c>
      <c r="F5" s="32">
        <f>IFERROR(DATEDIF(Table1[[#This Row],[MPG Ope Date]],Table1[[#This Row],[L]],"M"),"")</f>
        <v>61</v>
      </c>
      <c r="G5" s="24">
        <v>10120010</v>
      </c>
      <c r="H5" s="32" t="s">
        <v>3</v>
      </c>
      <c r="I5" s="32" t="s">
        <v>36</v>
      </c>
      <c r="J5" s="32">
        <v>8651133961</v>
      </c>
      <c r="K5" s="32" t="s">
        <v>69</v>
      </c>
      <c r="L5" s="32">
        <v>277355</v>
      </c>
      <c r="M5" s="32" t="s">
        <v>119</v>
      </c>
      <c r="N5" s="32" t="s">
        <v>120</v>
      </c>
      <c r="O5" s="32" t="s">
        <v>158</v>
      </c>
      <c r="P5" s="33">
        <v>45876</v>
      </c>
      <c r="Q5" s="32">
        <v>1</v>
      </c>
      <c r="R5" s="34">
        <v>84</v>
      </c>
      <c r="S5" s="34">
        <f t="shared" si="1"/>
        <v>84</v>
      </c>
      <c r="T5" s="34">
        <f t="shared" si="2"/>
        <v>15.12</v>
      </c>
      <c r="U5" s="34">
        <f t="shared" si="3"/>
        <v>99.12</v>
      </c>
      <c r="V5" s="34"/>
      <c r="W5" s="23" t="s">
        <v>1005</v>
      </c>
    </row>
    <row r="6" spans="1:23" x14ac:dyDescent="0.25">
      <c r="A6" s="31">
        <v>45772.612280092595</v>
      </c>
      <c r="B6" s="32" t="str">
        <f t="shared" si="0"/>
        <v>Apr-25</v>
      </c>
      <c r="C6" s="32" t="s">
        <v>153</v>
      </c>
      <c r="D6" s="32" t="s">
        <v>369</v>
      </c>
      <c r="E6" s="31">
        <v>43903</v>
      </c>
      <c r="F6" s="32">
        <f>IFERROR(DATEDIF(Table1[[#This Row],[MPG Ope Date]],Table1[[#This Row],[L]],"M"),"")</f>
        <v>61</v>
      </c>
      <c r="G6" s="24">
        <v>10120010</v>
      </c>
      <c r="H6" s="32" t="s">
        <v>3</v>
      </c>
      <c r="I6" s="32" t="s">
        <v>36</v>
      </c>
      <c r="J6" s="32">
        <v>8651133961</v>
      </c>
      <c r="K6" s="32" t="s">
        <v>69</v>
      </c>
      <c r="L6" s="32">
        <v>277355</v>
      </c>
      <c r="M6" s="32" t="s">
        <v>121</v>
      </c>
      <c r="N6" s="32" t="s">
        <v>122</v>
      </c>
      <c r="O6" s="32" t="s">
        <v>158</v>
      </c>
      <c r="P6" s="33">
        <v>45876</v>
      </c>
      <c r="Q6" s="32">
        <v>1</v>
      </c>
      <c r="R6" s="34">
        <v>70</v>
      </c>
      <c r="S6" s="34">
        <f t="shared" si="1"/>
        <v>70</v>
      </c>
      <c r="T6" s="34">
        <f t="shared" si="2"/>
        <v>12.6</v>
      </c>
      <c r="U6" s="34">
        <f t="shared" si="3"/>
        <v>82.6</v>
      </c>
      <c r="V6" s="34"/>
      <c r="W6" s="23" t="s">
        <v>1005</v>
      </c>
    </row>
    <row r="7" spans="1:23" x14ac:dyDescent="0.25">
      <c r="A7" s="31">
        <v>45751.600451388891</v>
      </c>
      <c r="B7" s="32" t="str">
        <f t="shared" si="0"/>
        <v>Apr-25</v>
      </c>
      <c r="C7" s="32" t="s">
        <v>153</v>
      </c>
      <c r="D7" s="32" t="s">
        <v>369</v>
      </c>
      <c r="E7" s="31">
        <v>45745</v>
      </c>
      <c r="F7" s="32">
        <f>IFERROR(DATEDIF(Table1[[#This Row],[MPG Ope Date]],Table1[[#This Row],[L]],"M"),"")</f>
        <v>0</v>
      </c>
      <c r="G7" s="24">
        <v>10010102</v>
      </c>
      <c r="H7" s="32" t="s">
        <v>4</v>
      </c>
      <c r="I7" s="32" t="s">
        <v>37</v>
      </c>
      <c r="J7" s="32">
        <v>9931061141</v>
      </c>
      <c r="K7" s="32" t="s">
        <v>70</v>
      </c>
      <c r="L7" s="32" t="s">
        <v>76</v>
      </c>
      <c r="M7" s="32" t="s">
        <v>123</v>
      </c>
      <c r="N7" s="32" t="s">
        <v>124</v>
      </c>
      <c r="O7" s="32" t="s">
        <v>158</v>
      </c>
      <c r="P7" s="33">
        <v>45876</v>
      </c>
      <c r="Q7" s="32">
        <v>1</v>
      </c>
      <c r="R7" s="34">
        <v>350</v>
      </c>
      <c r="S7" s="34">
        <f t="shared" si="1"/>
        <v>350</v>
      </c>
      <c r="T7" s="34">
        <f t="shared" si="2"/>
        <v>63</v>
      </c>
      <c r="U7" s="34">
        <f t="shared" si="3"/>
        <v>413</v>
      </c>
      <c r="V7" s="34"/>
      <c r="W7" s="23" t="s">
        <v>1007</v>
      </c>
    </row>
    <row r="8" spans="1:23" x14ac:dyDescent="0.25">
      <c r="A8" s="31">
        <v>45751.6016087963</v>
      </c>
      <c r="B8" s="32" t="str">
        <f t="shared" si="0"/>
        <v>Apr-25</v>
      </c>
      <c r="C8" s="32" t="s">
        <v>153</v>
      </c>
      <c r="D8" s="32" t="s">
        <v>369</v>
      </c>
      <c r="E8" s="31">
        <v>45015</v>
      </c>
      <c r="F8" s="32">
        <f>IFERROR(DATEDIF(Table1[[#This Row],[MPG Ope Date]],Table1[[#This Row],[L]],"M"),"")</f>
        <v>24</v>
      </c>
      <c r="G8" s="24">
        <v>10030030</v>
      </c>
      <c r="H8" s="35" t="s">
        <v>5</v>
      </c>
      <c r="I8" s="32" t="s">
        <v>38</v>
      </c>
      <c r="J8" s="32">
        <v>7462979872</v>
      </c>
      <c r="K8" s="32" t="s">
        <v>70</v>
      </c>
      <c r="L8" s="32" t="s">
        <v>77</v>
      </c>
      <c r="M8" s="32" t="s">
        <v>125</v>
      </c>
      <c r="N8" s="32" t="s">
        <v>126</v>
      </c>
      <c r="O8" s="32" t="s">
        <v>158</v>
      </c>
      <c r="P8" s="33">
        <v>45876</v>
      </c>
      <c r="Q8" s="32">
        <v>1</v>
      </c>
      <c r="R8" s="34">
        <v>770</v>
      </c>
      <c r="S8" s="34">
        <f t="shared" si="1"/>
        <v>770</v>
      </c>
      <c r="T8" s="34">
        <f t="shared" si="2"/>
        <v>138.6</v>
      </c>
      <c r="U8" s="34">
        <f t="shared" si="3"/>
        <v>908.6</v>
      </c>
      <c r="V8" s="34"/>
      <c r="W8" s="23" t="s">
        <v>1006</v>
      </c>
    </row>
    <row r="9" spans="1:23" x14ac:dyDescent="0.25">
      <c r="A9" s="31">
        <v>45751.702615740738</v>
      </c>
      <c r="B9" s="32" t="str">
        <f t="shared" si="0"/>
        <v>Apr-25</v>
      </c>
      <c r="C9" s="32" t="s">
        <v>153</v>
      </c>
      <c r="D9" s="32" t="s">
        <v>369</v>
      </c>
      <c r="E9" s="31">
        <v>44135</v>
      </c>
      <c r="F9" s="32">
        <f>IFERROR(DATEDIF(Table1[[#This Row],[MPG Ope Date]],Table1[[#This Row],[L]],"M"),"")</f>
        <v>53</v>
      </c>
      <c r="G9" s="24">
        <v>10120017</v>
      </c>
      <c r="H9" s="32" t="s">
        <v>6</v>
      </c>
      <c r="I9" s="32" t="s">
        <v>39</v>
      </c>
      <c r="J9" s="32">
        <v>7004274116</v>
      </c>
      <c r="K9" s="32" t="s">
        <v>69</v>
      </c>
      <c r="L9" s="32">
        <v>195150</v>
      </c>
      <c r="M9" s="32" t="s">
        <v>121</v>
      </c>
      <c r="N9" s="32" t="s">
        <v>122</v>
      </c>
      <c r="O9" s="32" t="s">
        <v>158</v>
      </c>
      <c r="P9" s="33">
        <v>45876</v>
      </c>
      <c r="Q9" s="32">
        <v>1</v>
      </c>
      <c r="R9" s="34">
        <v>70</v>
      </c>
      <c r="S9" s="34">
        <f t="shared" si="1"/>
        <v>70</v>
      </c>
      <c r="T9" s="34">
        <f t="shared" si="2"/>
        <v>12.6</v>
      </c>
      <c r="U9" s="34">
        <f t="shared" si="3"/>
        <v>82.6</v>
      </c>
      <c r="V9" s="34"/>
      <c r="W9" s="23" t="s">
        <v>1005</v>
      </c>
    </row>
    <row r="10" spans="1:23" x14ac:dyDescent="0.25">
      <c r="A10" s="31">
        <v>45752.671180555553</v>
      </c>
      <c r="B10" s="32" t="str">
        <f t="shared" si="0"/>
        <v>Apr-25</v>
      </c>
      <c r="C10" s="32" t="s">
        <v>153</v>
      </c>
      <c r="D10" s="32" t="s">
        <v>0</v>
      </c>
      <c r="E10" s="31" t="e">
        <v>#N/A</v>
      </c>
      <c r="F10" s="32" t="str">
        <f>IFERROR(DATEDIF(Table1[[#This Row],[MPG Ope Date]],Table1[[#This Row],[L]],"M"),"")</f>
        <v/>
      </c>
      <c r="G10" s="36">
        <v>1008</v>
      </c>
      <c r="H10" s="32" t="s">
        <v>7</v>
      </c>
      <c r="I10" s="32" t="s">
        <v>40</v>
      </c>
      <c r="J10" s="32">
        <v>9113108485</v>
      </c>
      <c r="K10" s="32" t="s">
        <v>70</v>
      </c>
      <c r="L10" s="32" t="s">
        <v>78</v>
      </c>
      <c r="M10" s="32" t="s">
        <v>123</v>
      </c>
      <c r="N10" s="32" t="s">
        <v>124</v>
      </c>
      <c r="O10" s="32" t="s">
        <v>158</v>
      </c>
      <c r="P10" s="33">
        <v>45876</v>
      </c>
      <c r="Q10" s="32">
        <v>1</v>
      </c>
      <c r="R10" s="34">
        <v>350</v>
      </c>
      <c r="S10" s="34">
        <f t="shared" si="1"/>
        <v>350</v>
      </c>
      <c r="T10" s="34">
        <f t="shared" si="2"/>
        <v>63</v>
      </c>
      <c r="U10" s="34">
        <f t="shared" si="3"/>
        <v>413</v>
      </c>
      <c r="V10" s="34"/>
      <c r="W10" s="23" t="e">
        <v>#N/A</v>
      </c>
    </row>
    <row r="11" spans="1:23" x14ac:dyDescent="0.25">
      <c r="A11" s="31">
        <v>45752.668414351851</v>
      </c>
      <c r="B11" s="32" t="str">
        <f t="shared" si="0"/>
        <v>Apr-25</v>
      </c>
      <c r="C11" s="32" t="s">
        <v>153</v>
      </c>
      <c r="D11" s="32" t="s">
        <v>369</v>
      </c>
      <c r="E11" s="31">
        <v>44737</v>
      </c>
      <c r="F11" s="32">
        <f>IFERROR(DATEDIF(Table1[[#This Row],[MPG Ope Date]],Table1[[#This Row],[L]],"M"),"")</f>
        <v>33</v>
      </c>
      <c r="G11" s="25">
        <v>10090023</v>
      </c>
      <c r="H11" s="32" t="s">
        <v>8</v>
      </c>
      <c r="I11" s="32" t="s">
        <v>41</v>
      </c>
      <c r="J11" s="32">
        <v>6206178216</v>
      </c>
      <c r="K11" s="32" t="s">
        <v>69</v>
      </c>
      <c r="L11" s="32">
        <v>277383</v>
      </c>
      <c r="M11" s="32" t="s">
        <v>127</v>
      </c>
      <c r="N11" s="32" t="s">
        <v>128</v>
      </c>
      <c r="O11" s="32" t="s">
        <v>158</v>
      </c>
      <c r="P11" s="33">
        <v>45876</v>
      </c>
      <c r="Q11" s="32">
        <v>1</v>
      </c>
      <c r="R11" s="34">
        <v>44</v>
      </c>
      <c r="S11" s="34">
        <f t="shared" si="1"/>
        <v>44</v>
      </c>
      <c r="T11" s="34">
        <f t="shared" si="2"/>
        <v>7.92</v>
      </c>
      <c r="U11" s="34">
        <f t="shared" si="3"/>
        <v>51.92</v>
      </c>
      <c r="V11" s="34"/>
      <c r="W11" s="23" t="s">
        <v>1010</v>
      </c>
    </row>
    <row r="12" spans="1:23" x14ac:dyDescent="0.25">
      <c r="A12" s="31">
        <v>45752.668414351851</v>
      </c>
      <c r="B12" s="32" t="str">
        <f t="shared" si="0"/>
        <v>Apr-25</v>
      </c>
      <c r="C12" s="32" t="s">
        <v>153</v>
      </c>
      <c r="D12" s="32" t="s">
        <v>369</v>
      </c>
      <c r="E12" s="31">
        <v>44737</v>
      </c>
      <c r="F12" s="32">
        <f>IFERROR(DATEDIF(Table1[[#This Row],[MPG Ope Date]],Table1[[#This Row],[L]],"M"),"")</f>
        <v>33</v>
      </c>
      <c r="G12" s="25">
        <v>10090023</v>
      </c>
      <c r="H12" s="32" t="s">
        <v>8</v>
      </c>
      <c r="I12" s="32" t="s">
        <v>41</v>
      </c>
      <c r="J12" s="32">
        <v>6206178216</v>
      </c>
      <c r="K12" s="32" t="s">
        <v>69</v>
      </c>
      <c r="L12" s="32">
        <v>277383</v>
      </c>
      <c r="M12" s="32" t="s">
        <v>127</v>
      </c>
      <c r="N12" s="32" t="s">
        <v>128</v>
      </c>
      <c r="O12" s="32" t="s">
        <v>158</v>
      </c>
      <c r="P12" s="33">
        <v>45876</v>
      </c>
      <c r="Q12" s="32">
        <v>1</v>
      </c>
      <c r="R12" s="34">
        <v>44</v>
      </c>
      <c r="S12" s="34">
        <f t="shared" si="1"/>
        <v>44</v>
      </c>
      <c r="T12" s="34">
        <f t="shared" si="2"/>
        <v>7.92</v>
      </c>
      <c r="U12" s="34">
        <f t="shared" si="3"/>
        <v>51.92</v>
      </c>
      <c r="V12" s="34"/>
      <c r="W12" s="23" t="s">
        <v>1010</v>
      </c>
    </row>
    <row r="13" spans="1:23" x14ac:dyDescent="0.25">
      <c r="A13" s="31">
        <v>45772.68582175926</v>
      </c>
      <c r="B13" s="32" t="str">
        <f t="shared" si="0"/>
        <v>Apr-25</v>
      </c>
      <c r="C13" s="32" t="s">
        <v>153</v>
      </c>
      <c r="D13" s="32" t="s">
        <v>369</v>
      </c>
      <c r="E13" s="31">
        <v>45716</v>
      </c>
      <c r="F13" s="32">
        <f>IFERROR(DATEDIF(Table1[[#This Row],[MPG Ope Date]],Table1[[#This Row],[L]],"M"),"")</f>
        <v>1</v>
      </c>
      <c r="G13" s="24">
        <v>10060073</v>
      </c>
      <c r="H13" s="32" t="s">
        <v>1016</v>
      </c>
      <c r="I13" s="32" t="s">
        <v>42</v>
      </c>
      <c r="J13" s="32">
        <v>8360743292</v>
      </c>
      <c r="K13" s="32" t="s">
        <v>70</v>
      </c>
      <c r="L13" s="32" t="s">
        <v>79</v>
      </c>
      <c r="M13" s="32" t="s">
        <v>123</v>
      </c>
      <c r="N13" s="32" t="s">
        <v>124</v>
      </c>
      <c r="O13" s="32" t="s">
        <v>158</v>
      </c>
      <c r="P13" s="33">
        <v>45876</v>
      </c>
      <c r="Q13" s="32">
        <v>1</v>
      </c>
      <c r="R13" s="34">
        <v>350</v>
      </c>
      <c r="S13" s="34">
        <f t="shared" si="1"/>
        <v>350</v>
      </c>
      <c r="T13" s="34">
        <f t="shared" si="2"/>
        <v>63</v>
      </c>
      <c r="U13" s="34">
        <f t="shared" si="3"/>
        <v>413</v>
      </c>
      <c r="V13" s="34"/>
      <c r="W13" s="23" t="s">
        <v>1005</v>
      </c>
    </row>
    <row r="14" spans="1:23" x14ac:dyDescent="0.25">
      <c r="A14" s="31">
        <v>45772.576585648145</v>
      </c>
      <c r="B14" s="32" t="str">
        <f t="shared" si="0"/>
        <v>Apr-25</v>
      </c>
      <c r="C14" s="32" t="s">
        <v>153</v>
      </c>
      <c r="D14" s="32" t="s">
        <v>369</v>
      </c>
      <c r="E14" s="31">
        <v>44729</v>
      </c>
      <c r="F14" s="32">
        <f>IFERROR(DATEDIF(Table1[[#This Row],[MPG Ope Date]],Table1[[#This Row],[L]],"M"),"")</f>
        <v>34</v>
      </c>
      <c r="G14" s="24">
        <v>10120029</v>
      </c>
      <c r="H14" s="32" t="s">
        <v>9</v>
      </c>
      <c r="I14" s="32" t="s">
        <v>43</v>
      </c>
      <c r="J14" s="32">
        <v>9304265355</v>
      </c>
      <c r="K14" s="32" t="s">
        <v>71</v>
      </c>
      <c r="L14" s="32" t="s">
        <v>80</v>
      </c>
      <c r="M14" s="32" t="s">
        <v>129</v>
      </c>
      <c r="N14" s="32" t="s">
        <v>130</v>
      </c>
      <c r="O14" s="32" t="s">
        <v>158</v>
      </c>
      <c r="P14" s="33">
        <v>45876</v>
      </c>
      <c r="Q14" s="32">
        <v>1</v>
      </c>
      <c r="R14" s="34">
        <v>1750</v>
      </c>
      <c r="S14" s="34">
        <f t="shared" si="1"/>
        <v>1750</v>
      </c>
      <c r="T14" s="34">
        <f t="shared" si="2"/>
        <v>315</v>
      </c>
      <c r="U14" s="34">
        <f t="shared" si="3"/>
        <v>2065</v>
      </c>
      <c r="V14" s="34"/>
      <c r="W14" s="23" t="s">
        <v>1005</v>
      </c>
    </row>
    <row r="15" spans="1:23" x14ac:dyDescent="0.25">
      <c r="A15" s="31">
        <v>45752.451550925929</v>
      </c>
      <c r="B15" s="32" t="str">
        <f t="shared" si="0"/>
        <v>Apr-25</v>
      </c>
      <c r="C15" s="32" t="s">
        <v>153</v>
      </c>
      <c r="D15" s="32" t="s">
        <v>369</v>
      </c>
      <c r="E15" s="31">
        <v>45700</v>
      </c>
      <c r="F15" s="32">
        <f>IFERROR(DATEDIF(Table1[[#This Row],[MPG Ope Date]],Table1[[#This Row],[L]],"M"),"")</f>
        <v>1</v>
      </c>
      <c r="G15" s="24">
        <v>10110105</v>
      </c>
      <c r="H15" s="32" t="s">
        <v>10</v>
      </c>
      <c r="I15" s="32" t="s">
        <v>44</v>
      </c>
      <c r="J15" s="32">
        <v>7550619014</v>
      </c>
      <c r="K15" s="32" t="s">
        <v>70</v>
      </c>
      <c r="L15" s="32" t="s">
        <v>81</v>
      </c>
      <c r="M15" s="32" t="s">
        <v>131</v>
      </c>
      <c r="N15" s="32" t="s">
        <v>132</v>
      </c>
      <c r="O15" s="32" t="s">
        <v>158</v>
      </c>
      <c r="P15" s="33">
        <v>45876</v>
      </c>
      <c r="Q15" s="32">
        <v>1</v>
      </c>
      <c r="R15" s="34">
        <v>2800</v>
      </c>
      <c r="S15" s="34">
        <f t="shared" si="1"/>
        <v>2800</v>
      </c>
      <c r="T15" s="34">
        <f t="shared" si="2"/>
        <v>504</v>
      </c>
      <c r="U15" s="34">
        <f t="shared" si="3"/>
        <v>3304</v>
      </c>
      <c r="V15" s="34"/>
      <c r="W15" s="23" t="s">
        <v>1005</v>
      </c>
    </row>
    <row r="16" spans="1:23" x14ac:dyDescent="0.25">
      <c r="A16" s="31">
        <v>45771.312627314815</v>
      </c>
      <c r="B16" s="32" t="str">
        <f t="shared" si="0"/>
        <v>Apr-25</v>
      </c>
      <c r="C16" s="32" t="s">
        <v>153</v>
      </c>
      <c r="D16" s="32" t="s">
        <v>369</v>
      </c>
      <c r="E16" s="31">
        <v>45120</v>
      </c>
      <c r="F16" s="32">
        <f>IFERROR(DATEDIF(Table1[[#This Row],[MPG Ope Date]],Table1[[#This Row],[L]],"M"),"")</f>
        <v>21</v>
      </c>
      <c r="G16" s="25">
        <v>10060033</v>
      </c>
      <c r="H16" s="32" t="s">
        <v>11</v>
      </c>
      <c r="I16" s="32" t="s">
        <v>45</v>
      </c>
      <c r="J16" s="32">
        <v>6205678289</v>
      </c>
      <c r="K16" s="32" t="s">
        <v>70</v>
      </c>
      <c r="L16" s="32" t="s">
        <v>82</v>
      </c>
      <c r="M16" s="32" t="s">
        <v>123</v>
      </c>
      <c r="N16" s="32" t="s">
        <v>124</v>
      </c>
      <c r="O16" s="32" t="s">
        <v>158</v>
      </c>
      <c r="P16" s="33">
        <v>45876</v>
      </c>
      <c r="Q16" s="32">
        <v>1</v>
      </c>
      <c r="R16" s="34">
        <v>350</v>
      </c>
      <c r="S16" s="34">
        <f t="shared" si="1"/>
        <v>350</v>
      </c>
      <c r="T16" s="34">
        <f t="shared" si="2"/>
        <v>63</v>
      </c>
      <c r="U16" s="34">
        <f t="shared" si="3"/>
        <v>413</v>
      </c>
      <c r="V16" s="34"/>
      <c r="W16" s="23" t="s">
        <v>1005</v>
      </c>
    </row>
    <row r="17" spans="1:23" x14ac:dyDescent="0.25">
      <c r="A17" s="31">
        <v>45770.62023148148</v>
      </c>
      <c r="B17" s="32" t="str">
        <f t="shared" si="0"/>
        <v>Apr-25</v>
      </c>
      <c r="C17" s="32" t="s">
        <v>153</v>
      </c>
      <c r="D17" s="32" t="s">
        <v>369</v>
      </c>
      <c r="E17" s="31">
        <v>45700</v>
      </c>
      <c r="F17" s="32">
        <f>IFERROR(DATEDIF(Table1[[#This Row],[MPG Ope Date]],Table1[[#This Row],[L]],"M"),"")</f>
        <v>2</v>
      </c>
      <c r="G17" s="24">
        <v>10110105</v>
      </c>
      <c r="H17" s="32" t="s">
        <v>10</v>
      </c>
      <c r="I17" s="32" t="s">
        <v>44</v>
      </c>
      <c r="J17" s="32">
        <v>7550619014</v>
      </c>
      <c r="K17" s="32" t="s">
        <v>68</v>
      </c>
      <c r="L17" s="32" t="s">
        <v>83</v>
      </c>
      <c r="M17" s="32" t="s">
        <v>133</v>
      </c>
      <c r="N17" s="32" t="s">
        <v>134</v>
      </c>
      <c r="O17" s="32" t="s">
        <v>158</v>
      </c>
      <c r="P17" s="33">
        <v>45876</v>
      </c>
      <c r="Q17" s="32">
        <v>1</v>
      </c>
      <c r="R17" s="34">
        <v>2080</v>
      </c>
      <c r="S17" s="34">
        <f t="shared" si="1"/>
        <v>2080</v>
      </c>
      <c r="T17" s="34">
        <f t="shared" si="2"/>
        <v>374.4</v>
      </c>
      <c r="U17" s="34">
        <f t="shared" si="3"/>
        <v>2454.4</v>
      </c>
      <c r="V17" s="34"/>
      <c r="W17" s="23" t="s">
        <v>1005</v>
      </c>
    </row>
    <row r="18" spans="1:23" x14ac:dyDescent="0.25">
      <c r="A18" s="31">
        <v>45752.669791666667</v>
      </c>
      <c r="B18" s="32" t="str">
        <f t="shared" si="0"/>
        <v>Apr-25</v>
      </c>
      <c r="C18" s="32" t="s">
        <v>153</v>
      </c>
      <c r="D18" s="32" t="s">
        <v>369</v>
      </c>
      <c r="E18" s="31">
        <v>45148</v>
      </c>
      <c r="F18" s="32">
        <f>IFERROR(DATEDIF(Table1[[#This Row],[MPG Ope Date]],Table1[[#This Row],[L]],"M"),"")</f>
        <v>19</v>
      </c>
      <c r="G18" s="25">
        <v>10080032</v>
      </c>
      <c r="H18" s="32" t="s">
        <v>12</v>
      </c>
      <c r="I18" s="32" t="s">
        <v>46</v>
      </c>
      <c r="J18" s="32">
        <v>7549658266</v>
      </c>
      <c r="K18" s="32" t="s">
        <v>70</v>
      </c>
      <c r="L18" s="32" t="s">
        <v>84</v>
      </c>
      <c r="M18" s="32" t="s">
        <v>123</v>
      </c>
      <c r="N18" s="32" t="s">
        <v>124</v>
      </c>
      <c r="O18" s="32" t="s">
        <v>158</v>
      </c>
      <c r="P18" s="33">
        <v>45876</v>
      </c>
      <c r="Q18" s="32">
        <v>1</v>
      </c>
      <c r="R18" s="34">
        <v>350</v>
      </c>
      <c r="S18" s="34">
        <f t="shared" si="1"/>
        <v>350</v>
      </c>
      <c r="T18" s="34">
        <f t="shared" si="2"/>
        <v>63</v>
      </c>
      <c r="U18" s="34">
        <f t="shared" si="3"/>
        <v>413</v>
      </c>
      <c r="V18" s="34"/>
      <c r="W18" s="23" t="s">
        <v>1005</v>
      </c>
    </row>
    <row r="19" spans="1:23" x14ac:dyDescent="0.25">
      <c r="A19" s="31">
        <v>45770.620844907404</v>
      </c>
      <c r="B19" s="32" t="str">
        <f t="shared" si="0"/>
        <v>Apr-25</v>
      </c>
      <c r="C19" s="32" t="s">
        <v>153</v>
      </c>
      <c r="D19" s="32" t="s">
        <v>369</v>
      </c>
      <c r="E19" s="31">
        <v>45700</v>
      </c>
      <c r="F19" s="32">
        <f>IFERROR(DATEDIF(Table1[[#This Row],[MPG Ope Date]],Table1[[#This Row],[L]],"M"),"")</f>
        <v>2</v>
      </c>
      <c r="G19" s="24">
        <v>10110105</v>
      </c>
      <c r="H19" s="32" t="s">
        <v>10</v>
      </c>
      <c r="I19" s="32" t="s">
        <v>44</v>
      </c>
      <c r="J19" s="32">
        <v>7550619014</v>
      </c>
      <c r="K19" s="32" t="s">
        <v>70</v>
      </c>
      <c r="L19" s="32" t="s">
        <v>81</v>
      </c>
      <c r="M19" s="32" t="s">
        <v>123</v>
      </c>
      <c r="N19" s="32" t="s">
        <v>124</v>
      </c>
      <c r="O19" s="32" t="s">
        <v>158</v>
      </c>
      <c r="P19" s="33">
        <v>45876</v>
      </c>
      <c r="Q19" s="32">
        <v>1</v>
      </c>
      <c r="R19" s="34">
        <v>350</v>
      </c>
      <c r="S19" s="34">
        <f t="shared" si="1"/>
        <v>350</v>
      </c>
      <c r="T19" s="34">
        <f t="shared" si="2"/>
        <v>63</v>
      </c>
      <c r="U19" s="34">
        <f t="shared" si="3"/>
        <v>413</v>
      </c>
      <c r="V19" s="34"/>
      <c r="W19" s="23" t="s">
        <v>1005</v>
      </c>
    </row>
    <row r="20" spans="1:23" x14ac:dyDescent="0.25">
      <c r="A20" s="31">
        <v>45752.486435185187</v>
      </c>
      <c r="B20" s="32" t="str">
        <f t="shared" si="0"/>
        <v>Apr-25</v>
      </c>
      <c r="C20" s="32" t="s">
        <v>153</v>
      </c>
      <c r="D20" s="32" t="s">
        <v>369</v>
      </c>
      <c r="E20" s="31">
        <v>45740</v>
      </c>
      <c r="F20" s="32">
        <f>IFERROR(DATEDIF(Table1[[#This Row],[MPG Ope Date]],Table1[[#This Row],[L]],"M"),"")</f>
        <v>0</v>
      </c>
      <c r="G20" s="24">
        <v>10130090</v>
      </c>
      <c r="H20" s="32" t="s">
        <v>13</v>
      </c>
      <c r="I20" s="32" t="s">
        <v>47</v>
      </c>
      <c r="J20" s="32">
        <v>7761001324</v>
      </c>
      <c r="K20" s="32" t="s">
        <v>68</v>
      </c>
      <c r="L20" s="32" t="s">
        <v>85</v>
      </c>
      <c r="M20" s="32" t="s">
        <v>135</v>
      </c>
      <c r="N20" s="32" t="s">
        <v>136</v>
      </c>
      <c r="O20" s="32" t="s">
        <v>158</v>
      </c>
      <c r="P20" s="33">
        <v>45876</v>
      </c>
      <c r="Q20" s="32">
        <v>1</v>
      </c>
      <c r="R20" s="34">
        <v>825</v>
      </c>
      <c r="S20" s="34">
        <f t="shared" si="1"/>
        <v>825</v>
      </c>
      <c r="T20" s="34">
        <f t="shared" si="2"/>
        <v>148.5</v>
      </c>
      <c r="U20" s="34">
        <f t="shared" si="3"/>
        <v>973.5</v>
      </c>
      <c r="V20" s="34"/>
      <c r="W20" s="23" t="s">
        <v>1005</v>
      </c>
    </row>
    <row r="21" spans="1:23" x14ac:dyDescent="0.25">
      <c r="A21" s="31">
        <v>45752.555324074077</v>
      </c>
      <c r="B21" s="32" t="str">
        <f t="shared" si="0"/>
        <v>Apr-25</v>
      </c>
      <c r="C21" s="32" t="s">
        <v>153</v>
      </c>
      <c r="D21" s="32" t="s">
        <v>369</v>
      </c>
      <c r="E21" s="31">
        <v>45745</v>
      </c>
      <c r="F21" s="32">
        <f>IFERROR(DATEDIF(Table1[[#This Row],[MPG Ope Date]],Table1[[#This Row],[L]],"M"),"")</f>
        <v>0</v>
      </c>
      <c r="G21" s="24">
        <v>10010100</v>
      </c>
      <c r="H21" s="32" t="s">
        <v>14</v>
      </c>
      <c r="I21" s="32" t="s">
        <v>48</v>
      </c>
      <c r="J21" s="32">
        <v>9570807681</v>
      </c>
      <c r="K21" s="32" t="s">
        <v>71</v>
      </c>
      <c r="L21" s="32" t="s">
        <v>86</v>
      </c>
      <c r="M21" s="32" t="s">
        <v>129</v>
      </c>
      <c r="N21" s="32" t="s">
        <v>130</v>
      </c>
      <c r="O21" s="32" t="s">
        <v>158</v>
      </c>
      <c r="P21" s="33">
        <v>45876</v>
      </c>
      <c r="Q21" s="32">
        <v>1</v>
      </c>
      <c r="R21" s="34">
        <v>1750</v>
      </c>
      <c r="S21" s="34">
        <f t="shared" si="1"/>
        <v>1750</v>
      </c>
      <c r="T21" s="34">
        <f t="shared" si="2"/>
        <v>315</v>
      </c>
      <c r="U21" s="34">
        <f t="shared" si="3"/>
        <v>2065</v>
      </c>
      <c r="V21" s="34"/>
      <c r="W21" s="23" t="s">
        <v>1010</v>
      </c>
    </row>
    <row r="22" spans="1:23" x14ac:dyDescent="0.25">
      <c r="A22" s="31">
        <v>45770.664004629631</v>
      </c>
      <c r="B22" s="32" t="str">
        <f t="shared" si="0"/>
        <v>Apr-25</v>
      </c>
      <c r="C22" s="32" t="s">
        <v>153</v>
      </c>
      <c r="D22" s="32" t="s">
        <v>369</v>
      </c>
      <c r="E22" s="31">
        <v>45110</v>
      </c>
      <c r="F22" s="32">
        <f>IFERROR(DATEDIF(Table1[[#This Row],[MPG Ope Date]],Table1[[#This Row],[L]],"M"),"")</f>
        <v>21</v>
      </c>
      <c r="G22" s="25">
        <v>10090039</v>
      </c>
      <c r="H22" s="32" t="s">
        <v>15</v>
      </c>
      <c r="I22" s="32" t="s">
        <v>49</v>
      </c>
      <c r="J22" s="32">
        <v>9006630290</v>
      </c>
      <c r="K22" s="32" t="s">
        <v>68</v>
      </c>
      <c r="L22" s="32" t="s">
        <v>87</v>
      </c>
      <c r="M22" s="32" t="s">
        <v>133</v>
      </c>
      <c r="N22" s="32" t="s">
        <v>134</v>
      </c>
      <c r="O22" s="32" t="s">
        <v>158</v>
      </c>
      <c r="P22" s="33">
        <v>45876</v>
      </c>
      <c r="Q22" s="32">
        <v>1</v>
      </c>
      <c r="R22" s="34">
        <v>2080</v>
      </c>
      <c r="S22" s="34">
        <f t="shared" si="1"/>
        <v>2080</v>
      </c>
      <c r="T22" s="34">
        <f t="shared" si="2"/>
        <v>374.4</v>
      </c>
      <c r="U22" s="34">
        <f t="shared" si="3"/>
        <v>2454.4</v>
      </c>
      <c r="V22" s="34"/>
      <c r="W22" s="23" t="s">
        <v>1007</v>
      </c>
    </row>
    <row r="23" spans="1:23" x14ac:dyDescent="0.25">
      <c r="A23" s="31">
        <v>45754.65934027778</v>
      </c>
      <c r="B23" s="32" t="str">
        <f t="shared" si="0"/>
        <v>Apr-25</v>
      </c>
      <c r="C23" s="32" t="s">
        <v>153</v>
      </c>
      <c r="D23" s="32" t="s">
        <v>369</v>
      </c>
      <c r="E23" s="31">
        <v>45745</v>
      </c>
      <c r="F23" s="32">
        <f>IFERROR(DATEDIF(Table1[[#This Row],[MPG Ope Date]],Table1[[#This Row],[L]],"M"),"")</f>
        <v>0</v>
      </c>
      <c r="G23" s="24">
        <v>10010100</v>
      </c>
      <c r="H23" s="32" t="s">
        <v>14</v>
      </c>
      <c r="I23" s="32" t="s">
        <v>48</v>
      </c>
      <c r="J23" s="32">
        <v>9570807681</v>
      </c>
      <c r="K23" s="32" t="s">
        <v>70</v>
      </c>
      <c r="L23" s="32" t="s">
        <v>88</v>
      </c>
      <c r="M23" s="32" t="s">
        <v>123</v>
      </c>
      <c r="N23" s="32" t="s">
        <v>124</v>
      </c>
      <c r="O23" s="32" t="s">
        <v>158</v>
      </c>
      <c r="P23" s="33">
        <v>45876</v>
      </c>
      <c r="Q23" s="32">
        <v>1</v>
      </c>
      <c r="R23" s="34">
        <v>350</v>
      </c>
      <c r="S23" s="34">
        <f t="shared" si="1"/>
        <v>350</v>
      </c>
      <c r="T23" s="34">
        <f t="shared" si="2"/>
        <v>63</v>
      </c>
      <c r="U23" s="34">
        <f t="shared" si="3"/>
        <v>413</v>
      </c>
      <c r="V23" s="34"/>
      <c r="W23" s="23" t="s">
        <v>1010</v>
      </c>
    </row>
    <row r="24" spans="1:23" x14ac:dyDescent="0.25">
      <c r="A24" s="31">
        <v>45770.664004629631</v>
      </c>
      <c r="B24" s="32" t="str">
        <f t="shared" si="0"/>
        <v>Apr-25</v>
      </c>
      <c r="C24" s="32" t="s">
        <v>153</v>
      </c>
      <c r="D24" s="32" t="s">
        <v>369</v>
      </c>
      <c r="E24" s="31">
        <v>45110</v>
      </c>
      <c r="F24" s="32">
        <f>IFERROR(DATEDIF(Table1[[#This Row],[MPG Ope Date]],Table1[[#This Row],[L]],"M"),"")</f>
        <v>21</v>
      </c>
      <c r="G24" s="25">
        <v>10090039</v>
      </c>
      <c r="H24" s="32" t="s">
        <v>15</v>
      </c>
      <c r="I24" s="32" t="s">
        <v>49</v>
      </c>
      <c r="J24" s="32">
        <v>9006630290</v>
      </c>
      <c r="K24" s="32" t="s">
        <v>68</v>
      </c>
      <c r="L24" s="32" t="s">
        <v>87</v>
      </c>
      <c r="M24" s="32" t="s">
        <v>137</v>
      </c>
      <c r="N24" s="32" t="s">
        <v>138</v>
      </c>
      <c r="O24" s="32" t="s">
        <v>158</v>
      </c>
      <c r="P24" s="33">
        <v>45876</v>
      </c>
      <c r="Q24" s="32">
        <v>1</v>
      </c>
      <c r="R24" s="34">
        <v>2800</v>
      </c>
      <c r="S24" s="34">
        <f t="shared" si="1"/>
        <v>2800</v>
      </c>
      <c r="T24" s="34">
        <f t="shared" si="2"/>
        <v>504</v>
      </c>
      <c r="U24" s="34">
        <f t="shared" si="3"/>
        <v>3304</v>
      </c>
      <c r="V24" s="34"/>
      <c r="W24" s="23" t="s">
        <v>1007</v>
      </c>
    </row>
    <row r="25" spans="1:23" x14ac:dyDescent="0.25">
      <c r="A25" s="31">
        <v>45755.564953703702</v>
      </c>
      <c r="B25" s="32" t="str">
        <f t="shared" si="0"/>
        <v>Apr-25</v>
      </c>
      <c r="C25" s="32" t="s">
        <v>153</v>
      </c>
      <c r="D25" s="32" t="s">
        <v>369</v>
      </c>
      <c r="E25" s="31">
        <v>44975</v>
      </c>
      <c r="F25" s="32">
        <f>IFERROR(DATEDIF(Table1[[#This Row],[MPG Ope Date]],Table1[[#This Row],[L]],"M"),"")</f>
        <v>25</v>
      </c>
      <c r="G25" s="25">
        <v>10480008</v>
      </c>
      <c r="H25" s="32" t="s">
        <v>16</v>
      </c>
      <c r="I25" s="32" t="s">
        <v>50</v>
      </c>
      <c r="J25" s="32">
        <v>7250496761</v>
      </c>
      <c r="K25" s="32" t="s">
        <v>68</v>
      </c>
      <c r="L25" s="32" t="s">
        <v>89</v>
      </c>
      <c r="M25" s="32" t="s">
        <v>139</v>
      </c>
      <c r="N25" s="32" t="s">
        <v>140</v>
      </c>
      <c r="O25" s="32" t="s">
        <v>158</v>
      </c>
      <c r="P25" s="33">
        <v>45876</v>
      </c>
      <c r="Q25" s="32">
        <v>1</v>
      </c>
      <c r="R25" s="34">
        <v>1266</v>
      </c>
      <c r="S25" s="34">
        <f t="shared" si="1"/>
        <v>1266</v>
      </c>
      <c r="T25" s="34">
        <f t="shared" si="2"/>
        <v>227.88</v>
      </c>
      <c r="U25" s="34">
        <f t="shared" si="3"/>
        <v>1493.88</v>
      </c>
      <c r="V25" s="34"/>
      <c r="W25" s="23" t="s">
        <v>1005</v>
      </c>
    </row>
    <row r="26" spans="1:23" x14ac:dyDescent="0.25">
      <c r="A26" s="31">
        <v>45755.607986111114</v>
      </c>
      <c r="B26" s="32" t="str">
        <f t="shared" si="0"/>
        <v>Apr-25</v>
      </c>
      <c r="C26" s="32" t="s">
        <v>153</v>
      </c>
      <c r="D26" s="32" t="s">
        <v>369</v>
      </c>
      <c r="E26" s="31">
        <v>45016</v>
      </c>
      <c r="F26" s="32">
        <f>IFERROR(DATEDIF(Table1[[#This Row],[MPG Ope Date]],Table1[[#This Row],[L]],"M"),"")</f>
        <v>24</v>
      </c>
      <c r="G26" s="24">
        <v>10100014</v>
      </c>
      <c r="H26" s="32" t="s">
        <v>17</v>
      </c>
      <c r="I26" s="32" t="s">
        <v>51</v>
      </c>
      <c r="J26" s="32">
        <v>9199517552</v>
      </c>
      <c r="K26" s="32" t="s">
        <v>68</v>
      </c>
      <c r="L26" s="32" t="s">
        <v>90</v>
      </c>
      <c r="M26" s="32" t="s">
        <v>133</v>
      </c>
      <c r="N26" s="32" t="s">
        <v>134</v>
      </c>
      <c r="O26" s="32" t="s">
        <v>158</v>
      </c>
      <c r="P26" s="33">
        <v>45876</v>
      </c>
      <c r="Q26" s="32">
        <v>1</v>
      </c>
      <c r="R26" s="34">
        <v>2080</v>
      </c>
      <c r="S26" s="34">
        <f t="shared" si="1"/>
        <v>2080</v>
      </c>
      <c r="T26" s="34">
        <f t="shared" si="2"/>
        <v>374.4</v>
      </c>
      <c r="U26" s="34">
        <f t="shared" si="3"/>
        <v>2454.4</v>
      </c>
      <c r="V26" s="34"/>
      <c r="W26" s="23" t="s">
        <v>1005</v>
      </c>
    </row>
    <row r="27" spans="1:23" x14ac:dyDescent="0.25">
      <c r="A27" s="31">
        <v>45756.716643518521</v>
      </c>
      <c r="B27" s="32" t="str">
        <f t="shared" si="0"/>
        <v>Apr-25</v>
      </c>
      <c r="C27" s="32" t="s">
        <v>153</v>
      </c>
      <c r="D27" s="32" t="s">
        <v>369</v>
      </c>
      <c r="E27" s="31">
        <v>45745</v>
      </c>
      <c r="F27" s="32">
        <f>IFERROR(DATEDIF(Table1[[#This Row],[MPG Ope Date]],Table1[[#This Row],[L]],"M"),"")</f>
        <v>0</v>
      </c>
      <c r="G27" s="24">
        <v>10090064</v>
      </c>
      <c r="H27" s="32" t="s">
        <v>18</v>
      </c>
      <c r="I27" s="32" t="s">
        <v>52</v>
      </c>
      <c r="J27" s="32">
        <v>7061352566</v>
      </c>
      <c r="K27" s="32" t="s">
        <v>71</v>
      </c>
      <c r="L27" s="32" t="s">
        <v>91</v>
      </c>
      <c r="M27" s="32" t="s">
        <v>141</v>
      </c>
      <c r="N27" s="32" t="s">
        <v>142</v>
      </c>
      <c r="O27" s="32" t="s">
        <v>158</v>
      </c>
      <c r="P27" s="33">
        <v>45876</v>
      </c>
      <c r="Q27" s="32">
        <v>1</v>
      </c>
      <c r="R27" s="34">
        <v>900</v>
      </c>
      <c r="S27" s="34">
        <f t="shared" si="1"/>
        <v>900</v>
      </c>
      <c r="T27" s="34">
        <f t="shared" si="2"/>
        <v>162</v>
      </c>
      <c r="U27" s="34">
        <f t="shared" si="3"/>
        <v>1062</v>
      </c>
      <c r="V27" s="34"/>
      <c r="W27" s="23" t="s">
        <v>1005</v>
      </c>
    </row>
    <row r="28" spans="1:23" x14ac:dyDescent="0.25">
      <c r="A28" s="31">
        <v>45756.684733796297</v>
      </c>
      <c r="B28" s="32" t="str">
        <f t="shared" si="0"/>
        <v>Apr-25</v>
      </c>
      <c r="C28" s="32" t="s">
        <v>153</v>
      </c>
      <c r="D28" s="32" t="s">
        <v>0</v>
      </c>
      <c r="E28" s="31" t="e">
        <v>#N/A</v>
      </c>
      <c r="F28" s="32" t="str">
        <f>IFERROR(DATEDIF(Table1[[#This Row],[MPG Ope Date]],Table1[[#This Row],[L]],"M"),"")</f>
        <v/>
      </c>
      <c r="G28" s="36">
        <v>1011</v>
      </c>
      <c r="H28" s="32" t="s">
        <v>19</v>
      </c>
      <c r="I28" s="32" t="s">
        <v>53</v>
      </c>
      <c r="J28" s="32">
        <v>7011134896</v>
      </c>
      <c r="K28" s="32" t="s">
        <v>70</v>
      </c>
      <c r="L28" s="32" t="s">
        <v>92</v>
      </c>
      <c r="M28" s="32" t="s">
        <v>123</v>
      </c>
      <c r="N28" s="32" t="s">
        <v>124</v>
      </c>
      <c r="O28" s="32" t="s">
        <v>158</v>
      </c>
      <c r="P28" s="33">
        <v>45876</v>
      </c>
      <c r="Q28" s="32">
        <v>1</v>
      </c>
      <c r="R28" s="34">
        <v>350</v>
      </c>
      <c r="S28" s="34">
        <f t="shared" si="1"/>
        <v>350</v>
      </c>
      <c r="T28" s="34">
        <f t="shared" si="2"/>
        <v>63</v>
      </c>
      <c r="U28" s="34">
        <f t="shared" si="3"/>
        <v>413</v>
      </c>
      <c r="V28" s="34"/>
      <c r="W28" s="23" t="e">
        <v>#N/A</v>
      </c>
    </row>
    <row r="29" spans="1:23" x14ac:dyDescent="0.25">
      <c r="A29" s="31">
        <v>45770.664004629631</v>
      </c>
      <c r="B29" s="32" t="str">
        <f t="shared" si="0"/>
        <v>Apr-25</v>
      </c>
      <c r="C29" s="32" t="s">
        <v>153</v>
      </c>
      <c r="D29" s="32" t="s">
        <v>369</v>
      </c>
      <c r="E29" s="31">
        <v>45110</v>
      </c>
      <c r="F29" s="32">
        <f>IFERROR(DATEDIF(Table1[[#This Row],[MPG Ope Date]],Table1[[#This Row],[L]],"M"),"")</f>
        <v>21</v>
      </c>
      <c r="G29" s="25">
        <v>10090039</v>
      </c>
      <c r="H29" s="32" t="s">
        <v>15</v>
      </c>
      <c r="I29" s="32" t="s">
        <v>49</v>
      </c>
      <c r="J29" s="32">
        <v>9006630290</v>
      </c>
      <c r="K29" s="32" t="s">
        <v>68</v>
      </c>
      <c r="L29" s="32" t="s">
        <v>87</v>
      </c>
      <c r="M29" s="32" t="s">
        <v>113</v>
      </c>
      <c r="N29" s="32" t="s">
        <v>114</v>
      </c>
      <c r="O29" s="32" t="s">
        <v>158</v>
      </c>
      <c r="P29" s="33">
        <v>45876</v>
      </c>
      <c r="Q29" s="32">
        <v>1</v>
      </c>
      <c r="R29" s="34">
        <v>225</v>
      </c>
      <c r="S29" s="34">
        <f t="shared" si="1"/>
        <v>225</v>
      </c>
      <c r="T29" s="34">
        <f t="shared" si="2"/>
        <v>40.5</v>
      </c>
      <c r="U29" s="34">
        <f t="shared" si="3"/>
        <v>265.5</v>
      </c>
      <c r="V29" s="34"/>
      <c r="W29" s="23" t="s">
        <v>1007</v>
      </c>
    </row>
    <row r="30" spans="1:23" x14ac:dyDescent="0.25">
      <c r="A30" s="31">
        <v>45756.645451388889</v>
      </c>
      <c r="B30" s="32" t="str">
        <f t="shared" si="0"/>
        <v>Apr-25</v>
      </c>
      <c r="C30" s="32" t="s">
        <v>153</v>
      </c>
      <c r="D30" s="32" t="s">
        <v>0</v>
      </c>
      <c r="E30" s="31" t="e">
        <v>#N/A</v>
      </c>
      <c r="F30" s="32" t="str">
        <f>IFERROR(DATEDIF(Table1[[#This Row],[MPG Ope Date]],Table1[[#This Row],[L]],"M"),"")</f>
        <v/>
      </c>
      <c r="G30" s="36">
        <v>1011</v>
      </c>
      <c r="H30" s="32" t="s">
        <v>19</v>
      </c>
      <c r="I30" s="32" t="s">
        <v>53</v>
      </c>
      <c r="J30" s="32">
        <v>7011134896</v>
      </c>
      <c r="K30" s="32" t="s">
        <v>69</v>
      </c>
      <c r="L30" s="32">
        <v>386968</v>
      </c>
      <c r="M30" s="32" t="s">
        <v>121</v>
      </c>
      <c r="N30" s="32" t="s">
        <v>122</v>
      </c>
      <c r="O30" s="32" t="s">
        <v>158</v>
      </c>
      <c r="P30" s="33">
        <v>45876</v>
      </c>
      <c r="Q30" s="32">
        <v>1</v>
      </c>
      <c r="R30" s="34">
        <v>70</v>
      </c>
      <c r="S30" s="34">
        <f t="shared" si="1"/>
        <v>70</v>
      </c>
      <c r="T30" s="34">
        <f t="shared" si="2"/>
        <v>12.6</v>
      </c>
      <c r="U30" s="34">
        <f t="shared" si="3"/>
        <v>82.6</v>
      </c>
      <c r="V30" s="34"/>
      <c r="W30" s="23" t="e">
        <v>#N/A</v>
      </c>
    </row>
    <row r="31" spans="1:23" x14ac:dyDescent="0.25">
      <c r="A31" s="31">
        <v>45756.645451388889</v>
      </c>
      <c r="B31" s="32" t="str">
        <f t="shared" si="0"/>
        <v>Apr-25</v>
      </c>
      <c r="C31" s="32" t="s">
        <v>153</v>
      </c>
      <c r="D31" s="32" t="s">
        <v>0</v>
      </c>
      <c r="E31" s="31" t="e">
        <v>#N/A</v>
      </c>
      <c r="F31" s="32" t="str">
        <f>IFERROR(DATEDIF(Table1[[#This Row],[MPG Ope Date]],Table1[[#This Row],[L]],"M"),"")</f>
        <v/>
      </c>
      <c r="G31" s="36">
        <v>1011</v>
      </c>
      <c r="H31" s="32" t="s">
        <v>19</v>
      </c>
      <c r="I31" s="32" t="s">
        <v>53</v>
      </c>
      <c r="J31" s="32">
        <v>7011134896</v>
      </c>
      <c r="K31" s="32" t="s">
        <v>69</v>
      </c>
      <c r="L31" s="32">
        <v>386968</v>
      </c>
      <c r="M31" s="32" t="s">
        <v>143</v>
      </c>
      <c r="N31" s="32" t="s">
        <v>144</v>
      </c>
      <c r="O31" s="32" t="s">
        <v>158</v>
      </c>
      <c r="P31" s="33">
        <v>45876</v>
      </c>
      <c r="Q31" s="32">
        <v>1</v>
      </c>
      <c r="R31" s="34">
        <v>125</v>
      </c>
      <c r="S31" s="34">
        <f t="shared" si="1"/>
        <v>125</v>
      </c>
      <c r="T31" s="34">
        <f t="shared" si="2"/>
        <v>22.5</v>
      </c>
      <c r="U31" s="34">
        <f t="shared" si="3"/>
        <v>147.5</v>
      </c>
      <c r="V31" s="34"/>
      <c r="W31" s="23" t="e">
        <v>#N/A</v>
      </c>
    </row>
    <row r="32" spans="1:23" x14ac:dyDescent="0.25">
      <c r="A32" s="31">
        <v>45756.645451388889</v>
      </c>
      <c r="B32" s="32" t="str">
        <f t="shared" si="0"/>
        <v>Apr-25</v>
      </c>
      <c r="C32" s="32" t="s">
        <v>153</v>
      </c>
      <c r="D32" s="32" t="s">
        <v>0</v>
      </c>
      <c r="E32" s="31" t="e">
        <v>#N/A</v>
      </c>
      <c r="F32" s="32" t="str">
        <f>IFERROR(DATEDIF(Table1[[#This Row],[MPG Ope Date]],Table1[[#This Row],[L]],"M"),"")</f>
        <v/>
      </c>
      <c r="G32" s="36">
        <v>1011</v>
      </c>
      <c r="H32" s="32" t="s">
        <v>19</v>
      </c>
      <c r="I32" s="32" t="s">
        <v>53</v>
      </c>
      <c r="J32" s="32">
        <v>7011134896</v>
      </c>
      <c r="K32" s="32" t="s">
        <v>69</v>
      </c>
      <c r="L32" s="32">
        <v>386968</v>
      </c>
      <c r="M32" s="32" t="s">
        <v>119</v>
      </c>
      <c r="N32" s="32" t="s">
        <v>120</v>
      </c>
      <c r="O32" s="32" t="s">
        <v>158</v>
      </c>
      <c r="P32" s="33">
        <v>45876</v>
      </c>
      <c r="Q32" s="32">
        <v>1</v>
      </c>
      <c r="R32" s="34">
        <v>84</v>
      </c>
      <c r="S32" s="34">
        <f t="shared" si="1"/>
        <v>84</v>
      </c>
      <c r="T32" s="34">
        <f t="shared" si="2"/>
        <v>15.12</v>
      </c>
      <c r="U32" s="34">
        <f t="shared" si="3"/>
        <v>99.12</v>
      </c>
      <c r="V32" s="34"/>
      <c r="W32" s="23" t="e">
        <v>#N/A</v>
      </c>
    </row>
    <row r="33" spans="1:23" x14ac:dyDescent="0.25">
      <c r="A33" s="31">
        <v>45756.645451388889</v>
      </c>
      <c r="B33" s="32" t="str">
        <f t="shared" si="0"/>
        <v>Apr-25</v>
      </c>
      <c r="C33" s="32" t="s">
        <v>153</v>
      </c>
      <c r="D33" s="32" t="s">
        <v>0</v>
      </c>
      <c r="E33" s="31" t="e">
        <v>#N/A</v>
      </c>
      <c r="F33" s="32" t="str">
        <f>IFERROR(DATEDIF(Table1[[#This Row],[MPG Ope Date]],Table1[[#This Row],[L]],"M"),"")</f>
        <v/>
      </c>
      <c r="G33" s="36">
        <v>1011</v>
      </c>
      <c r="H33" s="32" t="s">
        <v>19</v>
      </c>
      <c r="I33" s="32" t="s">
        <v>53</v>
      </c>
      <c r="J33" s="32">
        <v>7011134896</v>
      </c>
      <c r="K33" s="32" t="s">
        <v>69</v>
      </c>
      <c r="L33" s="32">
        <v>386968</v>
      </c>
      <c r="M33" s="32" t="s">
        <v>145</v>
      </c>
      <c r="N33" s="32" t="s">
        <v>146</v>
      </c>
      <c r="O33" s="32" t="s">
        <v>158</v>
      </c>
      <c r="P33" s="33">
        <v>45876</v>
      </c>
      <c r="Q33" s="32">
        <v>1</v>
      </c>
      <c r="R33" s="34">
        <v>49</v>
      </c>
      <c r="S33" s="34">
        <f t="shared" si="1"/>
        <v>49</v>
      </c>
      <c r="T33" s="34">
        <f t="shared" si="2"/>
        <v>8.82</v>
      </c>
      <c r="U33" s="34">
        <f t="shared" si="3"/>
        <v>57.82</v>
      </c>
      <c r="V33" s="34"/>
      <c r="W33" s="23" t="e">
        <v>#N/A</v>
      </c>
    </row>
    <row r="34" spans="1:23" x14ac:dyDescent="0.25">
      <c r="A34" s="31">
        <v>45756.645451388889</v>
      </c>
      <c r="B34" s="32" t="str">
        <f t="shared" si="0"/>
        <v>Apr-25</v>
      </c>
      <c r="C34" s="32" t="s">
        <v>153</v>
      </c>
      <c r="D34" s="32" t="s">
        <v>0</v>
      </c>
      <c r="E34" s="31" t="e">
        <v>#N/A</v>
      </c>
      <c r="F34" s="32" t="str">
        <f>IFERROR(DATEDIF(Table1[[#This Row],[MPG Ope Date]],Table1[[#This Row],[L]],"M"),"")</f>
        <v/>
      </c>
      <c r="G34" s="36">
        <v>1011</v>
      </c>
      <c r="H34" s="32" t="s">
        <v>19</v>
      </c>
      <c r="I34" s="32" t="s">
        <v>53</v>
      </c>
      <c r="J34" s="32">
        <v>7011134896</v>
      </c>
      <c r="K34" s="32" t="s">
        <v>69</v>
      </c>
      <c r="L34" s="32">
        <v>386968</v>
      </c>
      <c r="M34" s="32" t="s">
        <v>145</v>
      </c>
      <c r="N34" s="32" t="s">
        <v>146</v>
      </c>
      <c r="O34" s="32" t="s">
        <v>158</v>
      </c>
      <c r="P34" s="33">
        <v>45876</v>
      </c>
      <c r="Q34" s="32">
        <v>1</v>
      </c>
      <c r="R34" s="34">
        <v>49</v>
      </c>
      <c r="S34" s="34">
        <f t="shared" si="1"/>
        <v>49</v>
      </c>
      <c r="T34" s="34">
        <f t="shared" si="2"/>
        <v>8.82</v>
      </c>
      <c r="U34" s="34">
        <f t="shared" si="3"/>
        <v>57.82</v>
      </c>
      <c r="V34" s="34"/>
      <c r="W34" s="23" t="e">
        <v>#N/A</v>
      </c>
    </row>
    <row r="35" spans="1:23" x14ac:dyDescent="0.25">
      <c r="A35" s="31">
        <v>45769.488252314812</v>
      </c>
      <c r="B35" s="32" t="str">
        <f t="shared" si="0"/>
        <v>Apr-25</v>
      </c>
      <c r="C35" s="32" t="s">
        <v>153</v>
      </c>
      <c r="D35" s="32" t="s">
        <v>369</v>
      </c>
      <c r="E35" s="31">
        <v>45681</v>
      </c>
      <c r="F35" s="32">
        <f>IFERROR(DATEDIF(Table1[[#This Row],[MPG Ope Date]],Table1[[#This Row],[L]],"M"),"")</f>
        <v>2</v>
      </c>
      <c r="G35" s="24">
        <v>10070048</v>
      </c>
      <c r="H35" s="32" t="s">
        <v>20</v>
      </c>
      <c r="I35" s="32" t="s">
        <v>54</v>
      </c>
      <c r="J35" s="32">
        <v>8084852614</v>
      </c>
      <c r="K35" s="32" t="s">
        <v>70</v>
      </c>
      <c r="L35" s="32" t="s">
        <v>93</v>
      </c>
      <c r="M35" s="32" t="s">
        <v>123</v>
      </c>
      <c r="N35" s="32" t="s">
        <v>124</v>
      </c>
      <c r="O35" s="32" t="s">
        <v>158</v>
      </c>
      <c r="P35" s="33">
        <v>45876</v>
      </c>
      <c r="Q35" s="32">
        <v>1</v>
      </c>
      <c r="R35" s="34">
        <v>350</v>
      </c>
      <c r="S35" s="34">
        <f t="shared" si="1"/>
        <v>350</v>
      </c>
      <c r="T35" s="34">
        <f t="shared" si="2"/>
        <v>63</v>
      </c>
      <c r="U35" s="34">
        <f t="shared" si="3"/>
        <v>413</v>
      </c>
      <c r="V35" s="34"/>
      <c r="W35" s="23" t="s">
        <v>1005</v>
      </c>
    </row>
    <row r="36" spans="1:23" x14ac:dyDescent="0.25">
      <c r="A36" s="31">
        <v>45756.660069444442</v>
      </c>
      <c r="B36" s="32" t="str">
        <f t="shared" si="0"/>
        <v>Apr-25</v>
      </c>
      <c r="C36" s="32" t="s">
        <v>153</v>
      </c>
      <c r="D36" s="32" t="s">
        <v>0</v>
      </c>
      <c r="E36" s="31" t="e">
        <v>#N/A</v>
      </c>
      <c r="F36" s="32" t="str">
        <f>IFERROR(DATEDIF(Table1[[#This Row],[MPG Ope Date]],Table1[[#This Row],[L]],"M"),"")</f>
        <v/>
      </c>
      <c r="G36" s="36">
        <v>1011</v>
      </c>
      <c r="H36" s="32" t="s">
        <v>19</v>
      </c>
      <c r="I36" s="32" t="s">
        <v>53</v>
      </c>
      <c r="J36" s="32">
        <v>7011134896</v>
      </c>
      <c r="K36" s="32" t="s">
        <v>69</v>
      </c>
      <c r="L36" s="32">
        <v>388115</v>
      </c>
      <c r="M36" s="32" t="s">
        <v>121</v>
      </c>
      <c r="N36" s="32" t="s">
        <v>122</v>
      </c>
      <c r="O36" s="32" t="s">
        <v>158</v>
      </c>
      <c r="P36" s="33">
        <v>45876</v>
      </c>
      <c r="Q36" s="32">
        <v>1</v>
      </c>
      <c r="R36" s="34">
        <v>70</v>
      </c>
      <c r="S36" s="34">
        <f t="shared" si="1"/>
        <v>70</v>
      </c>
      <c r="T36" s="34">
        <f t="shared" si="2"/>
        <v>12.6</v>
      </c>
      <c r="U36" s="34">
        <f t="shared" si="3"/>
        <v>82.6</v>
      </c>
      <c r="V36" s="34"/>
      <c r="W36" s="23" t="e">
        <v>#N/A</v>
      </c>
    </row>
    <row r="37" spans="1:23" x14ac:dyDescent="0.25">
      <c r="A37" s="31">
        <v>45756.660069444442</v>
      </c>
      <c r="B37" s="32" t="str">
        <f t="shared" si="0"/>
        <v>Apr-25</v>
      </c>
      <c r="C37" s="32" t="s">
        <v>153</v>
      </c>
      <c r="D37" s="32" t="s">
        <v>0</v>
      </c>
      <c r="E37" s="31" t="e">
        <v>#N/A</v>
      </c>
      <c r="F37" s="32" t="str">
        <f>IFERROR(DATEDIF(Table1[[#This Row],[MPG Ope Date]],Table1[[#This Row],[L]],"M"),"")</f>
        <v/>
      </c>
      <c r="G37" s="36">
        <v>1011</v>
      </c>
      <c r="H37" s="32" t="s">
        <v>19</v>
      </c>
      <c r="I37" s="32" t="s">
        <v>53</v>
      </c>
      <c r="J37" s="32">
        <v>7011134896</v>
      </c>
      <c r="K37" s="32" t="s">
        <v>69</v>
      </c>
      <c r="L37" s="32">
        <v>388115</v>
      </c>
      <c r="M37" s="32" t="s">
        <v>127</v>
      </c>
      <c r="N37" s="32" t="s">
        <v>128</v>
      </c>
      <c r="O37" s="32" t="s">
        <v>158</v>
      </c>
      <c r="P37" s="33">
        <v>45876</v>
      </c>
      <c r="Q37" s="32">
        <v>1</v>
      </c>
      <c r="R37" s="34">
        <v>44</v>
      </c>
      <c r="S37" s="34">
        <f t="shared" si="1"/>
        <v>44</v>
      </c>
      <c r="T37" s="34">
        <f t="shared" si="2"/>
        <v>7.92</v>
      </c>
      <c r="U37" s="34">
        <f t="shared" si="3"/>
        <v>51.92</v>
      </c>
      <c r="V37" s="34"/>
      <c r="W37" s="23" t="e">
        <v>#N/A</v>
      </c>
    </row>
    <row r="38" spans="1:23" x14ac:dyDescent="0.25">
      <c r="A38" s="31">
        <v>45756.660069444442</v>
      </c>
      <c r="B38" s="32" t="str">
        <f t="shared" si="0"/>
        <v>Apr-25</v>
      </c>
      <c r="C38" s="32" t="s">
        <v>153</v>
      </c>
      <c r="D38" s="32" t="s">
        <v>0</v>
      </c>
      <c r="E38" s="31" t="e">
        <v>#N/A</v>
      </c>
      <c r="F38" s="32" t="str">
        <f>IFERROR(DATEDIF(Table1[[#This Row],[MPG Ope Date]],Table1[[#This Row],[L]],"M"),"")</f>
        <v/>
      </c>
      <c r="G38" s="36">
        <v>1011</v>
      </c>
      <c r="H38" s="32" t="s">
        <v>19</v>
      </c>
      <c r="I38" s="32" t="s">
        <v>53</v>
      </c>
      <c r="J38" s="32">
        <v>7011134896</v>
      </c>
      <c r="K38" s="32" t="s">
        <v>69</v>
      </c>
      <c r="L38" s="32">
        <v>388115</v>
      </c>
      <c r="M38" s="32" t="s">
        <v>127</v>
      </c>
      <c r="N38" s="32" t="s">
        <v>128</v>
      </c>
      <c r="O38" s="32" t="s">
        <v>158</v>
      </c>
      <c r="P38" s="33">
        <v>45876</v>
      </c>
      <c r="Q38" s="32">
        <v>1</v>
      </c>
      <c r="R38" s="34">
        <v>44</v>
      </c>
      <c r="S38" s="34">
        <f t="shared" si="1"/>
        <v>44</v>
      </c>
      <c r="T38" s="34">
        <f t="shared" si="2"/>
        <v>7.92</v>
      </c>
      <c r="U38" s="34">
        <f t="shared" si="3"/>
        <v>51.92</v>
      </c>
      <c r="V38" s="34"/>
      <c r="W38" s="23" t="e">
        <v>#N/A</v>
      </c>
    </row>
    <row r="39" spans="1:23" x14ac:dyDescent="0.25">
      <c r="A39" s="31">
        <v>45769.715162037035</v>
      </c>
      <c r="B39" s="32" t="str">
        <f t="shared" si="0"/>
        <v>Apr-25</v>
      </c>
      <c r="C39" s="32" t="s">
        <v>153</v>
      </c>
      <c r="D39" s="32" t="s">
        <v>369</v>
      </c>
      <c r="E39" s="31">
        <v>43510</v>
      </c>
      <c r="F39" s="32">
        <f>IFERROR(DATEDIF(Table1[[#This Row],[MPG Ope Date]],Table1[[#This Row],[L]],"M"),"")</f>
        <v>74</v>
      </c>
      <c r="G39" s="25">
        <v>10180001</v>
      </c>
      <c r="H39" s="32" t="s">
        <v>21</v>
      </c>
      <c r="I39" s="32" t="s">
        <v>55</v>
      </c>
      <c r="J39" s="32">
        <v>7903086209</v>
      </c>
      <c r="K39" s="32" t="s">
        <v>68</v>
      </c>
      <c r="L39" s="32" t="s">
        <v>94</v>
      </c>
      <c r="M39" s="32" t="s">
        <v>111</v>
      </c>
      <c r="N39" s="32" t="s">
        <v>112</v>
      </c>
      <c r="O39" s="32" t="s">
        <v>158</v>
      </c>
      <c r="P39" s="33">
        <v>45876</v>
      </c>
      <c r="Q39" s="32">
        <v>1</v>
      </c>
      <c r="R39" s="34">
        <v>360</v>
      </c>
      <c r="S39" s="34">
        <f t="shared" si="1"/>
        <v>360</v>
      </c>
      <c r="T39" s="34">
        <f t="shared" si="2"/>
        <v>64.8</v>
      </c>
      <c r="U39" s="34">
        <f t="shared" si="3"/>
        <v>424.8</v>
      </c>
      <c r="V39" s="34"/>
      <c r="W39" s="23" t="s">
        <v>1005</v>
      </c>
    </row>
    <row r="40" spans="1:23" x14ac:dyDescent="0.25">
      <c r="A40" s="31">
        <v>45756.646527777775</v>
      </c>
      <c r="B40" s="32" t="str">
        <f t="shared" si="0"/>
        <v>Apr-25</v>
      </c>
      <c r="C40" s="32" t="s">
        <v>153</v>
      </c>
      <c r="D40" s="32" t="s">
        <v>0</v>
      </c>
      <c r="E40" s="31" t="e">
        <v>#N/A</v>
      </c>
      <c r="F40" s="32" t="str">
        <f>IFERROR(DATEDIF(Table1[[#This Row],[MPG Ope Date]],Table1[[#This Row],[L]],"M"),"")</f>
        <v/>
      </c>
      <c r="G40" s="36">
        <v>1011</v>
      </c>
      <c r="H40" s="32" t="s">
        <v>19</v>
      </c>
      <c r="I40" s="32" t="s">
        <v>53</v>
      </c>
      <c r="J40" s="32">
        <v>7011134896</v>
      </c>
      <c r="K40" s="32" t="s">
        <v>69</v>
      </c>
      <c r="L40" s="32">
        <v>384000</v>
      </c>
      <c r="M40" s="32" t="s">
        <v>121</v>
      </c>
      <c r="N40" s="32" t="s">
        <v>122</v>
      </c>
      <c r="O40" s="32" t="s">
        <v>158</v>
      </c>
      <c r="P40" s="33">
        <v>45876</v>
      </c>
      <c r="Q40" s="32">
        <v>1</v>
      </c>
      <c r="R40" s="34">
        <v>70</v>
      </c>
      <c r="S40" s="34">
        <f t="shared" si="1"/>
        <v>70</v>
      </c>
      <c r="T40" s="34">
        <f t="shared" si="2"/>
        <v>12.6</v>
      </c>
      <c r="U40" s="34">
        <f t="shared" si="3"/>
        <v>82.6</v>
      </c>
      <c r="V40" s="34"/>
      <c r="W40" s="23" t="e">
        <v>#N/A</v>
      </c>
    </row>
    <row r="41" spans="1:23" x14ac:dyDescent="0.25">
      <c r="A41" s="31">
        <v>45756.646527777775</v>
      </c>
      <c r="B41" s="32" t="str">
        <f t="shared" si="0"/>
        <v>Apr-25</v>
      </c>
      <c r="C41" s="32" t="s">
        <v>153</v>
      </c>
      <c r="D41" s="32" t="s">
        <v>0</v>
      </c>
      <c r="E41" s="31" t="e">
        <v>#N/A</v>
      </c>
      <c r="F41" s="32" t="str">
        <f>IFERROR(DATEDIF(Table1[[#This Row],[MPG Ope Date]],Table1[[#This Row],[L]],"M"),"")</f>
        <v/>
      </c>
      <c r="G41" s="36">
        <v>1011</v>
      </c>
      <c r="H41" s="32" t="s">
        <v>19</v>
      </c>
      <c r="I41" s="32" t="s">
        <v>53</v>
      </c>
      <c r="J41" s="32">
        <v>7011134896</v>
      </c>
      <c r="K41" s="32" t="s">
        <v>69</v>
      </c>
      <c r="L41" s="32">
        <v>384000</v>
      </c>
      <c r="M41" s="32" t="s">
        <v>121</v>
      </c>
      <c r="N41" s="32" t="s">
        <v>122</v>
      </c>
      <c r="O41" s="32" t="s">
        <v>158</v>
      </c>
      <c r="P41" s="33">
        <v>45876</v>
      </c>
      <c r="Q41" s="32">
        <v>1</v>
      </c>
      <c r="R41" s="34">
        <v>70</v>
      </c>
      <c r="S41" s="34">
        <f t="shared" si="1"/>
        <v>70</v>
      </c>
      <c r="T41" s="34">
        <f t="shared" si="2"/>
        <v>12.6</v>
      </c>
      <c r="U41" s="34">
        <f t="shared" si="3"/>
        <v>82.6</v>
      </c>
      <c r="V41" s="34"/>
      <c r="W41" s="23" t="e">
        <v>#N/A</v>
      </c>
    </row>
    <row r="42" spans="1:23" x14ac:dyDescent="0.25">
      <c r="A42" s="31">
        <v>45756.646527777775</v>
      </c>
      <c r="B42" s="32" t="str">
        <f t="shared" si="0"/>
        <v>Apr-25</v>
      </c>
      <c r="C42" s="32" t="s">
        <v>153</v>
      </c>
      <c r="D42" s="32" t="s">
        <v>0</v>
      </c>
      <c r="E42" s="31" t="e">
        <v>#N/A</v>
      </c>
      <c r="F42" s="32" t="str">
        <f>IFERROR(DATEDIF(Table1[[#This Row],[MPG Ope Date]],Table1[[#This Row],[L]],"M"),"")</f>
        <v/>
      </c>
      <c r="G42" s="36">
        <v>1011</v>
      </c>
      <c r="H42" s="32" t="s">
        <v>19</v>
      </c>
      <c r="I42" s="32" t="s">
        <v>53</v>
      </c>
      <c r="J42" s="32">
        <v>7011134896</v>
      </c>
      <c r="K42" s="32" t="s">
        <v>69</v>
      </c>
      <c r="L42" s="32">
        <v>384000</v>
      </c>
      <c r="M42" s="32" t="s">
        <v>119</v>
      </c>
      <c r="N42" s="32" t="s">
        <v>120</v>
      </c>
      <c r="O42" s="32" t="s">
        <v>158</v>
      </c>
      <c r="P42" s="33">
        <v>45876</v>
      </c>
      <c r="Q42" s="32">
        <v>1</v>
      </c>
      <c r="R42" s="34">
        <v>84</v>
      </c>
      <c r="S42" s="34">
        <f t="shared" si="1"/>
        <v>84</v>
      </c>
      <c r="T42" s="34">
        <f t="shared" si="2"/>
        <v>15.12</v>
      </c>
      <c r="U42" s="34">
        <f t="shared" si="3"/>
        <v>99.12</v>
      </c>
      <c r="V42" s="34"/>
      <c r="W42" s="23" t="e">
        <v>#N/A</v>
      </c>
    </row>
    <row r="43" spans="1:23" x14ac:dyDescent="0.25">
      <c r="A43" s="31">
        <v>45756.646527777775</v>
      </c>
      <c r="B43" s="32" t="str">
        <f t="shared" si="0"/>
        <v>Apr-25</v>
      </c>
      <c r="C43" s="32" t="s">
        <v>153</v>
      </c>
      <c r="D43" s="32" t="s">
        <v>0</v>
      </c>
      <c r="E43" s="31" t="e">
        <v>#N/A</v>
      </c>
      <c r="F43" s="32" t="str">
        <f>IFERROR(DATEDIF(Table1[[#This Row],[MPG Ope Date]],Table1[[#This Row],[L]],"M"),"")</f>
        <v/>
      </c>
      <c r="G43" s="36">
        <v>1011</v>
      </c>
      <c r="H43" s="32" t="s">
        <v>19</v>
      </c>
      <c r="I43" s="32" t="s">
        <v>53</v>
      </c>
      <c r="J43" s="32">
        <v>7011134896</v>
      </c>
      <c r="K43" s="32" t="s">
        <v>69</v>
      </c>
      <c r="L43" s="32">
        <v>384000</v>
      </c>
      <c r="M43" s="32" t="s">
        <v>127</v>
      </c>
      <c r="N43" s="32" t="s">
        <v>128</v>
      </c>
      <c r="O43" s="32" t="s">
        <v>158</v>
      </c>
      <c r="P43" s="33">
        <v>45876</v>
      </c>
      <c r="Q43" s="32">
        <v>1</v>
      </c>
      <c r="R43" s="34">
        <v>44</v>
      </c>
      <c r="S43" s="34">
        <f t="shared" si="1"/>
        <v>44</v>
      </c>
      <c r="T43" s="34">
        <f t="shared" si="2"/>
        <v>7.92</v>
      </c>
      <c r="U43" s="34">
        <f t="shared" si="3"/>
        <v>51.92</v>
      </c>
      <c r="V43" s="34"/>
      <c r="W43" s="23" t="e">
        <v>#N/A</v>
      </c>
    </row>
    <row r="44" spans="1:23" x14ac:dyDescent="0.25">
      <c r="A44" s="31">
        <v>45756.646527777775</v>
      </c>
      <c r="B44" s="32" t="str">
        <f t="shared" si="0"/>
        <v>Apr-25</v>
      </c>
      <c r="C44" s="32" t="s">
        <v>153</v>
      </c>
      <c r="D44" s="32" t="s">
        <v>0</v>
      </c>
      <c r="E44" s="31" t="e">
        <v>#N/A</v>
      </c>
      <c r="F44" s="32" t="str">
        <f>IFERROR(DATEDIF(Table1[[#This Row],[MPG Ope Date]],Table1[[#This Row],[L]],"M"),"")</f>
        <v/>
      </c>
      <c r="G44" s="36">
        <v>1011</v>
      </c>
      <c r="H44" s="32" t="s">
        <v>19</v>
      </c>
      <c r="I44" s="32" t="s">
        <v>53</v>
      </c>
      <c r="J44" s="32">
        <v>7011134896</v>
      </c>
      <c r="K44" s="32" t="s">
        <v>69</v>
      </c>
      <c r="L44" s="32">
        <v>384000</v>
      </c>
      <c r="M44" s="32" t="s">
        <v>127</v>
      </c>
      <c r="N44" s="32" t="s">
        <v>128</v>
      </c>
      <c r="O44" s="32" t="s">
        <v>158</v>
      </c>
      <c r="P44" s="33">
        <v>45876</v>
      </c>
      <c r="Q44" s="32">
        <v>1</v>
      </c>
      <c r="R44" s="34">
        <v>44</v>
      </c>
      <c r="S44" s="34">
        <f t="shared" si="1"/>
        <v>44</v>
      </c>
      <c r="T44" s="34">
        <f t="shared" si="2"/>
        <v>7.92</v>
      </c>
      <c r="U44" s="34">
        <f t="shared" si="3"/>
        <v>51.92</v>
      </c>
      <c r="V44" s="34"/>
      <c r="W44" s="23" t="e">
        <v>#N/A</v>
      </c>
    </row>
    <row r="45" spans="1:23" x14ac:dyDescent="0.25">
      <c r="A45" s="31">
        <v>45769.715162037035</v>
      </c>
      <c r="B45" s="32" t="str">
        <f t="shared" si="0"/>
        <v>Apr-25</v>
      </c>
      <c r="C45" s="32" t="s">
        <v>153</v>
      </c>
      <c r="D45" s="32" t="s">
        <v>369</v>
      </c>
      <c r="E45" s="31">
        <v>43510</v>
      </c>
      <c r="F45" s="32">
        <f>IFERROR(DATEDIF(Table1[[#This Row],[MPG Ope Date]],Table1[[#This Row],[L]],"M"),"")</f>
        <v>74</v>
      </c>
      <c r="G45" s="25">
        <v>10180001</v>
      </c>
      <c r="H45" s="32" t="s">
        <v>21</v>
      </c>
      <c r="I45" s="32" t="s">
        <v>55</v>
      </c>
      <c r="J45" s="32">
        <v>7903086209</v>
      </c>
      <c r="K45" s="32" t="s">
        <v>68</v>
      </c>
      <c r="L45" s="32" t="s">
        <v>94</v>
      </c>
      <c r="M45" s="32" t="s">
        <v>113</v>
      </c>
      <c r="N45" s="32" t="s">
        <v>114</v>
      </c>
      <c r="O45" s="32" t="s">
        <v>158</v>
      </c>
      <c r="P45" s="33">
        <v>45876</v>
      </c>
      <c r="Q45" s="32">
        <v>1</v>
      </c>
      <c r="R45" s="34">
        <v>225</v>
      </c>
      <c r="S45" s="34">
        <f t="shared" si="1"/>
        <v>225</v>
      </c>
      <c r="T45" s="34">
        <f t="shared" si="2"/>
        <v>40.5</v>
      </c>
      <c r="U45" s="34">
        <f t="shared" si="3"/>
        <v>265.5</v>
      </c>
      <c r="V45" s="34"/>
      <c r="W45" s="23" t="s">
        <v>1005</v>
      </c>
    </row>
    <row r="46" spans="1:23" x14ac:dyDescent="0.25">
      <c r="A46" s="31">
        <v>45756.646168981482</v>
      </c>
      <c r="B46" s="32" t="str">
        <f t="shared" si="0"/>
        <v>Apr-25</v>
      </c>
      <c r="C46" s="32" t="s">
        <v>153</v>
      </c>
      <c r="D46" s="32" t="s">
        <v>0</v>
      </c>
      <c r="E46" s="31" t="e">
        <v>#N/A</v>
      </c>
      <c r="F46" s="32" t="str">
        <f>IFERROR(DATEDIF(Table1[[#This Row],[MPG Ope Date]],Table1[[#This Row],[L]],"M"),"")</f>
        <v/>
      </c>
      <c r="G46" s="36">
        <v>1011</v>
      </c>
      <c r="H46" s="32" t="s">
        <v>19</v>
      </c>
      <c r="I46" s="32" t="s">
        <v>53</v>
      </c>
      <c r="J46" s="32">
        <v>7011134896</v>
      </c>
      <c r="K46" s="32" t="s">
        <v>69</v>
      </c>
      <c r="L46" s="32">
        <v>388107</v>
      </c>
      <c r="M46" s="32" t="s">
        <v>119</v>
      </c>
      <c r="N46" s="32" t="s">
        <v>120</v>
      </c>
      <c r="O46" s="32" t="s">
        <v>158</v>
      </c>
      <c r="P46" s="33">
        <v>45876</v>
      </c>
      <c r="Q46" s="32">
        <v>1</v>
      </c>
      <c r="R46" s="34">
        <v>84</v>
      </c>
      <c r="S46" s="34">
        <f t="shared" si="1"/>
        <v>84</v>
      </c>
      <c r="T46" s="34">
        <f t="shared" si="2"/>
        <v>15.12</v>
      </c>
      <c r="U46" s="34">
        <f t="shared" si="3"/>
        <v>99.12</v>
      </c>
      <c r="V46" s="34"/>
      <c r="W46" s="23" t="e">
        <v>#N/A</v>
      </c>
    </row>
    <row r="47" spans="1:23" x14ac:dyDescent="0.25">
      <c r="A47" s="31">
        <v>45756.646168981482</v>
      </c>
      <c r="B47" s="32" t="str">
        <f t="shared" si="0"/>
        <v>Apr-25</v>
      </c>
      <c r="C47" s="32" t="s">
        <v>153</v>
      </c>
      <c r="D47" s="32" t="s">
        <v>0</v>
      </c>
      <c r="E47" s="31" t="e">
        <v>#N/A</v>
      </c>
      <c r="F47" s="32" t="str">
        <f>IFERROR(DATEDIF(Table1[[#This Row],[MPG Ope Date]],Table1[[#This Row],[L]],"M"),"")</f>
        <v/>
      </c>
      <c r="G47" s="36">
        <v>1011</v>
      </c>
      <c r="H47" s="32" t="s">
        <v>19</v>
      </c>
      <c r="I47" s="32" t="s">
        <v>53</v>
      </c>
      <c r="J47" s="32">
        <v>7011134896</v>
      </c>
      <c r="K47" s="32" t="s">
        <v>69</v>
      </c>
      <c r="L47" s="32">
        <v>388107</v>
      </c>
      <c r="M47" s="32" t="s">
        <v>145</v>
      </c>
      <c r="N47" s="32" t="s">
        <v>146</v>
      </c>
      <c r="O47" s="32" t="s">
        <v>158</v>
      </c>
      <c r="P47" s="33">
        <v>45876</v>
      </c>
      <c r="Q47" s="32">
        <v>1</v>
      </c>
      <c r="R47" s="34">
        <v>49</v>
      </c>
      <c r="S47" s="34">
        <f t="shared" si="1"/>
        <v>49</v>
      </c>
      <c r="T47" s="34">
        <f t="shared" si="2"/>
        <v>8.82</v>
      </c>
      <c r="U47" s="34">
        <f t="shared" si="3"/>
        <v>57.82</v>
      </c>
      <c r="V47" s="34"/>
      <c r="W47" s="23" t="e">
        <v>#N/A</v>
      </c>
    </row>
    <row r="48" spans="1:23" x14ac:dyDescent="0.25">
      <c r="A48" s="31">
        <v>45756.646168981482</v>
      </c>
      <c r="B48" s="32" t="str">
        <f t="shared" si="0"/>
        <v>Apr-25</v>
      </c>
      <c r="C48" s="32" t="s">
        <v>153</v>
      </c>
      <c r="D48" s="32" t="s">
        <v>0</v>
      </c>
      <c r="E48" s="31" t="e">
        <v>#N/A</v>
      </c>
      <c r="F48" s="32" t="str">
        <f>IFERROR(DATEDIF(Table1[[#This Row],[MPG Ope Date]],Table1[[#This Row],[L]],"M"),"")</f>
        <v/>
      </c>
      <c r="G48" s="36">
        <v>1011</v>
      </c>
      <c r="H48" s="32" t="s">
        <v>19</v>
      </c>
      <c r="I48" s="32" t="s">
        <v>53</v>
      </c>
      <c r="J48" s="32">
        <v>7011134896</v>
      </c>
      <c r="K48" s="32" t="s">
        <v>69</v>
      </c>
      <c r="L48" s="32">
        <v>388107</v>
      </c>
      <c r="M48" s="32" t="s">
        <v>145</v>
      </c>
      <c r="N48" s="32" t="s">
        <v>146</v>
      </c>
      <c r="O48" s="32" t="s">
        <v>158</v>
      </c>
      <c r="P48" s="33">
        <v>45876</v>
      </c>
      <c r="Q48" s="32">
        <v>1</v>
      </c>
      <c r="R48" s="34">
        <v>49</v>
      </c>
      <c r="S48" s="34">
        <f t="shared" si="1"/>
        <v>49</v>
      </c>
      <c r="T48" s="34">
        <f t="shared" si="2"/>
        <v>8.82</v>
      </c>
      <c r="U48" s="34">
        <f t="shared" si="3"/>
        <v>57.82</v>
      </c>
      <c r="V48" s="34"/>
      <c r="W48" s="23" t="e">
        <v>#N/A</v>
      </c>
    </row>
    <row r="49" spans="1:23" x14ac:dyDescent="0.25">
      <c r="A49" s="31">
        <v>45769.727627314816</v>
      </c>
      <c r="B49" s="32" t="str">
        <f t="shared" si="0"/>
        <v>Apr-25</v>
      </c>
      <c r="C49" s="32" t="s">
        <v>152</v>
      </c>
      <c r="D49" s="32" t="s">
        <v>0</v>
      </c>
      <c r="E49" s="31" t="e">
        <v>#N/A</v>
      </c>
      <c r="F49" s="32" t="str">
        <f>IFERROR(DATEDIF(Table1[[#This Row],[MPG Ope Date]],Table1[[#This Row],[L]],"M"),"")</f>
        <v/>
      </c>
      <c r="G49" s="36">
        <v>2001</v>
      </c>
      <c r="H49" s="32" t="s">
        <v>22</v>
      </c>
      <c r="I49" s="32" t="s">
        <v>56</v>
      </c>
      <c r="J49" s="32">
        <v>8210761749</v>
      </c>
      <c r="K49" s="32" t="s">
        <v>70</v>
      </c>
      <c r="L49" s="32" t="s">
        <v>95</v>
      </c>
      <c r="M49" s="32" t="s">
        <v>147</v>
      </c>
      <c r="N49" s="32" t="s">
        <v>148</v>
      </c>
      <c r="O49" s="23" t="s">
        <v>159</v>
      </c>
      <c r="P49" s="33">
        <v>45877</v>
      </c>
      <c r="Q49" s="32">
        <v>1</v>
      </c>
      <c r="R49" s="34">
        <v>9300</v>
      </c>
      <c r="S49" s="34">
        <f t="shared" si="1"/>
        <v>9300</v>
      </c>
      <c r="T49" s="34">
        <f t="shared" si="2"/>
        <v>1674</v>
      </c>
      <c r="U49" s="34">
        <f t="shared" si="3"/>
        <v>10974</v>
      </c>
      <c r="V49" s="34"/>
      <c r="W49" s="23" t="e">
        <v>#N/A</v>
      </c>
    </row>
    <row r="50" spans="1:23" x14ac:dyDescent="0.25">
      <c r="A50" s="31">
        <v>45769.692395833335</v>
      </c>
      <c r="B50" s="32" t="str">
        <f t="shared" si="0"/>
        <v>Apr-25</v>
      </c>
      <c r="C50" s="32" t="s">
        <v>153</v>
      </c>
      <c r="D50" s="32" t="s">
        <v>0</v>
      </c>
      <c r="E50" s="31" t="e">
        <v>#N/A</v>
      </c>
      <c r="F50" s="32" t="str">
        <f>IFERROR(DATEDIF(Table1[[#This Row],[MPG Ope Date]],Table1[[#This Row],[L]],"M"),"")</f>
        <v/>
      </c>
      <c r="G50" s="36">
        <v>1002</v>
      </c>
      <c r="H50" s="32" t="s">
        <v>23</v>
      </c>
      <c r="I50" s="32" t="s">
        <v>57</v>
      </c>
      <c r="J50" s="32">
        <v>7061995502</v>
      </c>
      <c r="K50" s="32" t="s">
        <v>69</v>
      </c>
      <c r="L50" s="32">
        <v>277102</v>
      </c>
      <c r="M50" s="32" t="s">
        <v>117</v>
      </c>
      <c r="N50" s="32" t="s">
        <v>118</v>
      </c>
      <c r="O50" s="32" t="s">
        <v>158</v>
      </c>
      <c r="P50" s="33">
        <v>45876</v>
      </c>
      <c r="Q50" s="32">
        <v>1</v>
      </c>
      <c r="R50" s="34">
        <v>770</v>
      </c>
      <c r="S50" s="34">
        <f t="shared" si="1"/>
        <v>770</v>
      </c>
      <c r="T50" s="34">
        <f t="shared" si="2"/>
        <v>138.6</v>
      </c>
      <c r="U50" s="34">
        <f t="shared" si="3"/>
        <v>908.6</v>
      </c>
      <c r="V50" s="34"/>
      <c r="W50" s="23" t="e">
        <v>#N/A</v>
      </c>
    </row>
    <row r="51" spans="1:23" x14ac:dyDescent="0.25">
      <c r="A51" s="31">
        <v>45756.659849537034</v>
      </c>
      <c r="B51" s="32" t="str">
        <f t="shared" si="0"/>
        <v>Apr-25</v>
      </c>
      <c r="C51" s="32" t="s">
        <v>153</v>
      </c>
      <c r="D51" s="32" t="s">
        <v>0</v>
      </c>
      <c r="E51" s="31" t="e">
        <v>#N/A</v>
      </c>
      <c r="F51" s="32" t="str">
        <f>IFERROR(DATEDIF(Table1[[#This Row],[MPG Ope Date]],Table1[[#This Row],[L]],"M"),"")</f>
        <v/>
      </c>
      <c r="G51" s="36">
        <v>1011</v>
      </c>
      <c r="H51" s="32" t="s">
        <v>19</v>
      </c>
      <c r="I51" s="32" t="s">
        <v>53</v>
      </c>
      <c r="J51" s="32">
        <v>7011134896</v>
      </c>
      <c r="K51" s="32" t="s">
        <v>69</v>
      </c>
      <c r="L51" s="32">
        <v>387354</v>
      </c>
      <c r="M51" s="32" t="s">
        <v>121</v>
      </c>
      <c r="N51" s="32" t="s">
        <v>122</v>
      </c>
      <c r="O51" s="32" t="s">
        <v>158</v>
      </c>
      <c r="P51" s="33">
        <v>45876</v>
      </c>
      <c r="Q51" s="32">
        <v>1</v>
      </c>
      <c r="R51" s="34">
        <v>70</v>
      </c>
      <c r="S51" s="34">
        <f t="shared" si="1"/>
        <v>70</v>
      </c>
      <c r="T51" s="34">
        <f t="shared" si="2"/>
        <v>12.6</v>
      </c>
      <c r="U51" s="34">
        <f t="shared" si="3"/>
        <v>82.6</v>
      </c>
      <c r="V51" s="34"/>
      <c r="W51" s="23" t="e">
        <v>#N/A</v>
      </c>
    </row>
    <row r="52" spans="1:23" x14ac:dyDescent="0.25">
      <c r="A52" s="31">
        <v>45756.659849537034</v>
      </c>
      <c r="B52" s="32" t="str">
        <f t="shared" si="0"/>
        <v>Apr-25</v>
      </c>
      <c r="C52" s="32" t="s">
        <v>153</v>
      </c>
      <c r="D52" s="32" t="s">
        <v>0</v>
      </c>
      <c r="E52" s="31" t="e">
        <v>#N/A</v>
      </c>
      <c r="F52" s="32" t="str">
        <f>IFERROR(DATEDIF(Table1[[#This Row],[MPG Ope Date]],Table1[[#This Row],[L]],"M"),"")</f>
        <v/>
      </c>
      <c r="G52" s="36">
        <v>1011</v>
      </c>
      <c r="H52" s="32" t="s">
        <v>19</v>
      </c>
      <c r="I52" s="32" t="s">
        <v>53</v>
      </c>
      <c r="J52" s="32">
        <v>7011134896</v>
      </c>
      <c r="K52" s="32" t="s">
        <v>69</v>
      </c>
      <c r="L52" s="32">
        <v>387354</v>
      </c>
      <c r="M52" s="32" t="s">
        <v>121</v>
      </c>
      <c r="N52" s="32" t="s">
        <v>122</v>
      </c>
      <c r="O52" s="32" t="s">
        <v>158</v>
      </c>
      <c r="P52" s="33">
        <v>45876</v>
      </c>
      <c r="Q52" s="32">
        <v>1</v>
      </c>
      <c r="R52" s="34">
        <v>70</v>
      </c>
      <c r="S52" s="34">
        <f t="shared" si="1"/>
        <v>70</v>
      </c>
      <c r="T52" s="34">
        <f t="shared" si="2"/>
        <v>12.6</v>
      </c>
      <c r="U52" s="34">
        <f t="shared" si="3"/>
        <v>82.6</v>
      </c>
      <c r="V52" s="34"/>
      <c r="W52" s="23" t="e">
        <v>#N/A</v>
      </c>
    </row>
    <row r="53" spans="1:23" x14ac:dyDescent="0.25">
      <c r="A53" s="31">
        <v>45756.659849537034</v>
      </c>
      <c r="B53" s="32" t="str">
        <f t="shared" si="0"/>
        <v>Apr-25</v>
      </c>
      <c r="C53" s="32" t="s">
        <v>153</v>
      </c>
      <c r="D53" s="32" t="s">
        <v>0</v>
      </c>
      <c r="E53" s="31" t="e">
        <v>#N/A</v>
      </c>
      <c r="F53" s="32" t="str">
        <f>IFERROR(DATEDIF(Table1[[#This Row],[MPG Ope Date]],Table1[[#This Row],[L]],"M"),"")</f>
        <v/>
      </c>
      <c r="G53" s="36">
        <v>1011</v>
      </c>
      <c r="H53" s="32" t="s">
        <v>19</v>
      </c>
      <c r="I53" s="32" t="s">
        <v>53</v>
      </c>
      <c r="J53" s="32">
        <v>7011134896</v>
      </c>
      <c r="K53" s="32" t="s">
        <v>69</v>
      </c>
      <c r="L53" s="32">
        <v>387354</v>
      </c>
      <c r="M53" s="32" t="s">
        <v>127</v>
      </c>
      <c r="N53" s="32" t="s">
        <v>128</v>
      </c>
      <c r="O53" s="32" t="s">
        <v>158</v>
      </c>
      <c r="P53" s="33">
        <v>45876</v>
      </c>
      <c r="Q53" s="32">
        <v>1</v>
      </c>
      <c r="R53" s="34">
        <v>44</v>
      </c>
      <c r="S53" s="34">
        <f t="shared" si="1"/>
        <v>44</v>
      </c>
      <c r="T53" s="34">
        <f t="shared" si="2"/>
        <v>7.92</v>
      </c>
      <c r="U53" s="34">
        <f t="shared" si="3"/>
        <v>51.92</v>
      </c>
      <c r="V53" s="34"/>
      <c r="W53" s="23" t="e">
        <v>#N/A</v>
      </c>
    </row>
    <row r="54" spans="1:23" x14ac:dyDescent="0.25">
      <c r="A54" s="31">
        <v>45756.659849537034</v>
      </c>
      <c r="B54" s="32" t="str">
        <f t="shared" si="0"/>
        <v>Apr-25</v>
      </c>
      <c r="C54" s="32" t="s">
        <v>153</v>
      </c>
      <c r="D54" s="32" t="s">
        <v>0</v>
      </c>
      <c r="E54" s="31" t="e">
        <v>#N/A</v>
      </c>
      <c r="F54" s="32" t="str">
        <f>IFERROR(DATEDIF(Table1[[#This Row],[MPG Ope Date]],Table1[[#This Row],[L]],"M"),"")</f>
        <v/>
      </c>
      <c r="G54" s="36">
        <v>1011</v>
      </c>
      <c r="H54" s="32" t="s">
        <v>19</v>
      </c>
      <c r="I54" s="32" t="s">
        <v>53</v>
      </c>
      <c r="J54" s="32">
        <v>7011134896</v>
      </c>
      <c r="K54" s="32" t="s">
        <v>69</v>
      </c>
      <c r="L54" s="32">
        <v>387354</v>
      </c>
      <c r="M54" s="32" t="s">
        <v>127</v>
      </c>
      <c r="N54" s="32" t="s">
        <v>128</v>
      </c>
      <c r="O54" s="32" t="s">
        <v>158</v>
      </c>
      <c r="P54" s="33">
        <v>45876</v>
      </c>
      <c r="Q54" s="32">
        <v>1</v>
      </c>
      <c r="R54" s="34">
        <v>44</v>
      </c>
      <c r="S54" s="34">
        <f t="shared" si="1"/>
        <v>44</v>
      </c>
      <c r="T54" s="34">
        <f t="shared" si="2"/>
        <v>7.92</v>
      </c>
      <c r="U54" s="34">
        <f t="shared" si="3"/>
        <v>51.92</v>
      </c>
      <c r="V54" s="34"/>
      <c r="W54" s="23" t="e">
        <v>#N/A</v>
      </c>
    </row>
    <row r="55" spans="1:23" x14ac:dyDescent="0.25">
      <c r="A55" s="31">
        <v>45756.659849537034</v>
      </c>
      <c r="B55" s="32" t="str">
        <f t="shared" si="0"/>
        <v>Apr-25</v>
      </c>
      <c r="C55" s="32" t="s">
        <v>153</v>
      </c>
      <c r="D55" s="32" t="s">
        <v>0</v>
      </c>
      <c r="E55" s="31" t="e">
        <v>#N/A</v>
      </c>
      <c r="F55" s="32" t="str">
        <f>IFERROR(DATEDIF(Table1[[#This Row],[MPG Ope Date]],Table1[[#This Row],[L]],"M"),"")</f>
        <v/>
      </c>
      <c r="G55" s="36">
        <v>1011</v>
      </c>
      <c r="H55" s="32" t="s">
        <v>19</v>
      </c>
      <c r="I55" s="32" t="s">
        <v>53</v>
      </c>
      <c r="J55" s="32">
        <v>7011134896</v>
      </c>
      <c r="K55" s="32" t="s">
        <v>69</v>
      </c>
      <c r="L55" s="32">
        <v>387354</v>
      </c>
      <c r="M55" s="32" t="s">
        <v>119</v>
      </c>
      <c r="N55" s="32" t="s">
        <v>120</v>
      </c>
      <c r="O55" s="32" t="s">
        <v>158</v>
      </c>
      <c r="P55" s="33">
        <v>45876</v>
      </c>
      <c r="Q55" s="32">
        <v>1</v>
      </c>
      <c r="R55" s="34">
        <v>84</v>
      </c>
      <c r="S55" s="34">
        <f t="shared" si="1"/>
        <v>84</v>
      </c>
      <c r="T55" s="34">
        <f t="shared" si="2"/>
        <v>15.12</v>
      </c>
      <c r="U55" s="34">
        <f t="shared" si="3"/>
        <v>99.12</v>
      </c>
      <c r="V55" s="34"/>
      <c r="W55" s="23" t="e">
        <v>#N/A</v>
      </c>
    </row>
    <row r="56" spans="1:23" x14ac:dyDescent="0.25">
      <c r="A56" s="31">
        <v>45756.666504629633</v>
      </c>
      <c r="B56" s="32" t="str">
        <f t="shared" si="0"/>
        <v>Apr-25</v>
      </c>
      <c r="C56" s="32" t="s">
        <v>153</v>
      </c>
      <c r="D56" s="32" t="s">
        <v>369</v>
      </c>
      <c r="E56" s="31">
        <v>44664</v>
      </c>
      <c r="F56" s="32">
        <f>IFERROR(DATEDIF(Table1[[#This Row],[MPG Ope Date]],Table1[[#This Row],[L]],"M"),"")</f>
        <v>35</v>
      </c>
      <c r="G56" s="25">
        <v>10140003</v>
      </c>
      <c r="H56" s="32" t="s">
        <v>24</v>
      </c>
      <c r="I56" s="32" t="s">
        <v>58</v>
      </c>
      <c r="J56" s="32">
        <v>8709513821</v>
      </c>
      <c r="K56" s="32" t="s">
        <v>69</v>
      </c>
      <c r="L56" s="32">
        <v>359707</v>
      </c>
      <c r="M56" s="32" t="s">
        <v>121</v>
      </c>
      <c r="N56" s="32" t="s">
        <v>122</v>
      </c>
      <c r="O56" s="32" t="s">
        <v>158</v>
      </c>
      <c r="P56" s="33">
        <v>45876</v>
      </c>
      <c r="Q56" s="32">
        <v>1</v>
      </c>
      <c r="R56" s="34">
        <v>70</v>
      </c>
      <c r="S56" s="34">
        <f t="shared" si="1"/>
        <v>70</v>
      </c>
      <c r="T56" s="34">
        <f t="shared" si="2"/>
        <v>12.6</v>
      </c>
      <c r="U56" s="34">
        <f t="shared" si="3"/>
        <v>82.6</v>
      </c>
      <c r="V56" s="34"/>
      <c r="W56" s="23" t="s">
        <v>1005</v>
      </c>
    </row>
    <row r="57" spans="1:23" x14ac:dyDescent="0.25">
      <c r="A57" s="31">
        <v>45756.666504629633</v>
      </c>
      <c r="B57" s="32" t="str">
        <f t="shared" si="0"/>
        <v>Apr-25</v>
      </c>
      <c r="C57" s="32" t="s">
        <v>153</v>
      </c>
      <c r="D57" s="32" t="s">
        <v>369</v>
      </c>
      <c r="E57" s="31">
        <v>44664</v>
      </c>
      <c r="F57" s="32">
        <f>IFERROR(DATEDIF(Table1[[#This Row],[MPG Ope Date]],Table1[[#This Row],[L]],"M"),"")</f>
        <v>35</v>
      </c>
      <c r="G57" s="25">
        <v>10140003</v>
      </c>
      <c r="H57" s="32" t="s">
        <v>24</v>
      </c>
      <c r="I57" s="32" t="s">
        <v>58</v>
      </c>
      <c r="J57" s="32">
        <v>8709513821</v>
      </c>
      <c r="K57" s="32" t="s">
        <v>69</v>
      </c>
      <c r="L57" s="32">
        <v>359707</v>
      </c>
      <c r="M57" s="32" t="s">
        <v>121</v>
      </c>
      <c r="N57" s="32" t="s">
        <v>122</v>
      </c>
      <c r="O57" s="32" t="s">
        <v>158</v>
      </c>
      <c r="P57" s="33">
        <v>45876</v>
      </c>
      <c r="Q57" s="32">
        <v>1</v>
      </c>
      <c r="R57" s="34">
        <v>70</v>
      </c>
      <c r="S57" s="34">
        <f t="shared" si="1"/>
        <v>70</v>
      </c>
      <c r="T57" s="34">
        <f t="shared" si="2"/>
        <v>12.6</v>
      </c>
      <c r="U57" s="34">
        <f t="shared" si="3"/>
        <v>82.6</v>
      </c>
      <c r="V57" s="34"/>
      <c r="W57" s="23" t="s">
        <v>1005</v>
      </c>
    </row>
    <row r="58" spans="1:23" x14ac:dyDescent="0.25">
      <c r="A58" s="31">
        <v>45756.716944444444</v>
      </c>
      <c r="B58" s="32" t="str">
        <f t="shared" si="0"/>
        <v>Apr-25</v>
      </c>
      <c r="C58" s="32" t="s">
        <v>153</v>
      </c>
      <c r="D58" s="32" t="s">
        <v>369</v>
      </c>
      <c r="E58" s="31">
        <v>45745</v>
      </c>
      <c r="F58" s="32">
        <f>IFERROR(DATEDIF(Table1[[#This Row],[MPG Ope Date]],Table1[[#This Row],[L]],"M"),"")</f>
        <v>0</v>
      </c>
      <c r="G58" s="24">
        <v>10090064</v>
      </c>
      <c r="H58" s="32" t="s">
        <v>18</v>
      </c>
      <c r="I58" s="32" t="s">
        <v>52</v>
      </c>
      <c r="J58" s="32">
        <v>7061352566</v>
      </c>
      <c r="K58" s="32" t="s">
        <v>70</v>
      </c>
      <c r="L58" s="32" t="s">
        <v>96</v>
      </c>
      <c r="M58" s="32" t="s">
        <v>149</v>
      </c>
      <c r="N58" s="32" t="s">
        <v>150</v>
      </c>
      <c r="O58" s="32" t="s">
        <v>158</v>
      </c>
      <c r="P58" s="33">
        <v>45876</v>
      </c>
      <c r="Q58" s="32">
        <v>1</v>
      </c>
      <c r="R58" s="34">
        <v>925</v>
      </c>
      <c r="S58" s="34">
        <f t="shared" si="1"/>
        <v>925</v>
      </c>
      <c r="T58" s="34">
        <f t="shared" si="2"/>
        <v>166.5</v>
      </c>
      <c r="U58" s="34">
        <f t="shared" si="3"/>
        <v>1091.5</v>
      </c>
      <c r="V58" s="34"/>
      <c r="W58" s="23" t="s">
        <v>1005</v>
      </c>
    </row>
    <row r="59" spans="1:23" x14ac:dyDescent="0.25">
      <c r="A59" s="31">
        <v>45768.659953703704</v>
      </c>
      <c r="B59" s="32" t="str">
        <f t="shared" si="0"/>
        <v>Apr-25</v>
      </c>
      <c r="C59" s="32" t="s">
        <v>153</v>
      </c>
      <c r="D59" s="32" t="s">
        <v>0</v>
      </c>
      <c r="E59" s="31" t="e">
        <v>#N/A</v>
      </c>
      <c r="F59" s="32" t="str">
        <f>IFERROR(DATEDIF(Table1[[#This Row],[MPG Ope Date]],Table1[[#This Row],[L]],"M"),"")</f>
        <v/>
      </c>
      <c r="G59" s="36">
        <v>1001</v>
      </c>
      <c r="H59" s="32" t="s">
        <v>25</v>
      </c>
      <c r="I59" s="32" t="s">
        <v>59</v>
      </c>
      <c r="J59" s="32">
        <v>9354051773</v>
      </c>
      <c r="K59" s="32" t="s">
        <v>68</v>
      </c>
      <c r="L59" s="32" t="s">
        <v>97</v>
      </c>
      <c r="M59" s="32" t="s">
        <v>113</v>
      </c>
      <c r="N59" s="32" t="s">
        <v>114</v>
      </c>
      <c r="O59" s="32" t="s">
        <v>158</v>
      </c>
      <c r="P59" s="33">
        <v>45876</v>
      </c>
      <c r="Q59" s="32">
        <v>1</v>
      </c>
      <c r="R59" s="34">
        <v>225</v>
      </c>
      <c r="S59" s="34">
        <f t="shared" si="1"/>
        <v>225</v>
      </c>
      <c r="T59" s="34">
        <f t="shared" si="2"/>
        <v>40.5</v>
      </c>
      <c r="U59" s="34">
        <f t="shared" si="3"/>
        <v>265.5</v>
      </c>
      <c r="V59" s="34"/>
      <c r="W59" s="23" t="e">
        <v>#N/A</v>
      </c>
    </row>
    <row r="60" spans="1:23" x14ac:dyDescent="0.25">
      <c r="A60" s="31">
        <v>45757.668506944443</v>
      </c>
      <c r="B60" s="32" t="str">
        <f t="shared" si="0"/>
        <v>Apr-25</v>
      </c>
      <c r="C60" s="32" t="s">
        <v>153</v>
      </c>
      <c r="D60" s="32" t="s">
        <v>0</v>
      </c>
      <c r="E60" s="31" t="e">
        <v>#N/A</v>
      </c>
      <c r="F60" s="32" t="str">
        <f>IFERROR(DATEDIF(Table1[[#This Row],[MPG Ope Date]],Table1[[#This Row],[L]],"M"),"")</f>
        <v/>
      </c>
      <c r="G60" s="36">
        <v>1009</v>
      </c>
      <c r="H60" s="32" t="s">
        <v>26</v>
      </c>
      <c r="I60" s="32" t="s">
        <v>60</v>
      </c>
      <c r="J60" s="32">
        <v>7488561001</v>
      </c>
      <c r="K60" s="32" t="s">
        <v>72</v>
      </c>
      <c r="L60" s="32" t="s">
        <v>98</v>
      </c>
      <c r="M60" s="32" t="s">
        <v>133</v>
      </c>
      <c r="N60" s="32" t="s">
        <v>134</v>
      </c>
      <c r="O60" s="32" t="s">
        <v>158</v>
      </c>
      <c r="P60" s="33">
        <v>45876</v>
      </c>
      <c r="Q60" s="32">
        <v>1</v>
      </c>
      <c r="R60" s="34">
        <v>2080</v>
      </c>
      <c r="S60" s="34">
        <f t="shared" si="1"/>
        <v>2080</v>
      </c>
      <c r="T60" s="34">
        <f t="shared" si="2"/>
        <v>374.4</v>
      </c>
      <c r="U60" s="34">
        <f t="shared" si="3"/>
        <v>2454.4</v>
      </c>
      <c r="V60" s="34"/>
      <c r="W60" s="23" t="e">
        <v>#N/A</v>
      </c>
    </row>
    <row r="61" spans="1:23" x14ac:dyDescent="0.25">
      <c r="A61" s="31">
        <v>45758.567407407405</v>
      </c>
      <c r="B61" s="32" t="str">
        <f t="shared" si="0"/>
        <v>Apr-25</v>
      </c>
      <c r="C61" s="32" t="s">
        <v>153</v>
      </c>
      <c r="D61" s="32" t="s">
        <v>369</v>
      </c>
      <c r="E61" s="31">
        <v>44161</v>
      </c>
      <c r="F61" s="32">
        <f>IFERROR(DATEDIF(Table1[[#This Row],[MPG Ope Date]],Table1[[#This Row],[L]],"M"),"")</f>
        <v>52</v>
      </c>
      <c r="G61" s="25">
        <v>10060011</v>
      </c>
      <c r="H61" s="32" t="s">
        <v>27</v>
      </c>
      <c r="I61" s="32" t="s">
        <v>61</v>
      </c>
      <c r="J61" s="32">
        <v>8210634651</v>
      </c>
      <c r="K61" s="32" t="s">
        <v>68</v>
      </c>
      <c r="L61" s="32" t="s">
        <v>99</v>
      </c>
      <c r="M61" s="32" t="s">
        <v>133</v>
      </c>
      <c r="N61" s="32" t="s">
        <v>134</v>
      </c>
      <c r="O61" s="32" t="s">
        <v>158</v>
      </c>
      <c r="P61" s="33">
        <v>45876</v>
      </c>
      <c r="Q61" s="32">
        <v>1</v>
      </c>
      <c r="R61" s="34">
        <v>2080</v>
      </c>
      <c r="S61" s="34">
        <f t="shared" si="1"/>
        <v>2080</v>
      </c>
      <c r="T61" s="34">
        <f t="shared" si="2"/>
        <v>374.4</v>
      </c>
      <c r="U61" s="34">
        <f t="shared" si="3"/>
        <v>2454.4</v>
      </c>
      <c r="V61" s="34"/>
      <c r="W61" s="23" t="s">
        <v>1005</v>
      </c>
    </row>
    <row r="62" spans="1:23" x14ac:dyDescent="0.25">
      <c r="A62" s="31">
        <v>45765.617731481485</v>
      </c>
      <c r="B62" s="32" t="str">
        <f t="shared" si="0"/>
        <v>Apr-25</v>
      </c>
      <c r="C62" s="32" t="s">
        <v>153</v>
      </c>
      <c r="D62" s="32" t="s">
        <v>369</v>
      </c>
      <c r="E62" s="31">
        <v>45556</v>
      </c>
      <c r="F62" s="32">
        <f>IFERROR(DATEDIF(Table1[[#This Row],[MPG Ope Date]],Table1[[#This Row],[L]],"M"),"")</f>
        <v>6</v>
      </c>
      <c r="G62" s="24">
        <v>10100051</v>
      </c>
      <c r="H62" s="32" t="s">
        <v>28</v>
      </c>
      <c r="I62" s="32" t="s">
        <v>62</v>
      </c>
      <c r="J62" s="32">
        <v>6200084384</v>
      </c>
      <c r="K62" s="32" t="s">
        <v>69</v>
      </c>
      <c r="L62" s="32">
        <v>385565</v>
      </c>
      <c r="M62" s="32" t="s">
        <v>119</v>
      </c>
      <c r="N62" s="32" t="s">
        <v>120</v>
      </c>
      <c r="O62" s="32" t="s">
        <v>158</v>
      </c>
      <c r="P62" s="33">
        <v>45876</v>
      </c>
      <c r="Q62" s="32">
        <v>1</v>
      </c>
      <c r="R62" s="34">
        <v>84</v>
      </c>
      <c r="S62" s="34">
        <f t="shared" si="1"/>
        <v>84</v>
      </c>
      <c r="T62" s="34">
        <f t="shared" si="2"/>
        <v>15.12</v>
      </c>
      <c r="U62" s="34">
        <f t="shared" si="3"/>
        <v>99.12</v>
      </c>
      <c r="V62" s="34"/>
      <c r="W62" s="23" t="s">
        <v>1005</v>
      </c>
    </row>
    <row r="63" spans="1:23" x14ac:dyDescent="0.25">
      <c r="A63" s="31">
        <v>45765.705347222225</v>
      </c>
      <c r="B63" s="32" t="str">
        <f t="shared" si="0"/>
        <v>Apr-25</v>
      </c>
      <c r="C63" s="32" t="s">
        <v>153</v>
      </c>
      <c r="D63" s="32" t="s">
        <v>0</v>
      </c>
      <c r="E63" s="31" t="e">
        <v>#N/A</v>
      </c>
      <c r="F63" s="32" t="str">
        <f>IFERROR(DATEDIF(Table1[[#This Row],[MPG Ope Date]],Table1[[#This Row],[L]],"M"),"")</f>
        <v/>
      </c>
      <c r="G63" s="36">
        <v>1002</v>
      </c>
      <c r="H63" s="32" t="s">
        <v>23</v>
      </c>
      <c r="I63" s="32" t="s">
        <v>57</v>
      </c>
      <c r="J63" s="32">
        <v>7061995502</v>
      </c>
      <c r="K63" s="32" t="s">
        <v>70</v>
      </c>
      <c r="L63" s="32" t="s">
        <v>100</v>
      </c>
      <c r="M63" s="32" t="s">
        <v>123</v>
      </c>
      <c r="N63" s="32" t="s">
        <v>124</v>
      </c>
      <c r="O63" s="32" t="s">
        <v>158</v>
      </c>
      <c r="P63" s="33">
        <v>45876</v>
      </c>
      <c r="Q63" s="32">
        <v>1</v>
      </c>
      <c r="R63" s="34">
        <v>350</v>
      </c>
      <c r="S63" s="34">
        <f t="shared" si="1"/>
        <v>350</v>
      </c>
      <c r="T63" s="34">
        <f t="shared" si="2"/>
        <v>63</v>
      </c>
      <c r="U63" s="34">
        <f t="shared" si="3"/>
        <v>413</v>
      </c>
      <c r="V63" s="34"/>
      <c r="W63" s="23" t="e">
        <v>#N/A</v>
      </c>
    </row>
    <row r="64" spans="1:23" x14ac:dyDescent="0.25">
      <c r="A64" s="31">
        <v>45758.610474537039</v>
      </c>
      <c r="B64" s="32" t="str">
        <f t="shared" si="0"/>
        <v>Apr-25</v>
      </c>
      <c r="C64" s="32" t="s">
        <v>153</v>
      </c>
      <c r="D64" s="32" t="s">
        <v>369</v>
      </c>
      <c r="E64" s="31">
        <v>44372</v>
      </c>
      <c r="F64" s="32">
        <f>IFERROR(DATEDIF(Table1[[#This Row],[MPG Ope Date]],Table1[[#This Row],[L]],"M"),"")</f>
        <v>45</v>
      </c>
      <c r="G64" s="25">
        <v>10130044</v>
      </c>
      <c r="H64" s="32" t="s">
        <v>29</v>
      </c>
      <c r="I64" s="32" t="s">
        <v>63</v>
      </c>
      <c r="J64" s="32">
        <v>7765934465</v>
      </c>
      <c r="K64" s="32" t="s">
        <v>68</v>
      </c>
      <c r="L64" s="32" t="s">
        <v>101</v>
      </c>
      <c r="M64" s="32" t="s">
        <v>113</v>
      </c>
      <c r="N64" s="32" t="s">
        <v>114</v>
      </c>
      <c r="O64" s="32" t="s">
        <v>158</v>
      </c>
      <c r="P64" s="33">
        <v>45876</v>
      </c>
      <c r="Q64" s="32">
        <v>1</v>
      </c>
      <c r="R64" s="34">
        <v>225</v>
      </c>
      <c r="S64" s="34">
        <f t="shared" si="1"/>
        <v>225</v>
      </c>
      <c r="T64" s="34">
        <f t="shared" si="2"/>
        <v>40.5</v>
      </c>
      <c r="U64" s="34">
        <f t="shared" si="3"/>
        <v>265.5</v>
      </c>
      <c r="V64" s="34"/>
      <c r="W64" s="23" t="s">
        <v>1005</v>
      </c>
    </row>
    <row r="65" spans="1:23" x14ac:dyDescent="0.25">
      <c r="A65" s="31">
        <v>45759.628668981481</v>
      </c>
      <c r="B65" s="32" t="str">
        <f t="shared" si="0"/>
        <v>Apr-25</v>
      </c>
      <c r="C65" s="32" t="s">
        <v>153</v>
      </c>
      <c r="D65" s="32" t="s">
        <v>369</v>
      </c>
      <c r="E65" s="31" t="e">
        <v>#N/A</v>
      </c>
      <c r="F65" s="32" t="str">
        <f>IFERROR(DATEDIF(Table1[[#This Row],[MPG Ope Date]],Table1[[#This Row],[L]],"M"),"")</f>
        <v/>
      </c>
      <c r="G65" s="24">
        <v>10090021</v>
      </c>
      <c r="H65" s="35" t="s">
        <v>30</v>
      </c>
      <c r="I65" s="32" t="s">
        <v>64</v>
      </c>
      <c r="J65" s="32">
        <v>9031367424</v>
      </c>
      <c r="K65" s="32" t="s">
        <v>70</v>
      </c>
      <c r="L65" s="32" t="s">
        <v>102</v>
      </c>
      <c r="M65" s="32" t="s">
        <v>123</v>
      </c>
      <c r="N65" s="32" t="s">
        <v>124</v>
      </c>
      <c r="O65" s="32" t="s">
        <v>158</v>
      </c>
      <c r="P65" s="33">
        <v>45876</v>
      </c>
      <c r="Q65" s="32">
        <v>1</v>
      </c>
      <c r="R65" s="34">
        <v>350</v>
      </c>
      <c r="S65" s="34">
        <f t="shared" si="1"/>
        <v>350</v>
      </c>
      <c r="T65" s="34">
        <f t="shared" si="2"/>
        <v>63</v>
      </c>
      <c r="U65" s="34">
        <f t="shared" si="3"/>
        <v>413</v>
      </c>
      <c r="V65" s="34"/>
      <c r="W65" s="23" t="s">
        <v>1005</v>
      </c>
    </row>
    <row r="66" spans="1:23" x14ac:dyDescent="0.25">
      <c r="A66" s="31">
        <v>45764.458391203705</v>
      </c>
      <c r="B66" s="32" t="str">
        <f t="shared" si="0"/>
        <v>Apr-25</v>
      </c>
      <c r="C66" s="32" t="s">
        <v>153</v>
      </c>
      <c r="D66" s="32" t="s">
        <v>369</v>
      </c>
      <c r="E66" s="31">
        <v>45752</v>
      </c>
      <c r="F66" s="32">
        <f>IFERROR(DATEDIF(Table1[[#This Row],[MPG Ope Date]],Table1[[#This Row],[L]],"M"),"")</f>
        <v>0</v>
      </c>
      <c r="G66" s="24">
        <v>10130096</v>
      </c>
      <c r="H66" s="32" t="s">
        <v>31</v>
      </c>
      <c r="I66" s="32" t="s">
        <v>65</v>
      </c>
      <c r="J66" s="32">
        <v>6206932203</v>
      </c>
      <c r="K66" s="32" t="s">
        <v>69</v>
      </c>
      <c r="L66" s="32">
        <v>322438</v>
      </c>
      <c r="M66" s="32" t="s">
        <v>119</v>
      </c>
      <c r="N66" s="32" t="s">
        <v>120</v>
      </c>
      <c r="O66" s="32" t="s">
        <v>158</v>
      </c>
      <c r="P66" s="33">
        <v>45876</v>
      </c>
      <c r="Q66" s="32">
        <v>1</v>
      </c>
      <c r="R66" s="34">
        <v>84</v>
      </c>
      <c r="S66" s="34">
        <f t="shared" si="1"/>
        <v>84</v>
      </c>
      <c r="T66" s="34">
        <f t="shared" si="2"/>
        <v>15.12</v>
      </c>
      <c r="U66" s="34">
        <f t="shared" si="3"/>
        <v>99.12</v>
      </c>
      <c r="V66" s="34"/>
      <c r="W66" s="23" t="s">
        <v>1007</v>
      </c>
    </row>
    <row r="67" spans="1:23" x14ac:dyDescent="0.25">
      <c r="A67" s="31">
        <v>45764.458391203705</v>
      </c>
      <c r="B67" s="32" t="str">
        <f t="shared" ref="B67:B130" si="4">TEXT(A67,"mmm-yy")</f>
        <v>Apr-25</v>
      </c>
      <c r="C67" s="32" t="s">
        <v>153</v>
      </c>
      <c r="D67" s="32" t="s">
        <v>369</v>
      </c>
      <c r="E67" s="31">
        <v>45752</v>
      </c>
      <c r="F67" s="32">
        <f>IFERROR(DATEDIF(Table1[[#This Row],[MPG Ope Date]],Table1[[#This Row],[L]],"M"),"")</f>
        <v>0</v>
      </c>
      <c r="G67" s="24">
        <v>10130096</v>
      </c>
      <c r="H67" s="32" t="s">
        <v>31</v>
      </c>
      <c r="I67" s="32" t="s">
        <v>65</v>
      </c>
      <c r="J67" s="32">
        <v>6206932203</v>
      </c>
      <c r="K67" s="32" t="s">
        <v>69</v>
      </c>
      <c r="L67" s="32">
        <v>322438</v>
      </c>
      <c r="M67" s="32" t="s">
        <v>121</v>
      </c>
      <c r="N67" s="32" t="s">
        <v>122</v>
      </c>
      <c r="O67" s="32" t="s">
        <v>158</v>
      </c>
      <c r="P67" s="33">
        <v>45876</v>
      </c>
      <c r="Q67" s="32">
        <v>1</v>
      </c>
      <c r="R67" s="34">
        <v>70</v>
      </c>
      <c r="S67" s="34">
        <f t="shared" ref="S67:S68" si="5">+Q67*R67</f>
        <v>70</v>
      </c>
      <c r="T67" s="34">
        <f t="shared" ref="T67:T130" si="6">+S67*0.18</f>
        <v>12.6</v>
      </c>
      <c r="U67" s="34">
        <f t="shared" ref="U67:U68" si="7">+S67+T67</f>
        <v>82.6</v>
      </c>
      <c r="V67" s="34"/>
      <c r="W67" s="23" t="s">
        <v>1007</v>
      </c>
    </row>
    <row r="68" spans="1:23" x14ac:dyDescent="0.25">
      <c r="A68" s="31">
        <v>45764.631041666667</v>
      </c>
      <c r="B68" s="32" t="str">
        <f t="shared" si="4"/>
        <v>Apr-25</v>
      </c>
      <c r="C68" s="32" t="s">
        <v>153</v>
      </c>
      <c r="D68" s="32" t="s">
        <v>369</v>
      </c>
      <c r="E68" s="31">
        <v>45120</v>
      </c>
      <c r="F68" s="32">
        <f>IFERROR(DATEDIF(Table1[[#This Row],[MPG Ope Date]],Table1[[#This Row],[L]],"M"),"")</f>
        <v>21</v>
      </c>
      <c r="G68" s="25">
        <v>10060034</v>
      </c>
      <c r="H68" s="32" t="s">
        <v>32</v>
      </c>
      <c r="I68" s="32" t="s">
        <v>66</v>
      </c>
      <c r="J68" s="32">
        <v>7543904926</v>
      </c>
      <c r="K68" s="32" t="s">
        <v>70</v>
      </c>
      <c r="L68" s="32" t="s">
        <v>103</v>
      </c>
      <c r="M68" s="32" t="s">
        <v>123</v>
      </c>
      <c r="N68" s="32" t="s">
        <v>124</v>
      </c>
      <c r="O68" s="32" t="s">
        <v>158</v>
      </c>
      <c r="P68" s="33">
        <v>45876</v>
      </c>
      <c r="Q68" s="32">
        <v>1</v>
      </c>
      <c r="R68" s="34">
        <v>350</v>
      </c>
      <c r="S68" s="34">
        <f t="shared" si="5"/>
        <v>350</v>
      </c>
      <c r="T68" s="34">
        <f t="shared" si="6"/>
        <v>63</v>
      </c>
      <c r="U68" s="34">
        <f t="shared" si="7"/>
        <v>413</v>
      </c>
      <c r="V68" s="34"/>
      <c r="W68" s="23" t="s">
        <v>1014</v>
      </c>
    </row>
    <row r="69" spans="1:23" x14ac:dyDescent="0.25">
      <c r="A69" s="31">
        <v>45803.533518518518</v>
      </c>
      <c r="B69" s="32" t="str">
        <f t="shared" si="4"/>
        <v>May-25</v>
      </c>
      <c r="C69" s="32" t="s">
        <v>153</v>
      </c>
      <c r="D69" s="32" t="s">
        <v>369</v>
      </c>
      <c r="E69" s="31">
        <v>44664</v>
      </c>
      <c r="F69" s="32">
        <f>IFERROR(DATEDIF(Table1[[#This Row],[MPG Ope Date]],Table1[[#This Row],[L]],"M"),"")</f>
        <v>37</v>
      </c>
      <c r="G69" s="25">
        <v>10140001</v>
      </c>
      <c r="H69" s="32" t="s">
        <v>160</v>
      </c>
      <c r="I69" s="32" t="s">
        <v>197</v>
      </c>
      <c r="J69" s="32">
        <v>8292416721</v>
      </c>
      <c r="K69" s="32" t="s">
        <v>69</v>
      </c>
      <c r="L69" s="32">
        <v>383534</v>
      </c>
      <c r="M69" s="32" t="s">
        <v>254</v>
      </c>
      <c r="N69" s="32" t="s">
        <v>255</v>
      </c>
      <c r="O69" s="32" t="s">
        <v>268</v>
      </c>
      <c r="P69" s="37">
        <v>45877</v>
      </c>
      <c r="Q69" s="32">
        <v>1</v>
      </c>
      <c r="R69" s="34">
        <v>2000</v>
      </c>
      <c r="S69" s="34">
        <f t="shared" ref="S69:S132" si="8">+Q69*R69</f>
        <v>2000</v>
      </c>
      <c r="T69" s="34">
        <f t="shared" si="6"/>
        <v>360</v>
      </c>
      <c r="U69" s="34">
        <f t="shared" ref="U69:U132" si="9">+S69+T69</f>
        <v>2360</v>
      </c>
      <c r="V69" s="34"/>
      <c r="W69" s="23" t="s">
        <v>1005</v>
      </c>
    </row>
    <row r="70" spans="1:23" x14ac:dyDescent="0.25">
      <c r="A70" s="31">
        <v>45803.502118055556</v>
      </c>
      <c r="B70" s="32" t="str">
        <f t="shared" si="4"/>
        <v>May-25</v>
      </c>
      <c r="C70" s="32" t="s">
        <v>153</v>
      </c>
      <c r="D70" s="32" t="s">
        <v>369</v>
      </c>
      <c r="E70" s="31" t="e">
        <v>#N/A</v>
      </c>
      <c r="F70" s="32" t="str">
        <f>IFERROR(DATEDIF(Table1[[#This Row],[MPG Ope Date]],Table1[[#This Row],[L]],"M"),"")</f>
        <v/>
      </c>
      <c r="G70" s="24">
        <v>10030021</v>
      </c>
      <c r="H70" s="35" t="s">
        <v>161</v>
      </c>
      <c r="I70" s="32" t="s">
        <v>198</v>
      </c>
      <c r="J70" s="32">
        <v>7631283573</v>
      </c>
      <c r="K70" s="32" t="s">
        <v>69</v>
      </c>
      <c r="L70" s="32">
        <v>359379</v>
      </c>
      <c r="M70" s="32" t="s">
        <v>127</v>
      </c>
      <c r="N70" s="32" t="s">
        <v>128</v>
      </c>
      <c r="O70" s="32" t="s">
        <v>268</v>
      </c>
      <c r="P70" s="37">
        <v>45877</v>
      </c>
      <c r="Q70" s="32">
        <v>1</v>
      </c>
      <c r="R70" s="34">
        <v>44</v>
      </c>
      <c r="S70" s="34">
        <f t="shared" si="8"/>
        <v>44</v>
      </c>
      <c r="T70" s="34">
        <f t="shared" si="6"/>
        <v>7.92</v>
      </c>
      <c r="U70" s="34">
        <f t="shared" si="9"/>
        <v>51.92</v>
      </c>
      <c r="V70" s="34"/>
      <c r="W70" s="23" t="s">
        <v>1005</v>
      </c>
    </row>
    <row r="71" spans="1:23" x14ac:dyDescent="0.25">
      <c r="A71" s="31">
        <v>45803.568564814814</v>
      </c>
      <c r="B71" s="32" t="str">
        <f t="shared" si="4"/>
        <v>May-25</v>
      </c>
      <c r="C71" s="32" t="s">
        <v>153</v>
      </c>
      <c r="D71" s="32" t="s">
        <v>0</v>
      </c>
      <c r="E71" s="31" t="e">
        <v>#N/A</v>
      </c>
      <c r="F71" s="32" t="str">
        <f>IFERROR(DATEDIF(Table1[[#This Row],[MPG Ope Date]],Table1[[#This Row],[L]],"M"),"")</f>
        <v/>
      </c>
      <c r="G71" s="36">
        <v>1013</v>
      </c>
      <c r="H71" s="32" t="s">
        <v>162</v>
      </c>
      <c r="I71" s="32" t="s">
        <v>199</v>
      </c>
      <c r="J71" s="32">
        <v>9608956246</v>
      </c>
      <c r="K71" s="32" t="s">
        <v>69</v>
      </c>
      <c r="L71" s="32">
        <v>193333</v>
      </c>
      <c r="M71" s="32" t="s">
        <v>143</v>
      </c>
      <c r="N71" s="32" t="s">
        <v>144</v>
      </c>
      <c r="O71" s="32" t="s">
        <v>268</v>
      </c>
      <c r="P71" s="37">
        <v>45877</v>
      </c>
      <c r="Q71" s="32">
        <v>1</v>
      </c>
      <c r="R71" s="34">
        <v>125</v>
      </c>
      <c r="S71" s="34">
        <f t="shared" si="8"/>
        <v>125</v>
      </c>
      <c r="T71" s="34">
        <f t="shared" si="6"/>
        <v>22.5</v>
      </c>
      <c r="U71" s="34">
        <f t="shared" si="9"/>
        <v>147.5</v>
      </c>
      <c r="V71" s="34"/>
      <c r="W71" s="23" t="e">
        <v>#N/A</v>
      </c>
    </row>
    <row r="72" spans="1:23" x14ac:dyDescent="0.25">
      <c r="A72" s="31">
        <v>45803.568564814814</v>
      </c>
      <c r="B72" s="32" t="str">
        <f t="shared" si="4"/>
        <v>May-25</v>
      </c>
      <c r="C72" s="32" t="s">
        <v>153</v>
      </c>
      <c r="D72" s="32" t="s">
        <v>0</v>
      </c>
      <c r="E72" s="31" t="e">
        <v>#N/A</v>
      </c>
      <c r="F72" s="32" t="str">
        <f>IFERROR(DATEDIF(Table1[[#This Row],[MPG Ope Date]],Table1[[#This Row],[L]],"M"),"")</f>
        <v/>
      </c>
      <c r="G72" s="36">
        <v>1013</v>
      </c>
      <c r="H72" s="32" t="s">
        <v>162</v>
      </c>
      <c r="I72" s="32" t="s">
        <v>199</v>
      </c>
      <c r="J72" s="32">
        <v>9608956246</v>
      </c>
      <c r="K72" s="32" t="s">
        <v>69</v>
      </c>
      <c r="L72" s="32">
        <v>193333</v>
      </c>
      <c r="M72" s="32" t="s">
        <v>143</v>
      </c>
      <c r="N72" s="32" t="s">
        <v>144</v>
      </c>
      <c r="O72" s="32" t="s">
        <v>268</v>
      </c>
      <c r="P72" s="37">
        <v>45877</v>
      </c>
      <c r="Q72" s="32">
        <v>1</v>
      </c>
      <c r="R72" s="34">
        <v>125</v>
      </c>
      <c r="S72" s="34">
        <f t="shared" si="8"/>
        <v>125</v>
      </c>
      <c r="T72" s="34">
        <f t="shared" si="6"/>
        <v>22.5</v>
      </c>
      <c r="U72" s="34">
        <f t="shared" si="9"/>
        <v>147.5</v>
      </c>
      <c r="V72" s="34"/>
      <c r="W72" s="23" t="e">
        <v>#N/A</v>
      </c>
    </row>
    <row r="73" spans="1:23" x14ac:dyDescent="0.25">
      <c r="A73" s="31">
        <v>45803.568564814814</v>
      </c>
      <c r="B73" s="32" t="str">
        <f t="shared" si="4"/>
        <v>May-25</v>
      </c>
      <c r="C73" s="32" t="s">
        <v>153</v>
      </c>
      <c r="D73" s="32" t="s">
        <v>0</v>
      </c>
      <c r="E73" s="31" t="e">
        <v>#N/A</v>
      </c>
      <c r="F73" s="32" t="str">
        <f>IFERROR(DATEDIF(Table1[[#This Row],[MPG Ope Date]],Table1[[#This Row],[L]],"M"),"")</f>
        <v/>
      </c>
      <c r="G73" s="36">
        <v>1013</v>
      </c>
      <c r="H73" s="32" t="s">
        <v>162</v>
      </c>
      <c r="I73" s="32" t="s">
        <v>199</v>
      </c>
      <c r="J73" s="32">
        <v>9608956246</v>
      </c>
      <c r="K73" s="32" t="s">
        <v>69</v>
      </c>
      <c r="L73" s="32">
        <v>193333</v>
      </c>
      <c r="M73" s="32" t="s">
        <v>145</v>
      </c>
      <c r="N73" s="32" t="s">
        <v>146</v>
      </c>
      <c r="O73" s="32" t="s">
        <v>268</v>
      </c>
      <c r="P73" s="37">
        <v>45877</v>
      </c>
      <c r="Q73" s="32">
        <v>1</v>
      </c>
      <c r="R73" s="34">
        <v>49</v>
      </c>
      <c r="S73" s="34">
        <f t="shared" si="8"/>
        <v>49</v>
      </c>
      <c r="T73" s="34">
        <f t="shared" si="6"/>
        <v>8.82</v>
      </c>
      <c r="U73" s="34">
        <f t="shared" si="9"/>
        <v>57.82</v>
      </c>
      <c r="V73" s="34"/>
      <c r="W73" s="23" t="e">
        <v>#N/A</v>
      </c>
    </row>
    <row r="74" spans="1:23" x14ac:dyDescent="0.25">
      <c r="A74" s="31">
        <v>45803.568564814814</v>
      </c>
      <c r="B74" s="32" t="str">
        <f t="shared" si="4"/>
        <v>May-25</v>
      </c>
      <c r="C74" s="32" t="s">
        <v>153</v>
      </c>
      <c r="D74" s="32" t="s">
        <v>0</v>
      </c>
      <c r="E74" s="31" t="e">
        <v>#N/A</v>
      </c>
      <c r="F74" s="32" t="str">
        <f>IFERROR(DATEDIF(Table1[[#This Row],[MPG Ope Date]],Table1[[#This Row],[L]],"M"),"")</f>
        <v/>
      </c>
      <c r="G74" s="36">
        <v>1013</v>
      </c>
      <c r="H74" s="32" t="s">
        <v>162</v>
      </c>
      <c r="I74" s="32" t="s">
        <v>199</v>
      </c>
      <c r="J74" s="32">
        <v>9608956246</v>
      </c>
      <c r="K74" s="32" t="s">
        <v>69</v>
      </c>
      <c r="L74" s="32">
        <v>193333</v>
      </c>
      <c r="M74" s="32" t="s">
        <v>145</v>
      </c>
      <c r="N74" s="32" t="s">
        <v>146</v>
      </c>
      <c r="O74" s="32" t="s">
        <v>268</v>
      </c>
      <c r="P74" s="37">
        <v>45877</v>
      </c>
      <c r="Q74" s="32">
        <v>1</v>
      </c>
      <c r="R74" s="34">
        <v>49</v>
      </c>
      <c r="S74" s="34">
        <f t="shared" si="8"/>
        <v>49</v>
      </c>
      <c r="T74" s="34">
        <f t="shared" si="6"/>
        <v>8.82</v>
      </c>
      <c r="U74" s="34">
        <f t="shared" si="9"/>
        <v>57.82</v>
      </c>
      <c r="V74" s="34"/>
      <c r="W74" s="23" t="e">
        <v>#N/A</v>
      </c>
    </row>
    <row r="75" spans="1:23" x14ac:dyDescent="0.25">
      <c r="A75" s="31">
        <v>45800.582881944443</v>
      </c>
      <c r="B75" s="32" t="str">
        <f t="shared" si="4"/>
        <v>May-25</v>
      </c>
      <c r="C75" s="32" t="s">
        <v>153</v>
      </c>
      <c r="D75" s="32" t="s">
        <v>369</v>
      </c>
      <c r="E75" s="31" t="e">
        <v>#N/A</v>
      </c>
      <c r="F75" s="32" t="str">
        <f>IFERROR(DATEDIF(Table1[[#This Row],[MPG Ope Date]],Table1[[#This Row],[L]],"M"),"")</f>
        <v/>
      </c>
      <c r="G75" s="25">
        <v>10100021</v>
      </c>
      <c r="H75" s="35" t="s">
        <v>163</v>
      </c>
      <c r="I75" s="32" t="s">
        <v>200</v>
      </c>
      <c r="J75" s="32">
        <v>9113120295</v>
      </c>
      <c r="K75" s="32" t="s">
        <v>68</v>
      </c>
      <c r="L75" s="32" t="s">
        <v>234</v>
      </c>
      <c r="M75" s="32" t="s">
        <v>111</v>
      </c>
      <c r="N75" s="32" t="s">
        <v>112</v>
      </c>
      <c r="O75" s="32" t="s">
        <v>268</v>
      </c>
      <c r="P75" s="37">
        <v>45877</v>
      </c>
      <c r="Q75" s="32">
        <v>1</v>
      </c>
      <c r="R75" s="34">
        <v>360</v>
      </c>
      <c r="S75" s="34">
        <f t="shared" si="8"/>
        <v>360</v>
      </c>
      <c r="T75" s="34">
        <f t="shared" si="6"/>
        <v>64.8</v>
      </c>
      <c r="U75" s="34">
        <f t="shared" si="9"/>
        <v>424.8</v>
      </c>
      <c r="V75" s="34"/>
      <c r="W75" s="23" t="s">
        <v>1005</v>
      </c>
    </row>
    <row r="76" spans="1:23" x14ac:dyDescent="0.25">
      <c r="A76" s="31">
        <v>45800.583333333336</v>
      </c>
      <c r="B76" s="32" t="str">
        <f t="shared" si="4"/>
        <v>May-25</v>
      </c>
      <c r="C76" s="32" t="s">
        <v>153</v>
      </c>
      <c r="D76" s="32" t="s">
        <v>369</v>
      </c>
      <c r="E76" s="31" t="e">
        <v>#N/A</v>
      </c>
      <c r="F76" s="32" t="str">
        <f>IFERROR(DATEDIF(Table1[[#This Row],[MPG Ope Date]],Table1[[#This Row],[L]],"M"),"")</f>
        <v/>
      </c>
      <c r="G76" s="25">
        <v>10100021</v>
      </c>
      <c r="H76" s="35" t="s">
        <v>163</v>
      </c>
      <c r="I76" s="32" t="s">
        <v>200</v>
      </c>
      <c r="J76" s="32">
        <v>9113120295</v>
      </c>
      <c r="K76" s="32" t="s">
        <v>69</v>
      </c>
      <c r="L76" s="32">
        <v>388112</v>
      </c>
      <c r="M76" s="32" t="s">
        <v>121</v>
      </c>
      <c r="N76" s="32" t="s">
        <v>122</v>
      </c>
      <c r="O76" s="32" t="s">
        <v>268</v>
      </c>
      <c r="P76" s="37">
        <v>45877</v>
      </c>
      <c r="Q76" s="32">
        <v>1</v>
      </c>
      <c r="R76" s="34">
        <v>70</v>
      </c>
      <c r="S76" s="34">
        <f t="shared" si="8"/>
        <v>70</v>
      </c>
      <c r="T76" s="34">
        <f t="shared" si="6"/>
        <v>12.6</v>
      </c>
      <c r="U76" s="34">
        <f t="shared" si="9"/>
        <v>82.6</v>
      </c>
      <c r="V76" s="34"/>
      <c r="W76" s="23" t="s">
        <v>1005</v>
      </c>
    </row>
    <row r="77" spans="1:23" x14ac:dyDescent="0.25">
      <c r="A77" s="31">
        <v>45800.620694444442</v>
      </c>
      <c r="B77" s="32" t="str">
        <f t="shared" si="4"/>
        <v>May-25</v>
      </c>
      <c r="C77" s="32" t="s">
        <v>153</v>
      </c>
      <c r="D77" s="32" t="s">
        <v>369</v>
      </c>
      <c r="E77" s="31">
        <v>45530</v>
      </c>
      <c r="F77" s="32">
        <f>IFERROR(DATEDIF(Table1[[#This Row],[MPG Ope Date]],Table1[[#This Row],[L]],"M"),"")</f>
        <v>8</v>
      </c>
      <c r="G77" s="24">
        <v>10120083</v>
      </c>
      <c r="H77" s="32" t="s">
        <v>164</v>
      </c>
      <c r="I77" s="32" t="s">
        <v>201</v>
      </c>
      <c r="J77" s="32">
        <v>9262776421</v>
      </c>
      <c r="K77" s="32" t="s">
        <v>71</v>
      </c>
      <c r="L77" s="32" t="s">
        <v>235</v>
      </c>
      <c r="M77" s="32" t="s">
        <v>141</v>
      </c>
      <c r="N77" s="32" t="s">
        <v>142</v>
      </c>
      <c r="O77" s="32" t="s">
        <v>268</v>
      </c>
      <c r="P77" s="37">
        <v>45877</v>
      </c>
      <c r="Q77" s="32">
        <v>1</v>
      </c>
      <c r="R77" s="34">
        <v>900</v>
      </c>
      <c r="S77" s="34">
        <f t="shared" si="8"/>
        <v>900</v>
      </c>
      <c r="T77" s="34">
        <f t="shared" si="6"/>
        <v>162</v>
      </c>
      <c r="U77" s="34">
        <f t="shared" si="9"/>
        <v>1062</v>
      </c>
      <c r="V77" s="34"/>
      <c r="W77" s="23" t="s">
        <v>1005</v>
      </c>
    </row>
    <row r="78" spans="1:23" x14ac:dyDescent="0.25">
      <c r="A78" s="31">
        <v>45799.622187499997</v>
      </c>
      <c r="B78" s="32" t="str">
        <f t="shared" si="4"/>
        <v>May-25</v>
      </c>
      <c r="C78" s="32" t="s">
        <v>153</v>
      </c>
      <c r="D78" s="32" t="s">
        <v>369</v>
      </c>
      <c r="E78" s="31">
        <v>45120</v>
      </c>
      <c r="F78" s="32">
        <f>IFERROR(DATEDIF(Table1[[#This Row],[MPG Ope Date]],Table1[[#This Row],[L]],"M"),"")</f>
        <v>22</v>
      </c>
      <c r="G78" s="25">
        <v>10060034</v>
      </c>
      <c r="H78" s="32" t="s">
        <v>32</v>
      </c>
      <c r="I78" s="32" t="s">
        <v>66</v>
      </c>
      <c r="J78" s="32">
        <v>7543904926</v>
      </c>
      <c r="K78" s="32" t="s">
        <v>68</v>
      </c>
      <c r="L78" s="32" t="s">
        <v>236</v>
      </c>
      <c r="M78" s="32" t="s">
        <v>133</v>
      </c>
      <c r="N78" s="32" t="s">
        <v>134</v>
      </c>
      <c r="O78" s="32" t="s">
        <v>268</v>
      </c>
      <c r="P78" s="37">
        <v>45877</v>
      </c>
      <c r="Q78" s="32">
        <v>1</v>
      </c>
      <c r="R78" s="34">
        <v>2080</v>
      </c>
      <c r="S78" s="34">
        <f t="shared" si="8"/>
        <v>2080</v>
      </c>
      <c r="T78" s="34">
        <f t="shared" si="6"/>
        <v>374.4</v>
      </c>
      <c r="U78" s="34">
        <f t="shared" si="9"/>
        <v>2454.4</v>
      </c>
      <c r="V78" s="34"/>
      <c r="W78" s="23" t="s">
        <v>1014</v>
      </c>
    </row>
    <row r="79" spans="1:23" x14ac:dyDescent="0.25">
      <c r="A79" s="31">
        <v>45799.664293981485</v>
      </c>
      <c r="B79" s="32" t="str">
        <f t="shared" si="4"/>
        <v>May-25</v>
      </c>
      <c r="C79" s="32" t="s">
        <v>153</v>
      </c>
      <c r="D79" s="32" t="s">
        <v>369</v>
      </c>
      <c r="E79" s="31">
        <v>44102</v>
      </c>
      <c r="F79" s="32">
        <f>IFERROR(DATEDIF(Table1[[#This Row],[MPG Ope Date]],Table1[[#This Row],[L]],"M"),"")</f>
        <v>55</v>
      </c>
      <c r="G79" s="25">
        <v>10130012</v>
      </c>
      <c r="H79" s="32" t="s">
        <v>165</v>
      </c>
      <c r="I79" s="32" t="s">
        <v>202</v>
      </c>
      <c r="J79" s="32">
        <v>7017190104</v>
      </c>
      <c r="K79" s="32" t="s">
        <v>68</v>
      </c>
      <c r="L79" s="32" t="s">
        <v>237</v>
      </c>
      <c r="M79" s="32" t="s">
        <v>111</v>
      </c>
      <c r="N79" s="32" t="s">
        <v>112</v>
      </c>
      <c r="O79" s="32" t="s">
        <v>268</v>
      </c>
      <c r="P79" s="37">
        <v>45877</v>
      </c>
      <c r="Q79" s="32">
        <v>1</v>
      </c>
      <c r="R79" s="34">
        <v>360</v>
      </c>
      <c r="S79" s="34">
        <f t="shared" si="8"/>
        <v>360</v>
      </c>
      <c r="T79" s="34">
        <f t="shared" si="6"/>
        <v>64.8</v>
      </c>
      <c r="U79" s="34">
        <f t="shared" si="9"/>
        <v>424.8</v>
      </c>
      <c r="V79" s="34"/>
      <c r="W79" s="23" t="s">
        <v>1005</v>
      </c>
    </row>
    <row r="80" spans="1:23" x14ac:dyDescent="0.25">
      <c r="A80" s="31">
        <v>45805.525555555556</v>
      </c>
      <c r="B80" s="32" t="str">
        <f t="shared" si="4"/>
        <v>May-25</v>
      </c>
      <c r="C80" s="32" t="s">
        <v>153</v>
      </c>
      <c r="D80" s="32" t="s">
        <v>369</v>
      </c>
      <c r="E80" s="31">
        <v>44190</v>
      </c>
      <c r="F80" s="32">
        <f>IFERROR(DATEDIF(Table1[[#This Row],[MPG Ope Date]],Table1[[#This Row],[L]],"M"),"")</f>
        <v>53</v>
      </c>
      <c r="G80" s="24">
        <v>10120023</v>
      </c>
      <c r="H80" s="32" t="s">
        <v>166</v>
      </c>
      <c r="I80" s="32" t="s">
        <v>203</v>
      </c>
      <c r="J80" s="32">
        <v>9709668050</v>
      </c>
      <c r="K80" s="32" t="s">
        <v>69</v>
      </c>
      <c r="L80" s="32">
        <v>322706</v>
      </c>
      <c r="M80" s="32" t="s">
        <v>127</v>
      </c>
      <c r="N80" s="32" t="s">
        <v>128</v>
      </c>
      <c r="O80" s="32" t="s">
        <v>268</v>
      </c>
      <c r="P80" s="37">
        <v>45877</v>
      </c>
      <c r="Q80" s="32">
        <v>1</v>
      </c>
      <c r="R80" s="34">
        <v>44</v>
      </c>
      <c r="S80" s="34">
        <f t="shared" si="8"/>
        <v>44</v>
      </c>
      <c r="T80" s="34">
        <f t="shared" si="6"/>
        <v>7.92</v>
      </c>
      <c r="U80" s="34">
        <f t="shared" si="9"/>
        <v>51.92</v>
      </c>
      <c r="V80" s="34"/>
      <c r="W80" s="23" t="s">
        <v>1005</v>
      </c>
    </row>
    <row r="81" spans="1:23" x14ac:dyDescent="0.25">
      <c r="A81" s="31">
        <v>45798.694953703707</v>
      </c>
      <c r="B81" s="32" t="str">
        <f t="shared" si="4"/>
        <v>May-25</v>
      </c>
      <c r="C81" s="32" t="s">
        <v>153</v>
      </c>
      <c r="D81" s="32" t="s">
        <v>369</v>
      </c>
      <c r="E81" s="31">
        <v>45323</v>
      </c>
      <c r="F81" s="32">
        <f>IFERROR(DATEDIF(Table1[[#This Row],[MPG Ope Date]],Table1[[#This Row],[L]],"M"),"")</f>
        <v>15</v>
      </c>
      <c r="G81" s="25">
        <v>10110055</v>
      </c>
      <c r="H81" s="32" t="s">
        <v>167</v>
      </c>
      <c r="I81" s="32" t="s">
        <v>204</v>
      </c>
      <c r="J81" s="32">
        <v>6204172365</v>
      </c>
      <c r="K81" s="32" t="s">
        <v>233</v>
      </c>
      <c r="L81" s="32" t="s">
        <v>238</v>
      </c>
      <c r="M81" s="32" t="s">
        <v>256</v>
      </c>
      <c r="N81" s="32" t="s">
        <v>257</v>
      </c>
      <c r="O81" s="32" t="s">
        <v>268</v>
      </c>
      <c r="P81" s="37">
        <v>45877</v>
      </c>
      <c r="Q81" s="32">
        <v>1</v>
      </c>
      <c r="R81" s="34">
        <v>3000</v>
      </c>
      <c r="S81" s="34">
        <f t="shared" si="8"/>
        <v>3000</v>
      </c>
      <c r="T81" s="34">
        <f t="shared" si="6"/>
        <v>540</v>
      </c>
      <c r="U81" s="34">
        <f t="shared" si="9"/>
        <v>3540</v>
      </c>
      <c r="V81" s="34"/>
      <c r="W81" s="23" t="s">
        <v>1005</v>
      </c>
    </row>
    <row r="82" spans="1:23" x14ac:dyDescent="0.25">
      <c r="A82" s="31">
        <v>45805.525555555556</v>
      </c>
      <c r="B82" s="32" t="str">
        <f t="shared" si="4"/>
        <v>May-25</v>
      </c>
      <c r="C82" s="32" t="s">
        <v>153</v>
      </c>
      <c r="D82" s="32" t="s">
        <v>369</v>
      </c>
      <c r="E82" s="31">
        <v>44190</v>
      </c>
      <c r="F82" s="32">
        <f>IFERROR(DATEDIF(Table1[[#This Row],[MPG Ope Date]],Table1[[#This Row],[L]],"M"),"")</f>
        <v>53</v>
      </c>
      <c r="G82" s="24">
        <v>10120023</v>
      </c>
      <c r="H82" s="32" t="s">
        <v>166</v>
      </c>
      <c r="I82" s="32" t="s">
        <v>203</v>
      </c>
      <c r="J82" s="32">
        <v>9709668050</v>
      </c>
      <c r="K82" s="32" t="s">
        <v>69</v>
      </c>
      <c r="L82" s="32">
        <v>322706</v>
      </c>
      <c r="M82" s="32" t="s">
        <v>127</v>
      </c>
      <c r="N82" s="32" t="s">
        <v>128</v>
      </c>
      <c r="O82" s="32" t="s">
        <v>268</v>
      </c>
      <c r="P82" s="37">
        <v>45877</v>
      </c>
      <c r="Q82" s="32">
        <v>1</v>
      </c>
      <c r="R82" s="34">
        <v>44</v>
      </c>
      <c r="S82" s="34">
        <f t="shared" si="8"/>
        <v>44</v>
      </c>
      <c r="T82" s="34">
        <f t="shared" si="6"/>
        <v>7.92</v>
      </c>
      <c r="U82" s="34">
        <f t="shared" si="9"/>
        <v>51.92</v>
      </c>
      <c r="V82" s="34"/>
      <c r="W82" s="23" t="s">
        <v>1005</v>
      </c>
    </row>
    <row r="83" spans="1:23" x14ac:dyDescent="0.25">
      <c r="A83" s="31">
        <v>45797.563900462963</v>
      </c>
      <c r="B83" s="32" t="str">
        <f t="shared" si="4"/>
        <v>May-25</v>
      </c>
      <c r="C83" s="32" t="s">
        <v>153</v>
      </c>
      <c r="D83" s="32" t="s">
        <v>369</v>
      </c>
      <c r="E83" s="31">
        <v>44184</v>
      </c>
      <c r="F83" s="32">
        <f>IFERROR(DATEDIF(Table1[[#This Row],[MPG Ope Date]],Table1[[#This Row],[L]],"M"),"")</f>
        <v>53</v>
      </c>
      <c r="G83" s="25">
        <v>10120022</v>
      </c>
      <c r="H83" s="32" t="s">
        <v>168</v>
      </c>
      <c r="I83" s="32" t="s">
        <v>205</v>
      </c>
      <c r="J83" s="32">
        <v>9973808926</v>
      </c>
      <c r="K83" s="32" t="s">
        <v>69</v>
      </c>
      <c r="L83" s="32">
        <v>322529</v>
      </c>
      <c r="M83" s="32" t="s">
        <v>119</v>
      </c>
      <c r="N83" s="32" t="s">
        <v>120</v>
      </c>
      <c r="O83" s="32" t="s">
        <v>268</v>
      </c>
      <c r="P83" s="37">
        <v>45877</v>
      </c>
      <c r="Q83" s="32">
        <v>1</v>
      </c>
      <c r="R83" s="34">
        <v>84</v>
      </c>
      <c r="S83" s="34">
        <f t="shared" si="8"/>
        <v>84</v>
      </c>
      <c r="T83" s="34">
        <f t="shared" si="6"/>
        <v>15.12</v>
      </c>
      <c r="U83" s="34">
        <f t="shared" si="9"/>
        <v>99.12</v>
      </c>
      <c r="V83" s="34"/>
      <c r="W83" s="23" t="s">
        <v>1005</v>
      </c>
    </row>
    <row r="84" spans="1:23" x14ac:dyDescent="0.25">
      <c r="A84" s="31">
        <v>45797.563900462963</v>
      </c>
      <c r="B84" s="32" t="str">
        <f t="shared" si="4"/>
        <v>May-25</v>
      </c>
      <c r="C84" s="32" t="s">
        <v>153</v>
      </c>
      <c r="D84" s="32" t="s">
        <v>369</v>
      </c>
      <c r="E84" s="31">
        <v>44184</v>
      </c>
      <c r="F84" s="32">
        <f>IFERROR(DATEDIF(Table1[[#This Row],[MPG Ope Date]],Table1[[#This Row],[L]],"M"),"")</f>
        <v>53</v>
      </c>
      <c r="G84" s="25">
        <v>10120022</v>
      </c>
      <c r="H84" s="32" t="s">
        <v>168</v>
      </c>
      <c r="I84" s="32" t="s">
        <v>205</v>
      </c>
      <c r="J84" s="32">
        <v>9973808926</v>
      </c>
      <c r="K84" s="32" t="s">
        <v>69</v>
      </c>
      <c r="L84" s="32">
        <v>322529</v>
      </c>
      <c r="M84" s="32" t="s">
        <v>143</v>
      </c>
      <c r="N84" s="32" t="s">
        <v>144</v>
      </c>
      <c r="O84" s="32" t="s">
        <v>268</v>
      </c>
      <c r="P84" s="37">
        <v>45877</v>
      </c>
      <c r="Q84" s="32">
        <v>1</v>
      </c>
      <c r="R84" s="34">
        <v>125</v>
      </c>
      <c r="S84" s="34">
        <f t="shared" si="8"/>
        <v>125</v>
      </c>
      <c r="T84" s="34">
        <f t="shared" si="6"/>
        <v>22.5</v>
      </c>
      <c r="U84" s="34">
        <f t="shared" si="9"/>
        <v>147.5</v>
      </c>
      <c r="V84" s="34"/>
      <c r="W84" s="23" t="s">
        <v>1005</v>
      </c>
    </row>
    <row r="85" spans="1:23" x14ac:dyDescent="0.25">
      <c r="A85" s="31">
        <v>45797.563900462963</v>
      </c>
      <c r="B85" s="32" t="str">
        <f t="shared" si="4"/>
        <v>May-25</v>
      </c>
      <c r="C85" s="32" t="s">
        <v>153</v>
      </c>
      <c r="D85" s="32" t="s">
        <v>369</v>
      </c>
      <c r="E85" s="31">
        <v>44184</v>
      </c>
      <c r="F85" s="32">
        <f>IFERROR(DATEDIF(Table1[[#This Row],[MPG Ope Date]],Table1[[#This Row],[L]],"M"),"")</f>
        <v>53</v>
      </c>
      <c r="G85" s="25">
        <v>10120022</v>
      </c>
      <c r="H85" s="32" t="s">
        <v>168</v>
      </c>
      <c r="I85" s="32" t="s">
        <v>205</v>
      </c>
      <c r="J85" s="32">
        <v>9973808926</v>
      </c>
      <c r="K85" s="32" t="s">
        <v>69</v>
      </c>
      <c r="L85" s="32">
        <v>322529</v>
      </c>
      <c r="M85" s="32" t="s">
        <v>143</v>
      </c>
      <c r="N85" s="32" t="s">
        <v>144</v>
      </c>
      <c r="O85" s="32" t="s">
        <v>268</v>
      </c>
      <c r="P85" s="37">
        <v>45877</v>
      </c>
      <c r="Q85" s="32">
        <v>1</v>
      </c>
      <c r="R85" s="34">
        <v>125</v>
      </c>
      <c r="S85" s="34">
        <f t="shared" si="8"/>
        <v>125</v>
      </c>
      <c r="T85" s="34">
        <f t="shared" si="6"/>
        <v>22.5</v>
      </c>
      <c r="U85" s="34">
        <f t="shared" si="9"/>
        <v>147.5</v>
      </c>
      <c r="V85" s="34"/>
      <c r="W85" s="23" t="s">
        <v>1005</v>
      </c>
    </row>
    <row r="86" spans="1:23" x14ac:dyDescent="0.25">
      <c r="A86" s="31">
        <v>45805.525555555556</v>
      </c>
      <c r="B86" s="32" t="str">
        <f t="shared" si="4"/>
        <v>May-25</v>
      </c>
      <c r="C86" s="32" t="s">
        <v>153</v>
      </c>
      <c r="D86" s="32" t="s">
        <v>369</v>
      </c>
      <c r="E86" s="31">
        <v>44190</v>
      </c>
      <c r="F86" s="32">
        <f>IFERROR(DATEDIF(Table1[[#This Row],[MPG Ope Date]],Table1[[#This Row],[L]],"M"),"")</f>
        <v>53</v>
      </c>
      <c r="G86" s="24">
        <v>10120023</v>
      </c>
      <c r="H86" s="32" t="s">
        <v>166</v>
      </c>
      <c r="I86" s="32" t="s">
        <v>203</v>
      </c>
      <c r="J86" s="32">
        <v>9709668050</v>
      </c>
      <c r="K86" s="32" t="s">
        <v>69</v>
      </c>
      <c r="L86" s="32">
        <v>322706</v>
      </c>
      <c r="M86" s="32" t="s">
        <v>119</v>
      </c>
      <c r="N86" s="32" t="s">
        <v>120</v>
      </c>
      <c r="O86" s="32" t="s">
        <v>268</v>
      </c>
      <c r="P86" s="37">
        <v>45877</v>
      </c>
      <c r="Q86" s="32">
        <v>1</v>
      </c>
      <c r="R86" s="34">
        <v>84</v>
      </c>
      <c r="S86" s="34">
        <f t="shared" si="8"/>
        <v>84</v>
      </c>
      <c r="T86" s="34">
        <f t="shared" si="6"/>
        <v>15.12</v>
      </c>
      <c r="U86" s="34">
        <f t="shared" si="9"/>
        <v>99.12</v>
      </c>
      <c r="V86" s="34"/>
      <c r="W86" s="23" t="s">
        <v>1005</v>
      </c>
    </row>
    <row r="87" spans="1:23" x14ac:dyDescent="0.25">
      <c r="A87" s="31">
        <v>45805.447476851848</v>
      </c>
      <c r="B87" s="32" t="str">
        <f t="shared" si="4"/>
        <v>May-25</v>
      </c>
      <c r="C87" s="32" t="s">
        <v>153</v>
      </c>
      <c r="D87" s="32" t="s">
        <v>369</v>
      </c>
      <c r="E87" s="31">
        <v>43935</v>
      </c>
      <c r="F87" s="32">
        <f>IFERROR(DATEDIF(Table1[[#This Row],[MPG Ope Date]],Table1[[#This Row],[L]],"M"),"")</f>
        <v>61</v>
      </c>
      <c r="G87" s="24">
        <v>10120013</v>
      </c>
      <c r="H87" s="32" t="s">
        <v>169</v>
      </c>
      <c r="I87" s="32" t="s">
        <v>206</v>
      </c>
      <c r="J87" s="32">
        <v>7903739239</v>
      </c>
      <c r="K87" s="32" t="s">
        <v>69</v>
      </c>
      <c r="L87" s="32">
        <v>322696</v>
      </c>
      <c r="M87" s="32" t="s">
        <v>117</v>
      </c>
      <c r="N87" s="32" t="s">
        <v>118</v>
      </c>
      <c r="O87" s="32" t="s">
        <v>268</v>
      </c>
      <c r="P87" s="37">
        <v>45877</v>
      </c>
      <c r="Q87" s="32">
        <v>1</v>
      </c>
      <c r="R87" s="34">
        <v>770</v>
      </c>
      <c r="S87" s="34">
        <f t="shared" si="8"/>
        <v>770</v>
      </c>
      <c r="T87" s="34">
        <f t="shared" si="6"/>
        <v>138.6</v>
      </c>
      <c r="U87" s="34">
        <f t="shared" si="9"/>
        <v>908.6</v>
      </c>
      <c r="V87" s="34"/>
      <c r="W87" s="23" t="s">
        <v>1005</v>
      </c>
    </row>
    <row r="88" spans="1:23" x14ac:dyDescent="0.25">
      <c r="A88" s="31">
        <v>45805.447476851848</v>
      </c>
      <c r="B88" s="32" t="str">
        <f t="shared" si="4"/>
        <v>May-25</v>
      </c>
      <c r="C88" s="32" t="s">
        <v>153</v>
      </c>
      <c r="D88" s="32" t="s">
        <v>369</v>
      </c>
      <c r="E88" s="31">
        <v>43935</v>
      </c>
      <c r="F88" s="32">
        <f>IFERROR(DATEDIF(Table1[[#This Row],[MPG Ope Date]],Table1[[#This Row],[L]],"M"),"")</f>
        <v>61</v>
      </c>
      <c r="G88" s="24">
        <v>10120013</v>
      </c>
      <c r="H88" s="32" t="s">
        <v>169</v>
      </c>
      <c r="I88" s="32" t="s">
        <v>206</v>
      </c>
      <c r="J88" s="32">
        <v>7903739239</v>
      </c>
      <c r="K88" s="32" t="s">
        <v>69</v>
      </c>
      <c r="L88" s="32">
        <v>322696</v>
      </c>
      <c r="M88" s="32" t="s">
        <v>119</v>
      </c>
      <c r="N88" s="32" t="s">
        <v>120</v>
      </c>
      <c r="O88" s="32" t="s">
        <v>268</v>
      </c>
      <c r="P88" s="37">
        <v>45877</v>
      </c>
      <c r="Q88" s="32">
        <v>1</v>
      </c>
      <c r="R88" s="34">
        <v>84</v>
      </c>
      <c r="S88" s="34">
        <f t="shared" si="8"/>
        <v>84</v>
      </c>
      <c r="T88" s="34">
        <f t="shared" si="6"/>
        <v>15.12</v>
      </c>
      <c r="U88" s="34">
        <f t="shared" si="9"/>
        <v>99.12</v>
      </c>
      <c r="V88" s="34"/>
      <c r="W88" s="23" t="s">
        <v>1005</v>
      </c>
    </row>
    <row r="89" spans="1:23" x14ac:dyDescent="0.25">
      <c r="A89" s="31">
        <v>45797.417118055557</v>
      </c>
      <c r="B89" s="32" t="str">
        <f t="shared" si="4"/>
        <v>May-25</v>
      </c>
      <c r="C89" s="32" t="s">
        <v>153</v>
      </c>
      <c r="D89" s="32" t="s">
        <v>369</v>
      </c>
      <c r="E89" s="31">
        <v>45009</v>
      </c>
      <c r="F89" s="32">
        <f>IFERROR(DATEDIF(Table1[[#This Row],[MPG Ope Date]],Table1[[#This Row],[L]],"M"),"")</f>
        <v>25</v>
      </c>
      <c r="G89" s="25">
        <v>10020042</v>
      </c>
      <c r="H89" s="32" t="s">
        <v>170</v>
      </c>
      <c r="I89" s="32" t="s">
        <v>207</v>
      </c>
      <c r="J89" s="32">
        <v>9661990974</v>
      </c>
      <c r="K89" s="32" t="s">
        <v>70</v>
      </c>
      <c r="L89" s="32" t="s">
        <v>239</v>
      </c>
      <c r="M89" s="32" t="s">
        <v>123</v>
      </c>
      <c r="N89" s="32" t="s">
        <v>124</v>
      </c>
      <c r="O89" s="32" t="s">
        <v>268</v>
      </c>
      <c r="P89" s="37">
        <v>45877</v>
      </c>
      <c r="Q89" s="32">
        <v>1</v>
      </c>
      <c r="R89" s="34">
        <v>350</v>
      </c>
      <c r="S89" s="34">
        <f t="shared" si="8"/>
        <v>350</v>
      </c>
      <c r="T89" s="34">
        <f t="shared" si="6"/>
        <v>63</v>
      </c>
      <c r="U89" s="34">
        <f t="shared" si="9"/>
        <v>413</v>
      </c>
      <c r="V89" s="34"/>
      <c r="W89" s="23" t="s">
        <v>1005</v>
      </c>
    </row>
    <row r="90" spans="1:23" x14ac:dyDescent="0.25">
      <c r="A90" s="31">
        <v>45797.562708333331</v>
      </c>
      <c r="B90" s="32" t="str">
        <f t="shared" si="4"/>
        <v>May-25</v>
      </c>
      <c r="C90" s="32" t="s">
        <v>153</v>
      </c>
      <c r="D90" s="32" t="s">
        <v>369</v>
      </c>
      <c r="E90" s="31">
        <v>44453</v>
      </c>
      <c r="F90" s="32">
        <f>IFERROR(DATEDIF(Table1[[#This Row],[MPG Ope Date]],Table1[[#This Row],[L]],"M"),"")</f>
        <v>44</v>
      </c>
      <c r="G90" s="24">
        <v>10120025</v>
      </c>
      <c r="H90" s="32" t="s">
        <v>171</v>
      </c>
      <c r="I90" s="32" t="s">
        <v>208</v>
      </c>
      <c r="J90" s="32">
        <v>7667270854</v>
      </c>
      <c r="K90" s="32" t="s">
        <v>69</v>
      </c>
      <c r="L90" s="32">
        <v>326539</v>
      </c>
      <c r="M90" s="32" t="s">
        <v>119</v>
      </c>
      <c r="N90" s="32" t="s">
        <v>120</v>
      </c>
      <c r="O90" s="32" t="s">
        <v>268</v>
      </c>
      <c r="P90" s="37">
        <v>45877</v>
      </c>
      <c r="Q90" s="32">
        <v>1</v>
      </c>
      <c r="R90" s="34">
        <v>84</v>
      </c>
      <c r="S90" s="34">
        <f t="shared" si="8"/>
        <v>84</v>
      </c>
      <c r="T90" s="34">
        <f t="shared" si="6"/>
        <v>15.12</v>
      </c>
      <c r="U90" s="34">
        <f t="shared" si="9"/>
        <v>99.12</v>
      </c>
      <c r="V90" s="34"/>
      <c r="W90" s="23" t="s">
        <v>1005</v>
      </c>
    </row>
    <row r="91" spans="1:23" x14ac:dyDescent="0.25">
      <c r="A91" s="31">
        <v>45797.562708333331</v>
      </c>
      <c r="B91" s="32" t="str">
        <f t="shared" si="4"/>
        <v>May-25</v>
      </c>
      <c r="C91" s="32" t="s">
        <v>153</v>
      </c>
      <c r="D91" s="32" t="s">
        <v>369</v>
      </c>
      <c r="E91" s="31">
        <v>44453</v>
      </c>
      <c r="F91" s="32">
        <f>IFERROR(DATEDIF(Table1[[#This Row],[MPG Ope Date]],Table1[[#This Row],[L]],"M"),"")</f>
        <v>44</v>
      </c>
      <c r="G91" s="24">
        <v>10120025</v>
      </c>
      <c r="H91" s="32" t="s">
        <v>171</v>
      </c>
      <c r="I91" s="32" t="s">
        <v>208</v>
      </c>
      <c r="J91" s="32">
        <v>7667270854</v>
      </c>
      <c r="K91" s="32" t="s">
        <v>69</v>
      </c>
      <c r="L91" s="32">
        <v>326539</v>
      </c>
      <c r="M91" s="32" t="s">
        <v>127</v>
      </c>
      <c r="N91" s="32" t="s">
        <v>128</v>
      </c>
      <c r="O91" s="32" t="s">
        <v>268</v>
      </c>
      <c r="P91" s="37">
        <v>45877</v>
      </c>
      <c r="Q91" s="32">
        <v>1</v>
      </c>
      <c r="R91" s="34">
        <v>44</v>
      </c>
      <c r="S91" s="34">
        <f t="shared" si="8"/>
        <v>44</v>
      </c>
      <c r="T91" s="34">
        <f t="shared" si="6"/>
        <v>7.92</v>
      </c>
      <c r="U91" s="34">
        <f t="shared" si="9"/>
        <v>51.92</v>
      </c>
      <c r="V91" s="34"/>
      <c r="W91" s="23" t="s">
        <v>1005</v>
      </c>
    </row>
    <row r="92" spans="1:23" x14ac:dyDescent="0.25">
      <c r="A92" s="31">
        <v>45797.562708333331</v>
      </c>
      <c r="B92" s="32" t="str">
        <f t="shared" si="4"/>
        <v>May-25</v>
      </c>
      <c r="C92" s="32" t="s">
        <v>153</v>
      </c>
      <c r="D92" s="32" t="s">
        <v>369</v>
      </c>
      <c r="E92" s="31">
        <v>44453</v>
      </c>
      <c r="F92" s="32">
        <f>IFERROR(DATEDIF(Table1[[#This Row],[MPG Ope Date]],Table1[[#This Row],[L]],"M"),"")</f>
        <v>44</v>
      </c>
      <c r="G92" s="24">
        <v>10120025</v>
      </c>
      <c r="H92" s="32" t="s">
        <v>171</v>
      </c>
      <c r="I92" s="32" t="s">
        <v>208</v>
      </c>
      <c r="J92" s="32">
        <v>7667270854</v>
      </c>
      <c r="K92" s="32" t="s">
        <v>69</v>
      </c>
      <c r="L92" s="32">
        <v>326539</v>
      </c>
      <c r="M92" s="32" t="s">
        <v>127</v>
      </c>
      <c r="N92" s="32" t="s">
        <v>128</v>
      </c>
      <c r="O92" s="32" t="s">
        <v>268</v>
      </c>
      <c r="P92" s="37">
        <v>45877</v>
      </c>
      <c r="Q92" s="32">
        <v>1</v>
      </c>
      <c r="R92" s="34">
        <v>44</v>
      </c>
      <c r="S92" s="34">
        <f t="shared" si="8"/>
        <v>44</v>
      </c>
      <c r="T92" s="34">
        <f t="shared" si="6"/>
        <v>7.92</v>
      </c>
      <c r="U92" s="34">
        <f t="shared" si="9"/>
        <v>51.92</v>
      </c>
      <c r="V92" s="34"/>
      <c r="W92" s="23" t="s">
        <v>1005</v>
      </c>
    </row>
    <row r="93" spans="1:23" x14ac:dyDescent="0.25">
      <c r="A93" s="31">
        <v>45805.66547453704</v>
      </c>
      <c r="B93" s="32" t="str">
        <f t="shared" si="4"/>
        <v>May-25</v>
      </c>
      <c r="C93" s="32" t="s">
        <v>153</v>
      </c>
      <c r="D93" s="32" t="s">
        <v>369</v>
      </c>
      <c r="E93" s="31">
        <v>45657</v>
      </c>
      <c r="F93" s="32">
        <f>IFERROR(DATEDIF(Table1[[#This Row],[MPG Ope Date]],Table1[[#This Row],[L]],"M"),"")</f>
        <v>4</v>
      </c>
      <c r="G93" s="24">
        <v>10130085</v>
      </c>
      <c r="H93" s="32" t="s">
        <v>172</v>
      </c>
      <c r="I93" s="32" t="s">
        <v>209</v>
      </c>
      <c r="J93" s="32">
        <v>9693653153</v>
      </c>
      <c r="K93" s="32" t="s">
        <v>68</v>
      </c>
      <c r="L93" s="32" t="s">
        <v>240</v>
      </c>
      <c r="M93" s="32" t="s">
        <v>258</v>
      </c>
      <c r="N93" s="32" t="s">
        <v>259</v>
      </c>
      <c r="O93" s="32" t="s">
        <v>268</v>
      </c>
      <c r="P93" s="37">
        <v>45877</v>
      </c>
      <c r="Q93" s="32">
        <v>1</v>
      </c>
      <c r="R93" s="34">
        <v>788</v>
      </c>
      <c r="S93" s="34">
        <f t="shared" si="8"/>
        <v>788</v>
      </c>
      <c r="T93" s="34">
        <f t="shared" si="6"/>
        <v>141.84</v>
      </c>
      <c r="U93" s="34">
        <f t="shared" si="9"/>
        <v>929.84</v>
      </c>
      <c r="V93" s="34"/>
      <c r="W93" s="23" t="s">
        <v>1005</v>
      </c>
    </row>
    <row r="94" spans="1:23" x14ac:dyDescent="0.25">
      <c r="A94" s="31">
        <v>45805.66547453704</v>
      </c>
      <c r="B94" s="32" t="str">
        <f t="shared" si="4"/>
        <v>May-25</v>
      </c>
      <c r="C94" s="32" t="s">
        <v>153</v>
      </c>
      <c r="D94" s="32" t="s">
        <v>369</v>
      </c>
      <c r="E94" s="31">
        <v>45657</v>
      </c>
      <c r="F94" s="32">
        <f>IFERROR(DATEDIF(Table1[[#This Row],[MPG Ope Date]],Table1[[#This Row],[L]],"M"),"")</f>
        <v>4</v>
      </c>
      <c r="G94" s="24">
        <v>10130085</v>
      </c>
      <c r="H94" s="32" t="s">
        <v>172</v>
      </c>
      <c r="I94" s="32" t="s">
        <v>209</v>
      </c>
      <c r="J94" s="32">
        <v>9693653153</v>
      </c>
      <c r="K94" s="32" t="s">
        <v>68</v>
      </c>
      <c r="L94" s="32" t="s">
        <v>240</v>
      </c>
      <c r="M94" s="32" t="s">
        <v>260</v>
      </c>
      <c r="N94" s="32" t="s">
        <v>261</v>
      </c>
      <c r="O94" s="32" t="s">
        <v>268</v>
      </c>
      <c r="P94" s="37">
        <v>45877</v>
      </c>
      <c r="Q94" s="32">
        <v>1</v>
      </c>
      <c r="R94" s="34">
        <v>2080</v>
      </c>
      <c r="S94" s="34">
        <f t="shared" si="8"/>
        <v>2080</v>
      </c>
      <c r="T94" s="34">
        <f t="shared" si="6"/>
        <v>374.4</v>
      </c>
      <c r="U94" s="34">
        <f t="shared" si="9"/>
        <v>2454.4</v>
      </c>
      <c r="V94" s="34"/>
      <c r="W94" s="23" t="s">
        <v>1005</v>
      </c>
    </row>
    <row r="95" spans="1:23" x14ac:dyDescent="0.25">
      <c r="A95" s="31">
        <v>45796.667442129627</v>
      </c>
      <c r="B95" s="32" t="str">
        <f t="shared" si="4"/>
        <v>May-25</v>
      </c>
      <c r="C95" s="32" t="s">
        <v>153</v>
      </c>
      <c r="D95" s="32" t="s">
        <v>369</v>
      </c>
      <c r="E95" s="31">
        <v>45198</v>
      </c>
      <c r="F95" s="32">
        <f>IFERROR(DATEDIF(Table1[[#This Row],[MPG Ope Date]],Table1[[#This Row],[L]],"M"),"")</f>
        <v>19</v>
      </c>
      <c r="G95" s="25">
        <v>10060058</v>
      </c>
      <c r="H95" s="32" t="s">
        <v>173</v>
      </c>
      <c r="I95" s="32" t="s">
        <v>210</v>
      </c>
      <c r="J95" s="32">
        <v>9466833978</v>
      </c>
      <c r="K95" s="32" t="s">
        <v>70</v>
      </c>
      <c r="L95" s="32" t="s">
        <v>241</v>
      </c>
      <c r="M95" s="32" t="s">
        <v>123</v>
      </c>
      <c r="N95" s="32" t="s">
        <v>124</v>
      </c>
      <c r="O95" s="32" t="s">
        <v>268</v>
      </c>
      <c r="P95" s="37">
        <v>45877</v>
      </c>
      <c r="Q95" s="32">
        <v>1</v>
      </c>
      <c r="R95" s="34">
        <v>350</v>
      </c>
      <c r="S95" s="34">
        <f t="shared" si="8"/>
        <v>350</v>
      </c>
      <c r="T95" s="34">
        <f t="shared" si="6"/>
        <v>63</v>
      </c>
      <c r="U95" s="34">
        <f t="shared" si="9"/>
        <v>413</v>
      </c>
      <c r="V95" s="34"/>
      <c r="W95" s="23" t="s">
        <v>1005</v>
      </c>
    </row>
    <row r="96" spans="1:23" x14ac:dyDescent="0.25">
      <c r="A96" s="31">
        <v>45807.682233796295</v>
      </c>
      <c r="B96" s="32" t="str">
        <f t="shared" si="4"/>
        <v>May-25</v>
      </c>
      <c r="C96" s="32" t="s">
        <v>153</v>
      </c>
      <c r="D96" s="32" t="s">
        <v>369</v>
      </c>
      <c r="E96" s="31">
        <v>45323</v>
      </c>
      <c r="F96" s="32">
        <f>IFERROR(DATEDIF(Table1[[#This Row],[MPG Ope Date]],Table1[[#This Row],[L]],"M"),"")</f>
        <v>15</v>
      </c>
      <c r="G96" s="25">
        <v>10010071</v>
      </c>
      <c r="H96" s="32" t="s">
        <v>174</v>
      </c>
      <c r="I96" s="32" t="s">
        <v>211</v>
      </c>
      <c r="J96" s="32">
        <v>8340269627</v>
      </c>
      <c r="K96" s="32" t="s">
        <v>69</v>
      </c>
      <c r="L96" s="32">
        <v>378767</v>
      </c>
      <c r="M96" s="32" t="s">
        <v>127</v>
      </c>
      <c r="N96" s="32" t="s">
        <v>128</v>
      </c>
      <c r="O96" s="32" t="s">
        <v>268</v>
      </c>
      <c r="P96" s="37">
        <v>45877</v>
      </c>
      <c r="Q96" s="32">
        <v>1</v>
      </c>
      <c r="R96" s="34">
        <v>44</v>
      </c>
      <c r="S96" s="34">
        <f t="shared" si="8"/>
        <v>44</v>
      </c>
      <c r="T96" s="34">
        <f t="shared" si="6"/>
        <v>7.92</v>
      </c>
      <c r="U96" s="34">
        <f t="shared" si="9"/>
        <v>51.92</v>
      </c>
      <c r="V96" s="34"/>
      <c r="W96" s="23" t="s">
        <v>1006</v>
      </c>
    </row>
    <row r="97" spans="1:23" x14ac:dyDescent="0.25">
      <c r="A97" s="31">
        <v>45807.682233796295</v>
      </c>
      <c r="B97" s="32" t="str">
        <f t="shared" si="4"/>
        <v>May-25</v>
      </c>
      <c r="C97" s="32" t="s">
        <v>153</v>
      </c>
      <c r="D97" s="32" t="s">
        <v>369</v>
      </c>
      <c r="E97" s="31">
        <v>45323</v>
      </c>
      <c r="F97" s="32">
        <f>IFERROR(DATEDIF(Table1[[#This Row],[MPG Ope Date]],Table1[[#This Row],[L]],"M"),"")</f>
        <v>15</v>
      </c>
      <c r="G97" s="25">
        <v>10010071</v>
      </c>
      <c r="H97" s="32" t="s">
        <v>174</v>
      </c>
      <c r="I97" s="32" t="s">
        <v>211</v>
      </c>
      <c r="J97" s="32">
        <v>8340269627</v>
      </c>
      <c r="K97" s="32" t="s">
        <v>69</v>
      </c>
      <c r="L97" s="32">
        <v>378767</v>
      </c>
      <c r="M97" s="32" t="s">
        <v>127</v>
      </c>
      <c r="N97" s="32" t="s">
        <v>128</v>
      </c>
      <c r="O97" s="32" t="s">
        <v>268</v>
      </c>
      <c r="P97" s="37">
        <v>45877</v>
      </c>
      <c r="Q97" s="32">
        <v>1</v>
      </c>
      <c r="R97" s="34">
        <v>44</v>
      </c>
      <c r="S97" s="34">
        <f t="shared" si="8"/>
        <v>44</v>
      </c>
      <c r="T97" s="34">
        <f t="shared" si="6"/>
        <v>7.92</v>
      </c>
      <c r="U97" s="34">
        <f t="shared" si="9"/>
        <v>51.92</v>
      </c>
      <c r="V97" s="34"/>
      <c r="W97" s="23" t="s">
        <v>1006</v>
      </c>
    </row>
    <row r="98" spans="1:23" x14ac:dyDescent="0.25">
      <c r="A98" s="31">
        <v>45794.55232638889</v>
      </c>
      <c r="B98" s="32" t="str">
        <f t="shared" si="4"/>
        <v>May-25</v>
      </c>
      <c r="C98" s="32" t="s">
        <v>153</v>
      </c>
      <c r="D98" s="32" t="s">
        <v>369</v>
      </c>
      <c r="E98" s="31">
        <v>45745</v>
      </c>
      <c r="F98" s="32">
        <f>IFERROR(DATEDIF(Table1[[#This Row],[MPG Ope Date]],Table1[[#This Row],[L]],"M"),"")</f>
        <v>1</v>
      </c>
      <c r="G98" s="24">
        <v>10110116</v>
      </c>
      <c r="H98" s="32" t="s">
        <v>175</v>
      </c>
      <c r="I98" s="32" t="s">
        <v>212</v>
      </c>
      <c r="J98" s="32">
        <v>8447621781</v>
      </c>
      <c r="K98" s="32" t="s">
        <v>69</v>
      </c>
      <c r="L98" s="32">
        <v>388107</v>
      </c>
      <c r="M98" s="32" t="s">
        <v>262</v>
      </c>
      <c r="N98" s="32" t="s">
        <v>263</v>
      </c>
      <c r="O98" s="32" t="s">
        <v>268</v>
      </c>
      <c r="P98" s="37">
        <v>45877</v>
      </c>
      <c r="Q98" s="32">
        <v>1</v>
      </c>
      <c r="R98" s="34">
        <v>140</v>
      </c>
      <c r="S98" s="34">
        <f t="shared" si="8"/>
        <v>140</v>
      </c>
      <c r="T98" s="34">
        <f t="shared" si="6"/>
        <v>25.2</v>
      </c>
      <c r="U98" s="34">
        <f t="shared" si="9"/>
        <v>165.2</v>
      </c>
      <c r="V98" s="34"/>
      <c r="W98" s="23" t="s">
        <v>1005</v>
      </c>
    </row>
    <row r="99" spans="1:23" x14ac:dyDescent="0.25">
      <c r="A99" s="31">
        <v>45794.55232638889</v>
      </c>
      <c r="B99" s="32" t="str">
        <f t="shared" si="4"/>
        <v>May-25</v>
      </c>
      <c r="C99" s="32" t="s">
        <v>153</v>
      </c>
      <c r="D99" s="32" t="s">
        <v>369</v>
      </c>
      <c r="E99" s="31">
        <v>45745</v>
      </c>
      <c r="F99" s="32">
        <f>IFERROR(DATEDIF(Table1[[#This Row],[MPG Ope Date]],Table1[[#This Row],[L]],"M"),"")</f>
        <v>1</v>
      </c>
      <c r="G99" s="24">
        <v>10110116</v>
      </c>
      <c r="H99" s="32" t="s">
        <v>175</v>
      </c>
      <c r="I99" s="32" t="s">
        <v>212</v>
      </c>
      <c r="J99" s="32">
        <v>8447621781</v>
      </c>
      <c r="K99" s="32" t="s">
        <v>69</v>
      </c>
      <c r="L99" s="32">
        <v>388107</v>
      </c>
      <c r="M99" s="32" t="s">
        <v>119</v>
      </c>
      <c r="N99" s="32" t="s">
        <v>120</v>
      </c>
      <c r="O99" s="32" t="s">
        <v>268</v>
      </c>
      <c r="P99" s="37">
        <v>45877</v>
      </c>
      <c r="Q99" s="32">
        <v>1</v>
      </c>
      <c r="R99" s="34">
        <v>84</v>
      </c>
      <c r="S99" s="34">
        <f t="shared" si="8"/>
        <v>84</v>
      </c>
      <c r="T99" s="34">
        <f t="shared" si="6"/>
        <v>15.12</v>
      </c>
      <c r="U99" s="34">
        <f t="shared" si="9"/>
        <v>99.12</v>
      </c>
      <c r="V99" s="34"/>
      <c r="W99" s="23" t="s">
        <v>1005</v>
      </c>
    </row>
    <row r="100" spans="1:23" x14ac:dyDescent="0.25">
      <c r="A100" s="31">
        <v>45807.680358796293</v>
      </c>
      <c r="B100" s="32" t="str">
        <f t="shared" si="4"/>
        <v>May-25</v>
      </c>
      <c r="C100" s="32" t="s">
        <v>153</v>
      </c>
      <c r="D100" s="32" t="s">
        <v>369</v>
      </c>
      <c r="E100" s="31" t="e">
        <v>#N/A</v>
      </c>
      <c r="F100" s="32" t="str">
        <f>IFERROR(DATEDIF(Table1[[#This Row],[MPG Ope Date]],Table1[[#This Row],[L]],"M"),"")</f>
        <v/>
      </c>
      <c r="G100" s="25">
        <v>10010013</v>
      </c>
      <c r="H100" s="35" t="s">
        <v>176</v>
      </c>
      <c r="I100" s="32" t="s">
        <v>213</v>
      </c>
      <c r="J100" s="32">
        <v>8051278225</v>
      </c>
      <c r="K100" s="32" t="s">
        <v>69</v>
      </c>
      <c r="L100" s="32">
        <v>378240</v>
      </c>
      <c r="M100" s="32" t="s">
        <v>127</v>
      </c>
      <c r="N100" s="32" t="s">
        <v>128</v>
      </c>
      <c r="O100" s="32" t="s">
        <v>268</v>
      </c>
      <c r="P100" s="37">
        <v>45877</v>
      </c>
      <c r="Q100" s="32">
        <v>1</v>
      </c>
      <c r="R100" s="34">
        <v>44</v>
      </c>
      <c r="S100" s="34">
        <f t="shared" si="8"/>
        <v>44</v>
      </c>
      <c r="T100" s="34">
        <f t="shared" si="6"/>
        <v>7.92</v>
      </c>
      <c r="U100" s="34">
        <f t="shared" si="9"/>
        <v>51.92</v>
      </c>
      <c r="V100" s="34"/>
      <c r="W100" s="23" t="s">
        <v>1005</v>
      </c>
    </row>
    <row r="101" spans="1:23" x14ac:dyDescent="0.25">
      <c r="A101" s="31">
        <v>45794.527291666665</v>
      </c>
      <c r="B101" s="32" t="str">
        <f t="shared" si="4"/>
        <v>May-25</v>
      </c>
      <c r="C101" s="32" t="s">
        <v>153</v>
      </c>
      <c r="D101" s="32" t="s">
        <v>369</v>
      </c>
      <c r="E101" s="31">
        <v>44978</v>
      </c>
      <c r="F101" s="32">
        <f>IFERROR(DATEDIF(Table1[[#This Row],[MPG Ope Date]],Table1[[#This Row],[L]],"M"),"")</f>
        <v>26</v>
      </c>
      <c r="G101" s="25">
        <v>10090030</v>
      </c>
      <c r="H101" s="32" t="s">
        <v>177</v>
      </c>
      <c r="I101" s="32" t="s">
        <v>214</v>
      </c>
      <c r="J101" s="32">
        <v>7739090727</v>
      </c>
      <c r="K101" s="32" t="s">
        <v>69</v>
      </c>
      <c r="L101" s="32">
        <v>378759</v>
      </c>
      <c r="M101" s="32" t="s">
        <v>117</v>
      </c>
      <c r="N101" s="32" t="s">
        <v>118</v>
      </c>
      <c r="O101" s="32" t="s">
        <v>268</v>
      </c>
      <c r="P101" s="37">
        <v>45877</v>
      </c>
      <c r="Q101" s="32">
        <v>1</v>
      </c>
      <c r="R101" s="34">
        <v>770</v>
      </c>
      <c r="S101" s="34">
        <f t="shared" si="8"/>
        <v>770</v>
      </c>
      <c r="T101" s="34">
        <f t="shared" si="6"/>
        <v>138.6</v>
      </c>
      <c r="U101" s="34">
        <f t="shared" si="9"/>
        <v>908.6</v>
      </c>
      <c r="V101" s="34"/>
      <c r="W101" s="23" t="s">
        <v>1005</v>
      </c>
    </row>
    <row r="102" spans="1:23" x14ac:dyDescent="0.25">
      <c r="A102" s="31">
        <v>45794.585555555554</v>
      </c>
      <c r="B102" s="32" t="str">
        <f t="shared" si="4"/>
        <v>May-25</v>
      </c>
      <c r="C102" s="32" t="s">
        <v>153</v>
      </c>
      <c r="D102" s="32" t="s">
        <v>369</v>
      </c>
      <c r="E102" s="31">
        <v>44123</v>
      </c>
      <c r="F102" s="32">
        <f>IFERROR(DATEDIF(Table1[[#This Row],[MPG Ope Date]],Table1[[#This Row],[L]],"M"),"")</f>
        <v>54</v>
      </c>
      <c r="G102" s="24">
        <v>10130013</v>
      </c>
      <c r="H102" s="32" t="s">
        <v>178</v>
      </c>
      <c r="I102" s="32" t="s">
        <v>212</v>
      </c>
      <c r="J102" s="32">
        <v>8873299467</v>
      </c>
      <c r="K102" s="32" t="s">
        <v>68</v>
      </c>
      <c r="L102" s="32" t="s">
        <v>242</v>
      </c>
      <c r="M102" s="32" t="s">
        <v>111</v>
      </c>
      <c r="N102" s="32" t="s">
        <v>112</v>
      </c>
      <c r="O102" s="32" t="s">
        <v>268</v>
      </c>
      <c r="P102" s="37">
        <v>45877</v>
      </c>
      <c r="Q102" s="32">
        <v>1</v>
      </c>
      <c r="R102" s="34">
        <v>360</v>
      </c>
      <c r="S102" s="34">
        <f t="shared" si="8"/>
        <v>360</v>
      </c>
      <c r="T102" s="34">
        <f t="shared" si="6"/>
        <v>64.8</v>
      </c>
      <c r="U102" s="34">
        <f t="shared" si="9"/>
        <v>424.8</v>
      </c>
      <c r="V102" s="34"/>
      <c r="W102" s="23" t="s">
        <v>1007</v>
      </c>
    </row>
    <row r="103" spans="1:23" x14ac:dyDescent="0.25">
      <c r="A103" s="31">
        <v>45794.585555555554</v>
      </c>
      <c r="B103" s="32" t="str">
        <f t="shared" si="4"/>
        <v>May-25</v>
      </c>
      <c r="C103" s="32" t="s">
        <v>153</v>
      </c>
      <c r="D103" s="32" t="s">
        <v>369</v>
      </c>
      <c r="E103" s="31">
        <v>44123</v>
      </c>
      <c r="F103" s="32">
        <f>IFERROR(DATEDIF(Table1[[#This Row],[MPG Ope Date]],Table1[[#This Row],[L]],"M"),"")</f>
        <v>54</v>
      </c>
      <c r="G103" s="24">
        <v>10130013</v>
      </c>
      <c r="H103" s="32" t="s">
        <v>178</v>
      </c>
      <c r="I103" s="32" t="s">
        <v>212</v>
      </c>
      <c r="J103" s="32">
        <v>8873299467</v>
      </c>
      <c r="K103" s="32" t="s">
        <v>68</v>
      </c>
      <c r="L103" s="32" t="s">
        <v>242</v>
      </c>
      <c r="M103" s="32" t="s">
        <v>113</v>
      </c>
      <c r="N103" s="32" t="s">
        <v>114</v>
      </c>
      <c r="O103" s="32" t="s">
        <v>268</v>
      </c>
      <c r="P103" s="37">
        <v>45877</v>
      </c>
      <c r="Q103" s="32">
        <v>1</v>
      </c>
      <c r="R103" s="34">
        <v>225</v>
      </c>
      <c r="S103" s="34">
        <f t="shared" si="8"/>
        <v>225</v>
      </c>
      <c r="T103" s="34">
        <f t="shared" si="6"/>
        <v>40.5</v>
      </c>
      <c r="U103" s="34">
        <f t="shared" si="9"/>
        <v>265.5</v>
      </c>
      <c r="V103" s="34"/>
      <c r="W103" s="23" t="s">
        <v>1007</v>
      </c>
    </row>
    <row r="104" spans="1:23" x14ac:dyDescent="0.25">
      <c r="A104" s="31">
        <v>45794.657407407409</v>
      </c>
      <c r="B104" s="32" t="str">
        <f t="shared" si="4"/>
        <v>May-25</v>
      </c>
      <c r="C104" s="32" t="s">
        <v>153</v>
      </c>
      <c r="D104" s="32" t="s">
        <v>369</v>
      </c>
      <c r="E104" s="31">
        <v>45721</v>
      </c>
      <c r="F104" s="32">
        <f>IFERROR(DATEDIF(Table1[[#This Row],[MPG Ope Date]],Table1[[#This Row],[L]],"M"),"")</f>
        <v>2</v>
      </c>
      <c r="G104" s="24">
        <v>10090057</v>
      </c>
      <c r="H104" s="32" t="s">
        <v>179</v>
      </c>
      <c r="I104" s="32" t="s">
        <v>215</v>
      </c>
      <c r="J104" s="32">
        <v>7739036729</v>
      </c>
      <c r="K104" s="32" t="s">
        <v>69</v>
      </c>
      <c r="L104" s="32">
        <v>277508</v>
      </c>
      <c r="M104" s="32" t="s">
        <v>254</v>
      </c>
      <c r="N104" s="32" t="s">
        <v>255</v>
      </c>
      <c r="O104" s="32" t="s">
        <v>268</v>
      </c>
      <c r="P104" s="37">
        <v>45877</v>
      </c>
      <c r="Q104" s="32">
        <v>1</v>
      </c>
      <c r="R104" s="34">
        <v>2000</v>
      </c>
      <c r="S104" s="34">
        <f t="shared" si="8"/>
        <v>2000</v>
      </c>
      <c r="T104" s="34">
        <f t="shared" si="6"/>
        <v>360</v>
      </c>
      <c r="U104" s="34">
        <f t="shared" si="9"/>
        <v>2360</v>
      </c>
      <c r="V104" s="34"/>
      <c r="W104" s="23" t="s">
        <v>1006</v>
      </c>
    </row>
    <row r="105" spans="1:23" x14ac:dyDescent="0.25">
      <c r="A105" s="31">
        <v>45807.680358796293</v>
      </c>
      <c r="B105" s="32" t="str">
        <f t="shared" si="4"/>
        <v>May-25</v>
      </c>
      <c r="C105" s="32" t="s">
        <v>153</v>
      </c>
      <c r="D105" s="32" t="s">
        <v>369</v>
      </c>
      <c r="E105" s="31" t="e">
        <v>#N/A</v>
      </c>
      <c r="F105" s="32" t="str">
        <f>IFERROR(DATEDIF(Table1[[#This Row],[MPG Ope Date]],Table1[[#This Row],[L]],"M"),"")</f>
        <v/>
      </c>
      <c r="G105" s="25">
        <v>10010013</v>
      </c>
      <c r="H105" s="35" t="s">
        <v>176</v>
      </c>
      <c r="I105" s="32" t="s">
        <v>213</v>
      </c>
      <c r="J105" s="32">
        <v>8051278225</v>
      </c>
      <c r="K105" s="32" t="s">
        <v>69</v>
      </c>
      <c r="L105" s="32">
        <v>378240</v>
      </c>
      <c r="M105" s="32" t="s">
        <v>127</v>
      </c>
      <c r="N105" s="32" t="s">
        <v>128</v>
      </c>
      <c r="O105" s="32" t="s">
        <v>268</v>
      </c>
      <c r="P105" s="37">
        <v>45877</v>
      </c>
      <c r="Q105" s="32">
        <v>1</v>
      </c>
      <c r="R105" s="34">
        <v>44</v>
      </c>
      <c r="S105" s="34">
        <f t="shared" si="8"/>
        <v>44</v>
      </c>
      <c r="T105" s="34">
        <f t="shared" si="6"/>
        <v>7.92</v>
      </c>
      <c r="U105" s="34">
        <f t="shared" si="9"/>
        <v>51.92</v>
      </c>
      <c r="V105" s="34"/>
      <c r="W105" s="23" t="s">
        <v>1005</v>
      </c>
    </row>
    <row r="106" spans="1:23" x14ac:dyDescent="0.25">
      <c r="A106" s="31">
        <v>45807.680358796293</v>
      </c>
      <c r="B106" s="32" t="str">
        <f t="shared" si="4"/>
        <v>May-25</v>
      </c>
      <c r="C106" s="32" t="s">
        <v>153</v>
      </c>
      <c r="D106" s="32" t="s">
        <v>369</v>
      </c>
      <c r="E106" s="31" t="e">
        <v>#N/A</v>
      </c>
      <c r="F106" s="32" t="str">
        <f>IFERROR(DATEDIF(Table1[[#This Row],[MPG Ope Date]],Table1[[#This Row],[L]],"M"),"")</f>
        <v/>
      </c>
      <c r="G106" s="25">
        <v>10010013</v>
      </c>
      <c r="H106" s="35" t="s">
        <v>176</v>
      </c>
      <c r="I106" s="32" t="s">
        <v>213</v>
      </c>
      <c r="J106" s="32">
        <v>8051278225</v>
      </c>
      <c r="K106" s="32" t="s">
        <v>69</v>
      </c>
      <c r="L106" s="32">
        <v>378240</v>
      </c>
      <c r="M106" s="32" t="s">
        <v>121</v>
      </c>
      <c r="N106" s="32" t="s">
        <v>122</v>
      </c>
      <c r="O106" s="32" t="s">
        <v>268</v>
      </c>
      <c r="P106" s="37">
        <v>45877</v>
      </c>
      <c r="Q106" s="32">
        <v>1</v>
      </c>
      <c r="R106" s="34">
        <v>70</v>
      </c>
      <c r="S106" s="34">
        <f t="shared" si="8"/>
        <v>70</v>
      </c>
      <c r="T106" s="34">
        <f t="shared" si="6"/>
        <v>12.6</v>
      </c>
      <c r="U106" s="34">
        <f t="shared" si="9"/>
        <v>82.6</v>
      </c>
      <c r="V106" s="34"/>
      <c r="W106" s="23" t="s">
        <v>1005</v>
      </c>
    </row>
    <row r="107" spans="1:23" x14ac:dyDescent="0.25">
      <c r="A107" s="31">
        <v>45807.680358796293</v>
      </c>
      <c r="B107" s="32" t="str">
        <f t="shared" si="4"/>
        <v>May-25</v>
      </c>
      <c r="C107" s="32" t="s">
        <v>153</v>
      </c>
      <c r="D107" s="32" t="s">
        <v>369</v>
      </c>
      <c r="E107" s="31" t="e">
        <v>#N/A</v>
      </c>
      <c r="F107" s="32" t="str">
        <f>IFERROR(DATEDIF(Table1[[#This Row],[MPG Ope Date]],Table1[[#This Row],[L]],"M"),"")</f>
        <v/>
      </c>
      <c r="G107" s="25">
        <v>10010013</v>
      </c>
      <c r="H107" s="35" t="s">
        <v>176</v>
      </c>
      <c r="I107" s="32" t="s">
        <v>213</v>
      </c>
      <c r="J107" s="32">
        <v>8051278225</v>
      </c>
      <c r="K107" s="32" t="s">
        <v>69</v>
      </c>
      <c r="L107" s="32">
        <v>378240</v>
      </c>
      <c r="M107" s="32" t="s">
        <v>121</v>
      </c>
      <c r="N107" s="32" t="s">
        <v>122</v>
      </c>
      <c r="O107" s="32" t="s">
        <v>268</v>
      </c>
      <c r="P107" s="37">
        <v>45877</v>
      </c>
      <c r="Q107" s="32">
        <v>1</v>
      </c>
      <c r="R107" s="34">
        <v>70</v>
      </c>
      <c r="S107" s="34">
        <f t="shared" si="8"/>
        <v>70</v>
      </c>
      <c r="T107" s="34">
        <f t="shared" si="6"/>
        <v>12.6</v>
      </c>
      <c r="U107" s="34">
        <f t="shared" si="9"/>
        <v>82.6</v>
      </c>
      <c r="V107" s="34"/>
      <c r="W107" s="23" t="s">
        <v>1005</v>
      </c>
    </row>
    <row r="108" spans="1:23" x14ac:dyDescent="0.25">
      <c r="A108" s="31">
        <v>45807.557997685188</v>
      </c>
      <c r="B108" s="32" t="str">
        <f t="shared" si="4"/>
        <v>May-25</v>
      </c>
      <c r="C108" s="32" t="s">
        <v>153</v>
      </c>
      <c r="D108" s="32" t="s">
        <v>369</v>
      </c>
      <c r="E108" s="31">
        <v>43896</v>
      </c>
      <c r="F108" s="32">
        <f>IFERROR(DATEDIF(Table1[[#This Row],[MPG Ope Date]],Table1[[#This Row],[L]],"M"),"")</f>
        <v>62</v>
      </c>
      <c r="G108" s="25">
        <v>10130007</v>
      </c>
      <c r="H108" s="32" t="s">
        <v>180</v>
      </c>
      <c r="I108" s="32" t="s">
        <v>216</v>
      </c>
      <c r="J108" s="32">
        <v>9771782305</v>
      </c>
      <c r="K108" s="32" t="s">
        <v>70</v>
      </c>
      <c r="L108" s="32" t="s">
        <v>243</v>
      </c>
      <c r="M108" s="32" t="s">
        <v>123</v>
      </c>
      <c r="N108" s="32" t="s">
        <v>124</v>
      </c>
      <c r="O108" s="32" t="s">
        <v>268</v>
      </c>
      <c r="P108" s="37">
        <v>45877</v>
      </c>
      <c r="Q108" s="32">
        <v>1</v>
      </c>
      <c r="R108" s="34">
        <v>350</v>
      </c>
      <c r="S108" s="34">
        <f t="shared" si="8"/>
        <v>350</v>
      </c>
      <c r="T108" s="34">
        <f t="shared" si="6"/>
        <v>63</v>
      </c>
      <c r="U108" s="34">
        <f t="shared" si="9"/>
        <v>413</v>
      </c>
      <c r="V108" s="34"/>
      <c r="W108" s="23" t="s">
        <v>1008</v>
      </c>
    </row>
    <row r="109" spans="1:23" x14ac:dyDescent="0.25">
      <c r="A109" s="31">
        <v>45790.63894675926</v>
      </c>
      <c r="B109" s="32" t="str">
        <f t="shared" si="4"/>
        <v>May-25</v>
      </c>
      <c r="C109" s="32" t="s">
        <v>153</v>
      </c>
      <c r="D109" s="32" t="s">
        <v>369</v>
      </c>
      <c r="E109" s="31">
        <v>44982</v>
      </c>
      <c r="F109" s="32">
        <f>IFERROR(DATEDIF(Table1[[#This Row],[MPG Ope Date]],Table1[[#This Row],[L]],"M"),"")</f>
        <v>26</v>
      </c>
      <c r="G109" s="24">
        <v>10130026</v>
      </c>
      <c r="H109" s="32" t="s">
        <v>181</v>
      </c>
      <c r="I109" s="32" t="s">
        <v>217</v>
      </c>
      <c r="J109" s="32">
        <v>9546230615</v>
      </c>
      <c r="K109" s="32" t="s">
        <v>69</v>
      </c>
      <c r="L109" s="32">
        <v>312438</v>
      </c>
      <c r="M109" s="32" t="s">
        <v>145</v>
      </c>
      <c r="N109" s="32" t="s">
        <v>146</v>
      </c>
      <c r="O109" s="32" t="s">
        <v>268</v>
      </c>
      <c r="P109" s="37">
        <v>45877</v>
      </c>
      <c r="Q109" s="32">
        <v>1</v>
      </c>
      <c r="R109" s="34">
        <v>49</v>
      </c>
      <c r="S109" s="34">
        <f t="shared" si="8"/>
        <v>49</v>
      </c>
      <c r="T109" s="34">
        <f t="shared" si="6"/>
        <v>8.82</v>
      </c>
      <c r="U109" s="34">
        <f t="shared" si="9"/>
        <v>57.82</v>
      </c>
      <c r="V109" s="34"/>
      <c r="W109" s="23" t="s">
        <v>1005</v>
      </c>
    </row>
    <row r="110" spans="1:23" x14ac:dyDescent="0.25">
      <c r="A110" s="31">
        <v>45790.63894675926</v>
      </c>
      <c r="B110" s="32" t="str">
        <f t="shared" si="4"/>
        <v>May-25</v>
      </c>
      <c r="C110" s="32" t="s">
        <v>153</v>
      </c>
      <c r="D110" s="32" t="s">
        <v>369</v>
      </c>
      <c r="E110" s="31">
        <v>44982</v>
      </c>
      <c r="F110" s="32">
        <f>IFERROR(DATEDIF(Table1[[#This Row],[MPG Ope Date]],Table1[[#This Row],[L]],"M"),"")</f>
        <v>26</v>
      </c>
      <c r="G110" s="24">
        <v>10130026</v>
      </c>
      <c r="H110" s="32" t="s">
        <v>181</v>
      </c>
      <c r="I110" s="32" t="s">
        <v>217</v>
      </c>
      <c r="J110" s="32">
        <v>9546230615</v>
      </c>
      <c r="K110" s="32" t="s">
        <v>69</v>
      </c>
      <c r="L110" s="32">
        <v>312438</v>
      </c>
      <c r="M110" s="32" t="s">
        <v>121</v>
      </c>
      <c r="N110" s="32" t="s">
        <v>122</v>
      </c>
      <c r="O110" s="32" t="s">
        <v>268</v>
      </c>
      <c r="P110" s="37">
        <v>45877</v>
      </c>
      <c r="Q110" s="32">
        <v>1</v>
      </c>
      <c r="R110" s="34">
        <v>70</v>
      </c>
      <c r="S110" s="34">
        <f t="shared" si="8"/>
        <v>70</v>
      </c>
      <c r="T110" s="34">
        <f t="shared" si="6"/>
        <v>12.6</v>
      </c>
      <c r="U110" s="34">
        <f t="shared" si="9"/>
        <v>82.6</v>
      </c>
      <c r="V110" s="34"/>
      <c r="W110" s="23" t="s">
        <v>1005</v>
      </c>
    </row>
    <row r="111" spans="1:23" x14ac:dyDescent="0.25">
      <c r="A111" s="31">
        <v>45808.709791666668</v>
      </c>
      <c r="B111" s="32" t="str">
        <f t="shared" si="4"/>
        <v>May-25</v>
      </c>
      <c r="C111" s="32" t="s">
        <v>153</v>
      </c>
      <c r="D111" s="32" t="s">
        <v>369</v>
      </c>
      <c r="E111" s="31">
        <v>45809</v>
      </c>
      <c r="F111" s="32" t="str">
        <f>IFERROR(DATEDIF(Table1[[#This Row],[MPG Ope Date]],Table1[[#This Row],[L]],"M"),"")</f>
        <v/>
      </c>
      <c r="G111" s="24">
        <v>10080093</v>
      </c>
      <c r="H111" s="32" t="s">
        <v>182</v>
      </c>
      <c r="I111" s="32" t="s">
        <v>218</v>
      </c>
      <c r="J111" s="32">
        <v>8709480362</v>
      </c>
      <c r="K111" s="32" t="s">
        <v>69</v>
      </c>
      <c r="L111" s="32">
        <v>384301</v>
      </c>
      <c r="M111" s="32" t="s">
        <v>121</v>
      </c>
      <c r="N111" s="32" t="s">
        <v>122</v>
      </c>
      <c r="O111" s="32" t="s">
        <v>268</v>
      </c>
      <c r="P111" s="37">
        <v>45877</v>
      </c>
      <c r="Q111" s="32">
        <v>1</v>
      </c>
      <c r="R111" s="34">
        <v>70</v>
      </c>
      <c r="S111" s="34">
        <f t="shared" si="8"/>
        <v>70</v>
      </c>
      <c r="T111" s="34">
        <f t="shared" si="6"/>
        <v>12.6</v>
      </c>
      <c r="U111" s="34">
        <f t="shared" si="9"/>
        <v>82.6</v>
      </c>
      <c r="V111" s="34"/>
      <c r="W111" s="23" t="s">
        <v>1005</v>
      </c>
    </row>
    <row r="112" spans="1:23" x14ac:dyDescent="0.25">
      <c r="A112" s="31">
        <v>45808.709791666668</v>
      </c>
      <c r="B112" s="32" t="str">
        <f t="shared" si="4"/>
        <v>May-25</v>
      </c>
      <c r="C112" s="32" t="s">
        <v>153</v>
      </c>
      <c r="D112" s="32" t="s">
        <v>369</v>
      </c>
      <c r="E112" s="31">
        <v>45809</v>
      </c>
      <c r="F112" s="32" t="str">
        <f>IFERROR(DATEDIF(Table1[[#This Row],[MPG Ope Date]],Table1[[#This Row],[L]],"M"),"")</f>
        <v/>
      </c>
      <c r="G112" s="24">
        <v>10080093</v>
      </c>
      <c r="H112" s="32" t="s">
        <v>182</v>
      </c>
      <c r="I112" s="32" t="s">
        <v>218</v>
      </c>
      <c r="J112" s="32">
        <v>8709480362</v>
      </c>
      <c r="K112" s="32" t="s">
        <v>69</v>
      </c>
      <c r="L112" s="32">
        <v>384301</v>
      </c>
      <c r="M112" s="32" t="s">
        <v>121</v>
      </c>
      <c r="N112" s="32" t="s">
        <v>122</v>
      </c>
      <c r="O112" s="32" t="s">
        <v>268</v>
      </c>
      <c r="P112" s="37">
        <v>45877</v>
      </c>
      <c r="Q112" s="32">
        <v>1</v>
      </c>
      <c r="R112" s="34">
        <v>70</v>
      </c>
      <c r="S112" s="34">
        <f t="shared" si="8"/>
        <v>70</v>
      </c>
      <c r="T112" s="34">
        <f t="shared" si="6"/>
        <v>12.6</v>
      </c>
      <c r="U112" s="34">
        <f t="shared" si="9"/>
        <v>82.6</v>
      </c>
      <c r="V112" s="34"/>
      <c r="W112" s="23" t="s">
        <v>1005</v>
      </c>
    </row>
    <row r="113" spans="1:23" x14ac:dyDescent="0.25">
      <c r="A113" s="31">
        <v>45808.916608796295</v>
      </c>
      <c r="B113" s="32" t="str">
        <f t="shared" si="4"/>
        <v>May-25</v>
      </c>
      <c r="C113" s="32" t="s">
        <v>153</v>
      </c>
      <c r="D113" s="32" t="s">
        <v>369</v>
      </c>
      <c r="E113" s="31">
        <v>45716</v>
      </c>
      <c r="F113" s="32">
        <f>IFERROR(DATEDIF(Table1[[#This Row],[MPG Ope Date]],Table1[[#This Row],[L]],"M"),"")</f>
        <v>3</v>
      </c>
      <c r="G113" s="24">
        <v>10110111</v>
      </c>
      <c r="H113" s="32" t="s">
        <v>183</v>
      </c>
      <c r="I113" s="32" t="s">
        <v>219</v>
      </c>
      <c r="J113" s="32">
        <v>6203663113</v>
      </c>
      <c r="K113" s="32" t="s">
        <v>71</v>
      </c>
      <c r="L113" s="32" t="s">
        <v>244</v>
      </c>
      <c r="M113" s="32" t="s">
        <v>141</v>
      </c>
      <c r="N113" s="32" t="s">
        <v>142</v>
      </c>
      <c r="O113" s="32" t="s">
        <v>268</v>
      </c>
      <c r="P113" s="37">
        <v>45877</v>
      </c>
      <c r="Q113" s="32">
        <v>1</v>
      </c>
      <c r="R113" s="34">
        <v>900</v>
      </c>
      <c r="S113" s="34">
        <f t="shared" si="8"/>
        <v>900</v>
      </c>
      <c r="T113" s="34">
        <f t="shared" si="6"/>
        <v>162</v>
      </c>
      <c r="U113" s="34">
        <f t="shared" si="9"/>
        <v>1062</v>
      </c>
      <c r="V113" s="34"/>
      <c r="W113" s="23" t="s">
        <v>1005</v>
      </c>
    </row>
    <row r="114" spans="1:23" x14ac:dyDescent="0.25">
      <c r="A114" s="31">
        <v>45789.616435185184</v>
      </c>
      <c r="B114" s="32" t="str">
        <f t="shared" si="4"/>
        <v>May-25</v>
      </c>
      <c r="C114" s="32" t="s">
        <v>153</v>
      </c>
      <c r="D114" s="32" t="s">
        <v>369</v>
      </c>
      <c r="E114" s="31" t="e">
        <v>#N/A</v>
      </c>
      <c r="F114" s="32" t="str">
        <f>IFERROR(DATEDIF(Table1[[#This Row],[MPG Ope Date]],Table1[[#This Row],[L]],"M"),"")</f>
        <v/>
      </c>
      <c r="G114" s="24">
        <v>10030037</v>
      </c>
      <c r="H114" s="35" t="s">
        <v>184</v>
      </c>
      <c r="I114" s="32" t="s">
        <v>220</v>
      </c>
      <c r="J114" s="32">
        <v>9931074005</v>
      </c>
      <c r="K114" s="32" t="s">
        <v>70</v>
      </c>
      <c r="L114" s="32" t="s">
        <v>245</v>
      </c>
      <c r="M114" s="32" t="s">
        <v>123</v>
      </c>
      <c r="N114" s="32" t="s">
        <v>124</v>
      </c>
      <c r="O114" s="32" t="s">
        <v>268</v>
      </c>
      <c r="P114" s="37">
        <v>45877</v>
      </c>
      <c r="Q114" s="32">
        <v>1</v>
      </c>
      <c r="R114" s="34">
        <v>350</v>
      </c>
      <c r="S114" s="34">
        <f t="shared" si="8"/>
        <v>350</v>
      </c>
      <c r="T114" s="34">
        <f t="shared" si="6"/>
        <v>63</v>
      </c>
      <c r="U114" s="34">
        <f t="shared" si="9"/>
        <v>413</v>
      </c>
      <c r="V114" s="34"/>
      <c r="W114" s="23" t="s">
        <v>1005</v>
      </c>
    </row>
    <row r="115" spans="1:23" x14ac:dyDescent="0.25">
      <c r="A115" s="31">
        <v>45789.654606481483</v>
      </c>
      <c r="B115" s="32" t="str">
        <f t="shared" si="4"/>
        <v>May-25</v>
      </c>
      <c r="C115" s="32" t="s">
        <v>153</v>
      </c>
      <c r="D115" s="32" t="s">
        <v>369</v>
      </c>
      <c r="E115" s="31" t="e">
        <v>#N/A</v>
      </c>
      <c r="F115" s="32" t="str">
        <f>IFERROR(DATEDIF(Table1[[#This Row],[MPG Ope Date]],Table1[[#This Row],[L]],"M"),"")</f>
        <v/>
      </c>
      <c r="G115" s="24">
        <v>10140032</v>
      </c>
      <c r="H115" s="35" t="s">
        <v>185</v>
      </c>
      <c r="I115" s="32" t="s">
        <v>221</v>
      </c>
      <c r="J115" s="32">
        <v>8651691707</v>
      </c>
      <c r="K115" s="32" t="s">
        <v>70</v>
      </c>
      <c r="L115" s="32" t="s">
        <v>246</v>
      </c>
      <c r="M115" s="32" t="s">
        <v>123</v>
      </c>
      <c r="N115" s="32" t="s">
        <v>124</v>
      </c>
      <c r="O115" s="32" t="s">
        <v>268</v>
      </c>
      <c r="P115" s="37">
        <v>45877</v>
      </c>
      <c r="Q115" s="32">
        <v>1</v>
      </c>
      <c r="R115" s="34">
        <v>350</v>
      </c>
      <c r="S115" s="34">
        <f t="shared" si="8"/>
        <v>350</v>
      </c>
      <c r="T115" s="34">
        <f t="shared" si="6"/>
        <v>63</v>
      </c>
      <c r="U115" s="34">
        <f t="shared" si="9"/>
        <v>413</v>
      </c>
      <c r="V115" s="34"/>
      <c r="W115" s="23" t="s">
        <v>1005</v>
      </c>
    </row>
    <row r="116" spans="1:23" x14ac:dyDescent="0.25">
      <c r="A116" s="31">
        <v>45789.617534722223</v>
      </c>
      <c r="B116" s="32" t="str">
        <f t="shared" si="4"/>
        <v>May-25</v>
      </c>
      <c r="C116" s="32" t="s">
        <v>153</v>
      </c>
      <c r="D116" s="32" t="s">
        <v>369</v>
      </c>
      <c r="E116" s="31" t="e">
        <v>#N/A</v>
      </c>
      <c r="F116" s="32" t="str">
        <f>IFERROR(DATEDIF(Table1[[#This Row],[MPG Ope Date]],Table1[[#This Row],[L]],"M"),"")</f>
        <v/>
      </c>
      <c r="G116" s="24">
        <v>10030030</v>
      </c>
      <c r="H116" s="35" t="s">
        <v>5</v>
      </c>
      <c r="I116" s="32" t="s">
        <v>38</v>
      </c>
      <c r="J116" s="32">
        <v>7462979872</v>
      </c>
      <c r="K116" s="32" t="s">
        <v>69</v>
      </c>
      <c r="L116" s="32">
        <v>210412</v>
      </c>
      <c r="M116" s="32" t="s">
        <v>264</v>
      </c>
      <c r="N116" s="32" t="s">
        <v>265</v>
      </c>
      <c r="O116" s="32" t="s">
        <v>268</v>
      </c>
      <c r="P116" s="37">
        <v>45877</v>
      </c>
      <c r="Q116" s="32">
        <v>1</v>
      </c>
      <c r="R116" s="34">
        <v>790</v>
      </c>
      <c r="S116" s="34">
        <f t="shared" si="8"/>
        <v>790</v>
      </c>
      <c r="T116" s="34">
        <f t="shared" si="6"/>
        <v>142.19999999999999</v>
      </c>
      <c r="U116" s="34">
        <f t="shared" si="9"/>
        <v>932.2</v>
      </c>
      <c r="V116" s="34"/>
      <c r="W116" s="23" t="s">
        <v>1006</v>
      </c>
    </row>
    <row r="117" spans="1:23" x14ac:dyDescent="0.25">
      <c r="A117" s="31">
        <v>45787.496400462966</v>
      </c>
      <c r="B117" s="32" t="str">
        <f t="shared" si="4"/>
        <v>May-25</v>
      </c>
      <c r="C117" s="32" t="s">
        <v>153</v>
      </c>
      <c r="D117" s="32" t="s">
        <v>369</v>
      </c>
      <c r="E117" s="31">
        <v>44453</v>
      </c>
      <c r="F117" s="32">
        <f>IFERROR(DATEDIF(Table1[[#This Row],[MPG Ope Date]],Table1[[#This Row],[L]],"M"),"")</f>
        <v>43</v>
      </c>
      <c r="G117" s="24">
        <v>10120025</v>
      </c>
      <c r="H117" s="32" t="s">
        <v>171</v>
      </c>
      <c r="I117" s="32" t="s">
        <v>208</v>
      </c>
      <c r="J117" s="32">
        <v>7667270854</v>
      </c>
      <c r="K117" s="32" t="s">
        <v>68</v>
      </c>
      <c r="L117" s="32" t="s">
        <v>247</v>
      </c>
      <c r="M117" s="32" t="s">
        <v>113</v>
      </c>
      <c r="N117" s="32" t="s">
        <v>114</v>
      </c>
      <c r="O117" s="32" t="s">
        <v>268</v>
      </c>
      <c r="P117" s="37">
        <v>45877</v>
      </c>
      <c r="Q117" s="32">
        <v>1</v>
      </c>
      <c r="R117" s="34">
        <v>225</v>
      </c>
      <c r="S117" s="34">
        <f t="shared" si="8"/>
        <v>225</v>
      </c>
      <c r="T117" s="34">
        <f t="shared" si="6"/>
        <v>40.5</v>
      </c>
      <c r="U117" s="34">
        <f t="shared" si="9"/>
        <v>265.5</v>
      </c>
      <c r="V117" s="34"/>
      <c r="W117" s="23" t="s">
        <v>1005</v>
      </c>
    </row>
    <row r="118" spans="1:23" x14ac:dyDescent="0.25">
      <c r="A118" s="31">
        <v>45787.496400462966</v>
      </c>
      <c r="B118" s="32" t="str">
        <f t="shared" si="4"/>
        <v>May-25</v>
      </c>
      <c r="C118" s="32" t="s">
        <v>153</v>
      </c>
      <c r="D118" s="32" t="s">
        <v>369</v>
      </c>
      <c r="E118" s="31">
        <v>44453</v>
      </c>
      <c r="F118" s="32">
        <f>IFERROR(DATEDIF(Table1[[#This Row],[MPG Ope Date]],Table1[[#This Row],[L]],"M"),"")</f>
        <v>43</v>
      </c>
      <c r="G118" s="24">
        <v>10120025</v>
      </c>
      <c r="H118" s="32" t="s">
        <v>171</v>
      </c>
      <c r="I118" s="32" t="s">
        <v>208</v>
      </c>
      <c r="J118" s="32">
        <v>7667270854</v>
      </c>
      <c r="K118" s="32" t="s">
        <v>68</v>
      </c>
      <c r="L118" s="32" t="s">
        <v>247</v>
      </c>
      <c r="M118" s="32" t="s">
        <v>135</v>
      </c>
      <c r="N118" s="32" t="s">
        <v>136</v>
      </c>
      <c r="O118" s="32" t="s">
        <v>268</v>
      </c>
      <c r="P118" s="37">
        <v>45877</v>
      </c>
      <c r="Q118" s="32">
        <v>1</v>
      </c>
      <c r="R118" s="34">
        <v>825</v>
      </c>
      <c r="S118" s="34">
        <f t="shared" si="8"/>
        <v>825</v>
      </c>
      <c r="T118" s="34">
        <f t="shared" si="6"/>
        <v>148.5</v>
      </c>
      <c r="U118" s="34">
        <f t="shared" si="9"/>
        <v>973.5</v>
      </c>
      <c r="V118" s="34"/>
      <c r="W118" s="23" t="s">
        <v>1005</v>
      </c>
    </row>
    <row r="119" spans="1:23" x14ac:dyDescent="0.25">
      <c r="A119" s="31">
        <v>45787.523946759262</v>
      </c>
      <c r="B119" s="32" t="str">
        <f t="shared" si="4"/>
        <v>May-25</v>
      </c>
      <c r="C119" s="32" t="s">
        <v>153</v>
      </c>
      <c r="D119" s="32" t="s">
        <v>369</v>
      </c>
      <c r="E119" s="31">
        <v>42979</v>
      </c>
      <c r="F119" s="32">
        <f>IFERROR(DATEDIF(Table1[[#This Row],[MPG Ope Date]],Table1[[#This Row],[L]],"M"),"")</f>
        <v>92</v>
      </c>
      <c r="G119" s="25">
        <v>10400001</v>
      </c>
      <c r="H119" s="32" t="s">
        <v>186</v>
      </c>
      <c r="I119" s="32" t="s">
        <v>222</v>
      </c>
      <c r="J119" s="32">
        <v>6299652936</v>
      </c>
      <c r="K119" s="32" t="s">
        <v>68</v>
      </c>
      <c r="L119" s="32" t="s">
        <v>248</v>
      </c>
      <c r="M119" s="32" t="s">
        <v>135</v>
      </c>
      <c r="N119" s="32" t="s">
        <v>136</v>
      </c>
      <c r="O119" s="32" t="s">
        <v>268</v>
      </c>
      <c r="P119" s="37">
        <v>45877</v>
      </c>
      <c r="Q119" s="32">
        <v>1</v>
      </c>
      <c r="R119" s="34">
        <v>825</v>
      </c>
      <c r="S119" s="34">
        <f t="shared" si="8"/>
        <v>825</v>
      </c>
      <c r="T119" s="34">
        <f t="shared" si="6"/>
        <v>148.5</v>
      </c>
      <c r="U119" s="34">
        <f t="shared" si="9"/>
        <v>973.5</v>
      </c>
      <c r="V119" s="34"/>
      <c r="W119" s="23" t="s">
        <v>1005</v>
      </c>
    </row>
    <row r="120" spans="1:23" x14ac:dyDescent="0.25">
      <c r="A120" s="31">
        <v>45787.523946759262</v>
      </c>
      <c r="B120" s="32" t="str">
        <f t="shared" si="4"/>
        <v>May-25</v>
      </c>
      <c r="C120" s="32" t="s">
        <v>153</v>
      </c>
      <c r="D120" s="32" t="s">
        <v>369</v>
      </c>
      <c r="E120" s="31">
        <v>42979</v>
      </c>
      <c r="F120" s="32">
        <f>IFERROR(DATEDIF(Table1[[#This Row],[MPG Ope Date]],Table1[[#This Row],[L]],"M"),"")</f>
        <v>92</v>
      </c>
      <c r="G120" s="25">
        <v>10400001</v>
      </c>
      <c r="H120" s="32" t="s">
        <v>186</v>
      </c>
      <c r="I120" s="32" t="s">
        <v>222</v>
      </c>
      <c r="J120" s="32">
        <v>6299652936</v>
      </c>
      <c r="K120" s="32" t="s">
        <v>68</v>
      </c>
      <c r="L120" s="32" t="s">
        <v>248</v>
      </c>
      <c r="M120" s="32" t="s">
        <v>260</v>
      </c>
      <c r="N120" s="32" t="s">
        <v>261</v>
      </c>
      <c r="O120" s="32" t="s">
        <v>268</v>
      </c>
      <c r="P120" s="37">
        <v>45877</v>
      </c>
      <c r="Q120" s="32">
        <v>1</v>
      </c>
      <c r="R120" s="34">
        <v>2080</v>
      </c>
      <c r="S120" s="34">
        <f t="shared" si="8"/>
        <v>2080</v>
      </c>
      <c r="T120" s="34">
        <f t="shared" si="6"/>
        <v>374.4</v>
      </c>
      <c r="U120" s="34">
        <f t="shared" si="9"/>
        <v>2454.4</v>
      </c>
      <c r="V120" s="34"/>
      <c r="W120" s="23" t="s">
        <v>1005</v>
      </c>
    </row>
    <row r="121" spans="1:23" x14ac:dyDescent="0.25">
      <c r="A121" s="31">
        <v>45787.490879629629</v>
      </c>
      <c r="B121" s="32" t="str">
        <f t="shared" si="4"/>
        <v>May-25</v>
      </c>
      <c r="C121" s="32" t="s">
        <v>153</v>
      </c>
      <c r="D121" s="32" t="s">
        <v>369</v>
      </c>
      <c r="E121" s="31">
        <v>45666</v>
      </c>
      <c r="F121" s="32">
        <f>IFERROR(DATEDIF(Table1[[#This Row],[MPG Ope Date]],Table1[[#This Row],[L]],"M"),"")</f>
        <v>4</v>
      </c>
      <c r="G121" s="24">
        <v>10120094</v>
      </c>
      <c r="H121" s="32" t="s">
        <v>187</v>
      </c>
      <c r="I121" s="32" t="s">
        <v>223</v>
      </c>
      <c r="J121" s="32">
        <v>9939074043</v>
      </c>
      <c r="K121" s="32" t="s">
        <v>68</v>
      </c>
      <c r="L121" s="32" t="s">
        <v>101</v>
      </c>
      <c r="M121" s="32" t="s">
        <v>113</v>
      </c>
      <c r="N121" s="32" t="s">
        <v>114</v>
      </c>
      <c r="O121" s="32" t="s">
        <v>268</v>
      </c>
      <c r="P121" s="37">
        <v>45877</v>
      </c>
      <c r="Q121" s="32">
        <v>1</v>
      </c>
      <c r="R121" s="34">
        <v>225</v>
      </c>
      <c r="S121" s="34">
        <f t="shared" si="8"/>
        <v>225</v>
      </c>
      <c r="T121" s="34">
        <f t="shared" si="6"/>
        <v>40.5</v>
      </c>
      <c r="U121" s="34">
        <f t="shared" si="9"/>
        <v>265.5</v>
      </c>
      <c r="V121" s="34"/>
      <c r="W121" s="23" t="s">
        <v>1005</v>
      </c>
    </row>
    <row r="122" spans="1:23" x14ac:dyDescent="0.25">
      <c r="A122" s="31">
        <v>45786.532604166663</v>
      </c>
      <c r="B122" s="32" t="str">
        <f t="shared" si="4"/>
        <v>May-25</v>
      </c>
      <c r="C122" s="32" t="s">
        <v>153</v>
      </c>
      <c r="D122" s="32" t="s">
        <v>369</v>
      </c>
      <c r="E122" s="31">
        <v>45091</v>
      </c>
      <c r="F122" s="32">
        <f>IFERROR(DATEDIF(Table1[[#This Row],[MPG Ope Date]],Table1[[#This Row],[L]],"M"),"")</f>
        <v>22</v>
      </c>
      <c r="G122" s="38">
        <v>10030037</v>
      </c>
      <c r="H122" s="32" t="s">
        <v>188</v>
      </c>
      <c r="I122" s="32" t="s">
        <v>224</v>
      </c>
      <c r="J122" s="32">
        <v>9931073405</v>
      </c>
      <c r="K122" s="32" t="s">
        <v>69</v>
      </c>
      <c r="L122" s="32">
        <v>387857</v>
      </c>
      <c r="M122" s="32" t="s">
        <v>264</v>
      </c>
      <c r="N122" s="32" t="s">
        <v>265</v>
      </c>
      <c r="O122" s="32" t="s">
        <v>268</v>
      </c>
      <c r="P122" s="37">
        <v>45877</v>
      </c>
      <c r="Q122" s="32">
        <v>1</v>
      </c>
      <c r="R122" s="34">
        <v>790</v>
      </c>
      <c r="S122" s="34">
        <f t="shared" si="8"/>
        <v>790</v>
      </c>
      <c r="T122" s="34">
        <f t="shared" si="6"/>
        <v>142.19999999999999</v>
      </c>
      <c r="U122" s="34">
        <f t="shared" si="9"/>
        <v>932.2</v>
      </c>
      <c r="V122" s="34"/>
      <c r="W122" s="23" t="s">
        <v>1005</v>
      </c>
    </row>
    <row r="123" spans="1:23" x14ac:dyDescent="0.25">
      <c r="A123" s="31">
        <v>45786.552800925929</v>
      </c>
      <c r="B123" s="32" t="str">
        <f t="shared" si="4"/>
        <v>May-25</v>
      </c>
      <c r="C123" s="32" t="s">
        <v>153</v>
      </c>
      <c r="D123" s="32" t="s">
        <v>369</v>
      </c>
      <c r="E123" s="31">
        <v>45505</v>
      </c>
      <c r="F123" s="32">
        <f>IFERROR(DATEDIF(Table1[[#This Row],[MPG Ope Date]],Table1[[#This Row],[L]],"M"),"")</f>
        <v>9</v>
      </c>
      <c r="G123" s="24">
        <v>10030064</v>
      </c>
      <c r="H123" s="32" t="s">
        <v>189</v>
      </c>
      <c r="I123" s="32" t="s">
        <v>225</v>
      </c>
      <c r="J123" s="32">
        <v>6201732147</v>
      </c>
      <c r="K123" s="32" t="s">
        <v>70</v>
      </c>
      <c r="L123" s="32" t="s">
        <v>249</v>
      </c>
      <c r="M123" s="32" t="s">
        <v>123</v>
      </c>
      <c r="N123" s="32" t="s">
        <v>124</v>
      </c>
      <c r="O123" s="32" t="s">
        <v>268</v>
      </c>
      <c r="P123" s="37">
        <v>45877</v>
      </c>
      <c r="Q123" s="32">
        <v>1</v>
      </c>
      <c r="R123" s="34">
        <v>350</v>
      </c>
      <c r="S123" s="34">
        <f t="shared" si="8"/>
        <v>350</v>
      </c>
      <c r="T123" s="34">
        <f t="shared" si="6"/>
        <v>63</v>
      </c>
      <c r="U123" s="34">
        <f t="shared" si="9"/>
        <v>413</v>
      </c>
      <c r="V123" s="34"/>
      <c r="W123" s="23" t="s">
        <v>1005</v>
      </c>
    </row>
    <row r="124" spans="1:23" x14ac:dyDescent="0.25">
      <c r="A124" s="31">
        <v>45784.672337962962</v>
      </c>
      <c r="B124" s="32" t="str">
        <f t="shared" si="4"/>
        <v>May-25</v>
      </c>
      <c r="C124" s="32" t="s">
        <v>153</v>
      </c>
      <c r="D124" s="32" t="s">
        <v>369</v>
      </c>
      <c r="E124" s="31">
        <v>43936</v>
      </c>
      <c r="F124" s="32">
        <f>IFERROR(DATEDIF(Table1[[#This Row],[MPG Ope Date]],Table1[[#This Row],[L]],"M"),"")</f>
        <v>60</v>
      </c>
      <c r="G124" s="38">
        <v>10120014</v>
      </c>
      <c r="H124" s="32" t="s">
        <v>190</v>
      </c>
      <c r="I124" s="32" t="s">
        <v>226</v>
      </c>
      <c r="J124" s="32">
        <v>8340595380</v>
      </c>
      <c r="K124" s="32" t="s">
        <v>69</v>
      </c>
      <c r="L124" s="32">
        <v>310523</v>
      </c>
      <c r="M124" s="32" t="s">
        <v>117</v>
      </c>
      <c r="N124" s="32" t="s">
        <v>118</v>
      </c>
      <c r="O124" s="32" t="s">
        <v>268</v>
      </c>
      <c r="P124" s="37">
        <v>45877</v>
      </c>
      <c r="Q124" s="32">
        <v>1</v>
      </c>
      <c r="R124" s="34">
        <v>770</v>
      </c>
      <c r="S124" s="34">
        <f t="shared" si="8"/>
        <v>770</v>
      </c>
      <c r="T124" s="34">
        <f t="shared" si="6"/>
        <v>138.6</v>
      </c>
      <c r="U124" s="34">
        <f t="shared" si="9"/>
        <v>908.6</v>
      </c>
      <c r="V124" s="34"/>
      <c r="W124" s="23" t="s">
        <v>1005</v>
      </c>
    </row>
    <row r="125" spans="1:23" x14ac:dyDescent="0.25">
      <c r="A125" s="31">
        <v>45784.666886574072</v>
      </c>
      <c r="B125" s="32" t="str">
        <f t="shared" si="4"/>
        <v>May-25</v>
      </c>
      <c r="C125" s="32" t="s">
        <v>153</v>
      </c>
      <c r="D125" s="32" t="s">
        <v>369</v>
      </c>
      <c r="E125" s="31">
        <v>42979</v>
      </c>
      <c r="F125" s="32">
        <f>IFERROR(DATEDIF(Table1[[#This Row],[MPG Ope Date]],Table1[[#This Row],[L]],"M"),"")</f>
        <v>92</v>
      </c>
      <c r="G125" s="25">
        <v>10090006</v>
      </c>
      <c r="H125" s="32" t="s">
        <v>191</v>
      </c>
      <c r="I125" s="32" t="s">
        <v>227</v>
      </c>
      <c r="J125" s="32">
        <v>9304189034</v>
      </c>
      <c r="K125" s="32" t="s">
        <v>70</v>
      </c>
      <c r="L125" s="32" t="s">
        <v>250</v>
      </c>
      <c r="M125" s="32" t="s">
        <v>123</v>
      </c>
      <c r="N125" s="32" t="s">
        <v>124</v>
      </c>
      <c r="O125" s="32" t="s">
        <v>268</v>
      </c>
      <c r="P125" s="37">
        <v>45877</v>
      </c>
      <c r="Q125" s="32">
        <v>1</v>
      </c>
      <c r="R125" s="34">
        <v>350</v>
      </c>
      <c r="S125" s="34">
        <f t="shared" si="8"/>
        <v>350</v>
      </c>
      <c r="T125" s="34">
        <f t="shared" si="6"/>
        <v>63</v>
      </c>
      <c r="U125" s="34">
        <f t="shared" si="9"/>
        <v>413</v>
      </c>
      <c r="V125" s="34"/>
      <c r="W125" s="23" t="s">
        <v>1005</v>
      </c>
    </row>
    <row r="126" spans="1:23" x14ac:dyDescent="0.25">
      <c r="A126" s="31">
        <v>45783.676215277781</v>
      </c>
      <c r="B126" s="32" t="str">
        <f t="shared" si="4"/>
        <v>May-25</v>
      </c>
      <c r="C126" s="32" t="s">
        <v>153</v>
      </c>
      <c r="D126" s="32" t="s">
        <v>369</v>
      </c>
      <c r="E126" s="31">
        <v>44982</v>
      </c>
      <c r="F126" s="32">
        <f>IFERROR(DATEDIF(Table1[[#This Row],[MPG Ope Date]],Table1[[#This Row],[L]],"M"),"")</f>
        <v>26</v>
      </c>
      <c r="G126" s="25">
        <v>10130026</v>
      </c>
      <c r="H126" s="32" t="s">
        <v>192</v>
      </c>
      <c r="I126" s="32" t="s">
        <v>228</v>
      </c>
      <c r="J126" s="32">
        <v>9518257138</v>
      </c>
      <c r="K126" s="32" t="s">
        <v>69</v>
      </c>
      <c r="L126" s="32">
        <v>277217</v>
      </c>
      <c r="M126" s="32" t="s">
        <v>145</v>
      </c>
      <c r="N126" s="32" t="s">
        <v>146</v>
      </c>
      <c r="O126" s="32" t="s">
        <v>268</v>
      </c>
      <c r="P126" s="37">
        <v>45877</v>
      </c>
      <c r="Q126" s="32">
        <v>1</v>
      </c>
      <c r="R126" s="34">
        <v>49</v>
      </c>
      <c r="S126" s="34">
        <f t="shared" si="8"/>
        <v>49</v>
      </c>
      <c r="T126" s="34">
        <f t="shared" si="6"/>
        <v>8.82</v>
      </c>
      <c r="U126" s="34">
        <f t="shared" si="9"/>
        <v>57.82</v>
      </c>
      <c r="V126" s="34"/>
      <c r="W126" s="23" t="s">
        <v>1005</v>
      </c>
    </row>
    <row r="127" spans="1:23" x14ac:dyDescent="0.25">
      <c r="A127" s="31">
        <v>45783.676215277781</v>
      </c>
      <c r="B127" s="32" t="str">
        <f t="shared" si="4"/>
        <v>May-25</v>
      </c>
      <c r="C127" s="32" t="s">
        <v>153</v>
      </c>
      <c r="D127" s="32" t="s">
        <v>369</v>
      </c>
      <c r="E127" s="31">
        <v>44982</v>
      </c>
      <c r="F127" s="32">
        <f>IFERROR(DATEDIF(Table1[[#This Row],[MPG Ope Date]],Table1[[#This Row],[L]],"M"),"")</f>
        <v>26</v>
      </c>
      <c r="G127" s="25">
        <v>10130026</v>
      </c>
      <c r="H127" s="32" t="s">
        <v>192</v>
      </c>
      <c r="I127" s="32" t="s">
        <v>228</v>
      </c>
      <c r="J127" s="32">
        <v>9518257138</v>
      </c>
      <c r="K127" s="32" t="s">
        <v>69</v>
      </c>
      <c r="L127" s="32">
        <v>277217</v>
      </c>
      <c r="M127" s="32" t="s">
        <v>121</v>
      </c>
      <c r="N127" s="32" t="s">
        <v>122</v>
      </c>
      <c r="O127" s="32" t="s">
        <v>268</v>
      </c>
      <c r="P127" s="37">
        <v>45877</v>
      </c>
      <c r="Q127" s="32">
        <v>1</v>
      </c>
      <c r="R127" s="34">
        <v>70</v>
      </c>
      <c r="S127" s="34">
        <f t="shared" si="8"/>
        <v>70</v>
      </c>
      <c r="T127" s="34">
        <f t="shared" si="6"/>
        <v>12.6</v>
      </c>
      <c r="U127" s="34">
        <f t="shared" si="9"/>
        <v>82.6</v>
      </c>
      <c r="V127" s="34"/>
      <c r="W127" s="23" t="s">
        <v>1005</v>
      </c>
    </row>
    <row r="128" spans="1:23" x14ac:dyDescent="0.25">
      <c r="A128" s="31">
        <v>45782.639027777775</v>
      </c>
      <c r="B128" s="32" t="str">
        <f t="shared" si="4"/>
        <v>May-25</v>
      </c>
      <c r="C128" s="32" t="s">
        <v>153</v>
      </c>
      <c r="D128" s="32" t="s">
        <v>369</v>
      </c>
      <c r="E128" s="31">
        <v>45770</v>
      </c>
      <c r="F128" s="32">
        <f>IFERROR(DATEDIF(Table1[[#This Row],[MPG Ope Date]],Table1[[#This Row],[L]],"M"),"")</f>
        <v>0</v>
      </c>
      <c r="G128" s="24">
        <v>10070063</v>
      </c>
      <c r="H128" s="32" t="s">
        <v>193</v>
      </c>
      <c r="I128" s="32" t="s">
        <v>229</v>
      </c>
      <c r="J128" s="32">
        <v>8051888251</v>
      </c>
      <c r="K128" s="32" t="s">
        <v>70</v>
      </c>
      <c r="L128" s="32" t="s">
        <v>251</v>
      </c>
      <c r="M128" s="32" t="s">
        <v>149</v>
      </c>
      <c r="N128" s="32" t="s">
        <v>150</v>
      </c>
      <c r="O128" s="32" t="s">
        <v>268</v>
      </c>
      <c r="P128" s="37">
        <v>45877</v>
      </c>
      <c r="Q128" s="32">
        <v>1</v>
      </c>
      <c r="R128" s="34">
        <v>925</v>
      </c>
      <c r="S128" s="34">
        <f t="shared" si="8"/>
        <v>925</v>
      </c>
      <c r="T128" s="34">
        <f t="shared" si="6"/>
        <v>166.5</v>
      </c>
      <c r="U128" s="34">
        <f t="shared" si="9"/>
        <v>1091.5</v>
      </c>
      <c r="V128" s="34"/>
      <c r="W128" s="23" t="s">
        <v>1005</v>
      </c>
    </row>
    <row r="129" spans="1:23" x14ac:dyDescent="0.25">
      <c r="A129" s="31">
        <v>45782.71</v>
      </c>
      <c r="B129" s="32" t="str">
        <f t="shared" si="4"/>
        <v>May-25</v>
      </c>
      <c r="C129" s="32" t="s">
        <v>153</v>
      </c>
      <c r="D129" s="32" t="s">
        <v>369</v>
      </c>
      <c r="E129" s="31">
        <v>42979</v>
      </c>
      <c r="F129" s="32">
        <f>IFERROR(DATEDIF(Table1[[#This Row],[MPG Ope Date]],Table1[[#This Row],[L]],"M"),"")</f>
        <v>92</v>
      </c>
      <c r="G129" s="25">
        <v>10030003</v>
      </c>
      <c r="H129" s="32" t="s">
        <v>194</v>
      </c>
      <c r="I129" s="32" t="s">
        <v>230</v>
      </c>
      <c r="J129" s="32">
        <v>9931439978</v>
      </c>
      <c r="K129" s="32" t="s">
        <v>69</v>
      </c>
      <c r="L129" s="32">
        <v>195781</v>
      </c>
      <c r="M129" s="32" t="s">
        <v>127</v>
      </c>
      <c r="N129" s="32" t="s">
        <v>128</v>
      </c>
      <c r="O129" s="32" t="s">
        <v>268</v>
      </c>
      <c r="P129" s="37">
        <v>45877</v>
      </c>
      <c r="Q129" s="32">
        <v>1</v>
      </c>
      <c r="R129" s="34">
        <v>44</v>
      </c>
      <c r="S129" s="34">
        <f t="shared" si="8"/>
        <v>44</v>
      </c>
      <c r="T129" s="34">
        <f t="shared" si="6"/>
        <v>7.92</v>
      </c>
      <c r="U129" s="34">
        <f t="shared" si="9"/>
        <v>51.92</v>
      </c>
      <c r="V129" s="34"/>
      <c r="W129" s="23" t="s">
        <v>1005</v>
      </c>
    </row>
    <row r="130" spans="1:23" x14ac:dyDescent="0.25">
      <c r="A130" s="31">
        <v>45782.71</v>
      </c>
      <c r="B130" s="32" t="str">
        <f t="shared" si="4"/>
        <v>May-25</v>
      </c>
      <c r="C130" s="32" t="s">
        <v>153</v>
      </c>
      <c r="D130" s="32" t="s">
        <v>369</v>
      </c>
      <c r="E130" s="31">
        <v>42979</v>
      </c>
      <c r="F130" s="32">
        <f>IFERROR(DATEDIF(Table1[[#This Row],[MPG Ope Date]],Table1[[#This Row],[L]],"M"),"")</f>
        <v>92</v>
      </c>
      <c r="G130" s="25">
        <v>10030003</v>
      </c>
      <c r="H130" s="32" t="s">
        <v>194</v>
      </c>
      <c r="I130" s="32" t="s">
        <v>230</v>
      </c>
      <c r="J130" s="32">
        <v>9931439978</v>
      </c>
      <c r="K130" s="32" t="s">
        <v>69</v>
      </c>
      <c r="L130" s="32">
        <v>195781</v>
      </c>
      <c r="M130" s="32" t="s">
        <v>143</v>
      </c>
      <c r="N130" s="32" t="s">
        <v>144</v>
      </c>
      <c r="O130" s="32" t="s">
        <v>268</v>
      </c>
      <c r="P130" s="37">
        <v>45877</v>
      </c>
      <c r="Q130" s="32">
        <v>1</v>
      </c>
      <c r="R130" s="34">
        <v>125</v>
      </c>
      <c r="S130" s="34">
        <f t="shared" si="8"/>
        <v>125</v>
      </c>
      <c r="T130" s="34">
        <f t="shared" si="6"/>
        <v>22.5</v>
      </c>
      <c r="U130" s="34">
        <f t="shared" si="9"/>
        <v>147.5</v>
      </c>
      <c r="V130" s="34"/>
      <c r="W130" s="23" t="s">
        <v>1005</v>
      </c>
    </row>
    <row r="131" spans="1:23" x14ac:dyDescent="0.25">
      <c r="A131" s="31">
        <v>45782.71</v>
      </c>
      <c r="B131" s="32" t="str">
        <f t="shared" ref="B131:B194" si="10">TEXT(A131,"mmm-yy")</f>
        <v>May-25</v>
      </c>
      <c r="C131" s="32" t="s">
        <v>153</v>
      </c>
      <c r="D131" s="32" t="s">
        <v>369</v>
      </c>
      <c r="E131" s="31">
        <v>42979</v>
      </c>
      <c r="F131" s="32">
        <f>IFERROR(DATEDIF(Table1[[#This Row],[MPG Ope Date]],Table1[[#This Row],[L]],"M"),"")</f>
        <v>92</v>
      </c>
      <c r="G131" s="25">
        <v>10030003</v>
      </c>
      <c r="H131" s="32" t="s">
        <v>194</v>
      </c>
      <c r="I131" s="32" t="s">
        <v>230</v>
      </c>
      <c r="J131" s="32">
        <v>9931439978</v>
      </c>
      <c r="K131" s="32" t="s">
        <v>69</v>
      </c>
      <c r="L131" s="32">
        <v>195781</v>
      </c>
      <c r="M131" s="32" t="s">
        <v>143</v>
      </c>
      <c r="N131" s="32" t="s">
        <v>144</v>
      </c>
      <c r="O131" s="32" t="s">
        <v>268</v>
      </c>
      <c r="P131" s="37">
        <v>45877</v>
      </c>
      <c r="Q131" s="32">
        <v>1</v>
      </c>
      <c r="R131" s="34">
        <v>125</v>
      </c>
      <c r="S131" s="34">
        <f t="shared" si="8"/>
        <v>125</v>
      </c>
      <c r="T131" s="34">
        <f t="shared" ref="T131:T194" si="11">+S131*0.18</f>
        <v>22.5</v>
      </c>
      <c r="U131" s="34">
        <f t="shared" si="9"/>
        <v>147.5</v>
      </c>
      <c r="V131" s="34"/>
      <c r="W131" s="23" t="s">
        <v>1005</v>
      </c>
    </row>
    <row r="132" spans="1:23" x14ac:dyDescent="0.25">
      <c r="A132" s="31">
        <v>45779.735185185185</v>
      </c>
      <c r="B132" s="32" t="str">
        <f t="shared" si="10"/>
        <v>May-25</v>
      </c>
      <c r="C132" s="32" t="s">
        <v>153</v>
      </c>
      <c r="D132" s="32" t="s">
        <v>369</v>
      </c>
      <c r="E132" s="31">
        <v>45745</v>
      </c>
      <c r="F132" s="32">
        <f>IFERROR(DATEDIF(Table1[[#This Row],[MPG Ope Date]],Table1[[#This Row],[L]],"M"),"")</f>
        <v>1</v>
      </c>
      <c r="G132" s="24">
        <v>10110116</v>
      </c>
      <c r="H132" s="32" t="s">
        <v>175</v>
      </c>
      <c r="I132" s="32" t="s">
        <v>212</v>
      </c>
      <c r="J132" s="32">
        <v>8447621781</v>
      </c>
      <c r="K132" s="32" t="s">
        <v>70</v>
      </c>
      <c r="L132" s="32" t="s">
        <v>252</v>
      </c>
      <c r="M132" s="32" t="s">
        <v>123</v>
      </c>
      <c r="N132" s="32" t="s">
        <v>124</v>
      </c>
      <c r="O132" s="32" t="s">
        <v>268</v>
      </c>
      <c r="P132" s="37">
        <v>45877</v>
      </c>
      <c r="Q132" s="32">
        <v>1</v>
      </c>
      <c r="R132" s="34">
        <v>350</v>
      </c>
      <c r="S132" s="34">
        <f t="shared" si="8"/>
        <v>350</v>
      </c>
      <c r="T132" s="34">
        <f t="shared" si="11"/>
        <v>63</v>
      </c>
      <c r="U132" s="34">
        <f t="shared" si="9"/>
        <v>413</v>
      </c>
      <c r="V132" s="34"/>
      <c r="W132" s="23" t="s">
        <v>1005</v>
      </c>
    </row>
    <row r="133" spans="1:23" x14ac:dyDescent="0.25">
      <c r="A133" s="31">
        <v>45778.690648148149</v>
      </c>
      <c r="B133" s="32" t="str">
        <f t="shared" si="10"/>
        <v>May-25</v>
      </c>
      <c r="C133" s="32" t="s">
        <v>153</v>
      </c>
      <c r="D133" s="32" t="s">
        <v>369</v>
      </c>
      <c r="E133" s="31">
        <v>44683</v>
      </c>
      <c r="F133" s="32">
        <f>IFERROR(DATEDIF(Table1[[#This Row],[MPG Ope Date]],Table1[[#This Row],[L]],"M"),"")</f>
        <v>35</v>
      </c>
      <c r="G133" s="25">
        <v>10140010</v>
      </c>
      <c r="H133" s="32" t="s">
        <v>195</v>
      </c>
      <c r="I133" s="32" t="s">
        <v>231</v>
      </c>
      <c r="J133" s="32">
        <v>8294507404</v>
      </c>
      <c r="K133" s="32" t="s">
        <v>70</v>
      </c>
      <c r="L133" s="32" t="s">
        <v>253</v>
      </c>
      <c r="M133" s="32" t="s">
        <v>266</v>
      </c>
      <c r="N133" s="32" t="s">
        <v>267</v>
      </c>
      <c r="O133" s="32" t="s">
        <v>268</v>
      </c>
      <c r="P133" s="37">
        <v>45877</v>
      </c>
      <c r="Q133" s="32">
        <v>1</v>
      </c>
      <c r="R133" s="34">
        <v>780</v>
      </c>
      <c r="S133" s="34">
        <f t="shared" ref="S133:S141" si="12">+Q133*R133</f>
        <v>780</v>
      </c>
      <c r="T133" s="34">
        <f t="shared" si="11"/>
        <v>140.4</v>
      </c>
      <c r="U133" s="34">
        <f t="shared" ref="U133:U141" si="13">+S133+T133</f>
        <v>920.4</v>
      </c>
      <c r="V133" s="34"/>
      <c r="W133" s="23" t="s">
        <v>1005</v>
      </c>
    </row>
    <row r="134" spans="1:23" x14ac:dyDescent="0.25">
      <c r="A134" s="31">
        <v>45778.690648148149</v>
      </c>
      <c r="B134" s="32" t="str">
        <f t="shared" si="10"/>
        <v>May-25</v>
      </c>
      <c r="C134" s="32" t="s">
        <v>153</v>
      </c>
      <c r="D134" s="32" t="s">
        <v>369</v>
      </c>
      <c r="E134" s="31">
        <v>44683</v>
      </c>
      <c r="F134" s="32">
        <f>IFERROR(DATEDIF(Table1[[#This Row],[MPG Ope Date]],Table1[[#This Row],[L]],"M"),"")</f>
        <v>35</v>
      </c>
      <c r="G134" s="25">
        <v>10140010</v>
      </c>
      <c r="H134" s="32" t="s">
        <v>195</v>
      </c>
      <c r="I134" s="32" t="s">
        <v>231</v>
      </c>
      <c r="J134" s="32">
        <v>8294507404</v>
      </c>
      <c r="K134" s="32" t="s">
        <v>70</v>
      </c>
      <c r="L134" s="32" t="s">
        <v>253</v>
      </c>
      <c r="M134" s="32" t="s">
        <v>123</v>
      </c>
      <c r="N134" s="32" t="s">
        <v>124</v>
      </c>
      <c r="O134" s="32" t="s">
        <v>268</v>
      </c>
      <c r="P134" s="37">
        <v>45877</v>
      </c>
      <c r="Q134" s="32">
        <v>1</v>
      </c>
      <c r="R134" s="34">
        <v>350</v>
      </c>
      <c r="S134" s="34">
        <f t="shared" si="12"/>
        <v>350</v>
      </c>
      <c r="T134" s="34">
        <f t="shared" si="11"/>
        <v>63</v>
      </c>
      <c r="U134" s="34">
        <f t="shared" si="13"/>
        <v>413</v>
      </c>
      <c r="V134" s="34"/>
      <c r="W134" s="23" t="s">
        <v>1005</v>
      </c>
    </row>
    <row r="135" spans="1:23" x14ac:dyDescent="0.25">
      <c r="A135" s="31">
        <v>45778.70417824074</v>
      </c>
      <c r="B135" s="32" t="str">
        <f t="shared" si="10"/>
        <v>May-25</v>
      </c>
      <c r="C135" s="32" t="s">
        <v>153</v>
      </c>
      <c r="D135" s="32" t="s">
        <v>369</v>
      </c>
      <c r="E135" s="31" t="e">
        <v>#N/A</v>
      </c>
      <c r="F135" s="32" t="str">
        <f>IFERROR(DATEDIF(Table1[[#This Row],[MPG Ope Date]],Table1[[#This Row],[L]],"M"),"")</f>
        <v/>
      </c>
      <c r="G135" s="24">
        <v>10090021</v>
      </c>
      <c r="H135" s="35" t="s">
        <v>30</v>
      </c>
      <c r="I135" s="32" t="s">
        <v>64</v>
      </c>
      <c r="J135" s="32">
        <v>9031367424</v>
      </c>
      <c r="K135" s="32" t="s">
        <v>69</v>
      </c>
      <c r="L135" s="32">
        <v>185450</v>
      </c>
      <c r="M135" s="32" t="s">
        <v>127</v>
      </c>
      <c r="N135" s="32" t="s">
        <v>128</v>
      </c>
      <c r="O135" s="32" t="s">
        <v>268</v>
      </c>
      <c r="P135" s="37">
        <v>45877</v>
      </c>
      <c r="Q135" s="32">
        <v>1</v>
      </c>
      <c r="R135" s="34">
        <v>44</v>
      </c>
      <c r="S135" s="34">
        <f t="shared" si="12"/>
        <v>44</v>
      </c>
      <c r="T135" s="34">
        <f t="shared" si="11"/>
        <v>7.92</v>
      </c>
      <c r="U135" s="34">
        <f t="shared" si="13"/>
        <v>51.92</v>
      </c>
      <c r="V135" s="34"/>
      <c r="W135" s="23" t="s">
        <v>1005</v>
      </c>
    </row>
    <row r="136" spans="1:23" x14ac:dyDescent="0.25">
      <c r="A136" s="31">
        <v>45778.70417824074</v>
      </c>
      <c r="B136" s="32" t="str">
        <f t="shared" si="10"/>
        <v>May-25</v>
      </c>
      <c r="C136" s="32" t="s">
        <v>153</v>
      </c>
      <c r="D136" s="32" t="s">
        <v>369</v>
      </c>
      <c r="E136" s="31" t="e">
        <v>#N/A</v>
      </c>
      <c r="F136" s="32" t="str">
        <f>IFERROR(DATEDIF(Table1[[#This Row],[MPG Ope Date]],Table1[[#This Row],[L]],"M"),"")</f>
        <v/>
      </c>
      <c r="G136" s="24">
        <v>10090021</v>
      </c>
      <c r="H136" s="35" t="s">
        <v>30</v>
      </c>
      <c r="I136" s="32" t="s">
        <v>64</v>
      </c>
      <c r="J136" s="32">
        <v>9031367424</v>
      </c>
      <c r="K136" s="32" t="s">
        <v>69</v>
      </c>
      <c r="L136" s="32">
        <v>185450</v>
      </c>
      <c r="M136" s="32" t="s">
        <v>127</v>
      </c>
      <c r="N136" s="32" t="s">
        <v>128</v>
      </c>
      <c r="O136" s="32" t="s">
        <v>268</v>
      </c>
      <c r="P136" s="37">
        <v>45877</v>
      </c>
      <c r="Q136" s="32">
        <v>1</v>
      </c>
      <c r="R136" s="34">
        <v>44</v>
      </c>
      <c r="S136" s="34">
        <f t="shared" si="12"/>
        <v>44</v>
      </c>
      <c r="T136" s="34">
        <f t="shared" si="11"/>
        <v>7.92</v>
      </c>
      <c r="U136" s="34">
        <f t="shared" si="13"/>
        <v>51.92</v>
      </c>
      <c r="V136" s="34"/>
      <c r="W136" s="23" t="s">
        <v>1005</v>
      </c>
    </row>
    <row r="137" spans="1:23" x14ac:dyDescent="0.25">
      <c r="A137" s="31">
        <v>45778.70417824074</v>
      </c>
      <c r="B137" s="32" t="str">
        <f t="shared" si="10"/>
        <v>May-25</v>
      </c>
      <c r="C137" s="32" t="s">
        <v>153</v>
      </c>
      <c r="D137" s="32" t="s">
        <v>369</v>
      </c>
      <c r="E137" s="31" t="e">
        <v>#N/A</v>
      </c>
      <c r="F137" s="32" t="str">
        <f>IFERROR(DATEDIF(Table1[[#This Row],[MPG Ope Date]],Table1[[#This Row],[L]],"M"),"")</f>
        <v/>
      </c>
      <c r="G137" s="24">
        <v>10090021</v>
      </c>
      <c r="H137" s="35" t="s">
        <v>30</v>
      </c>
      <c r="I137" s="32" t="s">
        <v>64</v>
      </c>
      <c r="J137" s="32">
        <v>9031367424</v>
      </c>
      <c r="K137" s="32" t="s">
        <v>69</v>
      </c>
      <c r="L137" s="32">
        <v>185450</v>
      </c>
      <c r="M137" s="32" t="s">
        <v>143</v>
      </c>
      <c r="N137" s="32" t="s">
        <v>144</v>
      </c>
      <c r="O137" s="32" t="s">
        <v>268</v>
      </c>
      <c r="P137" s="37">
        <v>45877</v>
      </c>
      <c r="Q137" s="32">
        <v>1</v>
      </c>
      <c r="R137" s="34">
        <v>125</v>
      </c>
      <c r="S137" s="34">
        <f t="shared" si="12"/>
        <v>125</v>
      </c>
      <c r="T137" s="34">
        <f t="shared" si="11"/>
        <v>22.5</v>
      </c>
      <c r="U137" s="34">
        <f t="shared" si="13"/>
        <v>147.5</v>
      </c>
      <c r="V137" s="34"/>
      <c r="W137" s="23" t="s">
        <v>1005</v>
      </c>
    </row>
    <row r="138" spans="1:23" x14ac:dyDescent="0.25">
      <c r="A138" s="31">
        <v>45778.70417824074</v>
      </c>
      <c r="B138" s="32" t="str">
        <f t="shared" si="10"/>
        <v>May-25</v>
      </c>
      <c r="C138" s="32" t="s">
        <v>153</v>
      </c>
      <c r="D138" s="32" t="s">
        <v>369</v>
      </c>
      <c r="E138" s="31" t="e">
        <v>#N/A</v>
      </c>
      <c r="F138" s="32" t="str">
        <f>IFERROR(DATEDIF(Table1[[#This Row],[MPG Ope Date]],Table1[[#This Row],[L]],"M"),"")</f>
        <v/>
      </c>
      <c r="G138" s="24">
        <v>10090021</v>
      </c>
      <c r="H138" s="35" t="s">
        <v>30</v>
      </c>
      <c r="I138" s="32" t="s">
        <v>64</v>
      </c>
      <c r="J138" s="32">
        <v>9031367424</v>
      </c>
      <c r="K138" s="32" t="s">
        <v>69</v>
      </c>
      <c r="L138" s="32">
        <v>185450</v>
      </c>
      <c r="M138" s="32" t="s">
        <v>143</v>
      </c>
      <c r="N138" s="32" t="s">
        <v>144</v>
      </c>
      <c r="O138" s="32" t="s">
        <v>268</v>
      </c>
      <c r="P138" s="37">
        <v>45877</v>
      </c>
      <c r="Q138" s="32">
        <v>1</v>
      </c>
      <c r="R138" s="34">
        <v>125</v>
      </c>
      <c r="S138" s="34">
        <f t="shared" si="12"/>
        <v>125</v>
      </c>
      <c r="T138" s="34">
        <f t="shared" si="11"/>
        <v>22.5</v>
      </c>
      <c r="U138" s="34">
        <f t="shared" si="13"/>
        <v>147.5</v>
      </c>
      <c r="V138" s="34"/>
      <c r="W138" s="23" t="s">
        <v>1005</v>
      </c>
    </row>
    <row r="139" spans="1:23" x14ac:dyDescent="0.25">
      <c r="A139" s="31">
        <v>45778.707650462966</v>
      </c>
      <c r="B139" s="32" t="str">
        <f t="shared" si="10"/>
        <v>May-25</v>
      </c>
      <c r="C139" s="32" t="s">
        <v>153</v>
      </c>
      <c r="D139" s="32" t="s">
        <v>369</v>
      </c>
      <c r="E139" s="31">
        <v>45052</v>
      </c>
      <c r="F139" s="32">
        <f>IFERROR(DATEDIF(Table1[[#This Row],[MPG Ope Date]],Table1[[#This Row],[L]],"M"),"")</f>
        <v>23</v>
      </c>
      <c r="G139" s="25">
        <v>10090036</v>
      </c>
      <c r="H139" s="32" t="s">
        <v>196</v>
      </c>
      <c r="I139" s="32" t="s">
        <v>232</v>
      </c>
      <c r="J139" s="32">
        <v>9508274420</v>
      </c>
      <c r="K139" s="32" t="s">
        <v>69</v>
      </c>
      <c r="L139" s="32">
        <v>382457</v>
      </c>
      <c r="M139" s="32" t="s">
        <v>264</v>
      </c>
      <c r="N139" s="32" t="s">
        <v>265</v>
      </c>
      <c r="O139" s="32" t="s">
        <v>268</v>
      </c>
      <c r="P139" s="37">
        <v>45877</v>
      </c>
      <c r="Q139" s="32">
        <v>1</v>
      </c>
      <c r="R139" s="34">
        <v>790</v>
      </c>
      <c r="S139" s="34">
        <f t="shared" si="12"/>
        <v>790</v>
      </c>
      <c r="T139" s="34">
        <f t="shared" si="11"/>
        <v>142.19999999999999</v>
      </c>
      <c r="U139" s="34">
        <f t="shared" si="13"/>
        <v>932.2</v>
      </c>
      <c r="V139" s="34"/>
      <c r="W139" s="23" t="s">
        <v>1005</v>
      </c>
    </row>
    <row r="140" spans="1:23" x14ac:dyDescent="0.25">
      <c r="A140" s="31">
        <v>45778.707650462966</v>
      </c>
      <c r="B140" s="32" t="str">
        <f t="shared" si="10"/>
        <v>May-25</v>
      </c>
      <c r="C140" s="32" t="s">
        <v>153</v>
      </c>
      <c r="D140" s="32" t="s">
        <v>369</v>
      </c>
      <c r="E140" s="31">
        <v>45052</v>
      </c>
      <c r="F140" s="32">
        <f>IFERROR(DATEDIF(Table1[[#This Row],[MPG Ope Date]],Table1[[#This Row],[L]],"M"),"")</f>
        <v>23</v>
      </c>
      <c r="G140" s="25">
        <v>10090036</v>
      </c>
      <c r="H140" s="32" t="s">
        <v>196</v>
      </c>
      <c r="I140" s="32" t="s">
        <v>232</v>
      </c>
      <c r="J140" s="32">
        <v>9508274420</v>
      </c>
      <c r="K140" s="32" t="s">
        <v>69</v>
      </c>
      <c r="L140" s="32">
        <v>382457</v>
      </c>
      <c r="M140" s="32" t="s">
        <v>121</v>
      </c>
      <c r="N140" s="32" t="s">
        <v>122</v>
      </c>
      <c r="O140" s="32" t="s">
        <v>268</v>
      </c>
      <c r="P140" s="37">
        <v>45877</v>
      </c>
      <c r="Q140" s="32">
        <v>1</v>
      </c>
      <c r="R140" s="34">
        <v>70</v>
      </c>
      <c r="S140" s="34">
        <f t="shared" si="12"/>
        <v>70</v>
      </c>
      <c r="T140" s="34">
        <f t="shared" si="11"/>
        <v>12.6</v>
      </c>
      <c r="U140" s="34">
        <f t="shared" si="13"/>
        <v>82.6</v>
      </c>
      <c r="V140" s="34"/>
      <c r="W140" s="23" t="s">
        <v>1005</v>
      </c>
    </row>
    <row r="141" spans="1:23" x14ac:dyDescent="0.25">
      <c r="A141" s="31">
        <v>45778.707650462966</v>
      </c>
      <c r="B141" s="32" t="str">
        <f t="shared" si="10"/>
        <v>May-25</v>
      </c>
      <c r="C141" s="32" t="s">
        <v>153</v>
      </c>
      <c r="D141" s="32" t="s">
        <v>369</v>
      </c>
      <c r="E141" s="31">
        <v>45052</v>
      </c>
      <c r="F141" s="32">
        <f>IFERROR(DATEDIF(Table1[[#This Row],[MPG Ope Date]],Table1[[#This Row],[L]],"M"),"")</f>
        <v>23</v>
      </c>
      <c r="G141" s="25">
        <v>10090036</v>
      </c>
      <c r="H141" s="32" t="s">
        <v>196</v>
      </c>
      <c r="I141" s="32" t="s">
        <v>232</v>
      </c>
      <c r="J141" s="32">
        <v>9508274420</v>
      </c>
      <c r="K141" s="32" t="s">
        <v>69</v>
      </c>
      <c r="L141" s="32">
        <v>382457</v>
      </c>
      <c r="M141" s="32" t="s">
        <v>121</v>
      </c>
      <c r="N141" s="32" t="s">
        <v>122</v>
      </c>
      <c r="O141" s="32" t="s">
        <v>268</v>
      </c>
      <c r="P141" s="37">
        <v>45877</v>
      </c>
      <c r="Q141" s="32">
        <v>1</v>
      </c>
      <c r="R141" s="34">
        <v>70</v>
      </c>
      <c r="S141" s="34">
        <f t="shared" si="12"/>
        <v>70</v>
      </c>
      <c r="T141" s="34">
        <f t="shared" si="11"/>
        <v>12.6</v>
      </c>
      <c r="U141" s="34">
        <f t="shared" si="13"/>
        <v>82.6</v>
      </c>
      <c r="V141" s="34"/>
      <c r="W141" s="23" t="s">
        <v>1005</v>
      </c>
    </row>
    <row r="142" spans="1:23" x14ac:dyDescent="0.25">
      <c r="A142" s="31">
        <v>45836.860393518517</v>
      </c>
      <c r="B142" s="32" t="str">
        <f t="shared" si="10"/>
        <v>Jun-25</v>
      </c>
      <c r="C142" s="32" t="s">
        <v>152</v>
      </c>
      <c r="D142" s="32" t="s">
        <v>369</v>
      </c>
      <c r="E142" s="31" t="e">
        <v>#N/A</v>
      </c>
      <c r="F142" s="32" t="str">
        <f>IFERROR(DATEDIF(Table1[[#This Row],[MPG Ope Date]],Table1[[#This Row],[L]],"M"),"")</f>
        <v/>
      </c>
      <c r="G142" s="24">
        <v>20020002</v>
      </c>
      <c r="H142" s="32" t="s">
        <v>269</v>
      </c>
      <c r="I142" s="32" t="s">
        <v>302</v>
      </c>
      <c r="J142" s="32">
        <v>7061476343</v>
      </c>
      <c r="K142" s="32" t="s">
        <v>69</v>
      </c>
      <c r="L142" s="32">
        <v>364726</v>
      </c>
      <c r="M142" s="32" t="s">
        <v>115</v>
      </c>
      <c r="N142" s="32" t="s">
        <v>116</v>
      </c>
      <c r="O142" s="23" t="s">
        <v>362</v>
      </c>
      <c r="P142" s="37">
        <v>45880</v>
      </c>
      <c r="Q142" s="32">
        <v>1</v>
      </c>
      <c r="R142" s="34">
        <v>8500</v>
      </c>
      <c r="S142" s="34">
        <f t="shared" ref="S142:S205" si="14">+Q142*R142</f>
        <v>8500</v>
      </c>
      <c r="T142" s="34">
        <f t="shared" si="11"/>
        <v>1530</v>
      </c>
      <c r="U142" s="34">
        <f t="shared" ref="U142:U205" si="15">+S142+T142</f>
        <v>10030</v>
      </c>
      <c r="V142" s="34"/>
      <c r="W142" s="23" t="e">
        <v>#N/A</v>
      </c>
    </row>
    <row r="143" spans="1:23" x14ac:dyDescent="0.25">
      <c r="A143" s="31">
        <v>45836.858923611115</v>
      </c>
      <c r="B143" s="32" t="str">
        <f t="shared" si="10"/>
        <v>Jun-25</v>
      </c>
      <c r="C143" s="32" t="s">
        <v>152</v>
      </c>
      <c r="D143" s="32" t="s">
        <v>0</v>
      </c>
      <c r="E143" s="31" t="e">
        <v>#N/A</v>
      </c>
      <c r="F143" s="32" t="str">
        <f>IFERROR(DATEDIF(Table1[[#This Row],[MPG Ope Date]],Table1[[#This Row],[L]],"M"),"")</f>
        <v/>
      </c>
      <c r="G143" s="36">
        <v>2002</v>
      </c>
      <c r="H143" s="32" t="s">
        <v>270</v>
      </c>
      <c r="I143" s="32" t="s">
        <v>303</v>
      </c>
      <c r="J143" s="32">
        <v>8709856463</v>
      </c>
      <c r="K143" s="32" t="s">
        <v>69</v>
      </c>
      <c r="L143" s="32">
        <v>360621</v>
      </c>
      <c r="M143" s="32" t="s">
        <v>115</v>
      </c>
      <c r="N143" s="32" t="s">
        <v>116</v>
      </c>
      <c r="O143" s="23" t="s">
        <v>362</v>
      </c>
      <c r="P143" s="37">
        <v>45880</v>
      </c>
      <c r="Q143" s="32">
        <v>1</v>
      </c>
      <c r="R143" s="34">
        <v>8500</v>
      </c>
      <c r="S143" s="34">
        <f t="shared" si="14"/>
        <v>8500</v>
      </c>
      <c r="T143" s="34">
        <f t="shared" si="11"/>
        <v>1530</v>
      </c>
      <c r="U143" s="34">
        <f t="shared" si="15"/>
        <v>10030</v>
      </c>
      <c r="V143" s="34"/>
      <c r="W143" s="23" t="e">
        <v>#N/A</v>
      </c>
    </row>
    <row r="144" spans="1:23" x14ac:dyDescent="0.25">
      <c r="A144" s="31">
        <v>45836.487696759257</v>
      </c>
      <c r="B144" s="32" t="str">
        <f t="shared" si="10"/>
        <v>Jun-25</v>
      </c>
      <c r="C144" s="23" t="s">
        <v>153</v>
      </c>
      <c r="D144" s="23" t="s">
        <v>369</v>
      </c>
      <c r="E144" s="39">
        <v>45530</v>
      </c>
      <c r="F144" s="32">
        <f>IFERROR(DATEDIF(Table1[[#This Row],[MPG Ope Date]],Table1[[#This Row],[L]],"M"),"")</f>
        <v>10</v>
      </c>
      <c r="G144" s="24">
        <v>10120083</v>
      </c>
      <c r="H144" s="32" t="s">
        <v>164</v>
      </c>
      <c r="I144" s="32" t="s">
        <v>201</v>
      </c>
      <c r="J144" s="32">
        <v>9262776421</v>
      </c>
      <c r="K144" s="32" t="s">
        <v>68</v>
      </c>
      <c r="L144" s="32" t="s">
        <v>334</v>
      </c>
      <c r="M144" s="32" t="s">
        <v>113</v>
      </c>
      <c r="N144" s="32" t="s">
        <v>114</v>
      </c>
      <c r="O144" s="32" t="s">
        <v>363</v>
      </c>
      <c r="P144" s="37">
        <v>45877</v>
      </c>
      <c r="Q144" s="32">
        <v>1</v>
      </c>
      <c r="R144" s="34">
        <v>225</v>
      </c>
      <c r="S144" s="34">
        <f t="shared" si="14"/>
        <v>225</v>
      </c>
      <c r="T144" s="34">
        <f t="shared" si="11"/>
        <v>40.5</v>
      </c>
      <c r="U144" s="34">
        <f t="shared" si="15"/>
        <v>265.5</v>
      </c>
      <c r="V144" s="34"/>
      <c r="W144" s="23" t="s">
        <v>1005</v>
      </c>
    </row>
    <row r="145" spans="1:23" x14ac:dyDescent="0.25">
      <c r="A145" s="31">
        <v>45836.634189814817</v>
      </c>
      <c r="B145" s="32" t="str">
        <f t="shared" si="10"/>
        <v>Jun-25</v>
      </c>
      <c r="C145" s="23" t="s">
        <v>153</v>
      </c>
      <c r="D145" s="23" t="s">
        <v>369</v>
      </c>
      <c r="E145" s="39" t="e">
        <v>#N/A</v>
      </c>
      <c r="F145" s="32" t="str">
        <f>IFERROR(DATEDIF(Table1[[#This Row],[MPG Ope Date]],Table1[[#This Row],[L]],"M"),"")</f>
        <v/>
      </c>
      <c r="G145" s="24">
        <v>10480005</v>
      </c>
      <c r="H145" s="35" t="s">
        <v>271</v>
      </c>
      <c r="I145" s="32" t="s">
        <v>304</v>
      </c>
      <c r="J145" s="32">
        <v>9006730035</v>
      </c>
      <c r="K145" s="32" t="s">
        <v>70</v>
      </c>
      <c r="L145" s="32" t="s">
        <v>335</v>
      </c>
      <c r="M145" s="32" t="s">
        <v>123</v>
      </c>
      <c r="N145" s="32" t="s">
        <v>124</v>
      </c>
      <c r="O145" s="32" t="s">
        <v>363</v>
      </c>
      <c r="P145" s="37">
        <v>45877</v>
      </c>
      <c r="Q145" s="32">
        <v>1</v>
      </c>
      <c r="R145" s="34">
        <v>350</v>
      </c>
      <c r="S145" s="34">
        <f t="shared" si="14"/>
        <v>350</v>
      </c>
      <c r="T145" s="34">
        <f t="shared" si="11"/>
        <v>63</v>
      </c>
      <c r="U145" s="34">
        <f t="shared" si="15"/>
        <v>413</v>
      </c>
      <c r="V145" s="34"/>
      <c r="W145" s="23" t="s">
        <v>1005</v>
      </c>
    </row>
    <row r="146" spans="1:23" x14ac:dyDescent="0.25">
      <c r="A146" s="31">
        <v>45836.585219907407</v>
      </c>
      <c r="B146" s="32" t="str">
        <f t="shared" si="10"/>
        <v>Jun-25</v>
      </c>
      <c r="C146" s="23" t="s">
        <v>153</v>
      </c>
      <c r="D146" s="23" t="s">
        <v>369</v>
      </c>
      <c r="E146" s="39">
        <v>44693</v>
      </c>
      <c r="F146" s="32">
        <f>IFERROR(DATEDIF(Table1[[#This Row],[MPG Ope Date]],Table1[[#This Row],[L]],"M"),"")</f>
        <v>37</v>
      </c>
      <c r="G146" s="24">
        <v>10080015</v>
      </c>
      <c r="H146" s="32" t="s">
        <v>272</v>
      </c>
      <c r="I146" s="32" t="s">
        <v>212</v>
      </c>
      <c r="J146" s="32">
        <v>9570636048</v>
      </c>
      <c r="K146" s="32" t="s">
        <v>69</v>
      </c>
      <c r="L146" s="32">
        <v>359873</v>
      </c>
      <c r="M146" s="32" t="s">
        <v>119</v>
      </c>
      <c r="N146" s="32" t="s">
        <v>120</v>
      </c>
      <c r="O146" s="32" t="s">
        <v>363</v>
      </c>
      <c r="P146" s="37">
        <v>45877</v>
      </c>
      <c r="Q146" s="32">
        <v>1</v>
      </c>
      <c r="R146" s="34">
        <v>84</v>
      </c>
      <c r="S146" s="34">
        <f t="shared" si="14"/>
        <v>84</v>
      </c>
      <c r="T146" s="34">
        <f t="shared" si="11"/>
        <v>15.12</v>
      </c>
      <c r="U146" s="34">
        <f t="shared" si="15"/>
        <v>99.12</v>
      </c>
      <c r="V146" s="34"/>
      <c r="W146" s="23" t="s">
        <v>1005</v>
      </c>
    </row>
    <row r="147" spans="1:23" x14ac:dyDescent="0.25">
      <c r="A147" s="31">
        <v>45836.585219907407</v>
      </c>
      <c r="B147" s="32" t="str">
        <f t="shared" si="10"/>
        <v>Jun-25</v>
      </c>
      <c r="C147" s="23" t="s">
        <v>153</v>
      </c>
      <c r="D147" s="23" t="s">
        <v>369</v>
      </c>
      <c r="E147" s="39">
        <v>44693</v>
      </c>
      <c r="F147" s="32">
        <f>IFERROR(DATEDIF(Table1[[#This Row],[MPG Ope Date]],Table1[[#This Row],[L]],"M"),"")</f>
        <v>37</v>
      </c>
      <c r="G147" s="24">
        <v>10080015</v>
      </c>
      <c r="H147" s="32" t="s">
        <v>272</v>
      </c>
      <c r="I147" s="32" t="s">
        <v>212</v>
      </c>
      <c r="J147" s="32">
        <v>9570636048</v>
      </c>
      <c r="K147" s="32" t="s">
        <v>69</v>
      </c>
      <c r="L147" s="32">
        <v>359873</v>
      </c>
      <c r="M147" s="32" t="s">
        <v>360</v>
      </c>
      <c r="N147" s="32" t="s">
        <v>361</v>
      </c>
      <c r="O147" s="32" t="s">
        <v>363</v>
      </c>
      <c r="P147" s="37">
        <v>45877</v>
      </c>
      <c r="Q147" s="32">
        <v>1</v>
      </c>
      <c r="R147" s="34">
        <v>44</v>
      </c>
      <c r="S147" s="34">
        <f t="shared" si="14"/>
        <v>44</v>
      </c>
      <c r="T147" s="34">
        <f t="shared" si="11"/>
        <v>7.92</v>
      </c>
      <c r="U147" s="34">
        <f t="shared" si="15"/>
        <v>51.92</v>
      </c>
      <c r="V147" s="34"/>
      <c r="W147" s="23" t="s">
        <v>1005</v>
      </c>
    </row>
    <row r="148" spans="1:23" x14ac:dyDescent="0.25">
      <c r="A148" s="31">
        <v>45810.597800925927</v>
      </c>
      <c r="B148" s="32" t="str">
        <f t="shared" si="10"/>
        <v>Jun-25</v>
      </c>
      <c r="C148" s="23" t="s">
        <v>153</v>
      </c>
      <c r="D148" s="23" t="s">
        <v>369</v>
      </c>
      <c r="E148" s="39">
        <v>43731</v>
      </c>
      <c r="F148" s="32">
        <f>IFERROR(DATEDIF(Table1[[#This Row],[MPG Ope Date]],Table1[[#This Row],[L]],"M"),"")</f>
        <v>68</v>
      </c>
      <c r="G148" s="24">
        <v>10120006</v>
      </c>
      <c r="H148" s="32" t="s">
        <v>273</v>
      </c>
      <c r="I148" s="32" t="s">
        <v>305</v>
      </c>
      <c r="J148" s="32">
        <v>7033197978</v>
      </c>
      <c r="K148" s="32" t="s">
        <v>71</v>
      </c>
      <c r="L148" s="32" t="s">
        <v>336</v>
      </c>
      <c r="M148" s="32" t="s">
        <v>129</v>
      </c>
      <c r="N148" s="32" t="s">
        <v>130</v>
      </c>
      <c r="O148" s="32" t="s">
        <v>363</v>
      </c>
      <c r="P148" s="37">
        <v>45877</v>
      </c>
      <c r="Q148" s="32">
        <v>1</v>
      </c>
      <c r="R148" s="34">
        <v>1750</v>
      </c>
      <c r="S148" s="34">
        <f t="shared" si="14"/>
        <v>1750</v>
      </c>
      <c r="T148" s="34">
        <f t="shared" si="11"/>
        <v>315</v>
      </c>
      <c r="U148" s="34">
        <f t="shared" si="15"/>
        <v>2065</v>
      </c>
      <c r="V148" s="34"/>
      <c r="W148" s="23" t="s">
        <v>1005</v>
      </c>
    </row>
    <row r="149" spans="1:23" x14ac:dyDescent="0.25">
      <c r="A149" s="31">
        <v>45810.573368055557</v>
      </c>
      <c r="B149" s="32" t="str">
        <f t="shared" si="10"/>
        <v>Jun-25</v>
      </c>
      <c r="C149" s="23" t="s">
        <v>153</v>
      </c>
      <c r="D149" s="23" t="s">
        <v>369</v>
      </c>
      <c r="E149" s="39">
        <v>44978</v>
      </c>
      <c r="F149" s="32">
        <f>IFERROR(DATEDIF(Table1[[#This Row],[MPG Ope Date]],Table1[[#This Row],[L]],"M"),"")</f>
        <v>27</v>
      </c>
      <c r="G149" s="25">
        <v>10090030</v>
      </c>
      <c r="H149" s="32" t="s">
        <v>177</v>
      </c>
      <c r="I149" s="32" t="s">
        <v>214</v>
      </c>
      <c r="J149" s="32">
        <v>7739090727</v>
      </c>
      <c r="K149" s="32" t="s">
        <v>70</v>
      </c>
      <c r="L149" s="32" t="s">
        <v>337</v>
      </c>
      <c r="M149" s="32" t="s">
        <v>123</v>
      </c>
      <c r="N149" s="32" t="s">
        <v>124</v>
      </c>
      <c r="O149" s="32" t="s">
        <v>363</v>
      </c>
      <c r="P149" s="37">
        <v>45877</v>
      </c>
      <c r="Q149" s="32">
        <v>1</v>
      </c>
      <c r="R149" s="34">
        <v>350</v>
      </c>
      <c r="S149" s="34">
        <f t="shared" si="14"/>
        <v>350</v>
      </c>
      <c r="T149" s="34">
        <f t="shared" si="11"/>
        <v>63</v>
      </c>
      <c r="U149" s="34">
        <f t="shared" si="15"/>
        <v>413</v>
      </c>
      <c r="V149" s="34"/>
      <c r="W149" s="23" t="s">
        <v>1005</v>
      </c>
    </row>
    <row r="150" spans="1:23" x14ac:dyDescent="0.25">
      <c r="A150" s="31">
        <v>45810.463900462964</v>
      </c>
      <c r="B150" s="32" t="str">
        <f t="shared" si="10"/>
        <v>Jun-25</v>
      </c>
      <c r="C150" s="23" t="s">
        <v>153</v>
      </c>
      <c r="D150" s="23" t="s">
        <v>369</v>
      </c>
      <c r="E150" s="39">
        <v>45870</v>
      </c>
      <c r="F150" s="32" t="str">
        <f>IFERROR(DATEDIF(Table1[[#This Row],[MPG Ope Date]],Table1[[#This Row],[L]],"M"),"")</f>
        <v/>
      </c>
      <c r="G150" s="24">
        <v>10010131</v>
      </c>
      <c r="H150" s="32" t="s">
        <v>274</v>
      </c>
      <c r="I150" s="32" t="s">
        <v>306</v>
      </c>
      <c r="J150" s="32">
        <v>9771243315</v>
      </c>
      <c r="K150" s="32" t="s">
        <v>69</v>
      </c>
      <c r="L150" s="32">
        <v>380038</v>
      </c>
      <c r="M150" s="32" t="s">
        <v>119</v>
      </c>
      <c r="N150" s="32" t="s">
        <v>120</v>
      </c>
      <c r="O150" s="32" t="s">
        <v>363</v>
      </c>
      <c r="P150" s="37">
        <v>45877</v>
      </c>
      <c r="Q150" s="32">
        <v>1</v>
      </c>
      <c r="R150" s="34">
        <v>84</v>
      </c>
      <c r="S150" s="34">
        <f t="shared" si="14"/>
        <v>84</v>
      </c>
      <c r="T150" s="34">
        <f t="shared" si="11"/>
        <v>15.12</v>
      </c>
      <c r="U150" s="34">
        <f t="shared" si="15"/>
        <v>99.12</v>
      </c>
      <c r="V150" s="34"/>
      <c r="W150" s="23" t="s">
        <v>1005</v>
      </c>
    </row>
    <row r="151" spans="1:23" x14ac:dyDescent="0.25">
      <c r="A151" s="31">
        <v>45811.507199074076</v>
      </c>
      <c r="B151" s="32" t="str">
        <f t="shared" si="10"/>
        <v>Jun-25</v>
      </c>
      <c r="C151" s="23" t="s">
        <v>153</v>
      </c>
      <c r="D151" s="23" t="s">
        <v>0</v>
      </c>
      <c r="E151" s="39" t="e">
        <v>#N/A</v>
      </c>
      <c r="F151" s="32" t="str">
        <f>IFERROR(DATEDIF(Table1[[#This Row],[MPG Ope Date]],Table1[[#This Row],[L]],"M"),"")</f>
        <v/>
      </c>
      <c r="G151" s="27">
        <v>1007</v>
      </c>
      <c r="H151" s="40" t="s">
        <v>417</v>
      </c>
      <c r="I151" s="41" t="s">
        <v>441</v>
      </c>
      <c r="J151" s="41">
        <v>9631676073</v>
      </c>
      <c r="K151" s="32" t="s">
        <v>69</v>
      </c>
      <c r="L151" s="32">
        <v>387787</v>
      </c>
      <c r="M151" s="32" t="s">
        <v>119</v>
      </c>
      <c r="N151" s="32" t="s">
        <v>120</v>
      </c>
      <c r="O151" s="32" t="s">
        <v>363</v>
      </c>
      <c r="P151" s="37">
        <v>45877</v>
      </c>
      <c r="Q151" s="32">
        <v>1</v>
      </c>
      <c r="R151" s="34">
        <v>84</v>
      </c>
      <c r="S151" s="34">
        <f t="shared" si="14"/>
        <v>84</v>
      </c>
      <c r="T151" s="34">
        <f t="shared" si="11"/>
        <v>15.12</v>
      </c>
      <c r="U151" s="34">
        <f t="shared" si="15"/>
        <v>99.12</v>
      </c>
      <c r="V151" s="34"/>
      <c r="W151" s="23" t="e">
        <v>#N/A</v>
      </c>
    </row>
    <row r="152" spans="1:23" x14ac:dyDescent="0.25">
      <c r="A152" s="31">
        <v>45812.620636574073</v>
      </c>
      <c r="B152" s="32" t="str">
        <f t="shared" si="10"/>
        <v>Jun-25</v>
      </c>
      <c r="C152" s="23" t="s">
        <v>153</v>
      </c>
      <c r="D152" s="23" t="s">
        <v>369</v>
      </c>
      <c r="E152" s="39" t="e">
        <v>#N/A</v>
      </c>
      <c r="F152" s="32" t="str">
        <f>IFERROR(DATEDIF(Table1[[#This Row],[MPG Ope Date]],Table1[[#This Row],[L]],"M"),"")</f>
        <v/>
      </c>
      <c r="G152" s="24">
        <v>10030032</v>
      </c>
      <c r="H152" s="35" t="s">
        <v>275</v>
      </c>
      <c r="I152" s="32" t="s">
        <v>307</v>
      </c>
      <c r="J152" s="32">
        <v>8102484666</v>
      </c>
      <c r="K152" s="32" t="s">
        <v>69</v>
      </c>
      <c r="L152" s="32">
        <v>277187</v>
      </c>
      <c r="M152" s="32" t="s">
        <v>119</v>
      </c>
      <c r="N152" s="32" t="s">
        <v>120</v>
      </c>
      <c r="O152" s="32" t="s">
        <v>363</v>
      </c>
      <c r="P152" s="37">
        <v>45877</v>
      </c>
      <c r="Q152" s="32">
        <v>1</v>
      </c>
      <c r="R152" s="34">
        <v>84</v>
      </c>
      <c r="S152" s="34">
        <f t="shared" si="14"/>
        <v>84</v>
      </c>
      <c r="T152" s="34">
        <f t="shared" si="11"/>
        <v>15.12</v>
      </c>
      <c r="U152" s="34">
        <f t="shared" si="15"/>
        <v>99.12</v>
      </c>
      <c r="V152" s="34"/>
      <c r="W152" s="23" t="s">
        <v>1005</v>
      </c>
    </row>
    <row r="153" spans="1:23" x14ac:dyDescent="0.25">
      <c r="A153" s="31">
        <v>45814.56758101852</v>
      </c>
      <c r="B153" s="32" t="str">
        <f t="shared" si="10"/>
        <v>Jun-25</v>
      </c>
      <c r="C153" s="23" t="s">
        <v>153</v>
      </c>
      <c r="D153" s="23" t="s">
        <v>369</v>
      </c>
      <c r="E153" s="39">
        <v>43756</v>
      </c>
      <c r="F153" s="32">
        <f>IFERROR(DATEDIF(Table1[[#This Row],[MPG Ope Date]],Table1[[#This Row],[L]],"M"),"")</f>
        <v>67</v>
      </c>
      <c r="G153" s="24">
        <v>10130003</v>
      </c>
      <c r="H153" s="32" t="s">
        <v>276</v>
      </c>
      <c r="I153" s="32" t="s">
        <v>308</v>
      </c>
      <c r="J153" s="32">
        <v>7631356700</v>
      </c>
      <c r="K153" s="32" t="s">
        <v>68</v>
      </c>
      <c r="L153" s="32" t="s">
        <v>338</v>
      </c>
      <c r="M153" s="32" t="s">
        <v>111</v>
      </c>
      <c r="N153" s="32" t="s">
        <v>112</v>
      </c>
      <c r="O153" s="32" t="s">
        <v>363</v>
      </c>
      <c r="P153" s="37">
        <v>45877</v>
      </c>
      <c r="Q153" s="32">
        <v>1</v>
      </c>
      <c r="R153" s="34">
        <v>360</v>
      </c>
      <c r="S153" s="34">
        <f t="shared" si="14"/>
        <v>360</v>
      </c>
      <c r="T153" s="34">
        <f t="shared" si="11"/>
        <v>64.8</v>
      </c>
      <c r="U153" s="34">
        <f t="shared" si="15"/>
        <v>424.8</v>
      </c>
      <c r="V153" s="34"/>
      <c r="W153" s="23" t="s">
        <v>1005</v>
      </c>
    </row>
    <row r="154" spans="1:23" x14ac:dyDescent="0.25">
      <c r="A154" s="31">
        <v>45836.585219907407</v>
      </c>
      <c r="B154" s="32" t="str">
        <f t="shared" si="10"/>
        <v>Jun-25</v>
      </c>
      <c r="C154" s="23" t="s">
        <v>153</v>
      </c>
      <c r="D154" s="23" t="s">
        <v>369</v>
      </c>
      <c r="E154" s="39">
        <v>44693</v>
      </c>
      <c r="F154" s="32">
        <f>IFERROR(DATEDIF(Table1[[#This Row],[MPG Ope Date]],Table1[[#This Row],[L]],"M"),"")</f>
        <v>37</v>
      </c>
      <c r="G154" s="24">
        <v>10080015</v>
      </c>
      <c r="H154" s="32" t="s">
        <v>272</v>
      </c>
      <c r="I154" s="32" t="s">
        <v>212</v>
      </c>
      <c r="J154" s="32">
        <v>9570636048</v>
      </c>
      <c r="K154" s="32" t="s">
        <v>69</v>
      </c>
      <c r="L154" s="32">
        <v>359873</v>
      </c>
      <c r="M154" s="32" t="s">
        <v>360</v>
      </c>
      <c r="N154" s="32" t="s">
        <v>361</v>
      </c>
      <c r="O154" s="32" t="s">
        <v>363</v>
      </c>
      <c r="P154" s="37">
        <v>45877</v>
      </c>
      <c r="Q154" s="32">
        <v>1</v>
      </c>
      <c r="R154" s="34">
        <v>44</v>
      </c>
      <c r="S154" s="34">
        <f t="shared" si="14"/>
        <v>44</v>
      </c>
      <c r="T154" s="34">
        <f t="shared" si="11"/>
        <v>7.92</v>
      </c>
      <c r="U154" s="34">
        <f t="shared" si="15"/>
        <v>51.92</v>
      </c>
      <c r="V154" s="34"/>
      <c r="W154" s="23" t="s">
        <v>1005</v>
      </c>
    </row>
    <row r="155" spans="1:23" x14ac:dyDescent="0.25">
      <c r="A155" s="31">
        <v>45836.583634259259</v>
      </c>
      <c r="B155" s="32" t="str">
        <f t="shared" si="10"/>
        <v>Jun-25</v>
      </c>
      <c r="C155" s="23" t="s">
        <v>153</v>
      </c>
      <c r="D155" s="23" t="s">
        <v>0</v>
      </c>
      <c r="E155" s="39" t="e">
        <v>#N/A</v>
      </c>
      <c r="F155" s="32" t="str">
        <f>IFERROR(DATEDIF(Table1[[#This Row],[MPG Ope Date]],Table1[[#This Row],[L]],"M"),"")</f>
        <v/>
      </c>
      <c r="G155" s="36">
        <v>1008</v>
      </c>
      <c r="H155" s="32" t="s">
        <v>7</v>
      </c>
      <c r="I155" s="32" t="s">
        <v>40</v>
      </c>
      <c r="J155" s="32">
        <v>9113108485</v>
      </c>
      <c r="K155" s="32" t="s">
        <v>72</v>
      </c>
      <c r="L155" s="32" t="s">
        <v>339</v>
      </c>
      <c r="M155" s="32" t="s">
        <v>139</v>
      </c>
      <c r="N155" s="32" t="s">
        <v>140</v>
      </c>
      <c r="O155" s="32" t="s">
        <v>363</v>
      </c>
      <c r="P155" s="37">
        <v>45877</v>
      </c>
      <c r="Q155" s="32">
        <v>1</v>
      </c>
      <c r="R155" s="34">
        <v>1266</v>
      </c>
      <c r="S155" s="34">
        <f t="shared" si="14"/>
        <v>1266</v>
      </c>
      <c r="T155" s="34">
        <f t="shared" si="11"/>
        <v>227.88</v>
      </c>
      <c r="U155" s="34">
        <f t="shared" si="15"/>
        <v>1493.88</v>
      </c>
      <c r="V155" s="34"/>
      <c r="W155" s="23" t="e">
        <v>#N/A</v>
      </c>
    </row>
    <row r="156" spans="1:23" x14ac:dyDescent="0.25">
      <c r="A156" s="31">
        <v>45817.63726851852</v>
      </c>
      <c r="B156" s="32" t="str">
        <f t="shared" si="10"/>
        <v>Jun-25</v>
      </c>
      <c r="C156" s="23" t="s">
        <v>153</v>
      </c>
      <c r="D156" s="23" t="s">
        <v>0</v>
      </c>
      <c r="E156" s="39" t="e">
        <v>#N/A</v>
      </c>
      <c r="F156" s="32" t="str">
        <f>IFERROR(DATEDIF(Table1[[#This Row],[MPG Ope Date]],Table1[[#This Row],[L]],"M"),"")</f>
        <v/>
      </c>
      <c r="G156" s="27">
        <v>1007</v>
      </c>
      <c r="H156" s="40" t="s">
        <v>417</v>
      </c>
      <c r="I156" s="41" t="s">
        <v>441</v>
      </c>
      <c r="J156" s="41">
        <v>9631676073</v>
      </c>
      <c r="K156" s="32" t="s">
        <v>69</v>
      </c>
      <c r="L156" s="32">
        <v>210413</v>
      </c>
      <c r="M156" s="32" t="s">
        <v>254</v>
      </c>
      <c r="N156" s="32" t="s">
        <v>255</v>
      </c>
      <c r="O156" s="32" t="s">
        <v>363</v>
      </c>
      <c r="P156" s="37">
        <v>45877</v>
      </c>
      <c r="Q156" s="32">
        <v>1</v>
      </c>
      <c r="R156" s="34">
        <v>2000</v>
      </c>
      <c r="S156" s="34">
        <f t="shared" si="14"/>
        <v>2000</v>
      </c>
      <c r="T156" s="34">
        <f t="shared" si="11"/>
        <v>360</v>
      </c>
      <c r="U156" s="34">
        <f t="shared" si="15"/>
        <v>2360</v>
      </c>
      <c r="V156" s="34"/>
      <c r="W156" s="23" t="e">
        <v>#N/A</v>
      </c>
    </row>
    <row r="157" spans="1:23" x14ac:dyDescent="0.25">
      <c r="A157" s="31">
        <v>45835.621516203704</v>
      </c>
      <c r="B157" s="32" t="str">
        <f t="shared" si="10"/>
        <v>Jun-25</v>
      </c>
      <c r="C157" s="23" t="s">
        <v>153</v>
      </c>
      <c r="D157" s="23" t="s">
        <v>369</v>
      </c>
      <c r="E157" s="39">
        <v>42979</v>
      </c>
      <c r="F157" s="32">
        <f>IFERROR(DATEDIF(Table1[[#This Row],[MPG Ope Date]],Table1[[#This Row],[L]],"M"),"")</f>
        <v>93</v>
      </c>
      <c r="G157" s="25">
        <v>10020068</v>
      </c>
      <c r="H157" s="32" t="s">
        <v>277</v>
      </c>
      <c r="I157" s="32" t="s">
        <v>309</v>
      </c>
      <c r="J157" s="32">
        <v>7764922168</v>
      </c>
      <c r="K157" s="32" t="s">
        <v>71</v>
      </c>
      <c r="L157" s="32" t="s">
        <v>340</v>
      </c>
      <c r="M157" s="32" t="s">
        <v>141</v>
      </c>
      <c r="N157" s="32" t="s">
        <v>142</v>
      </c>
      <c r="O157" s="32" t="s">
        <v>363</v>
      </c>
      <c r="P157" s="37">
        <v>45877</v>
      </c>
      <c r="Q157" s="32">
        <v>1</v>
      </c>
      <c r="R157" s="34">
        <v>900</v>
      </c>
      <c r="S157" s="34">
        <f t="shared" si="14"/>
        <v>900</v>
      </c>
      <c r="T157" s="34">
        <f t="shared" si="11"/>
        <v>162</v>
      </c>
      <c r="U157" s="34">
        <f t="shared" si="15"/>
        <v>1062</v>
      </c>
      <c r="V157" s="34"/>
      <c r="W157" s="23" t="s">
        <v>1005</v>
      </c>
    </row>
    <row r="158" spans="1:23" x14ac:dyDescent="0.25">
      <c r="A158" s="31">
        <v>45835.600798611114</v>
      </c>
      <c r="B158" s="32" t="str">
        <f t="shared" si="10"/>
        <v>Jun-25</v>
      </c>
      <c r="C158" s="23" t="s">
        <v>153</v>
      </c>
      <c r="D158" s="23" t="s">
        <v>369</v>
      </c>
      <c r="E158" s="39">
        <v>44701</v>
      </c>
      <c r="F158" s="32">
        <f>IFERROR(DATEDIF(Table1[[#This Row],[MPG Ope Date]],Table1[[#This Row],[L]],"M"),"")</f>
        <v>37</v>
      </c>
      <c r="G158" s="25">
        <v>10020022</v>
      </c>
      <c r="H158" s="32" t="s">
        <v>278</v>
      </c>
      <c r="I158" s="32" t="s">
        <v>310</v>
      </c>
      <c r="J158" s="32">
        <v>9905292557</v>
      </c>
      <c r="K158" s="32" t="s">
        <v>69</v>
      </c>
      <c r="L158" s="32">
        <v>277378</v>
      </c>
      <c r="M158" s="32" t="s">
        <v>262</v>
      </c>
      <c r="N158" s="32" t="s">
        <v>263</v>
      </c>
      <c r="O158" s="32" t="s">
        <v>363</v>
      </c>
      <c r="P158" s="37">
        <v>45877</v>
      </c>
      <c r="Q158" s="32">
        <v>1</v>
      </c>
      <c r="R158" s="34">
        <v>140</v>
      </c>
      <c r="S158" s="34">
        <f t="shared" si="14"/>
        <v>140</v>
      </c>
      <c r="T158" s="34">
        <f t="shared" si="11"/>
        <v>25.2</v>
      </c>
      <c r="U158" s="34">
        <f t="shared" si="15"/>
        <v>165.2</v>
      </c>
      <c r="V158" s="34"/>
      <c r="W158" s="23" t="s">
        <v>1009</v>
      </c>
    </row>
    <row r="159" spans="1:23" x14ac:dyDescent="0.25">
      <c r="A159" s="31">
        <v>45817.646979166668</v>
      </c>
      <c r="B159" s="32" t="str">
        <f t="shared" si="10"/>
        <v>Jun-25</v>
      </c>
      <c r="C159" s="23" t="s">
        <v>153</v>
      </c>
      <c r="D159" s="23" t="s">
        <v>369</v>
      </c>
      <c r="E159" s="39">
        <v>44928</v>
      </c>
      <c r="F159" s="32">
        <f>IFERROR(DATEDIF(Table1[[#This Row],[MPG Ope Date]],Table1[[#This Row],[L]],"M"),"")</f>
        <v>29</v>
      </c>
      <c r="G159" s="25">
        <v>10140034</v>
      </c>
      <c r="H159" s="32" t="s">
        <v>279</v>
      </c>
      <c r="I159" s="32" t="s">
        <v>311</v>
      </c>
      <c r="J159" s="32">
        <v>9263928881</v>
      </c>
      <c r="K159" s="32" t="s">
        <v>69</v>
      </c>
      <c r="L159" s="32">
        <v>360142</v>
      </c>
      <c r="M159" s="32" t="s">
        <v>121</v>
      </c>
      <c r="N159" s="32" t="s">
        <v>122</v>
      </c>
      <c r="O159" s="32" t="s">
        <v>363</v>
      </c>
      <c r="P159" s="37">
        <v>45877</v>
      </c>
      <c r="Q159" s="32">
        <v>1</v>
      </c>
      <c r="R159" s="34">
        <v>70</v>
      </c>
      <c r="S159" s="34">
        <f t="shared" si="14"/>
        <v>70</v>
      </c>
      <c r="T159" s="34">
        <f t="shared" si="11"/>
        <v>12.6</v>
      </c>
      <c r="U159" s="34">
        <f t="shared" si="15"/>
        <v>82.6</v>
      </c>
      <c r="V159" s="34"/>
      <c r="W159" s="23" t="s">
        <v>1005</v>
      </c>
    </row>
    <row r="160" spans="1:23" x14ac:dyDescent="0.25">
      <c r="A160" s="31">
        <v>45835.603310185186</v>
      </c>
      <c r="B160" s="32" t="str">
        <f t="shared" si="10"/>
        <v>Jun-25</v>
      </c>
      <c r="C160" s="23" t="s">
        <v>153</v>
      </c>
      <c r="D160" s="23" t="s">
        <v>369</v>
      </c>
      <c r="E160" s="39">
        <v>42979</v>
      </c>
      <c r="F160" s="32">
        <f>IFERROR(DATEDIF(Table1[[#This Row],[MPG Ope Date]],Table1[[#This Row],[L]],"M"),"")</f>
        <v>93</v>
      </c>
      <c r="G160" s="25">
        <v>10020068</v>
      </c>
      <c r="H160" s="32" t="s">
        <v>277</v>
      </c>
      <c r="I160" s="32" t="s">
        <v>309</v>
      </c>
      <c r="J160" s="32">
        <v>7764922168</v>
      </c>
      <c r="K160" s="32" t="s">
        <v>341</v>
      </c>
      <c r="L160" s="32" t="s">
        <v>342</v>
      </c>
      <c r="M160" s="32" t="s">
        <v>133</v>
      </c>
      <c r="N160" s="32" t="s">
        <v>134</v>
      </c>
      <c r="O160" s="32" t="s">
        <v>363</v>
      </c>
      <c r="P160" s="37">
        <v>45877</v>
      </c>
      <c r="Q160" s="32">
        <v>1</v>
      </c>
      <c r="R160" s="34">
        <v>2080</v>
      </c>
      <c r="S160" s="34">
        <f t="shared" si="14"/>
        <v>2080</v>
      </c>
      <c r="T160" s="34">
        <f t="shared" si="11"/>
        <v>374.4</v>
      </c>
      <c r="U160" s="34">
        <f t="shared" si="15"/>
        <v>2454.4</v>
      </c>
      <c r="V160" s="34"/>
      <c r="W160" s="23" t="s">
        <v>1005</v>
      </c>
    </row>
    <row r="161" spans="1:23" x14ac:dyDescent="0.25">
      <c r="A161" s="31">
        <v>45819.642858796295</v>
      </c>
      <c r="B161" s="32" t="str">
        <f t="shared" si="10"/>
        <v>Jun-25</v>
      </c>
      <c r="C161" s="23" t="s">
        <v>153</v>
      </c>
      <c r="D161" s="23" t="s">
        <v>369</v>
      </c>
      <c r="E161" s="39">
        <v>45590</v>
      </c>
      <c r="F161" s="32">
        <f>IFERROR(DATEDIF(Table1[[#This Row],[MPG Ope Date]],Table1[[#This Row],[L]],"M"),"")</f>
        <v>7</v>
      </c>
      <c r="G161" s="24">
        <v>10140129</v>
      </c>
      <c r="H161" s="32" t="s">
        <v>280</v>
      </c>
      <c r="I161" s="32" t="s">
        <v>312</v>
      </c>
      <c r="J161" s="32">
        <v>9931327599</v>
      </c>
      <c r="K161" s="32" t="s">
        <v>71</v>
      </c>
      <c r="L161" s="32" t="s">
        <v>343</v>
      </c>
      <c r="M161" s="32" t="s">
        <v>141</v>
      </c>
      <c r="N161" s="32" t="s">
        <v>142</v>
      </c>
      <c r="O161" s="32" t="s">
        <v>363</v>
      </c>
      <c r="P161" s="37">
        <v>45877</v>
      </c>
      <c r="Q161" s="32">
        <v>1</v>
      </c>
      <c r="R161" s="34">
        <v>900</v>
      </c>
      <c r="S161" s="34">
        <f t="shared" si="14"/>
        <v>900</v>
      </c>
      <c r="T161" s="34">
        <f t="shared" si="11"/>
        <v>162</v>
      </c>
      <c r="U161" s="34">
        <f t="shared" si="15"/>
        <v>1062</v>
      </c>
      <c r="V161" s="34"/>
      <c r="W161" s="23" t="s">
        <v>1005</v>
      </c>
    </row>
    <row r="162" spans="1:23" x14ac:dyDescent="0.25">
      <c r="A162" s="31">
        <v>45819.605543981481</v>
      </c>
      <c r="B162" s="32" t="str">
        <f t="shared" si="10"/>
        <v>Jun-25</v>
      </c>
      <c r="C162" s="23" t="s">
        <v>153</v>
      </c>
      <c r="D162" s="23" t="s">
        <v>0</v>
      </c>
      <c r="E162" s="39" t="e">
        <v>#N/A</v>
      </c>
      <c r="F162" s="32" t="str">
        <f>IFERROR(DATEDIF(Table1[[#This Row],[MPG Ope Date]],Table1[[#This Row],[L]],"M"),"")</f>
        <v/>
      </c>
      <c r="G162" s="27">
        <v>1007</v>
      </c>
      <c r="H162" s="40" t="s">
        <v>417</v>
      </c>
      <c r="I162" s="41" t="s">
        <v>441</v>
      </c>
      <c r="J162" s="41">
        <v>9631676073</v>
      </c>
      <c r="K162" s="32" t="s">
        <v>69</v>
      </c>
      <c r="L162" s="32">
        <v>210413</v>
      </c>
      <c r="M162" s="32" t="s">
        <v>117</v>
      </c>
      <c r="N162" s="32" t="s">
        <v>118</v>
      </c>
      <c r="O162" s="32" t="s">
        <v>363</v>
      </c>
      <c r="P162" s="37">
        <v>45877</v>
      </c>
      <c r="Q162" s="32">
        <v>1</v>
      </c>
      <c r="R162" s="34">
        <v>770</v>
      </c>
      <c r="S162" s="34">
        <f t="shared" si="14"/>
        <v>770</v>
      </c>
      <c r="T162" s="34">
        <f t="shared" si="11"/>
        <v>138.6</v>
      </c>
      <c r="U162" s="34">
        <f t="shared" si="15"/>
        <v>908.6</v>
      </c>
      <c r="V162" s="34"/>
      <c r="W162" s="23" t="e">
        <v>#N/A</v>
      </c>
    </row>
    <row r="163" spans="1:23" x14ac:dyDescent="0.25">
      <c r="A163" s="31">
        <v>45834.691365740742</v>
      </c>
      <c r="B163" s="32" t="str">
        <f t="shared" si="10"/>
        <v>Jun-25</v>
      </c>
      <c r="C163" s="23" t="s">
        <v>153</v>
      </c>
      <c r="D163" s="23" t="s">
        <v>369</v>
      </c>
      <c r="E163" s="39">
        <v>45121</v>
      </c>
      <c r="F163" s="32">
        <f>IFERROR(DATEDIF(Table1[[#This Row],[MPG Ope Date]],Table1[[#This Row],[L]],"M"),"")</f>
        <v>23</v>
      </c>
      <c r="G163" s="25">
        <v>10060036</v>
      </c>
      <c r="H163" s="32" t="s">
        <v>281</v>
      </c>
      <c r="I163" s="32" t="s">
        <v>313</v>
      </c>
      <c r="J163" s="32">
        <v>8877360750</v>
      </c>
      <c r="K163" s="32" t="s">
        <v>69</v>
      </c>
      <c r="L163" s="32">
        <v>387870</v>
      </c>
      <c r="M163" s="32" t="s">
        <v>121</v>
      </c>
      <c r="N163" s="32" t="s">
        <v>122</v>
      </c>
      <c r="O163" s="32" t="s">
        <v>363</v>
      </c>
      <c r="P163" s="37">
        <v>45877</v>
      </c>
      <c r="Q163" s="32">
        <v>1</v>
      </c>
      <c r="R163" s="34">
        <v>70</v>
      </c>
      <c r="S163" s="34">
        <f t="shared" si="14"/>
        <v>70</v>
      </c>
      <c r="T163" s="34">
        <f t="shared" si="11"/>
        <v>12.6</v>
      </c>
      <c r="U163" s="34">
        <f t="shared" si="15"/>
        <v>82.6</v>
      </c>
      <c r="V163" s="34"/>
      <c r="W163" s="23" t="s">
        <v>1005</v>
      </c>
    </row>
    <row r="164" spans="1:23" x14ac:dyDescent="0.25">
      <c r="A164" s="31">
        <v>45819.60533564815</v>
      </c>
      <c r="B164" s="32" t="str">
        <f t="shared" si="10"/>
        <v>Jun-25</v>
      </c>
      <c r="C164" s="23" t="s">
        <v>153</v>
      </c>
      <c r="D164" s="23" t="s">
        <v>0</v>
      </c>
      <c r="E164" s="39" t="e">
        <v>#N/A</v>
      </c>
      <c r="F164" s="32" t="str">
        <f>IFERROR(DATEDIF(Table1[[#This Row],[MPG Ope Date]],Table1[[#This Row],[L]],"M"),"")</f>
        <v/>
      </c>
      <c r="G164" s="27">
        <v>1007</v>
      </c>
      <c r="H164" s="40" t="s">
        <v>417</v>
      </c>
      <c r="I164" s="41" t="s">
        <v>441</v>
      </c>
      <c r="J164" s="41">
        <v>9631676073</v>
      </c>
      <c r="K164" s="32" t="s">
        <v>70</v>
      </c>
      <c r="L164" s="32" t="s">
        <v>344</v>
      </c>
      <c r="M164" s="32" t="s">
        <v>125</v>
      </c>
      <c r="N164" s="32" t="s">
        <v>126</v>
      </c>
      <c r="O164" s="32" t="s">
        <v>363</v>
      </c>
      <c r="P164" s="37">
        <v>45877</v>
      </c>
      <c r="Q164" s="32">
        <v>1</v>
      </c>
      <c r="R164" s="34">
        <v>770</v>
      </c>
      <c r="S164" s="34">
        <f t="shared" si="14"/>
        <v>770</v>
      </c>
      <c r="T164" s="34">
        <f t="shared" si="11"/>
        <v>138.6</v>
      </c>
      <c r="U164" s="34">
        <f t="shared" si="15"/>
        <v>908.6</v>
      </c>
      <c r="V164" s="34"/>
      <c r="W164" s="23" t="e">
        <v>#N/A</v>
      </c>
    </row>
    <row r="165" spans="1:23" x14ac:dyDescent="0.25">
      <c r="A165" s="31">
        <v>45834.691365740742</v>
      </c>
      <c r="B165" s="32" t="str">
        <f t="shared" si="10"/>
        <v>Jun-25</v>
      </c>
      <c r="C165" s="23" t="s">
        <v>153</v>
      </c>
      <c r="D165" s="23" t="s">
        <v>369</v>
      </c>
      <c r="E165" s="39">
        <v>45121</v>
      </c>
      <c r="F165" s="32">
        <f>IFERROR(DATEDIF(Table1[[#This Row],[MPG Ope Date]],Table1[[#This Row],[L]],"M"),"")</f>
        <v>23</v>
      </c>
      <c r="G165" s="25">
        <v>10060036</v>
      </c>
      <c r="H165" s="32" t="s">
        <v>281</v>
      </c>
      <c r="I165" s="32" t="s">
        <v>313</v>
      </c>
      <c r="J165" s="32">
        <v>8877360750</v>
      </c>
      <c r="K165" s="32" t="s">
        <v>69</v>
      </c>
      <c r="L165" s="32">
        <v>387870</v>
      </c>
      <c r="M165" s="32" t="s">
        <v>121</v>
      </c>
      <c r="N165" s="32" t="s">
        <v>122</v>
      </c>
      <c r="O165" s="32" t="s">
        <v>363</v>
      </c>
      <c r="P165" s="37">
        <v>45877</v>
      </c>
      <c r="Q165" s="32">
        <v>1</v>
      </c>
      <c r="R165" s="34">
        <v>70</v>
      </c>
      <c r="S165" s="34">
        <f t="shared" si="14"/>
        <v>70</v>
      </c>
      <c r="T165" s="34">
        <f t="shared" si="11"/>
        <v>12.6</v>
      </c>
      <c r="U165" s="34">
        <f t="shared" si="15"/>
        <v>82.6</v>
      </c>
      <c r="V165" s="34"/>
      <c r="W165" s="23" t="s">
        <v>1005</v>
      </c>
    </row>
    <row r="166" spans="1:23" x14ac:dyDescent="0.25">
      <c r="A166" s="31">
        <v>45820.702627314815</v>
      </c>
      <c r="B166" s="32" t="str">
        <f t="shared" si="10"/>
        <v>Jun-25</v>
      </c>
      <c r="C166" s="23" t="s">
        <v>153</v>
      </c>
      <c r="D166" s="23" t="s">
        <v>369</v>
      </c>
      <c r="E166" s="39" t="e">
        <v>#N/A</v>
      </c>
      <c r="F166" s="32" t="str">
        <f>IFERROR(DATEDIF(Table1[[#This Row],[MPG Ope Date]],Table1[[#This Row],[L]],"M"),"")</f>
        <v/>
      </c>
      <c r="G166" s="26">
        <v>10110113</v>
      </c>
      <c r="H166" s="35" t="s">
        <v>282</v>
      </c>
      <c r="I166" s="32" t="s">
        <v>314</v>
      </c>
      <c r="J166" s="32">
        <v>6205890827</v>
      </c>
      <c r="K166" s="32" t="s">
        <v>70</v>
      </c>
      <c r="L166" s="32" t="s">
        <v>345</v>
      </c>
      <c r="M166" s="32" t="s">
        <v>123</v>
      </c>
      <c r="N166" s="32" t="s">
        <v>124</v>
      </c>
      <c r="O166" s="32" t="s">
        <v>363</v>
      </c>
      <c r="P166" s="37">
        <v>45877</v>
      </c>
      <c r="Q166" s="32">
        <v>1</v>
      </c>
      <c r="R166" s="34">
        <v>350</v>
      </c>
      <c r="S166" s="34">
        <f t="shared" si="14"/>
        <v>350</v>
      </c>
      <c r="T166" s="34">
        <f t="shared" si="11"/>
        <v>63</v>
      </c>
      <c r="U166" s="34">
        <f t="shared" si="15"/>
        <v>413</v>
      </c>
      <c r="V166" s="34"/>
      <c r="W166" s="23" t="s">
        <v>1006</v>
      </c>
    </row>
    <row r="167" spans="1:23" x14ac:dyDescent="0.25">
      <c r="A167" s="31">
        <v>45821.675000000003</v>
      </c>
      <c r="B167" s="32" t="str">
        <f t="shared" si="10"/>
        <v>Jun-25</v>
      </c>
      <c r="C167" s="23" t="s">
        <v>153</v>
      </c>
      <c r="D167" s="23" t="s">
        <v>369</v>
      </c>
      <c r="E167" s="39">
        <v>45226</v>
      </c>
      <c r="F167" s="32">
        <f>IFERROR(DATEDIF(Table1[[#This Row],[MPG Ope Date]],Table1[[#This Row],[L]],"M"),"")</f>
        <v>19</v>
      </c>
      <c r="G167" s="25">
        <v>10110044</v>
      </c>
      <c r="H167" s="32" t="s">
        <v>283</v>
      </c>
      <c r="I167" s="32" t="s">
        <v>315</v>
      </c>
      <c r="J167" s="32">
        <v>8877912368</v>
      </c>
      <c r="K167" s="32" t="s">
        <v>68</v>
      </c>
      <c r="L167" s="32" t="s">
        <v>346</v>
      </c>
      <c r="M167" s="32" t="s">
        <v>133</v>
      </c>
      <c r="N167" s="32" t="s">
        <v>134</v>
      </c>
      <c r="O167" s="32" t="s">
        <v>363</v>
      </c>
      <c r="P167" s="37">
        <v>45877</v>
      </c>
      <c r="Q167" s="32">
        <v>1</v>
      </c>
      <c r="R167" s="34">
        <v>2080</v>
      </c>
      <c r="S167" s="34">
        <f t="shared" si="14"/>
        <v>2080</v>
      </c>
      <c r="T167" s="34">
        <f t="shared" si="11"/>
        <v>374.4</v>
      </c>
      <c r="U167" s="34">
        <f t="shared" si="15"/>
        <v>2454.4</v>
      </c>
      <c r="V167" s="34"/>
      <c r="W167" s="23" t="s">
        <v>1006</v>
      </c>
    </row>
    <row r="168" spans="1:23" x14ac:dyDescent="0.25">
      <c r="A168" s="31">
        <v>45822.626631944448</v>
      </c>
      <c r="B168" s="32" t="str">
        <f t="shared" si="10"/>
        <v>Jun-25</v>
      </c>
      <c r="C168" s="23" t="s">
        <v>153</v>
      </c>
      <c r="D168" s="23" t="s">
        <v>369</v>
      </c>
      <c r="E168" s="39">
        <v>44453</v>
      </c>
      <c r="F168" s="32">
        <f>IFERROR(DATEDIF(Table1[[#This Row],[MPG Ope Date]],Table1[[#This Row],[L]],"M"),"")</f>
        <v>45</v>
      </c>
      <c r="G168" s="24">
        <v>10120025</v>
      </c>
      <c r="H168" s="32" t="s">
        <v>171</v>
      </c>
      <c r="I168" s="32" t="s">
        <v>208</v>
      </c>
      <c r="J168" s="32">
        <v>7667270854</v>
      </c>
      <c r="K168" s="32" t="s">
        <v>68</v>
      </c>
      <c r="L168" s="32" t="s">
        <v>247</v>
      </c>
      <c r="M168" s="32" t="s">
        <v>135</v>
      </c>
      <c r="N168" s="32" t="s">
        <v>136</v>
      </c>
      <c r="O168" s="32" t="s">
        <v>363</v>
      </c>
      <c r="P168" s="37">
        <v>45877</v>
      </c>
      <c r="Q168" s="32">
        <v>1</v>
      </c>
      <c r="R168" s="34">
        <v>825</v>
      </c>
      <c r="S168" s="34">
        <f t="shared" si="14"/>
        <v>825</v>
      </c>
      <c r="T168" s="34">
        <f t="shared" si="11"/>
        <v>148.5</v>
      </c>
      <c r="U168" s="34">
        <f t="shared" si="15"/>
        <v>973.5</v>
      </c>
      <c r="V168" s="34"/>
      <c r="W168" s="23" t="s">
        <v>1005</v>
      </c>
    </row>
    <row r="169" spans="1:23" x14ac:dyDescent="0.25">
      <c r="A169" s="31">
        <v>45822.626631944448</v>
      </c>
      <c r="B169" s="32" t="str">
        <f t="shared" si="10"/>
        <v>Jun-25</v>
      </c>
      <c r="C169" s="23" t="s">
        <v>153</v>
      </c>
      <c r="D169" s="23" t="s">
        <v>369</v>
      </c>
      <c r="E169" s="39">
        <v>44453</v>
      </c>
      <c r="F169" s="32">
        <f>IFERROR(DATEDIF(Table1[[#This Row],[MPG Ope Date]],Table1[[#This Row],[L]],"M"),"")</f>
        <v>45</v>
      </c>
      <c r="G169" s="24">
        <v>10120025</v>
      </c>
      <c r="H169" s="32" t="s">
        <v>171</v>
      </c>
      <c r="I169" s="32" t="s">
        <v>208</v>
      </c>
      <c r="J169" s="32">
        <v>7667270854</v>
      </c>
      <c r="K169" s="32" t="s">
        <v>68</v>
      </c>
      <c r="L169" s="32" t="s">
        <v>247</v>
      </c>
      <c r="M169" s="32" t="s">
        <v>111</v>
      </c>
      <c r="N169" s="32" t="s">
        <v>112</v>
      </c>
      <c r="O169" s="32" t="s">
        <v>363</v>
      </c>
      <c r="P169" s="37">
        <v>45877</v>
      </c>
      <c r="Q169" s="32">
        <v>1</v>
      </c>
      <c r="R169" s="34">
        <v>360</v>
      </c>
      <c r="S169" s="34">
        <f t="shared" si="14"/>
        <v>360</v>
      </c>
      <c r="T169" s="34">
        <f t="shared" si="11"/>
        <v>64.8</v>
      </c>
      <c r="U169" s="34">
        <f t="shared" si="15"/>
        <v>424.8</v>
      </c>
      <c r="V169" s="34"/>
      <c r="W169" s="23" t="s">
        <v>1005</v>
      </c>
    </row>
    <row r="170" spans="1:23" x14ac:dyDescent="0.25">
      <c r="A170" s="31">
        <v>45834.68849537037</v>
      </c>
      <c r="B170" s="32" t="str">
        <f t="shared" si="10"/>
        <v>Jun-25</v>
      </c>
      <c r="C170" s="23" t="s">
        <v>153</v>
      </c>
      <c r="D170" s="23" t="s">
        <v>369</v>
      </c>
      <c r="E170" s="39">
        <v>45471</v>
      </c>
      <c r="F170" s="32">
        <f>IFERROR(DATEDIF(Table1[[#This Row],[MPG Ope Date]],Table1[[#This Row],[L]],"M"),"")</f>
        <v>11</v>
      </c>
      <c r="G170" s="38">
        <v>10010076</v>
      </c>
      <c r="H170" s="32" t="s">
        <v>284</v>
      </c>
      <c r="I170" s="32" t="s">
        <v>316</v>
      </c>
      <c r="J170" s="32">
        <v>7808020360</v>
      </c>
      <c r="K170" s="32" t="s">
        <v>69</v>
      </c>
      <c r="L170" s="32">
        <v>381775</v>
      </c>
      <c r="M170" s="32" t="s">
        <v>119</v>
      </c>
      <c r="N170" s="32" t="s">
        <v>120</v>
      </c>
      <c r="O170" s="32" t="s">
        <v>363</v>
      </c>
      <c r="P170" s="37">
        <v>45877</v>
      </c>
      <c r="Q170" s="32">
        <v>1</v>
      </c>
      <c r="R170" s="34">
        <v>84</v>
      </c>
      <c r="S170" s="34">
        <f t="shared" si="14"/>
        <v>84</v>
      </c>
      <c r="T170" s="34">
        <f t="shared" si="11"/>
        <v>15.12</v>
      </c>
      <c r="U170" s="34">
        <f t="shared" si="15"/>
        <v>99.12</v>
      </c>
      <c r="V170" s="34"/>
      <c r="W170" s="23" t="s">
        <v>1005</v>
      </c>
    </row>
    <row r="171" spans="1:23" x14ac:dyDescent="0.25">
      <c r="A171" s="31">
        <v>45822.677488425928</v>
      </c>
      <c r="B171" s="32" t="str">
        <f t="shared" si="10"/>
        <v>Jun-25</v>
      </c>
      <c r="C171" s="23" t="s">
        <v>153</v>
      </c>
      <c r="D171" s="23" t="s">
        <v>369</v>
      </c>
      <c r="E171" s="39">
        <v>44759</v>
      </c>
      <c r="F171" s="32">
        <f>IFERROR(DATEDIF(Table1[[#This Row],[MPG Ope Date]],Table1[[#This Row],[L]],"M"),"")</f>
        <v>34</v>
      </c>
      <c r="G171" s="25">
        <v>10110021</v>
      </c>
      <c r="H171" s="32" t="s">
        <v>285</v>
      </c>
      <c r="I171" s="32" t="s">
        <v>317</v>
      </c>
      <c r="J171" s="32">
        <v>7091116438</v>
      </c>
      <c r="K171" s="32" t="s">
        <v>69</v>
      </c>
      <c r="L171" s="32">
        <v>385556</v>
      </c>
      <c r="M171" s="32" t="s">
        <v>121</v>
      </c>
      <c r="N171" s="32" t="s">
        <v>122</v>
      </c>
      <c r="O171" s="32" t="s">
        <v>363</v>
      </c>
      <c r="P171" s="37">
        <v>45877</v>
      </c>
      <c r="Q171" s="32">
        <v>1</v>
      </c>
      <c r="R171" s="34">
        <v>70</v>
      </c>
      <c r="S171" s="34">
        <f t="shared" si="14"/>
        <v>70</v>
      </c>
      <c r="T171" s="34">
        <f t="shared" si="11"/>
        <v>12.6</v>
      </c>
      <c r="U171" s="34">
        <f t="shared" si="15"/>
        <v>82.6</v>
      </c>
      <c r="V171" s="34"/>
      <c r="W171" s="23" t="s">
        <v>1005</v>
      </c>
    </row>
    <row r="172" spans="1:23" x14ac:dyDescent="0.25">
      <c r="A172" s="31">
        <v>45822.677488425928</v>
      </c>
      <c r="B172" s="32" t="str">
        <f t="shared" si="10"/>
        <v>Jun-25</v>
      </c>
      <c r="C172" s="23" t="s">
        <v>153</v>
      </c>
      <c r="D172" s="23" t="s">
        <v>369</v>
      </c>
      <c r="E172" s="39">
        <v>44759</v>
      </c>
      <c r="F172" s="32">
        <f>IFERROR(DATEDIF(Table1[[#This Row],[MPG Ope Date]],Table1[[#This Row],[L]],"M"),"")</f>
        <v>34</v>
      </c>
      <c r="G172" s="25">
        <v>10110021</v>
      </c>
      <c r="H172" s="32" t="s">
        <v>285</v>
      </c>
      <c r="I172" s="32" t="s">
        <v>317</v>
      </c>
      <c r="J172" s="32">
        <v>7091116438</v>
      </c>
      <c r="K172" s="32" t="s">
        <v>69</v>
      </c>
      <c r="L172" s="32">
        <v>385556</v>
      </c>
      <c r="M172" s="32" t="s">
        <v>121</v>
      </c>
      <c r="N172" s="32" t="s">
        <v>122</v>
      </c>
      <c r="O172" s="32" t="s">
        <v>363</v>
      </c>
      <c r="P172" s="37">
        <v>45877</v>
      </c>
      <c r="Q172" s="32">
        <v>1</v>
      </c>
      <c r="R172" s="34">
        <v>70</v>
      </c>
      <c r="S172" s="34">
        <f t="shared" si="14"/>
        <v>70</v>
      </c>
      <c r="T172" s="34">
        <f t="shared" si="11"/>
        <v>12.6</v>
      </c>
      <c r="U172" s="34">
        <f t="shared" si="15"/>
        <v>82.6</v>
      </c>
      <c r="V172" s="34"/>
      <c r="W172" s="23" t="s">
        <v>1005</v>
      </c>
    </row>
    <row r="173" spans="1:23" x14ac:dyDescent="0.25">
      <c r="A173" s="31">
        <v>45822.677488425928</v>
      </c>
      <c r="B173" s="32" t="str">
        <f t="shared" si="10"/>
        <v>Jun-25</v>
      </c>
      <c r="C173" s="23" t="s">
        <v>153</v>
      </c>
      <c r="D173" s="23" t="s">
        <v>369</v>
      </c>
      <c r="E173" s="39">
        <v>44759</v>
      </c>
      <c r="F173" s="32">
        <f>IFERROR(DATEDIF(Table1[[#This Row],[MPG Ope Date]],Table1[[#This Row],[L]],"M"),"")</f>
        <v>34</v>
      </c>
      <c r="G173" s="25">
        <v>10110021</v>
      </c>
      <c r="H173" s="32" t="s">
        <v>285</v>
      </c>
      <c r="I173" s="32" t="s">
        <v>317</v>
      </c>
      <c r="J173" s="32">
        <v>7091116438</v>
      </c>
      <c r="K173" s="32" t="s">
        <v>69</v>
      </c>
      <c r="L173" s="32">
        <v>385556</v>
      </c>
      <c r="M173" s="32" t="s">
        <v>119</v>
      </c>
      <c r="N173" s="32" t="s">
        <v>120</v>
      </c>
      <c r="O173" s="32" t="s">
        <v>363</v>
      </c>
      <c r="P173" s="37">
        <v>45877</v>
      </c>
      <c r="Q173" s="32">
        <v>1</v>
      </c>
      <c r="R173" s="34">
        <v>84</v>
      </c>
      <c r="S173" s="34">
        <f t="shared" si="14"/>
        <v>84</v>
      </c>
      <c r="T173" s="34">
        <f t="shared" si="11"/>
        <v>15.12</v>
      </c>
      <c r="U173" s="34">
        <f t="shared" si="15"/>
        <v>99.12</v>
      </c>
      <c r="V173" s="34"/>
      <c r="W173" s="23" t="s">
        <v>1005</v>
      </c>
    </row>
    <row r="174" spans="1:23" x14ac:dyDescent="0.25">
      <c r="A174" s="31">
        <v>45822.686956018515</v>
      </c>
      <c r="B174" s="32" t="str">
        <f t="shared" si="10"/>
        <v>Jun-25</v>
      </c>
      <c r="C174" s="23" t="s">
        <v>153</v>
      </c>
      <c r="D174" s="23" t="s">
        <v>369</v>
      </c>
      <c r="E174" s="39">
        <v>43678</v>
      </c>
      <c r="F174" s="32">
        <f>IFERROR(DATEDIF(Table1[[#This Row],[MPG Ope Date]],Table1[[#This Row],[L]],"M"),"")</f>
        <v>70</v>
      </c>
      <c r="G174" s="24">
        <v>10120005</v>
      </c>
      <c r="H174" s="32" t="s">
        <v>286</v>
      </c>
      <c r="I174" s="32" t="s">
        <v>318</v>
      </c>
      <c r="J174" s="32">
        <v>7280813196</v>
      </c>
      <c r="K174" s="32" t="s">
        <v>69</v>
      </c>
      <c r="L174" s="32">
        <v>387353</v>
      </c>
      <c r="M174" s="32" t="s">
        <v>121</v>
      </c>
      <c r="N174" s="32" t="s">
        <v>122</v>
      </c>
      <c r="O174" s="32" t="s">
        <v>363</v>
      </c>
      <c r="P174" s="37">
        <v>45877</v>
      </c>
      <c r="Q174" s="32">
        <v>1</v>
      </c>
      <c r="R174" s="34">
        <v>70</v>
      </c>
      <c r="S174" s="34">
        <f t="shared" si="14"/>
        <v>70</v>
      </c>
      <c r="T174" s="34">
        <f t="shared" si="11"/>
        <v>12.6</v>
      </c>
      <c r="U174" s="34">
        <f t="shared" si="15"/>
        <v>82.6</v>
      </c>
      <c r="V174" s="34"/>
      <c r="W174" s="23" t="s">
        <v>1005</v>
      </c>
    </row>
    <row r="175" spans="1:23" x14ac:dyDescent="0.25">
      <c r="A175" s="31">
        <v>45822.686956018515</v>
      </c>
      <c r="B175" s="32" t="str">
        <f t="shared" si="10"/>
        <v>Jun-25</v>
      </c>
      <c r="C175" s="23" t="s">
        <v>153</v>
      </c>
      <c r="D175" s="23" t="s">
        <v>369</v>
      </c>
      <c r="E175" s="39">
        <v>43678</v>
      </c>
      <c r="F175" s="32">
        <f>IFERROR(DATEDIF(Table1[[#This Row],[MPG Ope Date]],Table1[[#This Row],[L]],"M"),"")</f>
        <v>70</v>
      </c>
      <c r="G175" s="24">
        <v>10120005</v>
      </c>
      <c r="H175" s="32" t="s">
        <v>286</v>
      </c>
      <c r="I175" s="32" t="s">
        <v>318</v>
      </c>
      <c r="J175" s="32">
        <v>7280813196</v>
      </c>
      <c r="K175" s="32" t="s">
        <v>69</v>
      </c>
      <c r="L175" s="32">
        <v>387353</v>
      </c>
      <c r="M175" s="32" t="s">
        <v>121</v>
      </c>
      <c r="N175" s="32" t="s">
        <v>122</v>
      </c>
      <c r="O175" s="32" t="s">
        <v>363</v>
      </c>
      <c r="P175" s="37">
        <v>45877</v>
      </c>
      <c r="Q175" s="32">
        <v>1</v>
      </c>
      <c r="R175" s="34">
        <v>70</v>
      </c>
      <c r="S175" s="34">
        <f t="shared" si="14"/>
        <v>70</v>
      </c>
      <c r="T175" s="34">
        <f t="shared" si="11"/>
        <v>12.6</v>
      </c>
      <c r="U175" s="34">
        <f t="shared" si="15"/>
        <v>82.6</v>
      </c>
      <c r="V175" s="34"/>
      <c r="W175" s="23" t="s">
        <v>1005</v>
      </c>
    </row>
    <row r="176" spans="1:23" x14ac:dyDescent="0.25">
      <c r="A176" s="31">
        <v>45834.68849537037</v>
      </c>
      <c r="B176" s="32" t="str">
        <f t="shared" si="10"/>
        <v>Jun-25</v>
      </c>
      <c r="C176" s="23" t="s">
        <v>153</v>
      </c>
      <c r="D176" s="23" t="s">
        <v>369</v>
      </c>
      <c r="E176" s="39">
        <v>45471</v>
      </c>
      <c r="F176" s="32">
        <f>IFERROR(DATEDIF(Table1[[#This Row],[MPG Ope Date]],Table1[[#This Row],[L]],"M"),"")</f>
        <v>11</v>
      </c>
      <c r="G176" s="38">
        <v>10010076</v>
      </c>
      <c r="H176" s="32" t="s">
        <v>284</v>
      </c>
      <c r="I176" s="32" t="s">
        <v>316</v>
      </c>
      <c r="J176" s="32">
        <v>7808020360</v>
      </c>
      <c r="K176" s="32" t="s">
        <v>69</v>
      </c>
      <c r="L176" s="32">
        <v>381775</v>
      </c>
      <c r="M176" s="32" t="s">
        <v>121</v>
      </c>
      <c r="N176" s="32" t="s">
        <v>122</v>
      </c>
      <c r="O176" s="32" t="s">
        <v>363</v>
      </c>
      <c r="P176" s="37">
        <v>45877</v>
      </c>
      <c r="Q176" s="32">
        <v>1</v>
      </c>
      <c r="R176" s="34">
        <v>70</v>
      </c>
      <c r="S176" s="34">
        <f t="shared" si="14"/>
        <v>70</v>
      </c>
      <c r="T176" s="34">
        <f t="shared" si="11"/>
        <v>12.6</v>
      </c>
      <c r="U176" s="34">
        <f t="shared" si="15"/>
        <v>82.6</v>
      </c>
      <c r="V176" s="34"/>
      <c r="W176" s="23" t="s">
        <v>1005</v>
      </c>
    </row>
    <row r="177" spans="1:23" x14ac:dyDescent="0.25">
      <c r="A177" s="31">
        <v>45822.686956018515</v>
      </c>
      <c r="B177" s="32" t="str">
        <f t="shared" si="10"/>
        <v>Jun-25</v>
      </c>
      <c r="C177" s="23" t="s">
        <v>153</v>
      </c>
      <c r="D177" s="23" t="s">
        <v>369</v>
      </c>
      <c r="E177" s="39">
        <v>43678</v>
      </c>
      <c r="F177" s="32">
        <f>IFERROR(DATEDIF(Table1[[#This Row],[MPG Ope Date]],Table1[[#This Row],[L]],"M"),"")</f>
        <v>70</v>
      </c>
      <c r="G177" s="24">
        <v>10120005</v>
      </c>
      <c r="H177" s="32" t="s">
        <v>286</v>
      </c>
      <c r="I177" s="32" t="s">
        <v>318</v>
      </c>
      <c r="J177" s="32">
        <v>7280813196</v>
      </c>
      <c r="K177" s="32" t="s">
        <v>69</v>
      </c>
      <c r="L177" s="32">
        <v>387353</v>
      </c>
      <c r="M177" s="32" t="s">
        <v>127</v>
      </c>
      <c r="N177" s="32" t="s">
        <v>128</v>
      </c>
      <c r="O177" s="32" t="s">
        <v>363</v>
      </c>
      <c r="P177" s="37">
        <v>45877</v>
      </c>
      <c r="Q177" s="32">
        <v>1</v>
      </c>
      <c r="R177" s="34">
        <v>44</v>
      </c>
      <c r="S177" s="34">
        <f t="shared" si="14"/>
        <v>44</v>
      </c>
      <c r="T177" s="34">
        <f t="shared" si="11"/>
        <v>7.92</v>
      </c>
      <c r="U177" s="34">
        <f t="shared" si="15"/>
        <v>51.92</v>
      </c>
      <c r="V177" s="34"/>
      <c r="W177" s="23" t="s">
        <v>1005</v>
      </c>
    </row>
    <row r="178" spans="1:23" x14ac:dyDescent="0.25">
      <c r="A178" s="31">
        <v>45822.686956018515</v>
      </c>
      <c r="B178" s="32" t="str">
        <f t="shared" si="10"/>
        <v>Jun-25</v>
      </c>
      <c r="C178" s="23" t="s">
        <v>153</v>
      </c>
      <c r="D178" s="23" t="s">
        <v>369</v>
      </c>
      <c r="E178" s="39">
        <v>43678</v>
      </c>
      <c r="F178" s="32">
        <f>IFERROR(DATEDIF(Table1[[#This Row],[MPG Ope Date]],Table1[[#This Row],[L]],"M"),"")</f>
        <v>70</v>
      </c>
      <c r="G178" s="24">
        <v>10120005</v>
      </c>
      <c r="H178" s="32" t="s">
        <v>286</v>
      </c>
      <c r="I178" s="32" t="s">
        <v>318</v>
      </c>
      <c r="J178" s="32">
        <v>7280813196</v>
      </c>
      <c r="K178" s="32" t="s">
        <v>69</v>
      </c>
      <c r="L178" s="32">
        <v>387353</v>
      </c>
      <c r="M178" s="32" t="s">
        <v>127</v>
      </c>
      <c r="N178" s="32" t="s">
        <v>128</v>
      </c>
      <c r="O178" s="32" t="s">
        <v>363</v>
      </c>
      <c r="P178" s="37">
        <v>45877</v>
      </c>
      <c r="Q178" s="32">
        <v>1</v>
      </c>
      <c r="R178" s="34">
        <v>44</v>
      </c>
      <c r="S178" s="34">
        <f t="shared" si="14"/>
        <v>44</v>
      </c>
      <c r="T178" s="34">
        <f t="shared" si="11"/>
        <v>7.92</v>
      </c>
      <c r="U178" s="34">
        <f t="shared" si="15"/>
        <v>51.92</v>
      </c>
      <c r="V178" s="34"/>
      <c r="W178" s="23" t="s">
        <v>1005</v>
      </c>
    </row>
    <row r="179" spans="1:23" x14ac:dyDescent="0.25">
      <c r="A179" s="31">
        <v>45824.470266203702</v>
      </c>
      <c r="B179" s="32" t="str">
        <f t="shared" si="10"/>
        <v>Jun-25</v>
      </c>
      <c r="C179" s="23" t="s">
        <v>153</v>
      </c>
      <c r="D179" s="23" t="s">
        <v>369</v>
      </c>
      <c r="E179" s="39">
        <v>45471</v>
      </c>
      <c r="F179" s="32">
        <f>IFERROR(DATEDIF(Table1[[#This Row],[MPG Ope Date]],Table1[[#This Row],[L]],"M"),"")</f>
        <v>11</v>
      </c>
      <c r="G179" s="38">
        <v>10010076</v>
      </c>
      <c r="H179" s="32" t="s">
        <v>284</v>
      </c>
      <c r="I179" s="32" t="s">
        <v>316</v>
      </c>
      <c r="J179" s="32">
        <v>7808020360</v>
      </c>
      <c r="K179" s="32" t="s">
        <v>70</v>
      </c>
      <c r="L179" s="32" t="s">
        <v>347</v>
      </c>
      <c r="M179" s="32" t="s">
        <v>123</v>
      </c>
      <c r="N179" s="32" t="s">
        <v>124</v>
      </c>
      <c r="O179" s="32" t="s">
        <v>363</v>
      </c>
      <c r="P179" s="37">
        <v>45877</v>
      </c>
      <c r="Q179" s="32">
        <v>1</v>
      </c>
      <c r="R179" s="34">
        <v>350</v>
      </c>
      <c r="S179" s="34">
        <f t="shared" si="14"/>
        <v>350</v>
      </c>
      <c r="T179" s="34">
        <f t="shared" si="11"/>
        <v>63</v>
      </c>
      <c r="U179" s="34">
        <f t="shared" si="15"/>
        <v>413</v>
      </c>
      <c r="V179" s="34"/>
      <c r="W179" s="23" t="s">
        <v>1005</v>
      </c>
    </row>
    <row r="180" spans="1:23" x14ac:dyDescent="0.25">
      <c r="A180" s="31">
        <v>45834.697152777779</v>
      </c>
      <c r="B180" s="32" t="str">
        <f t="shared" si="10"/>
        <v>Jun-25</v>
      </c>
      <c r="C180" s="23" t="s">
        <v>153</v>
      </c>
      <c r="D180" s="23" t="s">
        <v>369</v>
      </c>
      <c r="E180" s="39">
        <v>44737</v>
      </c>
      <c r="F180" s="32">
        <f>IFERROR(DATEDIF(Table1[[#This Row],[MPG Ope Date]],Table1[[#This Row],[L]],"M"),"")</f>
        <v>36</v>
      </c>
      <c r="G180" s="25">
        <v>10060069</v>
      </c>
      <c r="H180" s="32" t="s">
        <v>1015</v>
      </c>
      <c r="I180" s="32" t="s">
        <v>319</v>
      </c>
      <c r="J180" s="32">
        <v>9779799096</v>
      </c>
      <c r="K180" s="32" t="s">
        <v>70</v>
      </c>
      <c r="L180" s="32" t="s">
        <v>348</v>
      </c>
      <c r="M180" s="32" t="s">
        <v>266</v>
      </c>
      <c r="N180" s="32" t="s">
        <v>267</v>
      </c>
      <c r="O180" s="32" t="s">
        <v>363</v>
      </c>
      <c r="P180" s="37">
        <v>45877</v>
      </c>
      <c r="Q180" s="32">
        <v>1</v>
      </c>
      <c r="R180" s="34">
        <v>780</v>
      </c>
      <c r="S180" s="34">
        <f t="shared" si="14"/>
        <v>780</v>
      </c>
      <c r="T180" s="34">
        <f t="shared" si="11"/>
        <v>140.4</v>
      </c>
      <c r="U180" s="34">
        <f t="shared" si="15"/>
        <v>920.4</v>
      </c>
      <c r="V180" s="34"/>
      <c r="W180" s="23" t="s">
        <v>1005</v>
      </c>
    </row>
    <row r="181" spans="1:23" x14ac:dyDescent="0.25">
      <c r="A181" s="31">
        <v>45824.421851851854</v>
      </c>
      <c r="B181" s="32" t="str">
        <f t="shared" si="10"/>
        <v>Jun-25</v>
      </c>
      <c r="C181" s="23" t="s">
        <v>153</v>
      </c>
      <c r="D181" s="23" t="s">
        <v>369</v>
      </c>
      <c r="E181" s="39">
        <v>45708</v>
      </c>
      <c r="F181" s="32">
        <f>IFERROR(DATEDIF(Table1[[#This Row],[MPG Ope Date]],Table1[[#This Row],[L]],"M"),"")</f>
        <v>3</v>
      </c>
      <c r="G181" s="24">
        <v>10010097</v>
      </c>
      <c r="H181" s="32" t="s">
        <v>287</v>
      </c>
      <c r="I181" s="32" t="s">
        <v>216</v>
      </c>
      <c r="J181" s="32">
        <v>8709328153</v>
      </c>
      <c r="K181" s="32" t="s">
        <v>70</v>
      </c>
      <c r="L181" s="32" t="s">
        <v>349</v>
      </c>
      <c r="M181" s="32" t="s">
        <v>123</v>
      </c>
      <c r="N181" s="32" t="s">
        <v>124</v>
      </c>
      <c r="O181" s="32" t="s">
        <v>363</v>
      </c>
      <c r="P181" s="37">
        <v>45877</v>
      </c>
      <c r="Q181" s="32">
        <v>1</v>
      </c>
      <c r="R181" s="34">
        <v>350</v>
      </c>
      <c r="S181" s="34">
        <f t="shared" si="14"/>
        <v>350</v>
      </c>
      <c r="T181" s="34">
        <f t="shared" si="11"/>
        <v>63</v>
      </c>
      <c r="U181" s="34">
        <f t="shared" si="15"/>
        <v>413</v>
      </c>
      <c r="V181" s="34"/>
      <c r="W181" s="23" t="s">
        <v>1005</v>
      </c>
    </row>
    <row r="182" spans="1:23" x14ac:dyDescent="0.25">
      <c r="A182" s="31">
        <v>45824.423194444447</v>
      </c>
      <c r="B182" s="32" t="str">
        <f t="shared" si="10"/>
        <v>Jun-25</v>
      </c>
      <c r="C182" s="23" t="s">
        <v>153</v>
      </c>
      <c r="D182" s="23" t="s">
        <v>369</v>
      </c>
      <c r="E182" s="39">
        <v>45708</v>
      </c>
      <c r="F182" s="32">
        <f>IFERROR(DATEDIF(Table1[[#This Row],[MPG Ope Date]],Table1[[#This Row],[L]],"M"),"")</f>
        <v>3</v>
      </c>
      <c r="G182" s="24">
        <v>10010097</v>
      </c>
      <c r="H182" s="32" t="s">
        <v>287</v>
      </c>
      <c r="I182" s="32" t="s">
        <v>216</v>
      </c>
      <c r="J182" s="32">
        <v>8709328153</v>
      </c>
      <c r="K182" s="32" t="s">
        <v>69</v>
      </c>
      <c r="L182" s="32">
        <v>368625</v>
      </c>
      <c r="M182" s="32" t="s">
        <v>119</v>
      </c>
      <c r="N182" s="32" t="s">
        <v>120</v>
      </c>
      <c r="O182" s="32" t="s">
        <v>363</v>
      </c>
      <c r="P182" s="37">
        <v>45877</v>
      </c>
      <c r="Q182" s="32">
        <v>1</v>
      </c>
      <c r="R182" s="34">
        <v>84</v>
      </c>
      <c r="S182" s="34">
        <f t="shared" si="14"/>
        <v>84</v>
      </c>
      <c r="T182" s="34">
        <f t="shared" si="11"/>
        <v>15.12</v>
      </c>
      <c r="U182" s="34">
        <f t="shared" si="15"/>
        <v>99.12</v>
      </c>
      <c r="V182" s="34"/>
      <c r="W182" s="23" t="s">
        <v>1005</v>
      </c>
    </row>
    <row r="183" spans="1:23" x14ac:dyDescent="0.25">
      <c r="A183" s="31">
        <v>45824.514236111114</v>
      </c>
      <c r="B183" s="32" t="str">
        <f t="shared" si="10"/>
        <v>Jun-25</v>
      </c>
      <c r="C183" s="23" t="s">
        <v>153</v>
      </c>
      <c r="D183" s="23" t="s">
        <v>369</v>
      </c>
      <c r="E183" s="39">
        <v>45745</v>
      </c>
      <c r="F183" s="32">
        <f>IFERROR(DATEDIF(Table1[[#This Row],[MPG Ope Date]],Table1[[#This Row],[L]],"M"),"")</f>
        <v>2</v>
      </c>
      <c r="G183" s="24">
        <v>10010102</v>
      </c>
      <c r="H183" s="32" t="s">
        <v>4</v>
      </c>
      <c r="I183" s="32" t="s">
        <v>37</v>
      </c>
      <c r="J183" s="32">
        <v>9931061141</v>
      </c>
      <c r="K183" s="32" t="s">
        <v>70</v>
      </c>
      <c r="L183" s="32" t="s">
        <v>76</v>
      </c>
      <c r="M183" s="32" t="s">
        <v>123</v>
      </c>
      <c r="N183" s="32" t="s">
        <v>124</v>
      </c>
      <c r="O183" s="32" t="s">
        <v>363</v>
      </c>
      <c r="P183" s="37">
        <v>45877</v>
      </c>
      <c r="Q183" s="32">
        <v>1</v>
      </c>
      <c r="R183" s="34">
        <v>350</v>
      </c>
      <c r="S183" s="34">
        <f t="shared" si="14"/>
        <v>350</v>
      </c>
      <c r="T183" s="34">
        <f t="shared" si="11"/>
        <v>63</v>
      </c>
      <c r="U183" s="34">
        <f t="shared" si="15"/>
        <v>413</v>
      </c>
      <c r="V183" s="34"/>
      <c r="W183" s="23" t="s">
        <v>1007</v>
      </c>
    </row>
    <row r="184" spans="1:23" x14ac:dyDescent="0.25">
      <c r="A184" s="31">
        <v>45824.665324074071</v>
      </c>
      <c r="B184" s="32" t="str">
        <f t="shared" si="10"/>
        <v>Jun-25</v>
      </c>
      <c r="C184" s="23" t="s">
        <v>153</v>
      </c>
      <c r="D184" s="23" t="s">
        <v>369</v>
      </c>
      <c r="E184" s="39">
        <v>45267</v>
      </c>
      <c r="F184" s="32">
        <f>IFERROR(DATEDIF(Table1[[#This Row],[MPG Ope Date]],Table1[[#This Row],[L]],"M"),"")</f>
        <v>18</v>
      </c>
      <c r="G184" s="25">
        <v>10060049</v>
      </c>
      <c r="H184" s="32" t="s">
        <v>288</v>
      </c>
      <c r="I184" s="32" t="s">
        <v>320</v>
      </c>
      <c r="J184" s="32">
        <v>9693036091</v>
      </c>
      <c r="K184" s="32" t="s">
        <v>69</v>
      </c>
      <c r="L184" s="32">
        <v>384723</v>
      </c>
      <c r="M184" s="32" t="s">
        <v>121</v>
      </c>
      <c r="N184" s="32" t="s">
        <v>122</v>
      </c>
      <c r="O184" s="32" t="s">
        <v>363</v>
      </c>
      <c r="P184" s="37">
        <v>45877</v>
      </c>
      <c r="Q184" s="32">
        <v>1</v>
      </c>
      <c r="R184" s="34">
        <v>70</v>
      </c>
      <c r="S184" s="34">
        <f t="shared" si="14"/>
        <v>70</v>
      </c>
      <c r="T184" s="34">
        <f t="shared" si="11"/>
        <v>12.6</v>
      </c>
      <c r="U184" s="34">
        <f t="shared" si="15"/>
        <v>82.6</v>
      </c>
      <c r="V184" s="34"/>
      <c r="W184" s="23" t="s">
        <v>1005</v>
      </c>
    </row>
    <row r="185" spans="1:23" x14ac:dyDescent="0.25">
      <c r="A185" s="31">
        <v>45824.665324074071</v>
      </c>
      <c r="B185" s="32" t="str">
        <f t="shared" si="10"/>
        <v>Jun-25</v>
      </c>
      <c r="C185" s="23" t="s">
        <v>153</v>
      </c>
      <c r="D185" s="23" t="s">
        <v>369</v>
      </c>
      <c r="E185" s="39">
        <v>45267</v>
      </c>
      <c r="F185" s="32">
        <f>IFERROR(DATEDIF(Table1[[#This Row],[MPG Ope Date]],Table1[[#This Row],[L]],"M"),"")</f>
        <v>18</v>
      </c>
      <c r="G185" s="25">
        <v>10060049</v>
      </c>
      <c r="H185" s="32" t="s">
        <v>288</v>
      </c>
      <c r="I185" s="32" t="s">
        <v>320</v>
      </c>
      <c r="J185" s="32">
        <v>9693036091</v>
      </c>
      <c r="K185" s="32" t="s">
        <v>69</v>
      </c>
      <c r="L185" s="32">
        <v>384723</v>
      </c>
      <c r="M185" s="32" t="s">
        <v>121</v>
      </c>
      <c r="N185" s="32" t="s">
        <v>122</v>
      </c>
      <c r="O185" s="32" t="s">
        <v>363</v>
      </c>
      <c r="P185" s="37">
        <v>45877</v>
      </c>
      <c r="Q185" s="32">
        <v>1</v>
      </c>
      <c r="R185" s="34">
        <v>70</v>
      </c>
      <c r="S185" s="34">
        <f t="shared" si="14"/>
        <v>70</v>
      </c>
      <c r="T185" s="34">
        <f t="shared" si="11"/>
        <v>12.6</v>
      </c>
      <c r="U185" s="34">
        <f t="shared" si="15"/>
        <v>82.6</v>
      </c>
      <c r="V185" s="34"/>
      <c r="W185" s="23" t="s">
        <v>1005</v>
      </c>
    </row>
    <row r="186" spans="1:23" x14ac:dyDescent="0.25">
      <c r="A186" s="31">
        <v>45834.686030092591</v>
      </c>
      <c r="B186" s="32" t="str">
        <f t="shared" si="10"/>
        <v>Jun-25</v>
      </c>
      <c r="C186" s="23" t="s">
        <v>153</v>
      </c>
      <c r="D186" s="23" t="s">
        <v>369</v>
      </c>
      <c r="E186" s="39">
        <v>45161</v>
      </c>
      <c r="F186" s="32">
        <f>IFERROR(DATEDIF(Table1[[#This Row],[MPG Ope Date]],Table1[[#This Row],[L]],"M"),"")</f>
        <v>22</v>
      </c>
      <c r="G186" s="25">
        <v>10010044</v>
      </c>
      <c r="H186" s="32" t="s">
        <v>289</v>
      </c>
      <c r="I186" s="32" t="s">
        <v>321</v>
      </c>
      <c r="J186" s="32">
        <v>7870999520</v>
      </c>
      <c r="K186" s="32" t="s">
        <v>69</v>
      </c>
      <c r="L186" s="32">
        <v>382431</v>
      </c>
      <c r="M186" s="32" t="s">
        <v>264</v>
      </c>
      <c r="N186" s="32" t="s">
        <v>265</v>
      </c>
      <c r="O186" s="32" t="s">
        <v>363</v>
      </c>
      <c r="P186" s="37">
        <v>45877</v>
      </c>
      <c r="Q186" s="32">
        <v>1</v>
      </c>
      <c r="R186" s="34">
        <v>790</v>
      </c>
      <c r="S186" s="34">
        <f t="shared" si="14"/>
        <v>790</v>
      </c>
      <c r="T186" s="34">
        <f t="shared" si="11"/>
        <v>142.19999999999999</v>
      </c>
      <c r="U186" s="34">
        <f t="shared" si="15"/>
        <v>932.2</v>
      </c>
      <c r="V186" s="34"/>
      <c r="W186" s="23" t="s">
        <v>1005</v>
      </c>
    </row>
    <row r="187" spans="1:23" x14ac:dyDescent="0.25">
      <c r="A187" s="31">
        <v>45826.671249999999</v>
      </c>
      <c r="B187" s="32" t="str">
        <f t="shared" si="10"/>
        <v>Jun-25</v>
      </c>
      <c r="C187" s="23" t="s">
        <v>153</v>
      </c>
      <c r="D187" s="23" t="s">
        <v>0</v>
      </c>
      <c r="E187" s="39" t="e">
        <v>#N/A</v>
      </c>
      <c r="F187" s="32" t="str">
        <f>IFERROR(DATEDIF(Table1[[#This Row],[MPG Ope Date]],Table1[[#This Row],[L]],"M"),"")</f>
        <v/>
      </c>
      <c r="G187" s="36">
        <v>1009</v>
      </c>
      <c r="H187" s="32" t="s">
        <v>26</v>
      </c>
      <c r="I187" s="32" t="s">
        <v>60</v>
      </c>
      <c r="J187" s="32">
        <v>7488561001</v>
      </c>
      <c r="K187" s="32" t="s">
        <v>70</v>
      </c>
      <c r="L187" s="32" t="s">
        <v>350</v>
      </c>
      <c r="M187" s="32" t="s">
        <v>123</v>
      </c>
      <c r="N187" s="32" t="s">
        <v>124</v>
      </c>
      <c r="O187" s="32" t="s">
        <v>363</v>
      </c>
      <c r="P187" s="37">
        <v>45877</v>
      </c>
      <c r="Q187" s="32">
        <v>1</v>
      </c>
      <c r="R187" s="34">
        <v>350</v>
      </c>
      <c r="S187" s="34">
        <f t="shared" si="14"/>
        <v>350</v>
      </c>
      <c r="T187" s="34">
        <f t="shared" si="11"/>
        <v>63</v>
      </c>
      <c r="U187" s="34">
        <f t="shared" si="15"/>
        <v>413</v>
      </c>
      <c r="V187" s="34"/>
      <c r="W187" s="23" t="e">
        <v>#N/A</v>
      </c>
    </row>
    <row r="188" spans="1:23" x14ac:dyDescent="0.25">
      <c r="A188" s="31">
        <v>45826.589398148149</v>
      </c>
      <c r="B188" s="32" t="str">
        <f t="shared" si="10"/>
        <v>Jun-25</v>
      </c>
      <c r="C188" s="23" t="s">
        <v>153</v>
      </c>
      <c r="D188" s="23" t="s">
        <v>369</v>
      </c>
      <c r="E188" s="39">
        <v>45793</v>
      </c>
      <c r="F188" s="32">
        <f>IFERROR(DATEDIF(Table1[[#This Row],[MPG Ope Date]],Table1[[#This Row],[L]],"M"),"")</f>
        <v>1</v>
      </c>
      <c r="G188" s="24">
        <v>10120104</v>
      </c>
      <c r="H188" s="32" t="s">
        <v>290</v>
      </c>
      <c r="I188" s="32" t="s">
        <v>322</v>
      </c>
      <c r="J188" s="32">
        <v>7079418432</v>
      </c>
      <c r="K188" s="32" t="s">
        <v>71</v>
      </c>
      <c r="L188" s="32" t="s">
        <v>351</v>
      </c>
      <c r="M188" s="32" t="s">
        <v>141</v>
      </c>
      <c r="N188" s="32" t="s">
        <v>142</v>
      </c>
      <c r="O188" s="32" t="s">
        <v>363</v>
      </c>
      <c r="P188" s="37">
        <v>45877</v>
      </c>
      <c r="Q188" s="32">
        <v>1</v>
      </c>
      <c r="R188" s="34">
        <v>900</v>
      </c>
      <c r="S188" s="34">
        <f t="shared" si="14"/>
        <v>900</v>
      </c>
      <c r="T188" s="34">
        <f t="shared" si="11"/>
        <v>162</v>
      </c>
      <c r="U188" s="34">
        <f t="shared" si="15"/>
        <v>1062</v>
      </c>
      <c r="V188" s="34"/>
      <c r="W188" s="23" t="s">
        <v>1005</v>
      </c>
    </row>
    <row r="189" spans="1:23" x14ac:dyDescent="0.25">
      <c r="A189" s="31">
        <v>45826.585092592592</v>
      </c>
      <c r="B189" s="32" t="str">
        <f t="shared" si="10"/>
        <v>Jun-25</v>
      </c>
      <c r="C189" s="23" t="s">
        <v>153</v>
      </c>
      <c r="D189" s="23" t="s">
        <v>369</v>
      </c>
      <c r="E189" s="39">
        <v>45556</v>
      </c>
      <c r="F189" s="32">
        <f>IFERROR(DATEDIF(Table1[[#This Row],[MPG Ope Date]],Table1[[#This Row],[L]],"M"),"")</f>
        <v>8</v>
      </c>
      <c r="G189" s="24">
        <v>10100051</v>
      </c>
      <c r="H189" s="32" t="s">
        <v>28</v>
      </c>
      <c r="I189" s="32" t="s">
        <v>62</v>
      </c>
      <c r="J189" s="32">
        <v>6200084384</v>
      </c>
      <c r="K189" s="32" t="s">
        <v>70</v>
      </c>
      <c r="L189" s="32" t="s">
        <v>352</v>
      </c>
      <c r="M189" s="32" t="s">
        <v>123</v>
      </c>
      <c r="N189" s="32" t="s">
        <v>124</v>
      </c>
      <c r="O189" s="32" t="s">
        <v>363</v>
      </c>
      <c r="P189" s="37">
        <v>45877</v>
      </c>
      <c r="Q189" s="32">
        <v>1</v>
      </c>
      <c r="R189" s="34">
        <v>350</v>
      </c>
      <c r="S189" s="34">
        <f t="shared" si="14"/>
        <v>350</v>
      </c>
      <c r="T189" s="34">
        <f t="shared" si="11"/>
        <v>63</v>
      </c>
      <c r="U189" s="34">
        <f t="shared" si="15"/>
        <v>413</v>
      </c>
      <c r="V189" s="34"/>
      <c r="W189" s="23" t="s">
        <v>1005</v>
      </c>
    </row>
    <row r="190" spans="1:23" x14ac:dyDescent="0.25">
      <c r="A190" s="31">
        <v>45833.603391203702</v>
      </c>
      <c r="B190" s="32" t="str">
        <f t="shared" si="10"/>
        <v>Jun-25</v>
      </c>
      <c r="C190" s="23" t="s">
        <v>153</v>
      </c>
      <c r="D190" s="23" t="s">
        <v>369</v>
      </c>
      <c r="E190" s="39" t="e">
        <v>#N/A</v>
      </c>
      <c r="F190" s="32" t="str">
        <f>IFERROR(DATEDIF(Table1[[#This Row],[MPG Ope Date]],Table1[[#This Row],[L]],"M"),"")</f>
        <v/>
      </c>
      <c r="G190" s="24">
        <v>10100015</v>
      </c>
      <c r="H190" s="35" t="s">
        <v>291</v>
      </c>
      <c r="I190" s="32" t="s">
        <v>323</v>
      </c>
      <c r="J190" s="32">
        <v>8677012544</v>
      </c>
      <c r="K190" s="32" t="s">
        <v>68</v>
      </c>
      <c r="L190" s="32" t="s">
        <v>353</v>
      </c>
      <c r="M190" s="32" t="s">
        <v>137</v>
      </c>
      <c r="N190" s="32" t="s">
        <v>138</v>
      </c>
      <c r="O190" s="32" t="s">
        <v>363</v>
      </c>
      <c r="P190" s="37">
        <v>45877</v>
      </c>
      <c r="Q190" s="32">
        <v>1</v>
      </c>
      <c r="R190" s="34">
        <v>2800</v>
      </c>
      <c r="S190" s="34">
        <f t="shared" si="14"/>
        <v>2800</v>
      </c>
      <c r="T190" s="34">
        <f t="shared" si="11"/>
        <v>504</v>
      </c>
      <c r="U190" s="34">
        <f t="shared" si="15"/>
        <v>3304</v>
      </c>
      <c r="V190" s="34"/>
      <c r="W190" s="23" t="s">
        <v>1008</v>
      </c>
    </row>
    <row r="191" spans="1:23" x14ac:dyDescent="0.25">
      <c r="A191" s="31">
        <v>45833.604224537034</v>
      </c>
      <c r="B191" s="32" t="str">
        <f t="shared" si="10"/>
        <v>Jun-25</v>
      </c>
      <c r="C191" s="23" t="s">
        <v>153</v>
      </c>
      <c r="D191" s="23" t="s">
        <v>369</v>
      </c>
      <c r="E191" s="39" t="e">
        <v>#N/A</v>
      </c>
      <c r="F191" s="32" t="str">
        <f>IFERROR(DATEDIF(Table1[[#This Row],[MPG Ope Date]],Table1[[#This Row],[L]],"M"),"")</f>
        <v/>
      </c>
      <c r="G191" s="24">
        <v>10030035</v>
      </c>
      <c r="H191" s="35" t="s">
        <v>292</v>
      </c>
      <c r="I191" s="32" t="s">
        <v>324</v>
      </c>
      <c r="J191" s="32">
        <v>8084260901</v>
      </c>
      <c r="K191" s="32" t="s">
        <v>70</v>
      </c>
      <c r="L191" s="32" t="s">
        <v>354</v>
      </c>
      <c r="M191" s="32" t="s">
        <v>123</v>
      </c>
      <c r="N191" s="32" t="s">
        <v>124</v>
      </c>
      <c r="O191" s="32" t="s">
        <v>363</v>
      </c>
      <c r="P191" s="37">
        <v>45877</v>
      </c>
      <c r="Q191" s="32">
        <v>1</v>
      </c>
      <c r="R191" s="34">
        <v>350</v>
      </c>
      <c r="S191" s="34">
        <f t="shared" si="14"/>
        <v>350</v>
      </c>
      <c r="T191" s="34">
        <f t="shared" si="11"/>
        <v>63</v>
      </c>
      <c r="U191" s="34">
        <f t="shared" si="15"/>
        <v>413</v>
      </c>
      <c r="V191" s="34"/>
      <c r="W191" s="23" t="s">
        <v>1005</v>
      </c>
    </row>
    <row r="192" spans="1:23" x14ac:dyDescent="0.25">
      <c r="A192" s="31">
        <v>45827.658912037034</v>
      </c>
      <c r="B192" s="32" t="str">
        <f t="shared" si="10"/>
        <v>Jun-25</v>
      </c>
      <c r="C192" s="23" t="s">
        <v>153</v>
      </c>
      <c r="D192" s="23" t="s">
        <v>369</v>
      </c>
      <c r="E192" s="39">
        <v>45631</v>
      </c>
      <c r="F192" s="32">
        <f>IFERROR(DATEDIF(Table1[[#This Row],[MPG Ope Date]],Table1[[#This Row],[L]],"M"),"")</f>
        <v>6</v>
      </c>
      <c r="G192" s="24">
        <v>10060074</v>
      </c>
      <c r="H192" s="32" t="s">
        <v>293</v>
      </c>
      <c r="I192" s="32" t="s">
        <v>325</v>
      </c>
      <c r="J192" s="32">
        <v>6206967505</v>
      </c>
      <c r="K192" s="32" t="s">
        <v>69</v>
      </c>
      <c r="L192" s="32">
        <v>382421</v>
      </c>
      <c r="M192" s="32" t="s">
        <v>254</v>
      </c>
      <c r="N192" s="32" t="s">
        <v>255</v>
      </c>
      <c r="O192" s="32" t="s">
        <v>363</v>
      </c>
      <c r="P192" s="37">
        <v>45877</v>
      </c>
      <c r="Q192" s="32">
        <v>1</v>
      </c>
      <c r="R192" s="34">
        <v>2000</v>
      </c>
      <c r="S192" s="34">
        <f t="shared" si="14"/>
        <v>2000</v>
      </c>
      <c r="T192" s="34">
        <f t="shared" si="11"/>
        <v>360</v>
      </c>
      <c r="U192" s="34">
        <f t="shared" si="15"/>
        <v>2360</v>
      </c>
      <c r="V192" s="34"/>
      <c r="W192" s="23" t="s">
        <v>1005</v>
      </c>
    </row>
    <row r="193" spans="1:23" x14ac:dyDescent="0.25">
      <c r="A193" s="31">
        <v>45829.627152777779</v>
      </c>
      <c r="B193" s="32" t="str">
        <f t="shared" si="10"/>
        <v>Jun-25</v>
      </c>
      <c r="C193" s="23" t="s">
        <v>153</v>
      </c>
      <c r="D193" s="23" t="s">
        <v>369</v>
      </c>
      <c r="E193" s="39">
        <v>44943</v>
      </c>
      <c r="F193" s="32">
        <f>IFERROR(DATEDIF(Table1[[#This Row],[MPG Ope Date]],Table1[[#This Row],[L]],"M"),"")</f>
        <v>29</v>
      </c>
      <c r="G193" s="24">
        <v>10120035</v>
      </c>
      <c r="H193" s="32" t="s">
        <v>294</v>
      </c>
      <c r="I193" s="32" t="s">
        <v>326</v>
      </c>
      <c r="J193" s="32">
        <v>7549794524</v>
      </c>
      <c r="K193" s="32" t="s">
        <v>69</v>
      </c>
      <c r="L193" s="32">
        <v>322427</v>
      </c>
      <c r="M193" s="32" t="s">
        <v>117</v>
      </c>
      <c r="N193" s="32" t="s">
        <v>118</v>
      </c>
      <c r="O193" s="32" t="s">
        <v>363</v>
      </c>
      <c r="P193" s="37">
        <v>45877</v>
      </c>
      <c r="Q193" s="32">
        <v>1</v>
      </c>
      <c r="R193" s="34">
        <v>770</v>
      </c>
      <c r="S193" s="34">
        <f t="shared" si="14"/>
        <v>770</v>
      </c>
      <c r="T193" s="34">
        <f t="shared" si="11"/>
        <v>138.6</v>
      </c>
      <c r="U193" s="34">
        <f t="shared" si="15"/>
        <v>908.6</v>
      </c>
      <c r="V193" s="34"/>
      <c r="W193" s="23" t="s">
        <v>1005</v>
      </c>
    </row>
    <row r="194" spans="1:23" x14ac:dyDescent="0.25">
      <c r="A194" s="31">
        <v>45829.688391203701</v>
      </c>
      <c r="B194" s="32" t="str">
        <f t="shared" si="10"/>
        <v>Jun-25</v>
      </c>
      <c r="C194" s="23" t="s">
        <v>153</v>
      </c>
      <c r="D194" s="23" t="s">
        <v>369</v>
      </c>
      <c r="E194" s="39">
        <v>42979</v>
      </c>
      <c r="F194" s="32">
        <f>IFERROR(DATEDIF(Table1[[#This Row],[MPG Ope Date]],Table1[[#This Row],[L]],"M"),"")</f>
        <v>93</v>
      </c>
      <c r="G194" s="25">
        <v>10090008</v>
      </c>
      <c r="H194" s="32" t="s">
        <v>295</v>
      </c>
      <c r="I194" s="32" t="s">
        <v>327</v>
      </c>
      <c r="J194" s="32">
        <v>7250679190</v>
      </c>
      <c r="K194" s="32" t="s">
        <v>68</v>
      </c>
      <c r="L194" s="32" t="s">
        <v>355</v>
      </c>
      <c r="M194" s="32" t="s">
        <v>137</v>
      </c>
      <c r="N194" s="32" t="s">
        <v>138</v>
      </c>
      <c r="O194" s="32" t="s">
        <v>363</v>
      </c>
      <c r="P194" s="37">
        <v>45877</v>
      </c>
      <c r="Q194" s="32">
        <v>1</v>
      </c>
      <c r="R194" s="34">
        <v>2800</v>
      </c>
      <c r="S194" s="34">
        <f t="shared" si="14"/>
        <v>2800</v>
      </c>
      <c r="T194" s="34">
        <f t="shared" si="11"/>
        <v>504</v>
      </c>
      <c r="U194" s="34">
        <f t="shared" si="15"/>
        <v>3304</v>
      </c>
      <c r="V194" s="34"/>
      <c r="W194" s="23" t="s">
        <v>1005</v>
      </c>
    </row>
    <row r="195" spans="1:23" x14ac:dyDescent="0.25">
      <c r="A195" s="31">
        <v>45829.62909722222</v>
      </c>
      <c r="B195" s="32" t="str">
        <f t="shared" ref="B195:B205" si="16">TEXT(A195,"mmm-yy")</f>
        <v>Jun-25</v>
      </c>
      <c r="C195" s="23" t="s">
        <v>153</v>
      </c>
      <c r="D195" s="23" t="s">
        <v>369</v>
      </c>
      <c r="E195" s="39">
        <v>43936</v>
      </c>
      <c r="F195" s="32">
        <f>IFERROR(DATEDIF(Table1[[#This Row],[MPG Ope Date]],Table1[[#This Row],[L]],"M"),"")</f>
        <v>62</v>
      </c>
      <c r="G195" s="38">
        <v>10120014</v>
      </c>
      <c r="H195" s="32" t="s">
        <v>190</v>
      </c>
      <c r="I195" s="32" t="s">
        <v>226</v>
      </c>
      <c r="J195" s="32">
        <v>8340595380</v>
      </c>
      <c r="K195" s="32" t="s">
        <v>69</v>
      </c>
      <c r="L195" s="32">
        <v>310523</v>
      </c>
      <c r="M195" s="32" t="s">
        <v>121</v>
      </c>
      <c r="N195" s="32" t="s">
        <v>122</v>
      </c>
      <c r="O195" s="32" t="s">
        <v>363</v>
      </c>
      <c r="P195" s="37">
        <v>45877</v>
      </c>
      <c r="Q195" s="32">
        <v>1</v>
      </c>
      <c r="R195" s="34">
        <v>70</v>
      </c>
      <c r="S195" s="34">
        <f t="shared" si="14"/>
        <v>70</v>
      </c>
      <c r="T195" s="34">
        <f t="shared" ref="T195:T205" si="17">+S195*0.18</f>
        <v>12.6</v>
      </c>
      <c r="U195" s="34">
        <f t="shared" si="15"/>
        <v>82.6</v>
      </c>
      <c r="V195" s="34"/>
      <c r="W195" s="23" t="s">
        <v>1005</v>
      </c>
    </row>
    <row r="196" spans="1:23" x14ac:dyDescent="0.25">
      <c r="A196" s="31">
        <v>45829.62909722222</v>
      </c>
      <c r="B196" s="32" t="str">
        <f t="shared" si="16"/>
        <v>Jun-25</v>
      </c>
      <c r="C196" s="23" t="s">
        <v>153</v>
      </c>
      <c r="D196" s="23" t="s">
        <v>369</v>
      </c>
      <c r="E196" s="39">
        <v>43936</v>
      </c>
      <c r="F196" s="32">
        <f>IFERROR(DATEDIF(Table1[[#This Row],[MPG Ope Date]],Table1[[#This Row],[L]],"M"),"")</f>
        <v>62</v>
      </c>
      <c r="G196" s="38">
        <v>10120014</v>
      </c>
      <c r="H196" s="32" t="s">
        <v>190</v>
      </c>
      <c r="I196" s="32" t="s">
        <v>226</v>
      </c>
      <c r="J196" s="32">
        <v>8340595380</v>
      </c>
      <c r="K196" s="32" t="s">
        <v>69</v>
      </c>
      <c r="L196" s="32">
        <v>310523</v>
      </c>
      <c r="M196" s="32" t="s">
        <v>119</v>
      </c>
      <c r="N196" s="32" t="s">
        <v>120</v>
      </c>
      <c r="O196" s="32" t="s">
        <v>363</v>
      </c>
      <c r="P196" s="37">
        <v>45877</v>
      </c>
      <c r="Q196" s="32">
        <v>1</v>
      </c>
      <c r="R196" s="34">
        <v>84</v>
      </c>
      <c r="S196" s="34">
        <f t="shared" si="14"/>
        <v>84</v>
      </c>
      <c r="T196" s="34">
        <f t="shared" si="17"/>
        <v>15.12</v>
      </c>
      <c r="U196" s="34">
        <f t="shared" si="15"/>
        <v>99.12</v>
      </c>
      <c r="V196" s="34"/>
      <c r="W196" s="23" t="s">
        <v>1005</v>
      </c>
    </row>
    <row r="197" spans="1:23" x14ac:dyDescent="0.25">
      <c r="A197" s="31">
        <v>45829.618333333332</v>
      </c>
      <c r="B197" s="32" t="str">
        <f t="shared" si="16"/>
        <v>Jun-25</v>
      </c>
      <c r="C197" s="23" t="s">
        <v>153</v>
      </c>
      <c r="D197" s="23" t="s">
        <v>369</v>
      </c>
      <c r="E197" s="39">
        <v>43731</v>
      </c>
      <c r="F197" s="32">
        <f>IFERROR(DATEDIF(Table1[[#This Row],[MPG Ope Date]],Table1[[#This Row],[L]],"M"),"")</f>
        <v>68</v>
      </c>
      <c r="G197" s="24">
        <v>10120006</v>
      </c>
      <c r="H197" s="32" t="s">
        <v>273</v>
      </c>
      <c r="I197" s="32" t="s">
        <v>305</v>
      </c>
      <c r="J197" s="32">
        <v>7033197978</v>
      </c>
      <c r="K197" s="32" t="s">
        <v>68</v>
      </c>
      <c r="L197" s="32" t="s">
        <v>356</v>
      </c>
      <c r="M197" s="32" t="s">
        <v>111</v>
      </c>
      <c r="N197" s="32" t="s">
        <v>112</v>
      </c>
      <c r="O197" s="32" t="s">
        <v>363</v>
      </c>
      <c r="P197" s="37">
        <v>45877</v>
      </c>
      <c r="Q197" s="32">
        <v>1</v>
      </c>
      <c r="R197" s="34">
        <v>360</v>
      </c>
      <c r="S197" s="34">
        <f t="shared" si="14"/>
        <v>360</v>
      </c>
      <c r="T197" s="34">
        <f t="shared" si="17"/>
        <v>64.8</v>
      </c>
      <c r="U197" s="34">
        <f t="shared" si="15"/>
        <v>424.8</v>
      </c>
      <c r="V197" s="34"/>
      <c r="W197" s="23" t="s">
        <v>1005</v>
      </c>
    </row>
    <row r="198" spans="1:23" x14ac:dyDescent="0.25">
      <c r="A198" s="31">
        <v>45831.808206018519</v>
      </c>
      <c r="B198" s="32" t="str">
        <f t="shared" si="16"/>
        <v>Jun-25</v>
      </c>
      <c r="C198" s="23" t="s">
        <v>152</v>
      </c>
      <c r="D198" s="23" t="s">
        <v>0</v>
      </c>
      <c r="E198" s="39" t="e">
        <v>#N/A</v>
      </c>
      <c r="F198" s="32" t="str">
        <f>IFERROR(DATEDIF(Table1[[#This Row],[MPG Ope Date]],Table1[[#This Row],[L]],"M"),"")</f>
        <v/>
      </c>
      <c r="G198" s="36">
        <v>2003</v>
      </c>
      <c r="H198" s="32" t="s">
        <v>296</v>
      </c>
      <c r="I198" s="32" t="s">
        <v>328</v>
      </c>
      <c r="J198" s="32">
        <v>8210416954</v>
      </c>
      <c r="K198" s="32" t="s">
        <v>69</v>
      </c>
      <c r="L198" s="32">
        <v>360610</v>
      </c>
      <c r="M198" s="32" t="s">
        <v>115</v>
      </c>
      <c r="N198" s="32" t="s">
        <v>116</v>
      </c>
      <c r="O198" s="23" t="s">
        <v>362</v>
      </c>
      <c r="P198" s="37">
        <v>45880</v>
      </c>
      <c r="Q198" s="32">
        <v>1</v>
      </c>
      <c r="R198" s="34">
        <v>8500</v>
      </c>
      <c r="S198" s="34">
        <f t="shared" si="14"/>
        <v>8500</v>
      </c>
      <c r="T198" s="34">
        <f t="shared" si="17"/>
        <v>1530</v>
      </c>
      <c r="U198" s="34">
        <f t="shared" si="15"/>
        <v>10030</v>
      </c>
      <c r="V198" s="34"/>
      <c r="W198" s="23" t="e">
        <v>#N/A</v>
      </c>
    </row>
    <row r="199" spans="1:23" x14ac:dyDescent="0.25">
      <c r="A199" s="31">
        <v>45831.809907407405</v>
      </c>
      <c r="B199" s="32" t="str">
        <f t="shared" si="16"/>
        <v>Jun-25</v>
      </c>
      <c r="C199" s="23" t="s">
        <v>152</v>
      </c>
      <c r="D199" s="23" t="s">
        <v>369</v>
      </c>
      <c r="E199" s="39" t="e">
        <v>#N/A</v>
      </c>
      <c r="F199" s="32" t="str">
        <f>IFERROR(DATEDIF(Table1[[#This Row],[MPG Ope Date]],Table1[[#This Row],[L]],"M"),"")</f>
        <v/>
      </c>
      <c r="G199" s="24">
        <v>20010002</v>
      </c>
      <c r="H199" s="32" t="s">
        <v>297</v>
      </c>
      <c r="I199" s="32" t="s">
        <v>329</v>
      </c>
      <c r="J199" s="32">
        <v>8789608345</v>
      </c>
      <c r="K199" s="32" t="s">
        <v>70</v>
      </c>
      <c r="L199" s="32" t="s">
        <v>357</v>
      </c>
      <c r="M199" s="32" t="s">
        <v>123</v>
      </c>
      <c r="N199" s="32" t="s">
        <v>124</v>
      </c>
      <c r="O199" s="23" t="s">
        <v>362</v>
      </c>
      <c r="P199" s="37">
        <v>45880</v>
      </c>
      <c r="Q199" s="32">
        <v>1</v>
      </c>
      <c r="R199" s="34">
        <v>350</v>
      </c>
      <c r="S199" s="34">
        <f t="shared" si="14"/>
        <v>350</v>
      </c>
      <c r="T199" s="34">
        <f t="shared" si="17"/>
        <v>63</v>
      </c>
      <c r="U199" s="34">
        <f t="shared" si="15"/>
        <v>413</v>
      </c>
      <c r="V199" s="34"/>
      <c r="W199" s="23" t="e">
        <v>#N/A</v>
      </c>
    </row>
    <row r="200" spans="1:23" x14ac:dyDescent="0.25">
      <c r="A200" s="31">
        <v>45832.638252314813</v>
      </c>
      <c r="B200" s="32" t="str">
        <f t="shared" si="16"/>
        <v>Jun-25</v>
      </c>
      <c r="C200" s="23" t="s">
        <v>153</v>
      </c>
      <c r="D200" s="23" t="s">
        <v>369</v>
      </c>
      <c r="E200" s="39">
        <v>44911</v>
      </c>
      <c r="F200" s="32">
        <f>IFERROR(DATEDIF(Table1[[#This Row],[MPG Ope Date]],Table1[[#This Row],[L]],"M"),"")</f>
        <v>30</v>
      </c>
      <c r="G200" s="25">
        <v>10020032</v>
      </c>
      <c r="H200" s="32" t="s">
        <v>298</v>
      </c>
      <c r="I200" s="32" t="s">
        <v>330</v>
      </c>
      <c r="J200" s="32">
        <v>7808714512</v>
      </c>
      <c r="K200" s="32" t="s">
        <v>69</v>
      </c>
      <c r="L200" s="32">
        <v>381346</v>
      </c>
      <c r="M200" s="32" t="s">
        <v>117</v>
      </c>
      <c r="N200" s="32" t="s">
        <v>118</v>
      </c>
      <c r="O200" s="32" t="s">
        <v>363</v>
      </c>
      <c r="P200" s="37">
        <v>45877</v>
      </c>
      <c r="Q200" s="32">
        <v>1</v>
      </c>
      <c r="R200" s="34">
        <v>770</v>
      </c>
      <c r="S200" s="34">
        <f t="shared" si="14"/>
        <v>770</v>
      </c>
      <c r="T200" s="34">
        <f t="shared" si="17"/>
        <v>138.6</v>
      </c>
      <c r="U200" s="34">
        <f t="shared" si="15"/>
        <v>908.6</v>
      </c>
      <c r="V200" s="34"/>
      <c r="W200" s="23" t="s">
        <v>1005</v>
      </c>
    </row>
    <row r="201" spans="1:23" x14ac:dyDescent="0.25">
      <c r="A201" s="31">
        <v>45831.6641087963</v>
      </c>
      <c r="B201" s="32" t="str">
        <f t="shared" si="16"/>
        <v>Jun-25</v>
      </c>
      <c r="C201" s="23" t="s">
        <v>153</v>
      </c>
      <c r="D201" s="23" t="s">
        <v>369</v>
      </c>
      <c r="E201" s="39">
        <v>43786</v>
      </c>
      <c r="F201" s="32">
        <f>IFERROR(DATEDIF(Table1[[#This Row],[MPG Ope Date]],Table1[[#This Row],[L]],"M"),"")</f>
        <v>67</v>
      </c>
      <c r="G201" s="24">
        <v>10130006</v>
      </c>
      <c r="H201" s="32" t="s">
        <v>299</v>
      </c>
      <c r="I201" s="32" t="s">
        <v>331</v>
      </c>
      <c r="J201" s="32">
        <v>7808980222</v>
      </c>
      <c r="K201" s="32" t="s">
        <v>68</v>
      </c>
      <c r="L201" s="32" t="s">
        <v>358</v>
      </c>
      <c r="M201" s="32" t="s">
        <v>139</v>
      </c>
      <c r="N201" s="32" t="s">
        <v>140</v>
      </c>
      <c r="O201" s="32" t="s">
        <v>363</v>
      </c>
      <c r="P201" s="37">
        <v>45877</v>
      </c>
      <c r="Q201" s="32">
        <v>1</v>
      </c>
      <c r="R201" s="34">
        <v>1266</v>
      </c>
      <c r="S201" s="34">
        <f t="shared" si="14"/>
        <v>1266</v>
      </c>
      <c r="T201" s="34">
        <f t="shared" si="17"/>
        <v>227.88</v>
      </c>
      <c r="U201" s="34">
        <f t="shared" si="15"/>
        <v>1493.88</v>
      </c>
      <c r="V201" s="34"/>
      <c r="W201" s="23" t="s">
        <v>1005</v>
      </c>
    </row>
    <row r="202" spans="1:23" x14ac:dyDescent="0.25">
      <c r="A202" s="31">
        <v>45831.679131944446</v>
      </c>
      <c r="B202" s="32" t="str">
        <f t="shared" si="16"/>
        <v>Jun-25</v>
      </c>
      <c r="C202" s="23" t="s">
        <v>153</v>
      </c>
      <c r="D202" s="23" t="s">
        <v>369</v>
      </c>
      <c r="E202" s="39">
        <v>44866</v>
      </c>
      <c r="F202" s="32">
        <f>IFERROR(DATEDIF(Table1[[#This Row],[MPG Ope Date]],Table1[[#This Row],[L]],"M"),"")</f>
        <v>31</v>
      </c>
      <c r="G202" s="25">
        <v>10060026</v>
      </c>
      <c r="H202" s="32" t="s">
        <v>300</v>
      </c>
      <c r="I202" s="32" t="s">
        <v>332</v>
      </c>
      <c r="J202" s="32">
        <v>9931294433</v>
      </c>
      <c r="K202" s="32" t="s">
        <v>71</v>
      </c>
      <c r="L202" s="32" t="s">
        <v>359</v>
      </c>
      <c r="M202" s="32" t="s">
        <v>141</v>
      </c>
      <c r="N202" s="32" t="s">
        <v>142</v>
      </c>
      <c r="O202" s="32" t="s">
        <v>363</v>
      </c>
      <c r="P202" s="37">
        <v>45877</v>
      </c>
      <c r="Q202" s="32">
        <v>1</v>
      </c>
      <c r="R202" s="34">
        <v>900</v>
      </c>
      <c r="S202" s="34">
        <f t="shared" si="14"/>
        <v>900</v>
      </c>
      <c r="T202" s="34">
        <f t="shared" si="17"/>
        <v>162</v>
      </c>
      <c r="U202" s="34">
        <f t="shared" si="15"/>
        <v>1062</v>
      </c>
      <c r="V202" s="34"/>
      <c r="W202" s="23" t="s">
        <v>1005</v>
      </c>
    </row>
    <row r="203" spans="1:23" x14ac:dyDescent="0.25">
      <c r="A203" s="31">
        <v>45831.665300925924</v>
      </c>
      <c r="B203" s="32" t="str">
        <f t="shared" si="16"/>
        <v>Jun-25</v>
      </c>
      <c r="C203" s="23" t="s">
        <v>153</v>
      </c>
      <c r="D203" s="23" t="s">
        <v>369</v>
      </c>
      <c r="E203" s="39">
        <v>45536</v>
      </c>
      <c r="F203" s="32">
        <f>IFERROR(DATEDIF(Table1[[#This Row],[MPG Ope Date]],Table1[[#This Row],[L]],"M"),"")</f>
        <v>9</v>
      </c>
      <c r="G203" s="24">
        <v>10130070</v>
      </c>
      <c r="H203" s="32" t="s">
        <v>301</v>
      </c>
      <c r="I203" s="32" t="s">
        <v>333</v>
      </c>
      <c r="J203" s="32">
        <v>9971083605</v>
      </c>
      <c r="K203" s="32" t="s">
        <v>69</v>
      </c>
      <c r="L203" s="32">
        <v>309809</v>
      </c>
      <c r="M203" s="32" t="s">
        <v>127</v>
      </c>
      <c r="N203" s="32" t="s">
        <v>128</v>
      </c>
      <c r="O203" s="32" t="s">
        <v>363</v>
      </c>
      <c r="P203" s="37">
        <v>45877</v>
      </c>
      <c r="Q203" s="32">
        <v>1</v>
      </c>
      <c r="R203" s="34">
        <v>44</v>
      </c>
      <c r="S203" s="34">
        <f t="shared" si="14"/>
        <v>44</v>
      </c>
      <c r="T203" s="34">
        <f t="shared" si="17"/>
        <v>7.92</v>
      </c>
      <c r="U203" s="34">
        <f t="shared" si="15"/>
        <v>51.92</v>
      </c>
      <c r="V203" s="34"/>
      <c r="W203" s="23" t="s">
        <v>1005</v>
      </c>
    </row>
    <row r="204" spans="1:23" x14ac:dyDescent="0.25">
      <c r="A204" s="31">
        <v>45831.665300925924</v>
      </c>
      <c r="B204" s="32" t="str">
        <f t="shared" si="16"/>
        <v>Jun-25</v>
      </c>
      <c r="C204" s="23" t="s">
        <v>153</v>
      </c>
      <c r="D204" s="23" t="s">
        <v>369</v>
      </c>
      <c r="E204" s="39">
        <v>45536</v>
      </c>
      <c r="F204" s="32">
        <f>IFERROR(DATEDIF(Table1[[#This Row],[MPG Ope Date]],Table1[[#This Row],[L]],"M"),"")</f>
        <v>9</v>
      </c>
      <c r="G204" s="24">
        <v>10130070</v>
      </c>
      <c r="H204" s="32" t="s">
        <v>301</v>
      </c>
      <c r="I204" s="32" t="s">
        <v>333</v>
      </c>
      <c r="J204" s="32">
        <v>9971083605</v>
      </c>
      <c r="K204" s="32" t="s">
        <v>69</v>
      </c>
      <c r="L204" s="32">
        <v>309809</v>
      </c>
      <c r="M204" s="32" t="s">
        <v>127</v>
      </c>
      <c r="N204" s="32" t="s">
        <v>128</v>
      </c>
      <c r="O204" s="32" t="s">
        <v>363</v>
      </c>
      <c r="P204" s="37">
        <v>45877</v>
      </c>
      <c r="Q204" s="32">
        <v>1</v>
      </c>
      <c r="R204" s="34">
        <v>44</v>
      </c>
      <c r="S204" s="34">
        <f t="shared" si="14"/>
        <v>44</v>
      </c>
      <c r="T204" s="34">
        <f t="shared" si="17"/>
        <v>7.92</v>
      </c>
      <c r="U204" s="34">
        <f t="shared" si="15"/>
        <v>51.92</v>
      </c>
      <c r="V204" s="34"/>
      <c r="W204" s="23" t="s">
        <v>1005</v>
      </c>
    </row>
    <row r="205" spans="1:23" x14ac:dyDescent="0.25">
      <c r="A205" s="31">
        <v>45831.665300925924</v>
      </c>
      <c r="B205" s="32" t="str">
        <f t="shared" si="16"/>
        <v>Jun-25</v>
      </c>
      <c r="C205" s="23" t="s">
        <v>153</v>
      </c>
      <c r="D205" s="23" t="s">
        <v>369</v>
      </c>
      <c r="E205" s="39">
        <v>45536</v>
      </c>
      <c r="F205" s="32">
        <f>IFERROR(DATEDIF(Table1[[#This Row],[MPG Ope Date]],Table1[[#This Row],[L]],"M"),"")</f>
        <v>9</v>
      </c>
      <c r="G205" s="24">
        <v>10130070</v>
      </c>
      <c r="H205" s="32" t="s">
        <v>301</v>
      </c>
      <c r="I205" s="32" t="s">
        <v>333</v>
      </c>
      <c r="J205" s="32">
        <v>9971083605</v>
      </c>
      <c r="K205" s="32" t="s">
        <v>69</v>
      </c>
      <c r="L205" s="32">
        <v>309809</v>
      </c>
      <c r="M205" s="32" t="s">
        <v>119</v>
      </c>
      <c r="N205" s="32" t="s">
        <v>120</v>
      </c>
      <c r="O205" s="32" t="s">
        <v>363</v>
      </c>
      <c r="P205" s="37">
        <v>45877</v>
      </c>
      <c r="Q205" s="32">
        <v>1</v>
      </c>
      <c r="R205" s="34">
        <v>84</v>
      </c>
      <c r="S205" s="34">
        <f t="shared" si="14"/>
        <v>84</v>
      </c>
      <c r="T205" s="34">
        <f t="shared" si="17"/>
        <v>15.12</v>
      </c>
      <c r="U205" s="34">
        <f t="shared" si="15"/>
        <v>99.12</v>
      </c>
      <c r="V205" s="34"/>
      <c r="W205" s="23" t="s">
        <v>1005</v>
      </c>
    </row>
    <row r="206" spans="1:23" x14ac:dyDescent="0.25">
      <c r="A206" s="31">
        <v>45864.554016203707</v>
      </c>
      <c r="B206" s="32" t="str">
        <f>TEXT(A206,"mmm-yy")</f>
        <v>Jul-25</v>
      </c>
      <c r="C206" s="41" t="s">
        <v>152</v>
      </c>
      <c r="D206" s="23" t="s">
        <v>369</v>
      </c>
      <c r="E206" s="39" t="e">
        <v>#N/A</v>
      </c>
      <c r="F206" s="32" t="str">
        <f>IFERROR(DATEDIF(Table1[[#This Row],[MPG Ope Date]],Table1[[#This Row],[L]],"M"),"")</f>
        <v/>
      </c>
      <c r="G206" s="25">
        <v>20020007</v>
      </c>
      <c r="H206" s="42" t="s">
        <v>370</v>
      </c>
      <c r="I206" s="41" t="s">
        <v>379</v>
      </c>
      <c r="J206" s="41">
        <v>9123474399</v>
      </c>
      <c r="K206" s="41" t="s">
        <v>70</v>
      </c>
      <c r="L206" s="25" t="s">
        <v>388</v>
      </c>
      <c r="M206" s="43" t="s">
        <v>131</v>
      </c>
      <c r="N206" s="41" t="s">
        <v>132</v>
      </c>
      <c r="O206" s="32" t="s">
        <v>398</v>
      </c>
      <c r="P206" s="37">
        <v>45897</v>
      </c>
      <c r="Q206" s="25">
        <v>1</v>
      </c>
      <c r="R206" s="44">
        <v>2800</v>
      </c>
      <c r="S206" s="34">
        <f>+Q206*R206</f>
        <v>2800</v>
      </c>
      <c r="T206" s="34">
        <f>+S206*0.18</f>
        <v>504</v>
      </c>
      <c r="U206" s="34">
        <f>+S206+T206</f>
        <v>3304</v>
      </c>
      <c r="V206" s="34"/>
      <c r="W206" s="23" t="e">
        <v>#N/A</v>
      </c>
    </row>
    <row r="207" spans="1:23" x14ac:dyDescent="0.25">
      <c r="A207" s="31">
        <v>45861.610243055555</v>
      </c>
      <c r="B207" s="32" t="str">
        <f t="shared" ref="B207:B209" si="18">TEXT(A207,"mmm-yy")</f>
        <v>Jul-25</v>
      </c>
      <c r="C207" s="41" t="s">
        <v>152</v>
      </c>
      <c r="D207" s="23" t="s">
        <v>369</v>
      </c>
      <c r="E207" s="39" t="e">
        <v>#N/A</v>
      </c>
      <c r="F207" s="32" t="str">
        <f>IFERROR(DATEDIF(Table1[[#This Row],[MPG Ope Date]],Table1[[#This Row],[L]],"M"),"")</f>
        <v/>
      </c>
      <c r="G207" s="25">
        <v>20010016</v>
      </c>
      <c r="H207" s="42" t="s">
        <v>371</v>
      </c>
      <c r="I207" s="41" t="s">
        <v>380</v>
      </c>
      <c r="J207" s="41">
        <v>9263601995</v>
      </c>
      <c r="K207" s="41" t="s">
        <v>70</v>
      </c>
      <c r="L207" s="25" t="s">
        <v>389</v>
      </c>
      <c r="M207" s="43" t="s">
        <v>123</v>
      </c>
      <c r="N207" s="45" t="s">
        <v>394</v>
      </c>
      <c r="O207" s="32" t="s">
        <v>398</v>
      </c>
      <c r="P207" s="37">
        <v>45897</v>
      </c>
      <c r="Q207" s="25">
        <v>1</v>
      </c>
      <c r="R207" s="44">
        <v>350</v>
      </c>
      <c r="S207" s="34">
        <f t="shared" ref="S207:S209" si="19">+Q207*R207</f>
        <v>350</v>
      </c>
      <c r="T207" s="34">
        <f t="shared" ref="T207:T209" si="20">+S207*0.18</f>
        <v>63</v>
      </c>
      <c r="U207" s="34">
        <f t="shared" ref="U207:U209" si="21">+S207+T207</f>
        <v>413</v>
      </c>
      <c r="V207" s="34"/>
      <c r="W207" s="23" t="e">
        <v>#N/A</v>
      </c>
    </row>
    <row r="208" spans="1:23" x14ac:dyDescent="0.25">
      <c r="A208" s="31">
        <v>45861.555254629631</v>
      </c>
      <c r="B208" s="32" t="str">
        <f t="shared" si="18"/>
        <v>Jul-25</v>
      </c>
      <c r="C208" s="41" t="s">
        <v>152</v>
      </c>
      <c r="D208" s="23" t="s">
        <v>369</v>
      </c>
      <c r="E208" s="39" t="e">
        <v>#N/A</v>
      </c>
      <c r="F208" s="32" t="str">
        <f>IFERROR(DATEDIF(Table1[[#This Row],[MPG Ope Date]],Table1[[#This Row],[L]],"M"),"")</f>
        <v/>
      </c>
      <c r="G208" s="25">
        <v>20010041</v>
      </c>
      <c r="H208" s="42" t="s">
        <v>372</v>
      </c>
      <c r="I208" s="41" t="s">
        <v>381</v>
      </c>
      <c r="J208" s="41">
        <v>9123425530</v>
      </c>
      <c r="K208" s="41" t="s">
        <v>70</v>
      </c>
      <c r="L208" s="25" t="s">
        <v>390</v>
      </c>
      <c r="M208" s="43" t="s">
        <v>131</v>
      </c>
      <c r="N208" s="41" t="s">
        <v>395</v>
      </c>
      <c r="O208" s="32" t="s">
        <v>398</v>
      </c>
      <c r="P208" s="37">
        <v>45897</v>
      </c>
      <c r="Q208" s="25">
        <v>1</v>
      </c>
      <c r="R208" s="44">
        <v>2800</v>
      </c>
      <c r="S208" s="34">
        <f t="shared" si="19"/>
        <v>2800</v>
      </c>
      <c r="T208" s="34">
        <f t="shared" si="20"/>
        <v>504</v>
      </c>
      <c r="U208" s="34">
        <f t="shared" si="21"/>
        <v>3304</v>
      </c>
      <c r="V208" s="34"/>
      <c r="W208" s="23" t="e">
        <v>#N/A</v>
      </c>
    </row>
    <row r="209" spans="1:23" x14ac:dyDescent="0.25">
      <c r="A209" s="31">
        <v>45861.892106481479</v>
      </c>
      <c r="B209" s="32" t="str">
        <f t="shared" si="18"/>
        <v>Jul-25</v>
      </c>
      <c r="C209" s="41" t="s">
        <v>152</v>
      </c>
      <c r="D209" s="23" t="s">
        <v>369</v>
      </c>
      <c r="E209" s="39" t="e">
        <v>#N/A</v>
      </c>
      <c r="F209" s="32" t="str">
        <f>IFERROR(DATEDIF(Table1[[#This Row],[MPG Ope Date]],Table1[[#This Row],[L]],"M"),"")</f>
        <v/>
      </c>
      <c r="G209" s="25">
        <v>20020003</v>
      </c>
      <c r="H209" s="42" t="s">
        <v>373</v>
      </c>
      <c r="I209" s="41" t="s">
        <v>382</v>
      </c>
      <c r="J209" s="41">
        <v>9835904490</v>
      </c>
      <c r="K209" s="41" t="s">
        <v>68</v>
      </c>
      <c r="L209" s="25" t="s">
        <v>391</v>
      </c>
      <c r="M209" s="43" t="s">
        <v>135</v>
      </c>
      <c r="N209" s="41" t="s">
        <v>396</v>
      </c>
      <c r="O209" s="32" t="s">
        <v>398</v>
      </c>
      <c r="P209" s="37">
        <v>45897</v>
      </c>
      <c r="Q209" s="25">
        <v>1</v>
      </c>
      <c r="R209" s="44">
        <v>825</v>
      </c>
      <c r="S209" s="34">
        <f t="shared" si="19"/>
        <v>825</v>
      </c>
      <c r="T209" s="34">
        <f t="shared" si="20"/>
        <v>148.5</v>
      </c>
      <c r="U209" s="34">
        <f t="shared" si="21"/>
        <v>973.5</v>
      </c>
      <c r="V209" s="34"/>
      <c r="W209" s="23" t="e">
        <v>#N/A</v>
      </c>
    </row>
    <row r="210" spans="1:23" x14ac:dyDescent="0.25">
      <c r="A210" s="31">
        <v>45853.361828703702</v>
      </c>
      <c r="B210" s="32" t="str">
        <f t="shared" ref="B210:B211" si="22">TEXT(A210,"mmm-yy")</f>
        <v>Jul-25</v>
      </c>
      <c r="C210" s="41" t="s">
        <v>152</v>
      </c>
      <c r="D210" s="23" t="s">
        <v>0</v>
      </c>
      <c r="E210" s="39" t="e">
        <v>#N/A</v>
      </c>
      <c r="F210" s="32" t="str">
        <f>IFERROR(DATEDIF(Table1[[#This Row],[MPG Ope Date]],Table1[[#This Row],[L]],"M"),"")</f>
        <v/>
      </c>
      <c r="G210" s="25">
        <v>2001</v>
      </c>
      <c r="H210" s="42" t="s">
        <v>22</v>
      </c>
      <c r="I210" s="41" t="s">
        <v>56</v>
      </c>
      <c r="J210" s="41">
        <v>8210761749</v>
      </c>
      <c r="K210" s="41" t="s">
        <v>70</v>
      </c>
      <c r="L210" s="25" t="s">
        <v>95</v>
      </c>
      <c r="M210" s="43" t="s">
        <v>123</v>
      </c>
      <c r="N210" s="45" t="s">
        <v>394</v>
      </c>
      <c r="O210" s="32" t="s">
        <v>398</v>
      </c>
      <c r="P210" s="37">
        <v>45897</v>
      </c>
      <c r="Q210" s="25">
        <v>1</v>
      </c>
      <c r="R210" s="44">
        <v>350</v>
      </c>
      <c r="S210" s="34">
        <f t="shared" ref="S210:S211" si="23">+Q210*R210</f>
        <v>350</v>
      </c>
      <c r="T210" s="34">
        <f t="shared" ref="T210:T211" si="24">+S210*0.18</f>
        <v>63</v>
      </c>
      <c r="U210" s="34">
        <f t="shared" ref="U210:U211" si="25">+S210+T210</f>
        <v>413</v>
      </c>
      <c r="V210" s="34"/>
      <c r="W210" s="23" t="e">
        <v>#N/A</v>
      </c>
    </row>
    <row r="211" spans="1:23" x14ac:dyDescent="0.25">
      <c r="A211" s="31">
        <v>45852.856921296298</v>
      </c>
      <c r="B211" s="32" t="str">
        <f t="shared" si="22"/>
        <v>Jul-25</v>
      </c>
      <c r="C211" s="41" t="s">
        <v>152</v>
      </c>
      <c r="D211" s="23" t="s">
        <v>369</v>
      </c>
      <c r="E211" s="39" t="e">
        <v>#N/A</v>
      </c>
      <c r="F211" s="32" t="str">
        <f>IFERROR(DATEDIF(Table1[[#This Row],[MPG Ope Date]],Table1[[#This Row],[L]],"M"),"")</f>
        <v/>
      </c>
      <c r="G211" s="25">
        <v>20020002</v>
      </c>
      <c r="H211" s="42" t="s">
        <v>269</v>
      </c>
      <c r="I211" s="41" t="s">
        <v>302</v>
      </c>
      <c r="J211" s="41">
        <v>7061476343</v>
      </c>
      <c r="K211" s="41" t="s">
        <v>69</v>
      </c>
      <c r="L211" s="25">
        <v>364726</v>
      </c>
      <c r="M211" s="43" t="s">
        <v>115</v>
      </c>
      <c r="N211" s="41" t="s">
        <v>116</v>
      </c>
      <c r="O211" s="32" t="s">
        <v>398</v>
      </c>
      <c r="P211" s="37">
        <v>45897</v>
      </c>
      <c r="Q211" s="25">
        <v>1</v>
      </c>
      <c r="R211" s="44">
        <v>8500</v>
      </c>
      <c r="S211" s="34">
        <f t="shared" si="23"/>
        <v>8500</v>
      </c>
      <c r="T211" s="34">
        <f t="shared" si="24"/>
        <v>1530</v>
      </c>
      <c r="U211" s="34">
        <f t="shared" si="25"/>
        <v>10030</v>
      </c>
      <c r="V211" s="34"/>
      <c r="W211" s="23" t="e">
        <v>#N/A</v>
      </c>
    </row>
    <row r="212" spans="1:23" x14ac:dyDescent="0.25">
      <c r="A212" s="31">
        <v>45846.901134259257</v>
      </c>
      <c r="B212" s="32" t="str">
        <f t="shared" ref="B212:B213" si="26">TEXT(A212,"mmm-yy")</f>
        <v>Jul-25</v>
      </c>
      <c r="C212" s="41" t="s">
        <v>152</v>
      </c>
      <c r="D212" s="23" t="s">
        <v>369</v>
      </c>
      <c r="E212" s="39" t="e">
        <v>#N/A</v>
      </c>
      <c r="F212" s="32" t="str">
        <f>IFERROR(DATEDIF(Table1[[#This Row],[MPG Ope Date]],Table1[[#This Row],[L]],"M"),"")</f>
        <v/>
      </c>
      <c r="G212" s="25">
        <v>20020006</v>
      </c>
      <c r="H212" s="42" t="s">
        <v>374</v>
      </c>
      <c r="I212" s="41" t="s">
        <v>383</v>
      </c>
      <c r="J212" s="41">
        <v>6202978586</v>
      </c>
      <c r="K212" s="41" t="s">
        <v>69</v>
      </c>
      <c r="L212" s="25">
        <v>363892</v>
      </c>
      <c r="M212" s="43" t="s">
        <v>115</v>
      </c>
      <c r="N212" s="41" t="s">
        <v>116</v>
      </c>
      <c r="O212" s="32" t="s">
        <v>398</v>
      </c>
      <c r="P212" s="37">
        <v>45897</v>
      </c>
      <c r="Q212" s="25">
        <v>1</v>
      </c>
      <c r="R212" s="44">
        <v>8500</v>
      </c>
      <c r="S212" s="34">
        <f t="shared" ref="S212:S213" si="27">+Q212*R212</f>
        <v>8500</v>
      </c>
      <c r="T212" s="34">
        <f t="shared" ref="T212:T213" si="28">+S212*0.18</f>
        <v>1530</v>
      </c>
      <c r="U212" s="34">
        <f t="shared" ref="U212:U213" si="29">+S212+T212</f>
        <v>10030</v>
      </c>
      <c r="V212" s="34"/>
      <c r="W212" s="23" t="e">
        <v>#N/A</v>
      </c>
    </row>
    <row r="213" spans="1:23" x14ac:dyDescent="0.25">
      <c r="A213" s="31">
        <v>45846.900092592594</v>
      </c>
      <c r="B213" s="32" t="str">
        <f t="shared" si="26"/>
        <v>Jul-25</v>
      </c>
      <c r="C213" s="41" t="s">
        <v>152</v>
      </c>
      <c r="D213" s="23" t="s">
        <v>369</v>
      </c>
      <c r="E213" s="39" t="e">
        <v>#N/A</v>
      </c>
      <c r="F213" s="32" t="str">
        <f>IFERROR(DATEDIF(Table1[[#This Row],[MPG Ope Date]],Table1[[#This Row],[L]],"M"),"")</f>
        <v/>
      </c>
      <c r="G213" s="25">
        <v>20030005</v>
      </c>
      <c r="H213" s="42" t="s">
        <v>375</v>
      </c>
      <c r="I213" s="41" t="s">
        <v>384</v>
      </c>
      <c r="J213" s="41">
        <v>8709246184</v>
      </c>
      <c r="K213" s="41" t="s">
        <v>69</v>
      </c>
      <c r="L213" s="25">
        <v>359077</v>
      </c>
      <c r="M213" s="43" t="s">
        <v>115</v>
      </c>
      <c r="N213" s="41" t="s">
        <v>116</v>
      </c>
      <c r="O213" s="32" t="s">
        <v>398</v>
      </c>
      <c r="P213" s="37">
        <v>45897</v>
      </c>
      <c r="Q213" s="25">
        <v>1</v>
      </c>
      <c r="R213" s="44">
        <v>8500</v>
      </c>
      <c r="S213" s="34">
        <f t="shared" si="27"/>
        <v>8500</v>
      </c>
      <c r="T213" s="34">
        <f t="shared" si="28"/>
        <v>1530</v>
      </c>
      <c r="U213" s="34">
        <f t="shared" si="29"/>
        <v>10030</v>
      </c>
      <c r="V213" s="34"/>
      <c r="W213" s="23" t="e">
        <v>#N/A</v>
      </c>
    </row>
    <row r="214" spans="1:23" x14ac:dyDescent="0.25">
      <c r="A214" s="31">
        <v>45843.895752314813</v>
      </c>
      <c r="B214" s="32" t="str">
        <f>TEXT(A214,"mmm-yy")</f>
        <v>Jul-25</v>
      </c>
      <c r="C214" s="41" t="s">
        <v>152</v>
      </c>
      <c r="D214" s="23" t="s">
        <v>369</v>
      </c>
      <c r="E214" s="39" t="e">
        <v>#N/A</v>
      </c>
      <c r="F214" s="32" t="str">
        <f>IFERROR(DATEDIF(Table1[[#This Row],[MPG Ope Date]],Table1[[#This Row],[L]],"M"),"")</f>
        <v/>
      </c>
      <c r="G214" s="25">
        <v>20060004</v>
      </c>
      <c r="H214" s="42" t="s">
        <v>376</v>
      </c>
      <c r="I214" s="41" t="s">
        <v>385</v>
      </c>
      <c r="J214" s="41">
        <v>9507715083</v>
      </c>
      <c r="K214" s="41" t="s">
        <v>68</v>
      </c>
      <c r="L214" s="25" t="s">
        <v>392</v>
      </c>
      <c r="M214" s="43" t="s">
        <v>133</v>
      </c>
      <c r="N214" s="41" t="s">
        <v>397</v>
      </c>
      <c r="O214" s="32" t="s">
        <v>398</v>
      </c>
      <c r="P214" s="37">
        <v>45897</v>
      </c>
      <c r="Q214" s="25">
        <v>1</v>
      </c>
      <c r="R214" s="44">
        <v>2080</v>
      </c>
      <c r="S214" s="34">
        <f>+Q214*R214</f>
        <v>2080</v>
      </c>
      <c r="T214" s="34">
        <f>+S214*0.18</f>
        <v>374.4</v>
      </c>
      <c r="U214" s="34">
        <f>+S214+T214</f>
        <v>2454.4</v>
      </c>
      <c r="V214" s="34"/>
      <c r="W214" s="23" t="e">
        <v>#N/A</v>
      </c>
    </row>
    <row r="215" spans="1:23" x14ac:dyDescent="0.25">
      <c r="A215" s="31">
        <v>45839.728784722225</v>
      </c>
      <c r="B215" s="32" t="str">
        <f>TEXT(A215,"mmm-yy")</f>
        <v>Jul-25</v>
      </c>
      <c r="C215" s="41" t="s">
        <v>152</v>
      </c>
      <c r="D215" s="23" t="s">
        <v>369</v>
      </c>
      <c r="E215" s="39" t="e">
        <v>#N/A</v>
      </c>
      <c r="F215" s="32" t="str">
        <f>IFERROR(DATEDIF(Table1[[#This Row],[MPG Ope Date]],Table1[[#This Row],[L]],"M"),"")</f>
        <v/>
      </c>
      <c r="G215" s="25">
        <v>20010017</v>
      </c>
      <c r="H215" s="42" t="s">
        <v>377</v>
      </c>
      <c r="I215" s="41" t="s">
        <v>386</v>
      </c>
      <c r="J215" s="41">
        <v>8709453609</v>
      </c>
      <c r="K215" s="41" t="s">
        <v>70</v>
      </c>
      <c r="L215" s="25" t="s">
        <v>393</v>
      </c>
      <c r="M215" s="43" t="s">
        <v>123</v>
      </c>
      <c r="N215" s="45" t="s">
        <v>394</v>
      </c>
      <c r="O215" s="32" t="s">
        <v>398</v>
      </c>
      <c r="P215" s="37">
        <v>45897</v>
      </c>
      <c r="Q215" s="25">
        <v>1</v>
      </c>
      <c r="R215" s="44">
        <v>350</v>
      </c>
      <c r="S215" s="34">
        <f>+Q215*R215</f>
        <v>350</v>
      </c>
      <c r="T215" s="34">
        <f>+S215*0.18</f>
        <v>63</v>
      </c>
      <c r="U215" s="34">
        <f>+S215+T215</f>
        <v>413</v>
      </c>
      <c r="V215" s="34"/>
      <c r="W215" s="23" t="e">
        <v>#N/A</v>
      </c>
    </row>
    <row r="216" spans="1:23" x14ac:dyDescent="0.25">
      <c r="A216" s="31">
        <v>45841.702569444446</v>
      </c>
      <c r="B216" s="32" t="str">
        <f>TEXT(A216,"mmm-yy")</f>
        <v>Jul-25</v>
      </c>
      <c r="C216" s="41" t="s">
        <v>399</v>
      </c>
      <c r="D216" s="23" t="s">
        <v>369</v>
      </c>
      <c r="E216" s="39" t="e">
        <v>#N/A</v>
      </c>
      <c r="F216" s="32" t="str">
        <f>IFERROR(DATEDIF(Table1[[#This Row],[MPG Ope Date]],Table1[[#This Row],[L]],"M"),"")</f>
        <v/>
      </c>
      <c r="G216" s="25">
        <v>30200028</v>
      </c>
      <c r="H216" s="42" t="s">
        <v>378</v>
      </c>
      <c r="I216" s="41" t="s">
        <v>387</v>
      </c>
      <c r="J216" s="41">
        <v>7074052919</v>
      </c>
      <c r="K216" s="41" t="s">
        <v>69</v>
      </c>
      <c r="L216" s="25">
        <v>333374</v>
      </c>
      <c r="M216" s="43" t="s">
        <v>115</v>
      </c>
      <c r="N216" s="41" t="s">
        <v>116</v>
      </c>
      <c r="O216" s="32" t="s">
        <v>398</v>
      </c>
      <c r="P216" s="37">
        <v>45897</v>
      </c>
      <c r="Q216" s="25">
        <v>1</v>
      </c>
      <c r="R216" s="44">
        <v>8500</v>
      </c>
      <c r="S216" s="34">
        <f>+Q216*R216</f>
        <v>8500</v>
      </c>
      <c r="T216" s="34">
        <f>+S216*0.18</f>
        <v>1530</v>
      </c>
      <c r="U216" s="34">
        <f>+S216+T216</f>
        <v>10030</v>
      </c>
      <c r="V216" s="34"/>
      <c r="W216" s="23" t="e">
        <v>#N/A</v>
      </c>
    </row>
    <row r="217" spans="1:23" x14ac:dyDescent="0.25">
      <c r="A217" s="31">
        <v>45869.737476851849</v>
      </c>
      <c r="B217" s="32" t="str">
        <f t="shared" ref="B217:B222" si="30">TEXT(A217,"mmm-yy")</f>
        <v>Jul-25</v>
      </c>
      <c r="C217" s="23" t="s">
        <v>153</v>
      </c>
      <c r="D217" s="23" t="s">
        <v>369</v>
      </c>
      <c r="E217" s="39">
        <v>45680</v>
      </c>
      <c r="F217" s="32">
        <f>IFERROR(DATEDIF(Table1[[#This Row],[MPG Ope Date]],Table1[[#This Row],[L]],"M"),"")</f>
        <v>6</v>
      </c>
      <c r="G217" s="25">
        <v>10140153</v>
      </c>
      <c r="H217" s="42" t="s">
        <v>400</v>
      </c>
      <c r="I217" s="41" t="s">
        <v>425</v>
      </c>
      <c r="J217" s="41">
        <v>7050137685</v>
      </c>
      <c r="K217" s="41" t="s">
        <v>71</v>
      </c>
      <c r="L217" s="25" t="s">
        <v>448</v>
      </c>
      <c r="M217" s="43" t="s">
        <v>141</v>
      </c>
      <c r="N217" s="41" t="s">
        <v>471</v>
      </c>
      <c r="O217" s="32" t="s">
        <v>480</v>
      </c>
      <c r="P217" s="37">
        <v>45897</v>
      </c>
      <c r="Q217" s="25">
        <v>1</v>
      </c>
      <c r="R217" s="44">
        <v>900</v>
      </c>
      <c r="S217" s="34">
        <f t="shared" ref="S217:S222" si="31">+Q217*R217</f>
        <v>900</v>
      </c>
      <c r="T217" s="34">
        <f t="shared" ref="T217:T222" si="32">+S217*0.18</f>
        <v>162</v>
      </c>
      <c r="U217" s="34">
        <f t="shared" ref="U217:U222" si="33">+S217+T217</f>
        <v>1062</v>
      </c>
      <c r="V217" s="34"/>
      <c r="W217" s="23" t="s">
        <v>1005</v>
      </c>
    </row>
    <row r="218" spans="1:23" x14ac:dyDescent="0.25">
      <c r="A218" s="31">
        <v>45864.586886574078</v>
      </c>
      <c r="B218" s="32" t="str">
        <f t="shared" si="30"/>
        <v>Jul-25</v>
      </c>
      <c r="C218" s="23" t="s">
        <v>153</v>
      </c>
      <c r="D218" s="23" t="s">
        <v>369</v>
      </c>
      <c r="E218" s="39">
        <v>44911</v>
      </c>
      <c r="F218" s="32">
        <f>IFERROR(DATEDIF(Table1[[#This Row],[MPG Ope Date]],Table1[[#This Row],[L]],"M"),"")</f>
        <v>31</v>
      </c>
      <c r="G218" s="25">
        <v>10020032</v>
      </c>
      <c r="H218" s="42" t="s">
        <v>298</v>
      </c>
      <c r="I218" s="41" t="s">
        <v>330</v>
      </c>
      <c r="J218" s="41">
        <v>7808714512</v>
      </c>
      <c r="K218" s="41" t="s">
        <v>69</v>
      </c>
      <c r="L218" s="25">
        <v>381346</v>
      </c>
      <c r="M218" s="43" t="s">
        <v>262</v>
      </c>
      <c r="N218" s="45" t="s">
        <v>263</v>
      </c>
      <c r="O218" s="32" t="s">
        <v>480</v>
      </c>
      <c r="P218" s="37">
        <v>45897</v>
      </c>
      <c r="Q218" s="25">
        <v>1</v>
      </c>
      <c r="R218" s="44">
        <v>140</v>
      </c>
      <c r="S218" s="34">
        <f t="shared" si="31"/>
        <v>140</v>
      </c>
      <c r="T218" s="34">
        <f t="shared" si="32"/>
        <v>25.2</v>
      </c>
      <c r="U218" s="34">
        <f t="shared" si="33"/>
        <v>165.2</v>
      </c>
      <c r="V218" s="34"/>
      <c r="W218" s="23" t="s">
        <v>1005</v>
      </c>
    </row>
    <row r="219" spans="1:23" x14ac:dyDescent="0.25">
      <c r="A219" s="31">
        <v>45864.564421296294</v>
      </c>
      <c r="B219" s="32" t="str">
        <f t="shared" si="30"/>
        <v>Jul-25</v>
      </c>
      <c r="C219" s="23" t="s">
        <v>153</v>
      </c>
      <c r="D219" s="23" t="s">
        <v>369</v>
      </c>
      <c r="E219" s="39" t="e">
        <v>#N/A</v>
      </c>
      <c r="F219" s="32" t="str">
        <f>IFERROR(DATEDIF(Table1[[#This Row],[MPG Ope Date]],Table1[[#This Row],[L]],"M"),"")</f>
        <v/>
      </c>
      <c r="G219" s="25">
        <v>10140066</v>
      </c>
      <c r="H219" s="40" t="s">
        <v>401</v>
      </c>
      <c r="I219" s="41" t="s">
        <v>426</v>
      </c>
      <c r="J219" s="41">
        <v>8757033125</v>
      </c>
      <c r="K219" s="41" t="s">
        <v>68</v>
      </c>
      <c r="L219" s="25" t="s">
        <v>449</v>
      </c>
      <c r="M219" s="43" t="s">
        <v>113</v>
      </c>
      <c r="N219" s="45" t="s">
        <v>114</v>
      </c>
      <c r="O219" s="32" t="s">
        <v>480</v>
      </c>
      <c r="P219" s="37">
        <v>45897</v>
      </c>
      <c r="Q219" s="25">
        <v>1</v>
      </c>
      <c r="R219" s="44">
        <v>225</v>
      </c>
      <c r="S219" s="34">
        <f t="shared" si="31"/>
        <v>225</v>
      </c>
      <c r="T219" s="34">
        <f t="shared" si="32"/>
        <v>40.5</v>
      </c>
      <c r="U219" s="34">
        <f t="shared" si="33"/>
        <v>265.5</v>
      </c>
      <c r="V219" s="34"/>
      <c r="W219" s="23" t="s">
        <v>1005</v>
      </c>
    </row>
    <row r="220" spans="1:23" x14ac:dyDescent="0.25">
      <c r="A220" s="31">
        <v>45864.564421296294</v>
      </c>
      <c r="B220" s="32" t="str">
        <f t="shared" si="30"/>
        <v>Jul-25</v>
      </c>
      <c r="C220" s="23" t="s">
        <v>153</v>
      </c>
      <c r="D220" s="23" t="s">
        <v>369</v>
      </c>
      <c r="E220" s="39" t="e">
        <v>#N/A</v>
      </c>
      <c r="F220" s="32" t="str">
        <f>IFERROR(DATEDIF(Table1[[#This Row],[MPG Ope Date]],Table1[[#This Row],[L]],"M"),"")</f>
        <v/>
      </c>
      <c r="G220" s="25">
        <v>10140066</v>
      </c>
      <c r="H220" s="40" t="s">
        <v>401</v>
      </c>
      <c r="I220" s="41" t="s">
        <v>426</v>
      </c>
      <c r="J220" s="41">
        <v>8757033125</v>
      </c>
      <c r="K220" s="41" t="s">
        <v>68</v>
      </c>
      <c r="L220" s="25" t="s">
        <v>449</v>
      </c>
      <c r="M220" s="43" t="s">
        <v>137</v>
      </c>
      <c r="N220" s="41" t="s">
        <v>138</v>
      </c>
      <c r="O220" s="32" t="s">
        <v>480</v>
      </c>
      <c r="P220" s="37">
        <v>45897</v>
      </c>
      <c r="Q220" s="25">
        <v>1</v>
      </c>
      <c r="R220" s="44">
        <v>2800</v>
      </c>
      <c r="S220" s="34">
        <f t="shared" si="31"/>
        <v>2800</v>
      </c>
      <c r="T220" s="34">
        <f t="shared" si="32"/>
        <v>504</v>
      </c>
      <c r="U220" s="34">
        <f t="shared" si="33"/>
        <v>3304</v>
      </c>
      <c r="V220" s="34"/>
      <c r="W220" s="23" t="s">
        <v>1005</v>
      </c>
    </row>
    <row r="221" spans="1:23" x14ac:dyDescent="0.25">
      <c r="A221" s="31">
        <v>45864.598101851851</v>
      </c>
      <c r="B221" s="32" t="str">
        <f t="shared" si="30"/>
        <v>Jul-25</v>
      </c>
      <c r="C221" s="23" t="s">
        <v>153</v>
      </c>
      <c r="D221" s="23" t="s">
        <v>369</v>
      </c>
      <c r="E221" s="39">
        <v>45642</v>
      </c>
      <c r="F221" s="32">
        <f>IFERROR(DATEDIF(Table1[[#This Row],[MPG Ope Date]],Table1[[#This Row],[L]],"M"),"")</f>
        <v>7</v>
      </c>
      <c r="G221" s="25">
        <v>10480022</v>
      </c>
      <c r="H221" s="42" t="s">
        <v>402</v>
      </c>
      <c r="I221" s="41" t="s">
        <v>427</v>
      </c>
      <c r="J221" s="41">
        <v>8051665003</v>
      </c>
      <c r="K221" s="41" t="s">
        <v>71</v>
      </c>
      <c r="L221" s="25" t="s">
        <v>450</v>
      </c>
      <c r="M221" s="43" t="s">
        <v>141</v>
      </c>
      <c r="N221" s="41" t="s">
        <v>471</v>
      </c>
      <c r="O221" s="32" t="s">
        <v>480</v>
      </c>
      <c r="P221" s="37">
        <v>45897</v>
      </c>
      <c r="Q221" s="25">
        <v>1</v>
      </c>
      <c r="R221" s="44">
        <v>900</v>
      </c>
      <c r="S221" s="34">
        <f t="shared" si="31"/>
        <v>900</v>
      </c>
      <c r="T221" s="34">
        <f t="shared" si="32"/>
        <v>162</v>
      </c>
      <c r="U221" s="34">
        <f t="shared" si="33"/>
        <v>1062</v>
      </c>
      <c r="V221" s="34"/>
      <c r="W221" s="23" t="s">
        <v>1005</v>
      </c>
    </row>
    <row r="222" spans="1:23" x14ac:dyDescent="0.25">
      <c r="A222" s="31">
        <v>45864.598101851851</v>
      </c>
      <c r="B222" s="32" t="str">
        <f t="shared" si="30"/>
        <v>Jul-25</v>
      </c>
      <c r="C222" s="23" t="s">
        <v>153</v>
      </c>
      <c r="D222" s="23" t="s">
        <v>369</v>
      </c>
      <c r="E222" s="39">
        <v>45642</v>
      </c>
      <c r="F222" s="32">
        <f>IFERROR(DATEDIF(Table1[[#This Row],[MPG Ope Date]],Table1[[#This Row],[L]],"M"),"")</f>
        <v>7</v>
      </c>
      <c r="G222" s="25">
        <v>10480022</v>
      </c>
      <c r="H222" s="42" t="s">
        <v>402</v>
      </c>
      <c r="I222" s="41" t="s">
        <v>427</v>
      </c>
      <c r="J222" s="41">
        <v>8051665003</v>
      </c>
      <c r="K222" s="41" t="s">
        <v>71</v>
      </c>
      <c r="L222" s="25" t="s">
        <v>450</v>
      </c>
      <c r="M222" s="43" t="s">
        <v>129</v>
      </c>
      <c r="N222" s="41" t="s">
        <v>130</v>
      </c>
      <c r="O222" s="32" t="s">
        <v>480</v>
      </c>
      <c r="P222" s="37">
        <v>45897</v>
      </c>
      <c r="Q222" s="25">
        <v>1</v>
      </c>
      <c r="R222" s="44">
        <v>1750</v>
      </c>
      <c r="S222" s="34">
        <f t="shared" si="31"/>
        <v>1750</v>
      </c>
      <c r="T222" s="34">
        <f t="shared" si="32"/>
        <v>315</v>
      </c>
      <c r="U222" s="34">
        <f t="shared" si="33"/>
        <v>2065</v>
      </c>
      <c r="V222" s="34"/>
      <c r="W222" s="23" t="s">
        <v>1005</v>
      </c>
    </row>
    <row r="223" spans="1:23" x14ac:dyDescent="0.25">
      <c r="A223" s="31">
        <v>45861.694953703707</v>
      </c>
      <c r="B223" s="32" t="str">
        <f t="shared" ref="B223:B227" si="34">TEXT(A223,"mmm-yy")</f>
        <v>Jul-25</v>
      </c>
      <c r="C223" s="23" t="s">
        <v>153</v>
      </c>
      <c r="D223" s="23" t="s">
        <v>369</v>
      </c>
      <c r="E223" s="39">
        <v>45666</v>
      </c>
      <c r="F223" s="32">
        <f>IFERROR(DATEDIF(Table1[[#This Row],[MPG Ope Date]],Table1[[#This Row],[L]],"M"),"")</f>
        <v>6</v>
      </c>
      <c r="G223" s="25">
        <v>10120094</v>
      </c>
      <c r="H223" s="42" t="s">
        <v>187</v>
      </c>
      <c r="I223" s="41" t="s">
        <v>223</v>
      </c>
      <c r="J223" s="41">
        <v>9939074043</v>
      </c>
      <c r="K223" s="41" t="s">
        <v>69</v>
      </c>
      <c r="L223" s="25">
        <v>277150</v>
      </c>
      <c r="M223" s="43" t="s">
        <v>121</v>
      </c>
      <c r="N223" s="45" t="s">
        <v>122</v>
      </c>
      <c r="O223" s="32" t="s">
        <v>480</v>
      </c>
      <c r="P223" s="37">
        <v>45897</v>
      </c>
      <c r="Q223" s="25">
        <v>1</v>
      </c>
      <c r="R223" s="44">
        <v>70</v>
      </c>
      <c r="S223" s="34">
        <f t="shared" ref="S223:S227" si="35">+Q223*R223</f>
        <v>70</v>
      </c>
      <c r="T223" s="34">
        <f t="shared" ref="T223:T227" si="36">+S223*0.18</f>
        <v>12.6</v>
      </c>
      <c r="U223" s="34">
        <f t="shared" ref="U223:U227" si="37">+S223+T223</f>
        <v>82.6</v>
      </c>
      <c r="V223" s="34"/>
      <c r="W223" s="23" t="s">
        <v>1005</v>
      </c>
    </row>
    <row r="224" spans="1:23" x14ac:dyDescent="0.25">
      <c r="A224" s="31">
        <v>45861.694953703707</v>
      </c>
      <c r="B224" s="32" t="str">
        <f t="shared" si="34"/>
        <v>Jul-25</v>
      </c>
      <c r="C224" s="23" t="s">
        <v>153</v>
      </c>
      <c r="D224" s="23" t="s">
        <v>369</v>
      </c>
      <c r="E224" s="39">
        <v>45666</v>
      </c>
      <c r="F224" s="32">
        <f>IFERROR(DATEDIF(Table1[[#This Row],[MPG Ope Date]],Table1[[#This Row],[L]],"M"),"")</f>
        <v>6</v>
      </c>
      <c r="G224" s="25">
        <v>10120094</v>
      </c>
      <c r="H224" s="42" t="s">
        <v>187</v>
      </c>
      <c r="I224" s="41" t="s">
        <v>223</v>
      </c>
      <c r="J224" s="41">
        <v>9939074043</v>
      </c>
      <c r="K224" s="41" t="s">
        <v>69</v>
      </c>
      <c r="L224" s="25">
        <v>277150</v>
      </c>
      <c r="M224" s="43" t="s">
        <v>117</v>
      </c>
      <c r="N224" s="45" t="s">
        <v>472</v>
      </c>
      <c r="O224" s="32" t="s">
        <v>480</v>
      </c>
      <c r="P224" s="37">
        <v>45897</v>
      </c>
      <c r="Q224" s="25">
        <v>1</v>
      </c>
      <c r="R224" s="44">
        <v>770</v>
      </c>
      <c r="S224" s="34">
        <f t="shared" si="35"/>
        <v>770</v>
      </c>
      <c r="T224" s="34">
        <f t="shared" si="36"/>
        <v>138.6</v>
      </c>
      <c r="U224" s="34">
        <f t="shared" si="37"/>
        <v>908.6</v>
      </c>
      <c r="V224" s="34"/>
      <c r="W224" s="23" t="s">
        <v>1005</v>
      </c>
    </row>
    <row r="225" spans="1:23" x14ac:dyDescent="0.25">
      <c r="A225" s="31">
        <v>45861.694953703707</v>
      </c>
      <c r="B225" s="32" t="str">
        <f t="shared" si="34"/>
        <v>Jul-25</v>
      </c>
      <c r="C225" s="23" t="s">
        <v>153</v>
      </c>
      <c r="D225" s="23" t="s">
        <v>369</v>
      </c>
      <c r="E225" s="39">
        <v>45666</v>
      </c>
      <c r="F225" s="32">
        <f>IFERROR(DATEDIF(Table1[[#This Row],[MPG Ope Date]],Table1[[#This Row],[L]],"M"),"")</f>
        <v>6</v>
      </c>
      <c r="G225" s="25">
        <v>10120094</v>
      </c>
      <c r="H225" s="42" t="s">
        <v>187</v>
      </c>
      <c r="I225" s="41" t="s">
        <v>223</v>
      </c>
      <c r="J225" s="41">
        <v>9939074043</v>
      </c>
      <c r="K225" s="41" t="s">
        <v>69</v>
      </c>
      <c r="L225" s="25">
        <v>277150</v>
      </c>
      <c r="M225" s="43" t="s">
        <v>121</v>
      </c>
      <c r="N225" s="45" t="s">
        <v>122</v>
      </c>
      <c r="O225" s="32" t="s">
        <v>480</v>
      </c>
      <c r="P225" s="37">
        <v>45897</v>
      </c>
      <c r="Q225" s="25">
        <v>1</v>
      </c>
      <c r="R225" s="44">
        <v>70</v>
      </c>
      <c r="S225" s="34">
        <f t="shared" si="35"/>
        <v>70</v>
      </c>
      <c r="T225" s="34">
        <f t="shared" si="36"/>
        <v>12.6</v>
      </c>
      <c r="U225" s="34">
        <f t="shared" si="37"/>
        <v>82.6</v>
      </c>
      <c r="V225" s="34"/>
      <c r="W225" s="23" t="s">
        <v>1005</v>
      </c>
    </row>
    <row r="226" spans="1:23" x14ac:dyDescent="0.25">
      <c r="A226" s="31">
        <v>45861.690266203703</v>
      </c>
      <c r="B226" s="32" t="str">
        <f t="shared" si="34"/>
        <v>Jul-25</v>
      </c>
      <c r="C226" s="23" t="s">
        <v>153</v>
      </c>
      <c r="D226" s="23" t="s">
        <v>369</v>
      </c>
      <c r="E226" s="39">
        <v>45793</v>
      </c>
      <c r="F226" s="32">
        <f>IFERROR(DATEDIF(Table1[[#This Row],[MPG Ope Date]],Table1[[#This Row],[L]],"M"),"")</f>
        <v>2</v>
      </c>
      <c r="G226" s="25">
        <v>10120104</v>
      </c>
      <c r="H226" s="42" t="s">
        <v>290</v>
      </c>
      <c r="I226" s="41" t="s">
        <v>322</v>
      </c>
      <c r="J226" s="41">
        <v>7079418432</v>
      </c>
      <c r="K226" s="41" t="s">
        <v>69</v>
      </c>
      <c r="L226" s="25">
        <v>328957</v>
      </c>
      <c r="M226" s="43" t="s">
        <v>119</v>
      </c>
      <c r="N226" s="45" t="s">
        <v>120</v>
      </c>
      <c r="O226" s="32" t="s">
        <v>480</v>
      </c>
      <c r="P226" s="37">
        <v>45897</v>
      </c>
      <c r="Q226" s="25">
        <v>1</v>
      </c>
      <c r="R226" s="44">
        <v>84</v>
      </c>
      <c r="S226" s="34">
        <f t="shared" si="35"/>
        <v>84</v>
      </c>
      <c r="T226" s="34">
        <f t="shared" si="36"/>
        <v>15.12</v>
      </c>
      <c r="U226" s="34">
        <f t="shared" si="37"/>
        <v>99.12</v>
      </c>
      <c r="V226" s="34"/>
      <c r="W226" s="23" t="s">
        <v>1005</v>
      </c>
    </row>
    <row r="227" spans="1:23" x14ac:dyDescent="0.25">
      <c r="A227" s="31">
        <v>45861.651736111111</v>
      </c>
      <c r="B227" s="32" t="str">
        <f t="shared" si="34"/>
        <v>Jul-25</v>
      </c>
      <c r="C227" s="23" t="s">
        <v>153</v>
      </c>
      <c r="D227" s="23" t="s">
        <v>369</v>
      </c>
      <c r="E227" s="39">
        <v>45684</v>
      </c>
      <c r="F227" s="32">
        <f>IFERROR(DATEDIF(Table1[[#This Row],[MPG Ope Date]],Table1[[#This Row],[L]],"M"),"")</f>
        <v>5</v>
      </c>
      <c r="G227" s="25">
        <v>10140156</v>
      </c>
      <c r="H227" s="42" t="s">
        <v>403</v>
      </c>
      <c r="I227" s="41" t="s">
        <v>428</v>
      </c>
      <c r="J227" s="41">
        <v>9540837313</v>
      </c>
      <c r="K227" s="41" t="s">
        <v>71</v>
      </c>
      <c r="L227" s="25" t="s">
        <v>451</v>
      </c>
      <c r="M227" s="43" t="s">
        <v>141</v>
      </c>
      <c r="N227" s="41" t="s">
        <v>471</v>
      </c>
      <c r="O227" s="32" t="s">
        <v>480</v>
      </c>
      <c r="P227" s="37">
        <v>45897</v>
      </c>
      <c r="Q227" s="25">
        <v>1</v>
      </c>
      <c r="R227" s="44">
        <v>900</v>
      </c>
      <c r="S227" s="34">
        <f t="shared" si="35"/>
        <v>900</v>
      </c>
      <c r="T227" s="34">
        <f t="shared" si="36"/>
        <v>162</v>
      </c>
      <c r="U227" s="34">
        <f t="shared" si="37"/>
        <v>1062</v>
      </c>
      <c r="V227" s="34"/>
      <c r="W227" s="23" t="s">
        <v>1005</v>
      </c>
    </row>
    <row r="228" spans="1:23" x14ac:dyDescent="0.25">
      <c r="A228" s="31">
        <v>45860.728900462964</v>
      </c>
      <c r="B228" s="32" t="str">
        <f t="shared" ref="B228:B245" si="38">TEXT(A228,"mmm-yy")</f>
        <v>Jul-25</v>
      </c>
      <c r="C228" s="23" t="s">
        <v>153</v>
      </c>
      <c r="D228" s="23" t="s">
        <v>369</v>
      </c>
      <c r="E228" s="39">
        <v>45843</v>
      </c>
      <c r="F228" s="32">
        <f>IFERROR(DATEDIF(Table1[[#This Row],[MPG Ope Date]],Table1[[#This Row],[L]],"M"),"")</f>
        <v>0</v>
      </c>
      <c r="G228" s="25">
        <v>10080100</v>
      </c>
      <c r="H228" s="42" t="s">
        <v>404</v>
      </c>
      <c r="I228" s="41" t="s">
        <v>216</v>
      </c>
      <c r="J228" s="41">
        <v>8271562260</v>
      </c>
      <c r="K228" s="41" t="s">
        <v>71</v>
      </c>
      <c r="L228" s="25" t="s">
        <v>452</v>
      </c>
      <c r="M228" s="43" t="s">
        <v>141</v>
      </c>
      <c r="N228" s="41" t="s">
        <v>142</v>
      </c>
      <c r="O228" s="32" t="s">
        <v>480</v>
      </c>
      <c r="P228" s="37">
        <v>45897</v>
      </c>
      <c r="Q228" s="25">
        <v>1</v>
      </c>
      <c r="R228" s="44">
        <v>900</v>
      </c>
      <c r="S228" s="34">
        <f t="shared" ref="S228:S245" si="39">+Q228*R228</f>
        <v>900</v>
      </c>
      <c r="T228" s="34">
        <f t="shared" ref="T228:T245" si="40">+S228*0.18</f>
        <v>162</v>
      </c>
      <c r="U228" s="34">
        <f t="shared" ref="U228:U245" si="41">+S228+T228</f>
        <v>1062</v>
      </c>
      <c r="V228" s="34"/>
      <c r="W228" s="23" t="s">
        <v>1005</v>
      </c>
    </row>
    <row r="229" spans="1:23" x14ac:dyDescent="0.25">
      <c r="A229" s="31">
        <v>45860.411793981482</v>
      </c>
      <c r="B229" s="32" t="str">
        <f t="shared" si="38"/>
        <v>Jul-25</v>
      </c>
      <c r="C229" s="23" t="s">
        <v>153</v>
      </c>
      <c r="D229" s="23" t="s">
        <v>369</v>
      </c>
      <c r="E229" s="39">
        <v>44967</v>
      </c>
      <c r="F229" s="32">
        <f>IFERROR(DATEDIF(Table1[[#This Row],[MPG Ope Date]],Table1[[#This Row],[L]],"M"),"")</f>
        <v>29</v>
      </c>
      <c r="G229" s="25">
        <v>10020037</v>
      </c>
      <c r="H229" s="42" t="s">
        <v>405</v>
      </c>
      <c r="I229" s="41" t="s">
        <v>429</v>
      </c>
      <c r="J229" s="41">
        <v>7631149851</v>
      </c>
      <c r="K229" s="41" t="s">
        <v>70</v>
      </c>
      <c r="L229" s="25" t="s">
        <v>453</v>
      </c>
      <c r="M229" s="43" t="s">
        <v>123</v>
      </c>
      <c r="N229" s="45" t="s">
        <v>394</v>
      </c>
      <c r="O229" s="32" t="s">
        <v>480</v>
      </c>
      <c r="P229" s="37">
        <v>45897</v>
      </c>
      <c r="Q229" s="25">
        <v>1</v>
      </c>
      <c r="R229" s="44">
        <v>350</v>
      </c>
      <c r="S229" s="34">
        <f t="shared" si="39"/>
        <v>350</v>
      </c>
      <c r="T229" s="34">
        <f t="shared" si="40"/>
        <v>63</v>
      </c>
      <c r="U229" s="34">
        <f t="shared" si="41"/>
        <v>413</v>
      </c>
      <c r="V229" s="34"/>
      <c r="W229" s="23" t="s">
        <v>1005</v>
      </c>
    </row>
    <row r="230" spans="1:23" x14ac:dyDescent="0.25">
      <c r="A230" s="31">
        <v>45860.599456018521</v>
      </c>
      <c r="B230" s="32" t="str">
        <f t="shared" si="38"/>
        <v>Jul-25</v>
      </c>
      <c r="C230" s="23" t="s">
        <v>153</v>
      </c>
      <c r="D230" s="23" t="s">
        <v>369</v>
      </c>
      <c r="E230" s="39" t="e">
        <v>#N/A</v>
      </c>
      <c r="F230" s="32" t="str">
        <f>IFERROR(DATEDIF(Table1[[#This Row],[MPG Ope Date]],Table1[[#This Row],[L]],"M"),"")</f>
        <v/>
      </c>
      <c r="G230" s="25">
        <v>10030034</v>
      </c>
      <c r="H230" s="40" t="s">
        <v>406</v>
      </c>
      <c r="I230" s="41" t="s">
        <v>430</v>
      </c>
      <c r="J230" s="41">
        <v>7050069650</v>
      </c>
      <c r="K230" s="41" t="s">
        <v>69</v>
      </c>
      <c r="L230" s="25">
        <v>388118</v>
      </c>
      <c r="M230" s="43" t="s">
        <v>262</v>
      </c>
      <c r="N230" s="45" t="s">
        <v>263</v>
      </c>
      <c r="O230" s="32" t="s">
        <v>480</v>
      </c>
      <c r="P230" s="37">
        <v>45897</v>
      </c>
      <c r="Q230" s="25">
        <v>1</v>
      </c>
      <c r="R230" s="44">
        <v>140</v>
      </c>
      <c r="S230" s="34">
        <f t="shared" si="39"/>
        <v>140</v>
      </c>
      <c r="T230" s="34">
        <f t="shared" si="40"/>
        <v>25.2</v>
      </c>
      <c r="U230" s="34">
        <f t="shared" si="41"/>
        <v>165.2</v>
      </c>
      <c r="V230" s="34"/>
      <c r="W230" s="23" t="s">
        <v>1005</v>
      </c>
    </row>
    <row r="231" spans="1:23" x14ac:dyDescent="0.25">
      <c r="A231" s="31">
        <v>45859.61614583333</v>
      </c>
      <c r="B231" s="32" t="str">
        <f t="shared" si="38"/>
        <v>Jul-25</v>
      </c>
      <c r="C231" s="23" t="s">
        <v>153</v>
      </c>
      <c r="D231" s="23" t="s">
        <v>369</v>
      </c>
      <c r="E231" s="39">
        <v>45005</v>
      </c>
      <c r="F231" s="32">
        <f>IFERROR(DATEDIF(Table1[[#This Row],[MPG Ope Date]],Table1[[#This Row],[L]],"M"),"")</f>
        <v>28</v>
      </c>
      <c r="G231" s="25">
        <v>10140051</v>
      </c>
      <c r="H231" s="42" t="s">
        <v>407</v>
      </c>
      <c r="I231" s="41" t="s">
        <v>431</v>
      </c>
      <c r="J231" s="41">
        <v>7488933513</v>
      </c>
      <c r="K231" s="41" t="s">
        <v>70</v>
      </c>
      <c r="L231" s="25" t="s">
        <v>454</v>
      </c>
      <c r="M231" s="43" t="s">
        <v>123</v>
      </c>
      <c r="N231" s="45" t="s">
        <v>394</v>
      </c>
      <c r="O231" s="32" t="s">
        <v>480</v>
      </c>
      <c r="P231" s="37">
        <v>45897</v>
      </c>
      <c r="Q231" s="25">
        <v>1</v>
      </c>
      <c r="R231" s="44">
        <v>350</v>
      </c>
      <c r="S231" s="34">
        <f t="shared" si="39"/>
        <v>350</v>
      </c>
      <c r="T231" s="34">
        <f t="shared" si="40"/>
        <v>63</v>
      </c>
      <c r="U231" s="34">
        <f t="shared" si="41"/>
        <v>413</v>
      </c>
      <c r="V231" s="34"/>
      <c r="W231" s="23" t="s">
        <v>1009</v>
      </c>
    </row>
    <row r="232" spans="1:23" x14ac:dyDescent="0.25">
      <c r="A232" s="31">
        <v>45859.644548611112</v>
      </c>
      <c r="B232" s="32" t="str">
        <f t="shared" si="38"/>
        <v>Jul-25</v>
      </c>
      <c r="C232" s="23" t="s">
        <v>153</v>
      </c>
      <c r="D232" s="23" t="s">
        <v>369</v>
      </c>
      <c r="E232" s="39">
        <v>45745</v>
      </c>
      <c r="F232" s="32">
        <f>IFERROR(DATEDIF(Table1[[#This Row],[MPG Ope Date]],Table1[[#This Row],[L]],"M"),"")</f>
        <v>3</v>
      </c>
      <c r="G232" s="25">
        <v>10140168</v>
      </c>
      <c r="H232" s="42" t="s">
        <v>408</v>
      </c>
      <c r="I232" s="41" t="s">
        <v>432</v>
      </c>
      <c r="J232" s="41">
        <v>9122027363</v>
      </c>
      <c r="K232" s="41" t="s">
        <v>70</v>
      </c>
      <c r="L232" s="25" t="s">
        <v>455</v>
      </c>
      <c r="M232" s="43" t="s">
        <v>123</v>
      </c>
      <c r="N232" s="45" t="s">
        <v>394</v>
      </c>
      <c r="O232" s="32" t="s">
        <v>480</v>
      </c>
      <c r="P232" s="37">
        <v>45897</v>
      </c>
      <c r="Q232" s="25">
        <v>1</v>
      </c>
      <c r="R232" s="44">
        <v>350</v>
      </c>
      <c r="S232" s="34">
        <f t="shared" si="39"/>
        <v>350</v>
      </c>
      <c r="T232" s="34">
        <f t="shared" si="40"/>
        <v>63</v>
      </c>
      <c r="U232" s="34">
        <f t="shared" si="41"/>
        <v>413</v>
      </c>
      <c r="V232" s="34"/>
      <c r="W232" s="23" t="s">
        <v>1014</v>
      </c>
    </row>
    <row r="233" spans="1:23" x14ac:dyDescent="0.25">
      <c r="A233" s="31">
        <v>45859.644548611112</v>
      </c>
      <c r="B233" s="32" t="str">
        <f t="shared" si="38"/>
        <v>Jul-25</v>
      </c>
      <c r="C233" s="23" t="s">
        <v>153</v>
      </c>
      <c r="D233" s="23" t="s">
        <v>369</v>
      </c>
      <c r="E233" s="39">
        <v>45745</v>
      </c>
      <c r="F233" s="32">
        <f>IFERROR(DATEDIF(Table1[[#This Row],[MPG Ope Date]],Table1[[#This Row],[L]],"M"),"")</f>
        <v>3</v>
      </c>
      <c r="G233" s="25">
        <v>10140168</v>
      </c>
      <c r="H233" s="42" t="s">
        <v>408</v>
      </c>
      <c r="I233" s="41" t="s">
        <v>432</v>
      </c>
      <c r="J233" s="41">
        <v>9122027363</v>
      </c>
      <c r="K233" s="41" t="s">
        <v>70</v>
      </c>
      <c r="L233" s="25" t="s">
        <v>455</v>
      </c>
      <c r="M233" s="43" t="s">
        <v>266</v>
      </c>
      <c r="N233" s="41" t="s">
        <v>473</v>
      </c>
      <c r="O233" s="32" t="s">
        <v>480</v>
      </c>
      <c r="P233" s="37">
        <v>45897</v>
      </c>
      <c r="Q233" s="25">
        <v>1</v>
      </c>
      <c r="R233" s="44">
        <v>780</v>
      </c>
      <c r="S233" s="34">
        <f t="shared" si="39"/>
        <v>780</v>
      </c>
      <c r="T233" s="34">
        <f t="shared" si="40"/>
        <v>140.4</v>
      </c>
      <c r="U233" s="34">
        <f t="shared" si="41"/>
        <v>920.4</v>
      </c>
      <c r="V233" s="34"/>
      <c r="W233" s="23" t="s">
        <v>1014</v>
      </c>
    </row>
    <row r="234" spans="1:23" x14ac:dyDescent="0.25">
      <c r="A234" s="31">
        <v>45857.620254629626</v>
      </c>
      <c r="B234" s="32" t="str">
        <f t="shared" si="38"/>
        <v>Jul-25</v>
      </c>
      <c r="C234" s="23" t="s">
        <v>153</v>
      </c>
      <c r="D234" s="23" t="s">
        <v>369</v>
      </c>
      <c r="E234" s="39">
        <v>42979</v>
      </c>
      <c r="F234" s="32">
        <f>IFERROR(DATEDIF(Table1[[#This Row],[MPG Ope Date]],Table1[[#This Row],[L]],"M"),"")</f>
        <v>94</v>
      </c>
      <c r="G234" s="25">
        <v>10030003</v>
      </c>
      <c r="H234" s="42" t="s">
        <v>194</v>
      </c>
      <c r="I234" s="41" t="s">
        <v>230</v>
      </c>
      <c r="J234" s="41">
        <v>9931439978</v>
      </c>
      <c r="K234" s="41" t="s">
        <v>68</v>
      </c>
      <c r="L234" s="25" t="s">
        <v>456</v>
      </c>
      <c r="M234" s="43" t="s">
        <v>137</v>
      </c>
      <c r="N234" s="41" t="s">
        <v>138</v>
      </c>
      <c r="O234" s="32" t="s">
        <v>480</v>
      </c>
      <c r="P234" s="37">
        <v>45897</v>
      </c>
      <c r="Q234" s="25">
        <v>1</v>
      </c>
      <c r="R234" s="44">
        <v>2800</v>
      </c>
      <c r="S234" s="34">
        <f t="shared" si="39"/>
        <v>2800</v>
      </c>
      <c r="T234" s="34">
        <f t="shared" si="40"/>
        <v>504</v>
      </c>
      <c r="U234" s="34">
        <f t="shared" si="41"/>
        <v>3304</v>
      </c>
      <c r="V234" s="34"/>
      <c r="W234" s="23" t="s">
        <v>1005</v>
      </c>
    </row>
    <row r="235" spans="1:23" x14ac:dyDescent="0.25">
      <c r="A235" s="31">
        <v>45856.572245370371</v>
      </c>
      <c r="B235" s="32" t="str">
        <f t="shared" si="38"/>
        <v>Jul-25</v>
      </c>
      <c r="C235" s="23" t="s">
        <v>153</v>
      </c>
      <c r="D235" s="23" t="s">
        <v>369</v>
      </c>
      <c r="E235" s="39">
        <v>45856</v>
      </c>
      <c r="F235" s="32">
        <f>IFERROR(DATEDIF(Table1[[#This Row],[MPG Ope Date]],Table1[[#This Row],[L]],"M"),"")</f>
        <v>0</v>
      </c>
      <c r="G235" s="25">
        <v>10060114</v>
      </c>
      <c r="H235" s="42" t="s">
        <v>409</v>
      </c>
      <c r="I235" s="41" t="s">
        <v>433</v>
      </c>
      <c r="J235" s="41">
        <v>8544633671</v>
      </c>
      <c r="K235" s="41" t="s">
        <v>70</v>
      </c>
      <c r="L235" s="25" t="s">
        <v>457</v>
      </c>
      <c r="M235" s="43" t="s">
        <v>123</v>
      </c>
      <c r="N235" s="45" t="s">
        <v>394</v>
      </c>
      <c r="O235" s="32" t="s">
        <v>480</v>
      </c>
      <c r="P235" s="37">
        <v>45897</v>
      </c>
      <c r="Q235" s="25">
        <v>1</v>
      </c>
      <c r="R235" s="44">
        <v>350</v>
      </c>
      <c r="S235" s="34">
        <f t="shared" si="39"/>
        <v>350</v>
      </c>
      <c r="T235" s="34">
        <f t="shared" si="40"/>
        <v>63</v>
      </c>
      <c r="U235" s="34">
        <f t="shared" si="41"/>
        <v>413</v>
      </c>
      <c r="V235" s="34"/>
      <c r="W235" s="23" t="s">
        <v>1005</v>
      </c>
    </row>
    <row r="236" spans="1:23" x14ac:dyDescent="0.25">
      <c r="A236" s="31">
        <v>45855.584317129629</v>
      </c>
      <c r="B236" s="32" t="str">
        <f t="shared" si="38"/>
        <v>Jul-25</v>
      </c>
      <c r="C236" s="23" t="s">
        <v>153</v>
      </c>
      <c r="D236" s="23" t="s">
        <v>369</v>
      </c>
      <c r="E236" s="39">
        <v>44683</v>
      </c>
      <c r="F236" s="32">
        <f>IFERROR(DATEDIF(Table1[[#This Row],[MPG Ope Date]],Table1[[#This Row],[L]],"M"),"")</f>
        <v>38</v>
      </c>
      <c r="G236" s="25">
        <v>10140010</v>
      </c>
      <c r="H236" s="42" t="s">
        <v>195</v>
      </c>
      <c r="I236" s="41" t="s">
        <v>231</v>
      </c>
      <c r="J236" s="41">
        <v>8294507404</v>
      </c>
      <c r="K236" s="41" t="s">
        <v>68</v>
      </c>
      <c r="L236" s="25" t="s">
        <v>458</v>
      </c>
      <c r="M236" s="43" t="s">
        <v>113</v>
      </c>
      <c r="N236" s="45" t="s">
        <v>114</v>
      </c>
      <c r="O236" s="32" t="s">
        <v>480</v>
      </c>
      <c r="P236" s="37">
        <v>45897</v>
      </c>
      <c r="Q236" s="25">
        <v>1</v>
      </c>
      <c r="R236" s="44">
        <v>225</v>
      </c>
      <c r="S236" s="34">
        <f t="shared" si="39"/>
        <v>225</v>
      </c>
      <c r="T236" s="34">
        <f t="shared" si="40"/>
        <v>40.5</v>
      </c>
      <c r="U236" s="34">
        <f t="shared" si="41"/>
        <v>265.5</v>
      </c>
      <c r="V236" s="34"/>
      <c r="W236" s="23" t="s">
        <v>1005</v>
      </c>
    </row>
    <row r="237" spans="1:23" x14ac:dyDescent="0.25">
      <c r="A237" s="31">
        <v>45854.710393518515</v>
      </c>
      <c r="B237" s="32" t="str">
        <f t="shared" si="38"/>
        <v>Jul-25</v>
      </c>
      <c r="C237" s="23" t="s">
        <v>153</v>
      </c>
      <c r="D237" s="23" t="s">
        <v>369</v>
      </c>
      <c r="E237" s="39" t="e">
        <v>#N/A</v>
      </c>
      <c r="F237" s="32" t="str">
        <f>IFERROR(DATEDIF(Table1[[#This Row],[MPG Ope Date]],Table1[[#This Row],[L]],"M"),"")</f>
        <v/>
      </c>
      <c r="G237" s="25">
        <v>10030019</v>
      </c>
      <c r="H237" s="40" t="s">
        <v>410</v>
      </c>
      <c r="I237" s="41" t="s">
        <v>434</v>
      </c>
      <c r="J237" s="41">
        <v>9304821747</v>
      </c>
      <c r="K237" s="41" t="s">
        <v>70</v>
      </c>
      <c r="L237" s="25" t="s">
        <v>459</v>
      </c>
      <c r="M237" s="43" t="s">
        <v>131</v>
      </c>
      <c r="N237" s="41" t="s">
        <v>395</v>
      </c>
      <c r="O237" s="32" t="s">
        <v>480</v>
      </c>
      <c r="P237" s="37">
        <v>45897</v>
      </c>
      <c r="Q237" s="25">
        <v>1</v>
      </c>
      <c r="R237" s="44">
        <v>2800</v>
      </c>
      <c r="S237" s="34">
        <f t="shared" si="39"/>
        <v>2800</v>
      </c>
      <c r="T237" s="34">
        <f t="shared" si="40"/>
        <v>504</v>
      </c>
      <c r="U237" s="34">
        <f t="shared" si="41"/>
        <v>3304</v>
      </c>
      <c r="V237" s="34"/>
      <c r="W237" s="23" t="s">
        <v>1005</v>
      </c>
    </row>
    <row r="238" spans="1:23" x14ac:dyDescent="0.25">
      <c r="A238" s="31">
        <v>45854.62736111111</v>
      </c>
      <c r="B238" s="32" t="str">
        <f t="shared" si="38"/>
        <v>Jul-25</v>
      </c>
      <c r="C238" s="23" t="s">
        <v>153</v>
      </c>
      <c r="D238" s="23" t="s">
        <v>369</v>
      </c>
      <c r="E238" s="39">
        <v>44102</v>
      </c>
      <c r="F238" s="32">
        <f>IFERROR(DATEDIF(Table1[[#This Row],[MPG Ope Date]],Table1[[#This Row],[L]],"M"),"")</f>
        <v>57</v>
      </c>
      <c r="G238" s="25">
        <v>10130012</v>
      </c>
      <c r="H238" s="42" t="s">
        <v>165</v>
      </c>
      <c r="I238" s="41" t="s">
        <v>202</v>
      </c>
      <c r="J238" s="41">
        <v>7017190104</v>
      </c>
      <c r="K238" s="41" t="s">
        <v>69</v>
      </c>
      <c r="L238" s="25">
        <v>306391</v>
      </c>
      <c r="M238" s="43" t="s">
        <v>121</v>
      </c>
      <c r="N238" s="45" t="s">
        <v>122</v>
      </c>
      <c r="O238" s="32" t="s">
        <v>480</v>
      </c>
      <c r="P238" s="37">
        <v>45897</v>
      </c>
      <c r="Q238" s="25">
        <v>1</v>
      </c>
      <c r="R238" s="44">
        <v>70</v>
      </c>
      <c r="S238" s="34">
        <f t="shared" si="39"/>
        <v>70</v>
      </c>
      <c r="T238" s="34">
        <f t="shared" si="40"/>
        <v>12.6</v>
      </c>
      <c r="U238" s="34">
        <f t="shared" si="41"/>
        <v>82.6</v>
      </c>
      <c r="V238" s="34"/>
      <c r="W238" s="23" t="s">
        <v>1005</v>
      </c>
    </row>
    <row r="239" spans="1:23" x14ac:dyDescent="0.25">
      <c r="A239" s="31">
        <v>45854.62736111111</v>
      </c>
      <c r="B239" s="32" t="str">
        <f t="shared" si="38"/>
        <v>Jul-25</v>
      </c>
      <c r="C239" s="23" t="s">
        <v>153</v>
      </c>
      <c r="D239" s="23" t="s">
        <v>369</v>
      </c>
      <c r="E239" s="39">
        <v>44102</v>
      </c>
      <c r="F239" s="32">
        <f>IFERROR(DATEDIF(Table1[[#This Row],[MPG Ope Date]],Table1[[#This Row],[L]],"M"),"")</f>
        <v>57</v>
      </c>
      <c r="G239" s="25">
        <v>10130012</v>
      </c>
      <c r="H239" s="42" t="s">
        <v>165</v>
      </c>
      <c r="I239" s="41" t="s">
        <v>202</v>
      </c>
      <c r="J239" s="41">
        <v>7017190104</v>
      </c>
      <c r="K239" s="41" t="s">
        <v>69</v>
      </c>
      <c r="L239" s="25">
        <v>306391</v>
      </c>
      <c r="M239" s="43" t="s">
        <v>121</v>
      </c>
      <c r="N239" s="45" t="s">
        <v>122</v>
      </c>
      <c r="O239" s="32" t="s">
        <v>480</v>
      </c>
      <c r="P239" s="37">
        <v>45897</v>
      </c>
      <c r="Q239" s="25">
        <v>1</v>
      </c>
      <c r="R239" s="44">
        <v>70</v>
      </c>
      <c r="S239" s="34">
        <f t="shared" si="39"/>
        <v>70</v>
      </c>
      <c r="T239" s="34">
        <f t="shared" si="40"/>
        <v>12.6</v>
      </c>
      <c r="U239" s="34">
        <f t="shared" si="41"/>
        <v>82.6</v>
      </c>
      <c r="V239" s="34"/>
      <c r="W239" s="23" t="s">
        <v>1005</v>
      </c>
    </row>
    <row r="240" spans="1:23" x14ac:dyDescent="0.25">
      <c r="A240" s="31">
        <v>45854.626493055555</v>
      </c>
      <c r="B240" s="32" t="str">
        <f t="shared" si="38"/>
        <v>Jul-25</v>
      </c>
      <c r="C240" s="23" t="s">
        <v>153</v>
      </c>
      <c r="D240" s="23" t="s">
        <v>369</v>
      </c>
      <c r="E240" s="39">
        <v>45226</v>
      </c>
      <c r="F240" s="32">
        <f>IFERROR(DATEDIF(Table1[[#This Row],[MPG Ope Date]],Table1[[#This Row],[L]],"M"),"")</f>
        <v>20</v>
      </c>
      <c r="G240" s="25">
        <v>10120051</v>
      </c>
      <c r="H240" s="42" t="s">
        <v>411</v>
      </c>
      <c r="I240" s="41" t="s">
        <v>435</v>
      </c>
      <c r="J240" s="41">
        <v>7488826293</v>
      </c>
      <c r="K240" s="41" t="s">
        <v>68</v>
      </c>
      <c r="L240" s="25" t="s">
        <v>460</v>
      </c>
      <c r="M240" s="43" t="s">
        <v>133</v>
      </c>
      <c r="N240" s="41" t="s">
        <v>397</v>
      </c>
      <c r="O240" s="32" t="s">
        <v>480</v>
      </c>
      <c r="P240" s="37">
        <v>45897</v>
      </c>
      <c r="Q240" s="25">
        <v>1</v>
      </c>
      <c r="R240" s="44">
        <v>2080</v>
      </c>
      <c r="S240" s="34">
        <f t="shared" si="39"/>
        <v>2080</v>
      </c>
      <c r="T240" s="34">
        <f t="shared" si="40"/>
        <v>374.4</v>
      </c>
      <c r="U240" s="34">
        <f t="shared" si="41"/>
        <v>2454.4</v>
      </c>
      <c r="V240" s="34"/>
      <c r="W240" s="23" t="s">
        <v>1005</v>
      </c>
    </row>
    <row r="241" spans="1:23" x14ac:dyDescent="0.25">
      <c r="A241" s="31">
        <v>45853.654328703706</v>
      </c>
      <c r="B241" s="32" t="str">
        <f t="shared" si="38"/>
        <v>Jul-25</v>
      </c>
      <c r="C241" s="23" t="s">
        <v>153</v>
      </c>
      <c r="D241" s="23" t="s">
        <v>369</v>
      </c>
      <c r="E241" s="39">
        <v>45666</v>
      </c>
      <c r="F241" s="32">
        <f>IFERROR(DATEDIF(Table1[[#This Row],[MPG Ope Date]],Table1[[#This Row],[L]],"M"),"")</f>
        <v>6</v>
      </c>
      <c r="G241" s="25">
        <v>10120094</v>
      </c>
      <c r="H241" s="42" t="s">
        <v>187</v>
      </c>
      <c r="I241" s="41" t="s">
        <v>223</v>
      </c>
      <c r="J241" s="41">
        <v>9939074043</v>
      </c>
      <c r="K241" s="41" t="s">
        <v>68</v>
      </c>
      <c r="L241" s="25" t="s">
        <v>101</v>
      </c>
      <c r="M241" s="43" t="s">
        <v>135</v>
      </c>
      <c r="N241" s="41" t="s">
        <v>396</v>
      </c>
      <c r="O241" s="32" t="s">
        <v>480</v>
      </c>
      <c r="P241" s="37">
        <v>45897</v>
      </c>
      <c r="Q241" s="25">
        <v>1</v>
      </c>
      <c r="R241" s="44">
        <v>825</v>
      </c>
      <c r="S241" s="34">
        <f t="shared" si="39"/>
        <v>825</v>
      </c>
      <c r="T241" s="34">
        <f t="shared" si="40"/>
        <v>148.5</v>
      </c>
      <c r="U241" s="34">
        <f t="shared" si="41"/>
        <v>973.5</v>
      </c>
      <c r="V241" s="34"/>
      <c r="W241" s="23" t="s">
        <v>1005</v>
      </c>
    </row>
    <row r="242" spans="1:23" x14ac:dyDescent="0.25">
      <c r="A242" s="31">
        <v>45853.659687500003</v>
      </c>
      <c r="B242" s="32" t="str">
        <f t="shared" si="38"/>
        <v>Jul-25</v>
      </c>
      <c r="C242" s="23" t="s">
        <v>153</v>
      </c>
      <c r="D242" s="23" t="s">
        <v>369</v>
      </c>
      <c r="E242" s="39">
        <v>44967</v>
      </c>
      <c r="F242" s="32">
        <f>IFERROR(DATEDIF(Table1[[#This Row],[MPG Ope Date]],Table1[[#This Row],[L]],"M"),"")</f>
        <v>29</v>
      </c>
      <c r="G242" s="25">
        <v>10020037</v>
      </c>
      <c r="H242" s="42" t="s">
        <v>405</v>
      </c>
      <c r="I242" s="41" t="s">
        <v>429</v>
      </c>
      <c r="J242" s="41">
        <v>7631149851</v>
      </c>
      <c r="K242" s="41" t="s">
        <v>69</v>
      </c>
      <c r="L242" s="25">
        <v>364752</v>
      </c>
      <c r="M242" s="43" t="s">
        <v>121</v>
      </c>
      <c r="N242" s="45" t="s">
        <v>122</v>
      </c>
      <c r="O242" s="32" t="s">
        <v>480</v>
      </c>
      <c r="P242" s="37">
        <v>45897</v>
      </c>
      <c r="Q242" s="25">
        <v>1</v>
      </c>
      <c r="R242" s="44">
        <v>70</v>
      </c>
      <c r="S242" s="34">
        <f t="shared" si="39"/>
        <v>70</v>
      </c>
      <c r="T242" s="34">
        <f t="shared" si="40"/>
        <v>12.6</v>
      </c>
      <c r="U242" s="34">
        <f t="shared" si="41"/>
        <v>82.6</v>
      </c>
      <c r="V242" s="34"/>
      <c r="W242" s="23" t="s">
        <v>1005</v>
      </c>
    </row>
    <row r="243" spans="1:23" x14ac:dyDescent="0.25">
      <c r="A243" s="31">
        <v>45853.659687500003</v>
      </c>
      <c r="B243" s="32" t="str">
        <f t="shared" si="38"/>
        <v>Jul-25</v>
      </c>
      <c r="C243" s="23" t="s">
        <v>153</v>
      </c>
      <c r="D243" s="23" t="s">
        <v>369</v>
      </c>
      <c r="E243" s="39">
        <v>44967</v>
      </c>
      <c r="F243" s="32">
        <f>IFERROR(DATEDIF(Table1[[#This Row],[MPG Ope Date]],Table1[[#This Row],[L]],"M"),"")</f>
        <v>29</v>
      </c>
      <c r="G243" s="25">
        <v>10020037</v>
      </c>
      <c r="H243" s="42" t="s">
        <v>405</v>
      </c>
      <c r="I243" s="41" t="s">
        <v>429</v>
      </c>
      <c r="J243" s="41">
        <v>7631149851</v>
      </c>
      <c r="K243" s="41" t="s">
        <v>69</v>
      </c>
      <c r="L243" s="25">
        <v>364752</v>
      </c>
      <c r="M243" s="43" t="s">
        <v>121</v>
      </c>
      <c r="N243" s="45" t="s">
        <v>122</v>
      </c>
      <c r="O243" s="32" t="s">
        <v>480</v>
      </c>
      <c r="P243" s="37">
        <v>45897</v>
      </c>
      <c r="Q243" s="25">
        <v>1</v>
      </c>
      <c r="R243" s="44">
        <v>70</v>
      </c>
      <c r="S243" s="34">
        <f t="shared" si="39"/>
        <v>70</v>
      </c>
      <c r="T243" s="34">
        <f t="shared" si="40"/>
        <v>12.6</v>
      </c>
      <c r="U243" s="34">
        <f t="shared" si="41"/>
        <v>82.6</v>
      </c>
      <c r="V243" s="34"/>
      <c r="W243" s="23" t="s">
        <v>1005</v>
      </c>
    </row>
    <row r="244" spans="1:23" x14ac:dyDescent="0.25">
      <c r="A244" s="31">
        <v>45853.65457175926</v>
      </c>
      <c r="B244" s="32" t="str">
        <f t="shared" si="38"/>
        <v>Jul-25</v>
      </c>
      <c r="C244" s="23" t="s">
        <v>153</v>
      </c>
      <c r="D244" s="23" t="s">
        <v>369</v>
      </c>
      <c r="E244" s="39" t="e">
        <v>#N/A</v>
      </c>
      <c r="F244" s="32" t="str">
        <f>IFERROR(DATEDIF(Table1[[#This Row],[MPG Ope Date]],Table1[[#This Row],[L]],"M"),"")</f>
        <v/>
      </c>
      <c r="G244" s="25">
        <v>10020068</v>
      </c>
      <c r="H244" s="40" t="s">
        <v>996</v>
      </c>
      <c r="I244" s="41" t="s">
        <v>997</v>
      </c>
      <c r="J244" s="41">
        <v>7764900168</v>
      </c>
      <c r="K244" s="41" t="s">
        <v>68</v>
      </c>
      <c r="L244" s="25" t="s">
        <v>461</v>
      </c>
      <c r="M244" s="43" t="s">
        <v>139</v>
      </c>
      <c r="N244" s="45" t="s">
        <v>140</v>
      </c>
      <c r="O244" s="32" t="s">
        <v>480</v>
      </c>
      <c r="P244" s="37">
        <v>45897</v>
      </c>
      <c r="Q244" s="25">
        <v>1</v>
      </c>
      <c r="R244" s="44">
        <v>1266</v>
      </c>
      <c r="S244" s="34">
        <f t="shared" si="39"/>
        <v>1266</v>
      </c>
      <c r="T244" s="34">
        <f t="shared" si="40"/>
        <v>227.88</v>
      </c>
      <c r="U244" s="34">
        <f t="shared" si="41"/>
        <v>1493.88</v>
      </c>
      <c r="V244" s="34"/>
      <c r="W244" s="23" t="s">
        <v>1005</v>
      </c>
    </row>
    <row r="245" spans="1:23" x14ac:dyDescent="0.25">
      <c r="A245" s="31">
        <v>45853.65457175926</v>
      </c>
      <c r="B245" s="32" t="str">
        <f t="shared" si="38"/>
        <v>Jul-25</v>
      </c>
      <c r="C245" s="23" t="s">
        <v>153</v>
      </c>
      <c r="D245" s="23" t="s">
        <v>369</v>
      </c>
      <c r="E245" s="39" t="e">
        <v>#N/A</v>
      </c>
      <c r="F245" s="32" t="str">
        <f>IFERROR(DATEDIF(Table1[[#This Row],[MPG Ope Date]],Table1[[#This Row],[L]],"M"),"")</f>
        <v/>
      </c>
      <c r="G245" s="25">
        <v>10020068</v>
      </c>
      <c r="H245" s="40" t="s">
        <v>996</v>
      </c>
      <c r="I245" s="41" t="s">
        <v>997</v>
      </c>
      <c r="J245" s="41">
        <v>7764900168</v>
      </c>
      <c r="K245" s="41" t="s">
        <v>68</v>
      </c>
      <c r="L245" s="25" t="s">
        <v>461</v>
      </c>
      <c r="M245" s="43" t="s">
        <v>137</v>
      </c>
      <c r="N245" s="41" t="s">
        <v>474</v>
      </c>
      <c r="O245" s="32" t="s">
        <v>480</v>
      </c>
      <c r="P245" s="37">
        <v>45897</v>
      </c>
      <c r="Q245" s="25">
        <v>1</v>
      </c>
      <c r="R245" s="44">
        <v>2800</v>
      </c>
      <c r="S245" s="34">
        <f t="shared" si="39"/>
        <v>2800</v>
      </c>
      <c r="T245" s="34">
        <f t="shared" si="40"/>
        <v>504</v>
      </c>
      <c r="U245" s="34">
        <f t="shared" si="41"/>
        <v>3304</v>
      </c>
      <c r="V245" s="34"/>
      <c r="W245" s="23" t="s">
        <v>1005</v>
      </c>
    </row>
    <row r="246" spans="1:23" x14ac:dyDescent="0.25">
      <c r="A246" s="31">
        <v>45850.671597222223</v>
      </c>
      <c r="B246" s="32" t="str">
        <f t="shared" ref="B246:B268" si="42">TEXT(A246,"mmm-yy")</f>
        <v>Jul-25</v>
      </c>
      <c r="C246" s="23" t="s">
        <v>153</v>
      </c>
      <c r="D246" s="23" t="s">
        <v>369</v>
      </c>
      <c r="E246" s="39">
        <v>44995</v>
      </c>
      <c r="F246" s="32">
        <f>IFERROR(DATEDIF(Table1[[#This Row],[MPG Ope Date]],Table1[[#This Row],[L]],"M"),"")</f>
        <v>28</v>
      </c>
      <c r="G246" s="25">
        <v>10030023</v>
      </c>
      <c r="H246" s="42" t="s">
        <v>412</v>
      </c>
      <c r="I246" s="41" t="s">
        <v>436</v>
      </c>
      <c r="J246" s="41">
        <v>8340327069</v>
      </c>
      <c r="K246" s="41" t="s">
        <v>70</v>
      </c>
      <c r="L246" s="25" t="s">
        <v>462</v>
      </c>
      <c r="M246" s="43" t="s">
        <v>123</v>
      </c>
      <c r="N246" s="45" t="s">
        <v>394</v>
      </c>
      <c r="O246" s="32" t="s">
        <v>480</v>
      </c>
      <c r="P246" s="37">
        <v>45897</v>
      </c>
      <c r="Q246" s="25">
        <v>1</v>
      </c>
      <c r="R246" s="44">
        <v>350</v>
      </c>
      <c r="S246" s="34">
        <f t="shared" ref="S246:S268" si="43">+Q246*R246</f>
        <v>350</v>
      </c>
      <c r="T246" s="34">
        <f t="shared" ref="T246:T268" si="44">+S246*0.18</f>
        <v>63</v>
      </c>
      <c r="U246" s="34">
        <f t="shared" ref="U246:U268" si="45">+S246+T246</f>
        <v>413</v>
      </c>
      <c r="V246" s="34"/>
      <c r="W246" s="23" t="s">
        <v>1005</v>
      </c>
    </row>
    <row r="247" spans="1:23" x14ac:dyDescent="0.25">
      <c r="A247" s="31">
        <v>45849.646122685182</v>
      </c>
      <c r="B247" s="32" t="str">
        <f t="shared" si="42"/>
        <v>Jul-25</v>
      </c>
      <c r="C247" s="23" t="s">
        <v>153</v>
      </c>
      <c r="D247" s="23" t="s">
        <v>369</v>
      </c>
      <c r="E247" s="39">
        <v>45843</v>
      </c>
      <c r="F247" s="32">
        <f>IFERROR(DATEDIF(Table1[[#This Row],[MPG Ope Date]],Table1[[#This Row],[L]],"M"),"")</f>
        <v>0</v>
      </c>
      <c r="G247" s="25">
        <v>10080100</v>
      </c>
      <c r="H247" s="42" t="s">
        <v>404</v>
      </c>
      <c r="I247" s="41" t="s">
        <v>216</v>
      </c>
      <c r="J247" s="41">
        <v>8271562260</v>
      </c>
      <c r="K247" s="41" t="s">
        <v>70</v>
      </c>
      <c r="L247" s="25" t="s">
        <v>463</v>
      </c>
      <c r="M247" s="43" t="s">
        <v>131</v>
      </c>
      <c r="N247" s="41" t="s">
        <v>395</v>
      </c>
      <c r="O247" s="32" t="s">
        <v>480</v>
      </c>
      <c r="P247" s="37">
        <v>45897</v>
      </c>
      <c r="Q247" s="25">
        <v>1</v>
      </c>
      <c r="R247" s="44">
        <v>2800</v>
      </c>
      <c r="S247" s="34">
        <f t="shared" si="43"/>
        <v>2800</v>
      </c>
      <c r="T247" s="34">
        <f t="shared" si="44"/>
        <v>504</v>
      </c>
      <c r="U247" s="34">
        <f t="shared" si="45"/>
        <v>3304</v>
      </c>
      <c r="V247" s="34"/>
      <c r="W247" s="23" t="s">
        <v>1005</v>
      </c>
    </row>
    <row r="248" spans="1:23" x14ac:dyDescent="0.25">
      <c r="A248" s="31">
        <v>45849.41951388889</v>
      </c>
      <c r="B248" s="32" t="str">
        <f t="shared" si="42"/>
        <v>Jul-25</v>
      </c>
      <c r="C248" s="23" t="s">
        <v>153</v>
      </c>
      <c r="D248" s="23" t="s">
        <v>369</v>
      </c>
      <c r="E248" s="39" t="e">
        <v>#N/A</v>
      </c>
      <c r="F248" s="32" t="str">
        <f>IFERROR(DATEDIF(Table1[[#This Row],[MPG Ope Date]],Table1[[#This Row],[L]],"M"),"")</f>
        <v/>
      </c>
      <c r="G248" s="25">
        <v>10020037</v>
      </c>
      <c r="H248" s="40" t="s">
        <v>405</v>
      </c>
      <c r="I248" s="41" t="s">
        <v>429</v>
      </c>
      <c r="J248" s="41">
        <v>7631149851</v>
      </c>
      <c r="K248" s="41" t="s">
        <v>68</v>
      </c>
      <c r="L248" s="25" t="s">
        <v>464</v>
      </c>
      <c r="M248" s="43" t="s">
        <v>133</v>
      </c>
      <c r="N248" s="41" t="s">
        <v>397</v>
      </c>
      <c r="O248" s="32" t="s">
        <v>480</v>
      </c>
      <c r="P248" s="37">
        <v>45897</v>
      </c>
      <c r="Q248" s="25">
        <v>1</v>
      </c>
      <c r="R248" s="44">
        <v>2080</v>
      </c>
      <c r="S248" s="34">
        <f t="shared" si="43"/>
        <v>2080</v>
      </c>
      <c r="T248" s="34">
        <f t="shared" si="44"/>
        <v>374.4</v>
      </c>
      <c r="U248" s="34">
        <f t="shared" si="45"/>
        <v>2454.4</v>
      </c>
      <c r="V248" s="34"/>
      <c r="W248" s="23" t="s">
        <v>1005</v>
      </c>
    </row>
    <row r="249" spans="1:23" x14ac:dyDescent="0.25">
      <c r="A249" s="31">
        <v>45849.629803240743</v>
      </c>
      <c r="B249" s="32" t="str">
        <f t="shared" si="42"/>
        <v>Jul-25</v>
      </c>
      <c r="C249" s="23" t="s">
        <v>153</v>
      </c>
      <c r="D249" s="23" t="s">
        <v>369</v>
      </c>
      <c r="E249" s="39">
        <v>45680</v>
      </c>
      <c r="F249" s="32">
        <f>IFERROR(DATEDIF(Table1[[#This Row],[MPG Ope Date]],Table1[[#This Row],[L]],"M"),"")</f>
        <v>5</v>
      </c>
      <c r="G249" s="25">
        <v>10140153</v>
      </c>
      <c r="H249" s="42" t="s">
        <v>400</v>
      </c>
      <c r="I249" s="41" t="s">
        <v>425</v>
      </c>
      <c r="J249" s="41">
        <v>7050137685</v>
      </c>
      <c r="K249" s="41" t="s">
        <v>69</v>
      </c>
      <c r="L249" s="25">
        <v>387358</v>
      </c>
      <c r="M249" s="43" t="s">
        <v>121</v>
      </c>
      <c r="N249" s="45" t="s">
        <v>122</v>
      </c>
      <c r="O249" s="32" t="s">
        <v>480</v>
      </c>
      <c r="P249" s="37">
        <v>45897</v>
      </c>
      <c r="Q249" s="25">
        <v>1</v>
      </c>
      <c r="R249" s="44">
        <v>70</v>
      </c>
      <c r="S249" s="34">
        <f t="shared" si="43"/>
        <v>70</v>
      </c>
      <c r="T249" s="34">
        <f t="shared" si="44"/>
        <v>12.6</v>
      </c>
      <c r="U249" s="34">
        <f t="shared" si="45"/>
        <v>82.6</v>
      </c>
      <c r="V249" s="34"/>
      <c r="W249" s="23" t="s">
        <v>1005</v>
      </c>
    </row>
    <row r="250" spans="1:23" x14ac:dyDescent="0.25">
      <c r="A250" s="31">
        <v>45849.629803240743</v>
      </c>
      <c r="B250" s="32" t="str">
        <f t="shared" si="42"/>
        <v>Jul-25</v>
      </c>
      <c r="C250" s="23" t="s">
        <v>153</v>
      </c>
      <c r="D250" s="23" t="s">
        <v>369</v>
      </c>
      <c r="E250" s="39">
        <v>45680</v>
      </c>
      <c r="F250" s="32">
        <f>IFERROR(DATEDIF(Table1[[#This Row],[MPG Ope Date]],Table1[[#This Row],[L]],"M"),"")</f>
        <v>5</v>
      </c>
      <c r="G250" s="25">
        <v>10140153</v>
      </c>
      <c r="H250" s="42" t="s">
        <v>400</v>
      </c>
      <c r="I250" s="41" t="s">
        <v>425</v>
      </c>
      <c r="J250" s="41">
        <v>7050137685</v>
      </c>
      <c r="K250" s="41" t="s">
        <v>69</v>
      </c>
      <c r="L250" s="25">
        <v>387358</v>
      </c>
      <c r="M250" s="43" t="s">
        <v>121</v>
      </c>
      <c r="N250" s="45" t="s">
        <v>122</v>
      </c>
      <c r="O250" s="32" t="s">
        <v>480</v>
      </c>
      <c r="P250" s="37">
        <v>45897</v>
      </c>
      <c r="Q250" s="25">
        <v>1</v>
      </c>
      <c r="R250" s="44">
        <v>70</v>
      </c>
      <c r="S250" s="34">
        <f t="shared" si="43"/>
        <v>70</v>
      </c>
      <c r="T250" s="34">
        <f t="shared" si="44"/>
        <v>12.6</v>
      </c>
      <c r="U250" s="34">
        <f t="shared" si="45"/>
        <v>82.6</v>
      </c>
      <c r="V250" s="34"/>
      <c r="W250" s="23" t="s">
        <v>1005</v>
      </c>
    </row>
    <row r="251" spans="1:23" x14ac:dyDescent="0.25">
      <c r="A251" s="31">
        <v>45849.629803240743</v>
      </c>
      <c r="B251" s="32" t="str">
        <f t="shared" si="42"/>
        <v>Jul-25</v>
      </c>
      <c r="C251" s="23" t="s">
        <v>153</v>
      </c>
      <c r="D251" s="23" t="s">
        <v>369</v>
      </c>
      <c r="E251" s="39">
        <v>45680</v>
      </c>
      <c r="F251" s="32">
        <f>IFERROR(DATEDIF(Table1[[#This Row],[MPG Ope Date]],Table1[[#This Row],[L]],"M"),"")</f>
        <v>5</v>
      </c>
      <c r="G251" s="25">
        <v>10140153</v>
      </c>
      <c r="H251" s="42" t="s">
        <v>400</v>
      </c>
      <c r="I251" s="41" t="s">
        <v>425</v>
      </c>
      <c r="J251" s="41">
        <v>7050137685</v>
      </c>
      <c r="K251" s="41" t="s">
        <v>69</v>
      </c>
      <c r="L251" s="25">
        <v>387358</v>
      </c>
      <c r="M251" s="43" t="s">
        <v>119</v>
      </c>
      <c r="N251" s="45" t="s">
        <v>120</v>
      </c>
      <c r="O251" s="32" t="s">
        <v>480</v>
      </c>
      <c r="P251" s="37">
        <v>45897</v>
      </c>
      <c r="Q251" s="25">
        <v>1</v>
      </c>
      <c r="R251" s="44">
        <v>84</v>
      </c>
      <c r="S251" s="34">
        <f t="shared" si="43"/>
        <v>84</v>
      </c>
      <c r="T251" s="34">
        <f t="shared" si="44"/>
        <v>15.12</v>
      </c>
      <c r="U251" s="34">
        <f t="shared" si="45"/>
        <v>99.12</v>
      </c>
      <c r="V251" s="34"/>
      <c r="W251" s="23" t="s">
        <v>1005</v>
      </c>
    </row>
    <row r="252" spans="1:23" x14ac:dyDescent="0.25">
      <c r="A252" s="31">
        <v>45848.540925925925</v>
      </c>
      <c r="B252" s="32" t="str">
        <f t="shared" si="42"/>
        <v>Jul-25</v>
      </c>
      <c r="C252" s="23" t="s">
        <v>153</v>
      </c>
      <c r="D252" s="23" t="s">
        <v>369</v>
      </c>
      <c r="E252" s="39">
        <v>44915</v>
      </c>
      <c r="F252" s="32">
        <f>IFERROR(DATEDIF(Table1[[#This Row],[MPG Ope Date]],Table1[[#This Row],[L]],"M"),"")</f>
        <v>30</v>
      </c>
      <c r="G252" s="25">
        <v>10130044</v>
      </c>
      <c r="H252" s="42" t="s">
        <v>29</v>
      </c>
      <c r="I252" s="41" t="s">
        <v>63</v>
      </c>
      <c r="J252" s="41">
        <v>7765934465</v>
      </c>
      <c r="K252" s="41" t="s">
        <v>69</v>
      </c>
      <c r="L252" s="25">
        <v>378760</v>
      </c>
      <c r="M252" s="43" t="s">
        <v>121</v>
      </c>
      <c r="N252" s="45" t="s">
        <v>122</v>
      </c>
      <c r="O252" s="32" t="s">
        <v>480</v>
      </c>
      <c r="P252" s="37">
        <v>45897</v>
      </c>
      <c r="Q252" s="25">
        <v>1</v>
      </c>
      <c r="R252" s="44">
        <v>70</v>
      </c>
      <c r="S252" s="34">
        <f t="shared" si="43"/>
        <v>70</v>
      </c>
      <c r="T252" s="34">
        <f t="shared" si="44"/>
        <v>12.6</v>
      </c>
      <c r="U252" s="34">
        <f t="shared" si="45"/>
        <v>82.6</v>
      </c>
      <c r="V252" s="34"/>
      <c r="W252" s="23" t="s">
        <v>1005</v>
      </c>
    </row>
    <row r="253" spans="1:23" x14ac:dyDescent="0.25">
      <c r="A253" s="31">
        <v>45848.540925925925</v>
      </c>
      <c r="B253" s="32" t="str">
        <f t="shared" si="42"/>
        <v>Jul-25</v>
      </c>
      <c r="C253" s="23" t="s">
        <v>153</v>
      </c>
      <c r="D253" s="23" t="s">
        <v>369</v>
      </c>
      <c r="E253" s="39">
        <v>44915</v>
      </c>
      <c r="F253" s="32">
        <f>IFERROR(DATEDIF(Table1[[#This Row],[MPG Ope Date]],Table1[[#This Row],[L]],"M"),"")</f>
        <v>30</v>
      </c>
      <c r="G253" s="25">
        <v>10130044</v>
      </c>
      <c r="H253" s="42" t="s">
        <v>29</v>
      </c>
      <c r="I253" s="41" t="s">
        <v>63</v>
      </c>
      <c r="J253" s="41">
        <v>7765934465</v>
      </c>
      <c r="K253" s="41" t="s">
        <v>69</v>
      </c>
      <c r="L253" s="25">
        <v>378760</v>
      </c>
      <c r="M253" s="43" t="s">
        <v>475</v>
      </c>
      <c r="N253" s="45" t="s">
        <v>476</v>
      </c>
      <c r="O253" s="32" t="s">
        <v>480</v>
      </c>
      <c r="P253" s="37">
        <v>45897</v>
      </c>
      <c r="Q253" s="25">
        <v>1</v>
      </c>
      <c r="R253" s="44">
        <v>125</v>
      </c>
      <c r="S253" s="34">
        <f t="shared" si="43"/>
        <v>125</v>
      </c>
      <c r="T253" s="34">
        <f t="shared" si="44"/>
        <v>22.5</v>
      </c>
      <c r="U253" s="34">
        <f t="shared" si="45"/>
        <v>147.5</v>
      </c>
      <c r="V253" s="34"/>
      <c r="W253" s="23" t="s">
        <v>1005</v>
      </c>
    </row>
    <row r="254" spans="1:23" x14ac:dyDescent="0.25">
      <c r="A254" s="31">
        <v>45848.540925925925</v>
      </c>
      <c r="B254" s="32" t="str">
        <f t="shared" si="42"/>
        <v>Jul-25</v>
      </c>
      <c r="C254" s="23" t="s">
        <v>153</v>
      </c>
      <c r="D254" s="23" t="s">
        <v>369</v>
      </c>
      <c r="E254" s="39">
        <v>44915</v>
      </c>
      <c r="F254" s="32">
        <f>IFERROR(DATEDIF(Table1[[#This Row],[MPG Ope Date]],Table1[[#This Row],[L]],"M"),"")</f>
        <v>30</v>
      </c>
      <c r="G254" s="25">
        <v>10130044</v>
      </c>
      <c r="H254" s="42" t="s">
        <v>29</v>
      </c>
      <c r="I254" s="41" t="s">
        <v>63</v>
      </c>
      <c r="J254" s="41">
        <v>7765934465</v>
      </c>
      <c r="K254" s="41" t="s">
        <v>69</v>
      </c>
      <c r="L254" s="25">
        <v>378760</v>
      </c>
      <c r="M254" s="43" t="s">
        <v>475</v>
      </c>
      <c r="N254" s="45" t="s">
        <v>476</v>
      </c>
      <c r="O254" s="32" t="s">
        <v>480</v>
      </c>
      <c r="P254" s="37">
        <v>45897</v>
      </c>
      <c r="Q254" s="25">
        <v>1</v>
      </c>
      <c r="R254" s="44">
        <v>125</v>
      </c>
      <c r="S254" s="34">
        <f t="shared" si="43"/>
        <v>125</v>
      </c>
      <c r="T254" s="34">
        <f t="shared" si="44"/>
        <v>22.5</v>
      </c>
      <c r="U254" s="34">
        <f t="shared" si="45"/>
        <v>147.5</v>
      </c>
      <c r="V254" s="34"/>
      <c r="W254" s="23" t="s">
        <v>1005</v>
      </c>
    </row>
    <row r="255" spans="1:23" x14ac:dyDescent="0.25">
      <c r="A255" s="31">
        <v>45848.540925925925</v>
      </c>
      <c r="B255" s="32" t="str">
        <f t="shared" si="42"/>
        <v>Jul-25</v>
      </c>
      <c r="C255" s="23" t="s">
        <v>153</v>
      </c>
      <c r="D255" s="23" t="s">
        <v>369</v>
      </c>
      <c r="E255" s="39">
        <v>44915</v>
      </c>
      <c r="F255" s="32">
        <f>IFERROR(DATEDIF(Table1[[#This Row],[MPG Ope Date]],Table1[[#This Row],[L]],"M"),"")</f>
        <v>30</v>
      </c>
      <c r="G255" s="25">
        <v>10130044</v>
      </c>
      <c r="H255" s="42" t="s">
        <v>29</v>
      </c>
      <c r="I255" s="41" t="s">
        <v>63</v>
      </c>
      <c r="J255" s="41">
        <v>7765934465</v>
      </c>
      <c r="K255" s="41" t="s">
        <v>69</v>
      </c>
      <c r="L255" s="25">
        <v>378760</v>
      </c>
      <c r="M255" s="43" t="s">
        <v>119</v>
      </c>
      <c r="N255" s="45" t="s">
        <v>120</v>
      </c>
      <c r="O255" s="32" t="s">
        <v>480</v>
      </c>
      <c r="P255" s="37">
        <v>45897</v>
      </c>
      <c r="Q255" s="25">
        <v>1</v>
      </c>
      <c r="R255" s="44">
        <v>84</v>
      </c>
      <c r="S255" s="34">
        <f t="shared" si="43"/>
        <v>84</v>
      </c>
      <c r="T255" s="34">
        <f t="shared" si="44"/>
        <v>15.12</v>
      </c>
      <c r="U255" s="34">
        <f t="shared" si="45"/>
        <v>99.12</v>
      </c>
      <c r="V255" s="34"/>
      <c r="W255" s="23" t="s">
        <v>1005</v>
      </c>
    </row>
    <row r="256" spans="1:23" x14ac:dyDescent="0.25">
      <c r="A256" s="31">
        <v>45848.540925925925</v>
      </c>
      <c r="B256" s="32" t="str">
        <f t="shared" si="42"/>
        <v>Jul-25</v>
      </c>
      <c r="C256" s="23" t="s">
        <v>153</v>
      </c>
      <c r="D256" s="23" t="s">
        <v>369</v>
      </c>
      <c r="E256" s="39">
        <v>44915</v>
      </c>
      <c r="F256" s="32">
        <f>IFERROR(DATEDIF(Table1[[#This Row],[MPG Ope Date]],Table1[[#This Row],[L]],"M"),"")</f>
        <v>30</v>
      </c>
      <c r="G256" s="25">
        <v>10130044</v>
      </c>
      <c r="H256" s="42" t="s">
        <v>29</v>
      </c>
      <c r="I256" s="41" t="s">
        <v>63</v>
      </c>
      <c r="J256" s="41">
        <v>7765934465</v>
      </c>
      <c r="K256" s="41" t="s">
        <v>69</v>
      </c>
      <c r="L256" s="25">
        <v>378760</v>
      </c>
      <c r="M256" s="43" t="s">
        <v>121</v>
      </c>
      <c r="N256" s="45" t="s">
        <v>122</v>
      </c>
      <c r="O256" s="32" t="s">
        <v>480</v>
      </c>
      <c r="P256" s="37">
        <v>45897</v>
      </c>
      <c r="Q256" s="25">
        <v>1</v>
      </c>
      <c r="R256" s="44">
        <v>70</v>
      </c>
      <c r="S256" s="34">
        <f t="shared" si="43"/>
        <v>70</v>
      </c>
      <c r="T256" s="34">
        <f t="shared" si="44"/>
        <v>12.6</v>
      </c>
      <c r="U256" s="34">
        <f t="shared" si="45"/>
        <v>82.6</v>
      </c>
      <c r="V256" s="34"/>
      <c r="W256" s="23" t="s">
        <v>1005</v>
      </c>
    </row>
    <row r="257" spans="1:23" x14ac:dyDescent="0.25">
      <c r="A257" s="31">
        <v>45848.631689814814</v>
      </c>
      <c r="B257" s="32" t="str">
        <f t="shared" si="42"/>
        <v>Jul-25</v>
      </c>
      <c r="C257" s="23" t="s">
        <v>153</v>
      </c>
      <c r="D257" s="23" t="s">
        <v>369</v>
      </c>
      <c r="E257" s="39">
        <v>45590</v>
      </c>
      <c r="F257" s="32">
        <f>IFERROR(DATEDIF(Table1[[#This Row],[MPG Ope Date]],Table1[[#This Row],[L]],"M"),"")</f>
        <v>8</v>
      </c>
      <c r="G257" s="25">
        <v>10140131</v>
      </c>
      <c r="H257" s="42" t="s">
        <v>413</v>
      </c>
      <c r="I257" s="41" t="s">
        <v>437</v>
      </c>
      <c r="J257" s="41">
        <v>6202993543</v>
      </c>
      <c r="K257" s="41" t="s">
        <v>68</v>
      </c>
      <c r="L257" s="25" t="s">
        <v>465</v>
      </c>
      <c r="M257" s="43" t="s">
        <v>137</v>
      </c>
      <c r="N257" s="41" t="s">
        <v>138</v>
      </c>
      <c r="O257" s="32" t="s">
        <v>480</v>
      </c>
      <c r="P257" s="37">
        <v>45897</v>
      </c>
      <c r="Q257" s="25">
        <v>1</v>
      </c>
      <c r="R257" s="44">
        <v>2800</v>
      </c>
      <c r="S257" s="34">
        <f t="shared" si="43"/>
        <v>2800</v>
      </c>
      <c r="T257" s="34">
        <f t="shared" si="44"/>
        <v>504</v>
      </c>
      <c r="U257" s="34">
        <f t="shared" si="45"/>
        <v>3304</v>
      </c>
      <c r="V257" s="34"/>
      <c r="W257" s="23" t="s">
        <v>1005</v>
      </c>
    </row>
    <row r="258" spans="1:23" x14ac:dyDescent="0.25">
      <c r="A258" s="31">
        <v>45847.582002314812</v>
      </c>
      <c r="B258" s="32" t="str">
        <f t="shared" si="42"/>
        <v>Jul-25</v>
      </c>
      <c r="C258" s="23" t="s">
        <v>153</v>
      </c>
      <c r="D258" s="23" t="s">
        <v>369</v>
      </c>
      <c r="E258" s="39">
        <v>45080</v>
      </c>
      <c r="F258" s="32">
        <f>IFERROR(DATEDIF(Table1[[#This Row],[MPG Ope Date]],Table1[[#This Row],[L]],"M"),"")</f>
        <v>25</v>
      </c>
      <c r="G258" s="25">
        <v>10120042</v>
      </c>
      <c r="H258" s="42" t="s">
        <v>414</v>
      </c>
      <c r="I258" s="41" t="s">
        <v>438</v>
      </c>
      <c r="J258" s="41">
        <v>8298326565</v>
      </c>
      <c r="K258" s="41" t="s">
        <v>69</v>
      </c>
      <c r="L258" s="25">
        <v>210874</v>
      </c>
      <c r="M258" s="43" t="s">
        <v>121</v>
      </c>
      <c r="N258" s="45" t="s">
        <v>122</v>
      </c>
      <c r="O258" s="32" t="s">
        <v>480</v>
      </c>
      <c r="P258" s="37">
        <v>45897</v>
      </c>
      <c r="Q258" s="25">
        <v>1</v>
      </c>
      <c r="R258" s="44">
        <v>70</v>
      </c>
      <c r="S258" s="34">
        <f t="shared" si="43"/>
        <v>70</v>
      </c>
      <c r="T258" s="34">
        <f t="shared" si="44"/>
        <v>12.6</v>
      </c>
      <c r="U258" s="34">
        <f t="shared" si="45"/>
        <v>82.6</v>
      </c>
      <c r="V258" s="34"/>
      <c r="W258" s="23" t="s">
        <v>1007</v>
      </c>
    </row>
    <row r="259" spans="1:23" x14ac:dyDescent="0.25">
      <c r="A259" s="31">
        <v>45847.582002314812</v>
      </c>
      <c r="B259" s="32" t="str">
        <f t="shared" si="42"/>
        <v>Jul-25</v>
      </c>
      <c r="C259" s="23" t="s">
        <v>153</v>
      </c>
      <c r="D259" s="23" t="s">
        <v>369</v>
      </c>
      <c r="E259" s="39">
        <v>45080</v>
      </c>
      <c r="F259" s="32">
        <f>IFERROR(DATEDIF(Table1[[#This Row],[MPG Ope Date]],Table1[[#This Row],[L]],"M"),"")</f>
        <v>25</v>
      </c>
      <c r="G259" s="25">
        <v>10120042</v>
      </c>
      <c r="H259" s="42" t="s">
        <v>414</v>
      </c>
      <c r="I259" s="41" t="s">
        <v>438</v>
      </c>
      <c r="J259" s="41">
        <v>8298326565</v>
      </c>
      <c r="K259" s="41" t="s">
        <v>69</v>
      </c>
      <c r="L259" s="25">
        <v>210874</v>
      </c>
      <c r="M259" s="43" t="s">
        <v>119</v>
      </c>
      <c r="N259" s="45" t="s">
        <v>120</v>
      </c>
      <c r="O259" s="32" t="s">
        <v>480</v>
      </c>
      <c r="P259" s="37">
        <v>45897</v>
      </c>
      <c r="Q259" s="25">
        <v>1</v>
      </c>
      <c r="R259" s="44">
        <v>84</v>
      </c>
      <c r="S259" s="34">
        <f t="shared" si="43"/>
        <v>84</v>
      </c>
      <c r="T259" s="34">
        <f t="shared" si="44"/>
        <v>15.12</v>
      </c>
      <c r="U259" s="34">
        <f t="shared" si="45"/>
        <v>99.12</v>
      </c>
      <c r="V259" s="34"/>
      <c r="W259" s="23" t="s">
        <v>1007</v>
      </c>
    </row>
    <row r="260" spans="1:23" x14ac:dyDescent="0.25">
      <c r="A260" s="31">
        <v>45847.581111111111</v>
      </c>
      <c r="B260" s="32" t="str">
        <f t="shared" si="42"/>
        <v>Jul-25</v>
      </c>
      <c r="C260" s="23" t="s">
        <v>153</v>
      </c>
      <c r="D260" s="23" t="s">
        <v>369</v>
      </c>
      <c r="E260" s="39">
        <v>43731</v>
      </c>
      <c r="F260" s="32">
        <f>IFERROR(DATEDIF(Table1[[#This Row],[MPG Ope Date]],Table1[[#This Row],[L]],"M"),"")</f>
        <v>69</v>
      </c>
      <c r="G260" s="25">
        <v>10120006</v>
      </c>
      <c r="H260" s="42" t="s">
        <v>273</v>
      </c>
      <c r="I260" s="41" t="s">
        <v>305</v>
      </c>
      <c r="J260" s="41">
        <v>7033197978</v>
      </c>
      <c r="K260" s="41" t="s">
        <v>68</v>
      </c>
      <c r="L260" s="25" t="s">
        <v>356</v>
      </c>
      <c r="M260" s="43" t="s">
        <v>135</v>
      </c>
      <c r="N260" s="41" t="s">
        <v>396</v>
      </c>
      <c r="O260" s="32" t="s">
        <v>480</v>
      </c>
      <c r="P260" s="37">
        <v>45897</v>
      </c>
      <c r="Q260" s="25">
        <v>1</v>
      </c>
      <c r="R260" s="44">
        <v>825</v>
      </c>
      <c r="S260" s="34">
        <f t="shared" si="43"/>
        <v>825</v>
      </c>
      <c r="T260" s="34">
        <f t="shared" si="44"/>
        <v>148.5</v>
      </c>
      <c r="U260" s="34">
        <f t="shared" si="45"/>
        <v>973.5</v>
      </c>
      <c r="V260" s="34"/>
      <c r="W260" s="23" t="s">
        <v>1005</v>
      </c>
    </row>
    <row r="261" spans="1:23" x14ac:dyDescent="0.25">
      <c r="A261" s="31">
        <v>45847.484629629631</v>
      </c>
      <c r="B261" s="32" t="str">
        <f t="shared" si="42"/>
        <v>Jul-25</v>
      </c>
      <c r="C261" s="23" t="s">
        <v>153</v>
      </c>
      <c r="D261" s="23" t="s">
        <v>369</v>
      </c>
      <c r="E261" s="39">
        <v>44835</v>
      </c>
      <c r="F261" s="32">
        <f>IFERROR(DATEDIF(Table1[[#This Row],[MPG Ope Date]],Table1[[#This Row],[L]],"M"),"")</f>
        <v>33</v>
      </c>
      <c r="G261" s="25">
        <v>10120031</v>
      </c>
      <c r="H261" s="42" t="s">
        <v>415</v>
      </c>
      <c r="I261" s="41" t="s">
        <v>439</v>
      </c>
      <c r="J261" s="41">
        <v>9955935034</v>
      </c>
      <c r="K261" s="41" t="s">
        <v>69</v>
      </c>
      <c r="L261" s="25">
        <v>322692</v>
      </c>
      <c r="M261" s="43" t="s">
        <v>145</v>
      </c>
      <c r="N261" s="45" t="s">
        <v>146</v>
      </c>
      <c r="O261" s="32" t="s">
        <v>480</v>
      </c>
      <c r="P261" s="37">
        <v>45897</v>
      </c>
      <c r="Q261" s="25">
        <v>1</v>
      </c>
      <c r="R261" s="44">
        <v>49</v>
      </c>
      <c r="S261" s="34">
        <f t="shared" si="43"/>
        <v>49</v>
      </c>
      <c r="T261" s="34">
        <f t="shared" si="44"/>
        <v>8.82</v>
      </c>
      <c r="U261" s="34">
        <f t="shared" si="45"/>
        <v>57.82</v>
      </c>
      <c r="V261" s="34"/>
      <c r="W261" s="23" t="s">
        <v>1005</v>
      </c>
    </row>
    <row r="262" spans="1:23" x14ac:dyDescent="0.25">
      <c r="A262" s="31">
        <v>45847.484629629631</v>
      </c>
      <c r="B262" s="32" t="str">
        <f t="shared" si="42"/>
        <v>Jul-25</v>
      </c>
      <c r="C262" s="23" t="s">
        <v>153</v>
      </c>
      <c r="D262" s="23" t="s">
        <v>369</v>
      </c>
      <c r="E262" s="39">
        <v>44835</v>
      </c>
      <c r="F262" s="32">
        <f>IFERROR(DATEDIF(Table1[[#This Row],[MPG Ope Date]],Table1[[#This Row],[L]],"M"),"")</f>
        <v>33</v>
      </c>
      <c r="G262" s="25">
        <v>10120031</v>
      </c>
      <c r="H262" s="42" t="s">
        <v>415</v>
      </c>
      <c r="I262" s="41" t="s">
        <v>439</v>
      </c>
      <c r="J262" s="41">
        <v>9955935034</v>
      </c>
      <c r="K262" s="41" t="s">
        <v>69</v>
      </c>
      <c r="L262" s="25">
        <v>322692</v>
      </c>
      <c r="M262" s="43" t="s">
        <v>262</v>
      </c>
      <c r="N262" s="45" t="s">
        <v>263</v>
      </c>
      <c r="O262" s="32" t="s">
        <v>480</v>
      </c>
      <c r="P262" s="37">
        <v>45897</v>
      </c>
      <c r="Q262" s="25">
        <v>1</v>
      </c>
      <c r="R262" s="44">
        <v>140</v>
      </c>
      <c r="S262" s="34">
        <f t="shared" si="43"/>
        <v>140</v>
      </c>
      <c r="T262" s="34">
        <f t="shared" si="44"/>
        <v>25.2</v>
      </c>
      <c r="U262" s="34">
        <f t="shared" si="45"/>
        <v>165.2</v>
      </c>
      <c r="V262" s="34"/>
      <c r="W262" s="23" t="s">
        <v>1005</v>
      </c>
    </row>
    <row r="263" spans="1:23" x14ac:dyDescent="0.25">
      <c r="A263" s="31">
        <v>45847.578738425924</v>
      </c>
      <c r="B263" s="32" t="str">
        <f t="shared" si="42"/>
        <v>Jul-25</v>
      </c>
      <c r="C263" s="23" t="s">
        <v>153</v>
      </c>
      <c r="D263" s="23" t="s">
        <v>369</v>
      </c>
      <c r="E263" s="39" t="e">
        <v>#N/A</v>
      </c>
      <c r="F263" s="32" t="str">
        <f>IFERROR(DATEDIF(Table1[[#This Row],[MPG Ope Date]],Table1[[#This Row],[L]],"M"),"")</f>
        <v/>
      </c>
      <c r="G263" s="26">
        <v>10100009</v>
      </c>
      <c r="H263" s="40" t="s">
        <v>416</v>
      </c>
      <c r="I263" s="41" t="s">
        <v>440</v>
      </c>
      <c r="J263" s="41">
        <v>9122191559</v>
      </c>
      <c r="K263" s="41" t="s">
        <v>69</v>
      </c>
      <c r="L263" s="25">
        <v>385571</v>
      </c>
      <c r="M263" s="43" t="s">
        <v>264</v>
      </c>
      <c r="N263" s="45" t="s">
        <v>477</v>
      </c>
      <c r="O263" s="32" t="s">
        <v>480</v>
      </c>
      <c r="P263" s="37">
        <v>45897</v>
      </c>
      <c r="Q263" s="25">
        <v>1</v>
      </c>
      <c r="R263" s="44">
        <v>790</v>
      </c>
      <c r="S263" s="34">
        <f t="shared" si="43"/>
        <v>790</v>
      </c>
      <c r="T263" s="34">
        <f t="shared" si="44"/>
        <v>142.19999999999999</v>
      </c>
      <c r="U263" s="34">
        <f t="shared" si="45"/>
        <v>932.2</v>
      </c>
      <c r="V263" s="34"/>
      <c r="W263" s="23" t="s">
        <v>1005</v>
      </c>
    </row>
    <row r="264" spans="1:23" x14ac:dyDescent="0.25">
      <c r="A264" s="31">
        <v>45847.578738425924</v>
      </c>
      <c r="B264" s="32" t="str">
        <f t="shared" si="42"/>
        <v>Jul-25</v>
      </c>
      <c r="C264" s="23" t="s">
        <v>153</v>
      </c>
      <c r="D264" s="23" t="s">
        <v>369</v>
      </c>
      <c r="E264" s="39" t="e">
        <v>#N/A</v>
      </c>
      <c r="F264" s="32" t="str">
        <f>IFERROR(DATEDIF(Table1[[#This Row],[MPG Ope Date]],Table1[[#This Row],[L]],"M"),"")</f>
        <v/>
      </c>
      <c r="G264" s="26">
        <v>10100009</v>
      </c>
      <c r="H264" s="40" t="s">
        <v>416</v>
      </c>
      <c r="I264" s="41" t="s">
        <v>440</v>
      </c>
      <c r="J264" s="41">
        <v>9122191559</v>
      </c>
      <c r="K264" s="41" t="s">
        <v>69</v>
      </c>
      <c r="L264" s="25">
        <v>385571</v>
      </c>
      <c r="M264" s="43" t="s">
        <v>121</v>
      </c>
      <c r="N264" s="45" t="s">
        <v>122</v>
      </c>
      <c r="O264" s="32" t="s">
        <v>480</v>
      </c>
      <c r="P264" s="37">
        <v>45897</v>
      </c>
      <c r="Q264" s="25">
        <v>1</v>
      </c>
      <c r="R264" s="44">
        <v>70</v>
      </c>
      <c r="S264" s="34">
        <f t="shared" si="43"/>
        <v>70</v>
      </c>
      <c r="T264" s="34">
        <f t="shared" si="44"/>
        <v>12.6</v>
      </c>
      <c r="U264" s="34">
        <f t="shared" si="45"/>
        <v>82.6</v>
      </c>
      <c r="V264" s="34"/>
      <c r="W264" s="23" t="s">
        <v>1005</v>
      </c>
    </row>
    <row r="265" spans="1:23" x14ac:dyDescent="0.25">
      <c r="A265" s="31">
        <v>45847.579641203702</v>
      </c>
      <c r="B265" s="32" t="str">
        <f t="shared" si="42"/>
        <v>Jul-25</v>
      </c>
      <c r="C265" s="23" t="s">
        <v>153</v>
      </c>
      <c r="D265" s="23" t="s">
        <v>0</v>
      </c>
      <c r="E265" s="39" t="e">
        <v>#N/A</v>
      </c>
      <c r="F265" s="32" t="str">
        <f>IFERROR(DATEDIF(Table1[[#This Row],[MPG Ope Date]],Table1[[#This Row],[L]],"M"),"")</f>
        <v/>
      </c>
      <c r="G265" s="26">
        <v>1007</v>
      </c>
      <c r="H265" s="40" t="s">
        <v>417</v>
      </c>
      <c r="I265" s="41" t="s">
        <v>441</v>
      </c>
      <c r="J265" s="41">
        <v>9631676073</v>
      </c>
      <c r="K265" s="41" t="s">
        <v>72</v>
      </c>
      <c r="L265" s="25" t="s">
        <v>466</v>
      </c>
      <c r="M265" s="43" t="s">
        <v>133</v>
      </c>
      <c r="N265" s="41" t="s">
        <v>478</v>
      </c>
      <c r="O265" s="32" t="s">
        <v>480</v>
      </c>
      <c r="P265" s="37">
        <v>45897</v>
      </c>
      <c r="Q265" s="25">
        <v>1</v>
      </c>
      <c r="R265" s="44">
        <v>2080</v>
      </c>
      <c r="S265" s="34">
        <f t="shared" si="43"/>
        <v>2080</v>
      </c>
      <c r="T265" s="34">
        <f t="shared" si="44"/>
        <v>374.4</v>
      </c>
      <c r="U265" s="34">
        <f t="shared" si="45"/>
        <v>2454.4</v>
      </c>
      <c r="V265" s="34"/>
      <c r="W265" s="23" t="e">
        <v>#N/A</v>
      </c>
    </row>
    <row r="266" spans="1:23" x14ac:dyDescent="0.25">
      <c r="A266" s="31">
        <v>45847.432916666665</v>
      </c>
      <c r="B266" s="32" t="str">
        <f t="shared" si="42"/>
        <v>Jul-25</v>
      </c>
      <c r="C266" s="23" t="s">
        <v>153</v>
      </c>
      <c r="D266" s="23" t="s">
        <v>369</v>
      </c>
      <c r="E266" s="39" t="e">
        <v>#N/A</v>
      </c>
      <c r="F266" s="32" t="str">
        <f>IFERROR(DATEDIF(Table1[[#This Row],[MPG Ope Date]],Table1[[#This Row],[L]],"M"),"")</f>
        <v/>
      </c>
      <c r="G266" s="26">
        <v>10070033</v>
      </c>
      <c r="H266" s="40" t="s">
        <v>418</v>
      </c>
      <c r="I266" s="41" t="s">
        <v>442</v>
      </c>
      <c r="J266" s="41">
        <v>8292085548</v>
      </c>
      <c r="K266" s="41" t="s">
        <v>69</v>
      </c>
      <c r="L266" s="25">
        <v>2349697</v>
      </c>
      <c r="M266" s="43" t="s">
        <v>121</v>
      </c>
      <c r="N266" s="45" t="s">
        <v>122</v>
      </c>
      <c r="O266" s="32" t="s">
        <v>480</v>
      </c>
      <c r="P266" s="37">
        <v>45897</v>
      </c>
      <c r="Q266" s="25">
        <v>1</v>
      </c>
      <c r="R266" s="44">
        <v>70</v>
      </c>
      <c r="S266" s="34">
        <f t="shared" si="43"/>
        <v>70</v>
      </c>
      <c r="T266" s="34">
        <f t="shared" si="44"/>
        <v>12.6</v>
      </c>
      <c r="U266" s="34">
        <f t="shared" si="45"/>
        <v>82.6</v>
      </c>
      <c r="V266" s="34"/>
      <c r="W266" s="23" t="s">
        <v>1005</v>
      </c>
    </row>
    <row r="267" spans="1:23" x14ac:dyDescent="0.25">
      <c r="A267" s="31">
        <v>45847.432916666665</v>
      </c>
      <c r="B267" s="32" t="str">
        <f t="shared" si="42"/>
        <v>Jul-25</v>
      </c>
      <c r="C267" s="23" t="s">
        <v>153</v>
      </c>
      <c r="D267" s="23" t="s">
        <v>369</v>
      </c>
      <c r="E267" s="39" t="e">
        <v>#N/A</v>
      </c>
      <c r="F267" s="32" t="str">
        <f>IFERROR(DATEDIF(Table1[[#This Row],[MPG Ope Date]],Table1[[#This Row],[L]],"M"),"")</f>
        <v/>
      </c>
      <c r="G267" s="26">
        <v>10070033</v>
      </c>
      <c r="H267" s="40" t="s">
        <v>418</v>
      </c>
      <c r="I267" s="41" t="s">
        <v>442</v>
      </c>
      <c r="J267" s="41">
        <v>8292085548</v>
      </c>
      <c r="K267" s="41" t="s">
        <v>69</v>
      </c>
      <c r="L267" s="25">
        <v>2349697</v>
      </c>
      <c r="M267" s="43" t="s">
        <v>121</v>
      </c>
      <c r="N267" s="45" t="s">
        <v>122</v>
      </c>
      <c r="O267" s="32" t="s">
        <v>480</v>
      </c>
      <c r="P267" s="37">
        <v>45897</v>
      </c>
      <c r="Q267" s="25">
        <v>1</v>
      </c>
      <c r="R267" s="44">
        <v>70</v>
      </c>
      <c r="S267" s="34">
        <f t="shared" si="43"/>
        <v>70</v>
      </c>
      <c r="T267" s="34">
        <f t="shared" si="44"/>
        <v>12.6</v>
      </c>
      <c r="U267" s="34">
        <f t="shared" si="45"/>
        <v>82.6</v>
      </c>
      <c r="V267" s="34"/>
      <c r="W267" s="23" t="s">
        <v>1005</v>
      </c>
    </row>
    <row r="268" spans="1:23" x14ac:dyDescent="0.25">
      <c r="A268" s="31">
        <v>45846.585682870369</v>
      </c>
      <c r="B268" s="32" t="str">
        <f t="shared" si="42"/>
        <v>Jul-25</v>
      </c>
      <c r="C268" s="23" t="s">
        <v>153</v>
      </c>
      <c r="D268" s="23" t="s">
        <v>369</v>
      </c>
      <c r="E268" s="39">
        <v>42979</v>
      </c>
      <c r="F268" s="32">
        <f>IFERROR(DATEDIF(Table1[[#This Row],[MPG Ope Date]],Table1[[#This Row],[L]],"M"),"")</f>
        <v>94</v>
      </c>
      <c r="G268" s="25">
        <v>10250001</v>
      </c>
      <c r="H268" s="42" t="s">
        <v>419</v>
      </c>
      <c r="I268" s="41" t="s">
        <v>443</v>
      </c>
      <c r="J268" s="41">
        <v>8292786040</v>
      </c>
      <c r="K268" s="41" t="s">
        <v>69</v>
      </c>
      <c r="L268" s="25">
        <v>190471</v>
      </c>
      <c r="M268" s="43" t="s">
        <v>121</v>
      </c>
      <c r="N268" s="45" t="s">
        <v>122</v>
      </c>
      <c r="O268" s="32" t="s">
        <v>480</v>
      </c>
      <c r="P268" s="37">
        <v>45897</v>
      </c>
      <c r="Q268" s="25">
        <v>1</v>
      </c>
      <c r="R268" s="44">
        <v>70</v>
      </c>
      <c r="S268" s="34">
        <f t="shared" si="43"/>
        <v>70</v>
      </c>
      <c r="T268" s="34">
        <f t="shared" si="44"/>
        <v>12.6</v>
      </c>
      <c r="U268" s="34">
        <f t="shared" si="45"/>
        <v>82.6</v>
      </c>
      <c r="V268" s="34"/>
      <c r="W268" s="23" t="s">
        <v>1005</v>
      </c>
    </row>
    <row r="269" spans="1:23" x14ac:dyDescent="0.25">
      <c r="A269" s="31">
        <v>45843.62431712963</v>
      </c>
      <c r="B269" s="32" t="str">
        <f t="shared" ref="B269:B273" si="46">TEXT(A269,"mmm-yy")</f>
        <v>Jul-25</v>
      </c>
      <c r="C269" s="23" t="s">
        <v>153</v>
      </c>
      <c r="D269" s="23" t="s">
        <v>0</v>
      </c>
      <c r="E269" s="39" t="e">
        <v>#N/A</v>
      </c>
      <c r="F269" s="32" t="str">
        <f>IFERROR(DATEDIF(Table1[[#This Row],[MPG Ope Date]],Table1[[#This Row],[L]],"M"),"")</f>
        <v/>
      </c>
      <c r="G269" s="36">
        <v>1013</v>
      </c>
      <c r="H269" s="42" t="s">
        <v>162</v>
      </c>
      <c r="I269" s="41" t="s">
        <v>199</v>
      </c>
      <c r="J269" s="41">
        <v>9608956246</v>
      </c>
      <c r="K269" s="41" t="s">
        <v>68</v>
      </c>
      <c r="L269" s="25" t="s">
        <v>467</v>
      </c>
      <c r="M269" s="43" t="s">
        <v>135</v>
      </c>
      <c r="N269" s="41" t="s">
        <v>396</v>
      </c>
      <c r="O269" s="32" t="s">
        <v>480</v>
      </c>
      <c r="P269" s="37">
        <v>45897</v>
      </c>
      <c r="Q269" s="25">
        <v>1</v>
      </c>
      <c r="R269" s="44">
        <v>825</v>
      </c>
      <c r="S269" s="34">
        <f t="shared" ref="S269:S273" si="47">+Q269*R269</f>
        <v>825</v>
      </c>
      <c r="T269" s="34">
        <f t="shared" ref="T269:T273" si="48">+S269*0.18</f>
        <v>148.5</v>
      </c>
      <c r="U269" s="34">
        <f t="shared" ref="U269:U273" si="49">+S269+T269</f>
        <v>973.5</v>
      </c>
      <c r="V269" s="34"/>
      <c r="W269" s="23" t="e">
        <v>#N/A</v>
      </c>
    </row>
    <row r="270" spans="1:23" x14ac:dyDescent="0.25">
      <c r="A270" s="31">
        <v>45843.678506944445</v>
      </c>
      <c r="B270" s="32" t="str">
        <f t="shared" si="46"/>
        <v>Jul-25</v>
      </c>
      <c r="C270" s="23" t="s">
        <v>153</v>
      </c>
      <c r="D270" s="23" t="s">
        <v>369</v>
      </c>
      <c r="E270" s="39">
        <v>44866</v>
      </c>
      <c r="F270" s="32">
        <f>IFERROR(DATEDIF(Table1[[#This Row],[MPG Ope Date]],Table1[[#This Row],[L]],"M"),"")</f>
        <v>32</v>
      </c>
      <c r="G270" s="25">
        <v>10060025</v>
      </c>
      <c r="H270" s="42" t="s">
        <v>420</v>
      </c>
      <c r="I270" s="41" t="s">
        <v>444</v>
      </c>
      <c r="J270" s="41">
        <v>8789633532</v>
      </c>
      <c r="K270" s="41" t="s">
        <v>69</v>
      </c>
      <c r="L270" s="25">
        <v>310438</v>
      </c>
      <c r="M270" s="43" t="s">
        <v>254</v>
      </c>
      <c r="N270" s="41" t="s">
        <v>255</v>
      </c>
      <c r="O270" s="32" t="s">
        <v>480</v>
      </c>
      <c r="P270" s="37">
        <v>45897</v>
      </c>
      <c r="Q270" s="25">
        <v>1</v>
      </c>
      <c r="R270" s="44">
        <v>4500</v>
      </c>
      <c r="S270" s="34">
        <f t="shared" si="47"/>
        <v>4500</v>
      </c>
      <c r="T270" s="34">
        <f t="shared" si="48"/>
        <v>810</v>
      </c>
      <c r="U270" s="34">
        <f t="shared" si="49"/>
        <v>5310</v>
      </c>
      <c r="V270" s="34"/>
      <c r="W270" s="23" t="s">
        <v>1005</v>
      </c>
    </row>
    <row r="271" spans="1:23" x14ac:dyDescent="0.25">
      <c r="A271" s="31">
        <v>45843.67596064815</v>
      </c>
      <c r="B271" s="32" t="str">
        <f t="shared" si="46"/>
        <v>Jul-25</v>
      </c>
      <c r="C271" s="23" t="s">
        <v>153</v>
      </c>
      <c r="D271" s="23" t="s">
        <v>369</v>
      </c>
      <c r="E271" s="39">
        <v>45128</v>
      </c>
      <c r="F271" s="32">
        <f>IFERROR(DATEDIF(Table1[[#This Row],[MPG Ope Date]],Table1[[#This Row],[L]],"M"),"")</f>
        <v>23</v>
      </c>
      <c r="G271" s="25">
        <v>10010038</v>
      </c>
      <c r="H271" s="42" t="s">
        <v>421</v>
      </c>
      <c r="I271" s="41" t="s">
        <v>216</v>
      </c>
      <c r="J271" s="41">
        <v>9973609107</v>
      </c>
      <c r="K271" s="41" t="s">
        <v>69</v>
      </c>
      <c r="L271" s="25">
        <v>387861</v>
      </c>
      <c r="M271" s="43" t="s">
        <v>119</v>
      </c>
      <c r="N271" s="45" t="s">
        <v>120</v>
      </c>
      <c r="O271" s="32" t="s">
        <v>480</v>
      </c>
      <c r="P271" s="37">
        <v>45897</v>
      </c>
      <c r="Q271" s="25">
        <v>1</v>
      </c>
      <c r="R271" s="44">
        <v>84</v>
      </c>
      <c r="S271" s="34">
        <f t="shared" si="47"/>
        <v>84</v>
      </c>
      <c r="T271" s="34">
        <f t="shared" si="48"/>
        <v>15.12</v>
      </c>
      <c r="U271" s="34">
        <f t="shared" si="49"/>
        <v>99.12</v>
      </c>
      <c r="V271" s="34"/>
      <c r="W271" s="23" t="s">
        <v>1005</v>
      </c>
    </row>
    <row r="272" spans="1:23" x14ac:dyDescent="0.25">
      <c r="A272" s="31">
        <v>45843.67596064815</v>
      </c>
      <c r="B272" s="32" t="str">
        <f t="shared" si="46"/>
        <v>Jul-25</v>
      </c>
      <c r="C272" s="23" t="s">
        <v>153</v>
      </c>
      <c r="D272" s="23" t="s">
        <v>369</v>
      </c>
      <c r="E272" s="39">
        <v>45128</v>
      </c>
      <c r="F272" s="32">
        <f>IFERROR(DATEDIF(Table1[[#This Row],[MPG Ope Date]],Table1[[#This Row],[L]],"M"),"")</f>
        <v>23</v>
      </c>
      <c r="G272" s="25">
        <v>10010038</v>
      </c>
      <c r="H272" s="42" t="s">
        <v>421</v>
      </c>
      <c r="I272" s="41" t="s">
        <v>216</v>
      </c>
      <c r="J272" s="41">
        <v>9973609107</v>
      </c>
      <c r="K272" s="41" t="s">
        <v>69</v>
      </c>
      <c r="L272" s="25">
        <v>387861</v>
      </c>
      <c r="M272" s="43" t="s">
        <v>360</v>
      </c>
      <c r="N272" s="45" t="s">
        <v>361</v>
      </c>
      <c r="O272" s="32" t="s">
        <v>480</v>
      </c>
      <c r="P272" s="37">
        <v>45897</v>
      </c>
      <c r="Q272" s="25">
        <v>1</v>
      </c>
      <c r="R272" s="44">
        <v>44</v>
      </c>
      <c r="S272" s="34">
        <f t="shared" si="47"/>
        <v>44</v>
      </c>
      <c r="T272" s="34">
        <f t="shared" si="48"/>
        <v>7.92</v>
      </c>
      <c r="U272" s="34">
        <f t="shared" si="49"/>
        <v>51.92</v>
      </c>
      <c r="V272" s="34"/>
      <c r="W272" s="23" t="s">
        <v>1005</v>
      </c>
    </row>
    <row r="273" spans="1:23" x14ac:dyDescent="0.25">
      <c r="A273" s="31">
        <v>45843.67596064815</v>
      </c>
      <c r="B273" s="32" t="str">
        <f t="shared" si="46"/>
        <v>Jul-25</v>
      </c>
      <c r="C273" s="23" t="s">
        <v>153</v>
      </c>
      <c r="D273" s="23" t="s">
        <v>369</v>
      </c>
      <c r="E273" s="39">
        <v>45128</v>
      </c>
      <c r="F273" s="32">
        <f>IFERROR(DATEDIF(Table1[[#This Row],[MPG Ope Date]],Table1[[#This Row],[L]],"M"),"")</f>
        <v>23</v>
      </c>
      <c r="G273" s="25">
        <v>10010038</v>
      </c>
      <c r="H273" s="42" t="s">
        <v>421</v>
      </c>
      <c r="I273" s="41" t="s">
        <v>216</v>
      </c>
      <c r="J273" s="41">
        <v>9973609107</v>
      </c>
      <c r="K273" s="41" t="s">
        <v>69</v>
      </c>
      <c r="L273" s="25">
        <v>387861</v>
      </c>
      <c r="M273" s="43" t="s">
        <v>360</v>
      </c>
      <c r="N273" s="45" t="s">
        <v>361</v>
      </c>
      <c r="O273" s="32" t="s">
        <v>480</v>
      </c>
      <c r="P273" s="37">
        <v>45897</v>
      </c>
      <c r="Q273" s="25">
        <v>1</v>
      </c>
      <c r="R273" s="44">
        <v>44</v>
      </c>
      <c r="S273" s="34">
        <f t="shared" si="47"/>
        <v>44</v>
      </c>
      <c r="T273" s="34">
        <f t="shared" si="48"/>
        <v>7.92</v>
      </c>
      <c r="U273" s="34">
        <f t="shared" si="49"/>
        <v>51.92</v>
      </c>
      <c r="V273" s="34"/>
      <c r="W273" s="23" t="s">
        <v>1005</v>
      </c>
    </row>
    <row r="274" spans="1:23" x14ac:dyDescent="0.25">
      <c r="A274" s="31">
        <v>45842.561550925922</v>
      </c>
      <c r="B274" s="32" t="str">
        <f>TEXT(A274,"mmm-yy")</f>
        <v>Jul-25</v>
      </c>
      <c r="C274" s="23" t="s">
        <v>153</v>
      </c>
      <c r="D274" s="23" t="s">
        <v>369</v>
      </c>
      <c r="E274" s="39">
        <v>45530</v>
      </c>
      <c r="F274" s="32">
        <f>IFERROR(DATEDIF(Table1[[#This Row],[MPG Ope Date]],Table1[[#This Row],[L]],"M"),"")</f>
        <v>10</v>
      </c>
      <c r="G274" s="25">
        <v>10120083</v>
      </c>
      <c r="H274" s="42" t="s">
        <v>164</v>
      </c>
      <c r="I274" s="41" t="s">
        <v>201</v>
      </c>
      <c r="J274" s="41">
        <v>9262776421</v>
      </c>
      <c r="K274" s="41" t="s">
        <v>69</v>
      </c>
      <c r="L274" s="25">
        <v>387344</v>
      </c>
      <c r="M274" s="43" t="s">
        <v>121</v>
      </c>
      <c r="N274" s="45" t="s">
        <v>122</v>
      </c>
      <c r="O274" s="32" t="s">
        <v>480</v>
      </c>
      <c r="P274" s="37">
        <v>45897</v>
      </c>
      <c r="Q274" s="25">
        <v>1</v>
      </c>
      <c r="R274" s="44">
        <v>70</v>
      </c>
      <c r="S274" s="34">
        <f>+Q274*R274</f>
        <v>70</v>
      </c>
      <c r="T274" s="34">
        <f>+S274*0.18</f>
        <v>12.6</v>
      </c>
      <c r="U274" s="34">
        <f>+S274+T274</f>
        <v>82.6</v>
      </c>
      <c r="V274" s="34"/>
      <c r="W274" s="23" t="s">
        <v>1005</v>
      </c>
    </row>
    <row r="275" spans="1:23" x14ac:dyDescent="0.25">
      <c r="A275" s="31">
        <v>45842.561550925922</v>
      </c>
      <c r="B275" s="32" t="str">
        <f t="shared" ref="B275:B278" si="50">TEXT(A275,"mmm-yy")</f>
        <v>Jul-25</v>
      </c>
      <c r="C275" s="23" t="s">
        <v>153</v>
      </c>
      <c r="D275" s="23" t="s">
        <v>369</v>
      </c>
      <c r="E275" s="39">
        <v>45530</v>
      </c>
      <c r="F275" s="32">
        <f>IFERROR(DATEDIF(Table1[[#This Row],[MPG Ope Date]],Table1[[#This Row],[L]],"M"),"")</f>
        <v>10</v>
      </c>
      <c r="G275" s="25">
        <v>10120083</v>
      </c>
      <c r="H275" s="42" t="s">
        <v>164</v>
      </c>
      <c r="I275" s="41" t="s">
        <v>201</v>
      </c>
      <c r="J275" s="41">
        <v>9262776421</v>
      </c>
      <c r="K275" s="41" t="s">
        <v>69</v>
      </c>
      <c r="L275" s="25">
        <v>387344</v>
      </c>
      <c r="M275" s="43" t="s">
        <v>121</v>
      </c>
      <c r="N275" s="45" t="s">
        <v>122</v>
      </c>
      <c r="O275" s="32" t="s">
        <v>480</v>
      </c>
      <c r="P275" s="37">
        <v>45897</v>
      </c>
      <c r="Q275" s="25">
        <v>1</v>
      </c>
      <c r="R275" s="44">
        <v>70</v>
      </c>
      <c r="S275" s="34">
        <f t="shared" ref="S275:S278" si="51">+Q275*R275</f>
        <v>70</v>
      </c>
      <c r="T275" s="34">
        <f t="shared" ref="T275:T278" si="52">+S275*0.18</f>
        <v>12.6</v>
      </c>
      <c r="U275" s="34">
        <f t="shared" ref="U275:U278" si="53">+S275+T275</f>
        <v>82.6</v>
      </c>
      <c r="V275" s="34"/>
      <c r="W275" s="23" t="s">
        <v>1005</v>
      </c>
    </row>
    <row r="276" spans="1:23" x14ac:dyDescent="0.25">
      <c r="A276" s="31">
        <v>45842.561550925922</v>
      </c>
      <c r="B276" s="32" t="str">
        <f t="shared" si="50"/>
        <v>Jul-25</v>
      </c>
      <c r="C276" s="23" t="s">
        <v>153</v>
      </c>
      <c r="D276" s="23" t="s">
        <v>369</v>
      </c>
      <c r="E276" s="39">
        <v>45530</v>
      </c>
      <c r="F276" s="32">
        <f>IFERROR(DATEDIF(Table1[[#This Row],[MPG Ope Date]],Table1[[#This Row],[L]],"M"),"")</f>
        <v>10</v>
      </c>
      <c r="G276" s="25">
        <v>10120083</v>
      </c>
      <c r="H276" s="42" t="s">
        <v>164</v>
      </c>
      <c r="I276" s="41" t="s">
        <v>201</v>
      </c>
      <c r="J276" s="41">
        <v>9262776421</v>
      </c>
      <c r="K276" s="41" t="s">
        <v>69</v>
      </c>
      <c r="L276" s="25">
        <v>387344</v>
      </c>
      <c r="M276" s="43" t="s">
        <v>145</v>
      </c>
      <c r="N276" s="45" t="s">
        <v>146</v>
      </c>
      <c r="O276" s="32" t="s">
        <v>480</v>
      </c>
      <c r="P276" s="37">
        <v>45897</v>
      </c>
      <c r="Q276" s="25">
        <v>1</v>
      </c>
      <c r="R276" s="44">
        <v>49</v>
      </c>
      <c r="S276" s="34">
        <f t="shared" si="51"/>
        <v>49</v>
      </c>
      <c r="T276" s="34">
        <f t="shared" si="52"/>
        <v>8.82</v>
      </c>
      <c r="U276" s="34">
        <f t="shared" si="53"/>
        <v>57.82</v>
      </c>
      <c r="V276" s="34"/>
      <c r="W276" s="23" t="s">
        <v>1005</v>
      </c>
    </row>
    <row r="277" spans="1:23" x14ac:dyDescent="0.25">
      <c r="A277" s="31">
        <v>45842.561550925922</v>
      </c>
      <c r="B277" s="32" t="str">
        <f t="shared" si="50"/>
        <v>Jul-25</v>
      </c>
      <c r="C277" s="23" t="s">
        <v>153</v>
      </c>
      <c r="D277" s="23" t="s">
        <v>369</v>
      </c>
      <c r="E277" s="39">
        <v>45530</v>
      </c>
      <c r="F277" s="32">
        <f>IFERROR(DATEDIF(Table1[[#This Row],[MPG Ope Date]],Table1[[#This Row],[L]],"M"),"")</f>
        <v>10</v>
      </c>
      <c r="G277" s="25">
        <v>10120083</v>
      </c>
      <c r="H277" s="42" t="s">
        <v>164</v>
      </c>
      <c r="I277" s="41" t="s">
        <v>201</v>
      </c>
      <c r="J277" s="41">
        <v>9262776421</v>
      </c>
      <c r="K277" s="41" t="s">
        <v>69</v>
      </c>
      <c r="L277" s="25">
        <v>387344</v>
      </c>
      <c r="M277" s="43" t="s">
        <v>145</v>
      </c>
      <c r="N277" s="45" t="s">
        <v>146</v>
      </c>
      <c r="O277" s="32" t="s">
        <v>480</v>
      </c>
      <c r="P277" s="37">
        <v>45897</v>
      </c>
      <c r="Q277" s="25">
        <v>1</v>
      </c>
      <c r="R277" s="44">
        <v>49</v>
      </c>
      <c r="S277" s="34">
        <f t="shared" si="51"/>
        <v>49</v>
      </c>
      <c r="T277" s="34">
        <f t="shared" si="52"/>
        <v>8.82</v>
      </c>
      <c r="U277" s="34">
        <f t="shared" si="53"/>
        <v>57.82</v>
      </c>
      <c r="V277" s="34"/>
      <c r="W277" s="23" t="s">
        <v>1005</v>
      </c>
    </row>
    <row r="278" spans="1:23" x14ac:dyDescent="0.25">
      <c r="A278" s="31">
        <v>45842.658958333333</v>
      </c>
      <c r="B278" s="32" t="str">
        <f t="shared" si="50"/>
        <v>Jul-25</v>
      </c>
      <c r="C278" s="23" t="s">
        <v>153</v>
      </c>
      <c r="D278" s="23" t="s">
        <v>369</v>
      </c>
      <c r="E278" s="39" t="e">
        <v>#N/A</v>
      </c>
      <c r="F278" s="32" t="str">
        <f>IFERROR(DATEDIF(Table1[[#This Row],[MPG Ope Date]],Table1[[#This Row],[L]],"M"),"")</f>
        <v/>
      </c>
      <c r="G278" s="26">
        <v>10070016</v>
      </c>
      <c r="H278" s="40" t="s">
        <v>422</v>
      </c>
      <c r="I278" s="41" t="s">
        <v>445</v>
      </c>
      <c r="J278" s="41">
        <v>9631480854</v>
      </c>
      <c r="K278" s="41" t="s">
        <v>70</v>
      </c>
      <c r="L278" s="25" t="s">
        <v>468</v>
      </c>
      <c r="M278" s="43" t="s">
        <v>123</v>
      </c>
      <c r="N278" s="45" t="s">
        <v>394</v>
      </c>
      <c r="O278" s="32" t="s">
        <v>480</v>
      </c>
      <c r="P278" s="37">
        <v>45897</v>
      </c>
      <c r="Q278" s="25">
        <v>1</v>
      </c>
      <c r="R278" s="44">
        <v>350</v>
      </c>
      <c r="S278" s="34">
        <f t="shared" si="51"/>
        <v>350</v>
      </c>
      <c r="T278" s="34">
        <f t="shared" si="52"/>
        <v>63</v>
      </c>
      <c r="U278" s="34">
        <f t="shared" si="53"/>
        <v>413</v>
      </c>
      <c r="V278" s="34"/>
      <c r="W278" s="23" t="s">
        <v>1005</v>
      </c>
    </row>
    <row r="279" spans="1:23" x14ac:dyDescent="0.25">
      <c r="A279" s="31">
        <v>45841.486006944448</v>
      </c>
      <c r="B279" s="32" t="str">
        <f t="shared" ref="B279:B342" si="54">TEXT(A279,"mmm-yy")</f>
        <v>Jul-25</v>
      </c>
      <c r="C279" s="23" t="s">
        <v>153</v>
      </c>
      <c r="D279" s="23" t="s">
        <v>369</v>
      </c>
      <c r="E279" s="39" t="e">
        <v>#N/A</v>
      </c>
      <c r="F279" s="32" t="str">
        <f>IFERROR(DATEDIF(Table1[[#This Row],[MPG Ope Date]],Table1[[#This Row],[L]],"M"),"")</f>
        <v/>
      </c>
      <c r="G279" s="25">
        <v>10030027</v>
      </c>
      <c r="H279" s="40" t="s">
        <v>423</v>
      </c>
      <c r="I279" s="41" t="s">
        <v>446</v>
      </c>
      <c r="J279" s="41">
        <v>7250141023</v>
      </c>
      <c r="K279" s="41" t="s">
        <v>70</v>
      </c>
      <c r="L279" s="25" t="s">
        <v>469</v>
      </c>
      <c r="M279" s="43" t="s">
        <v>123</v>
      </c>
      <c r="N279" s="45" t="s">
        <v>394</v>
      </c>
      <c r="O279" s="32" t="s">
        <v>480</v>
      </c>
      <c r="P279" s="37">
        <v>45897</v>
      </c>
      <c r="Q279" s="25">
        <v>1</v>
      </c>
      <c r="R279" s="44">
        <v>350</v>
      </c>
      <c r="S279" s="34">
        <f t="shared" ref="S279:S342" si="55">+Q279*R279</f>
        <v>350</v>
      </c>
      <c r="T279" s="34">
        <f t="shared" ref="T279:T284" si="56">+S279*0.18</f>
        <v>63</v>
      </c>
      <c r="U279" s="34">
        <f t="shared" ref="U279:U284" si="57">+S279+T279</f>
        <v>413</v>
      </c>
      <c r="V279" s="34"/>
      <c r="W279" s="23" t="s">
        <v>1005</v>
      </c>
    </row>
    <row r="280" spans="1:23" x14ac:dyDescent="0.25">
      <c r="A280" s="31">
        <v>45840.575729166667</v>
      </c>
      <c r="B280" s="32" t="str">
        <f t="shared" si="54"/>
        <v>Jul-25</v>
      </c>
      <c r="C280" s="23" t="s">
        <v>153</v>
      </c>
      <c r="D280" s="23" t="s">
        <v>369</v>
      </c>
      <c r="E280" s="39">
        <v>45076</v>
      </c>
      <c r="F280" s="32">
        <f>IFERROR(DATEDIF(Table1[[#This Row],[MPG Ope Date]],Table1[[#This Row],[L]],"M"),"")</f>
        <v>25</v>
      </c>
      <c r="G280" s="25">
        <v>10130032</v>
      </c>
      <c r="H280" s="42" t="s">
        <v>424</v>
      </c>
      <c r="I280" s="41" t="s">
        <v>447</v>
      </c>
      <c r="J280" s="41">
        <v>9661937016</v>
      </c>
      <c r="K280" s="41" t="s">
        <v>68</v>
      </c>
      <c r="L280" s="25" t="s">
        <v>470</v>
      </c>
      <c r="M280" s="43" t="s">
        <v>260</v>
      </c>
      <c r="N280" s="41" t="s">
        <v>479</v>
      </c>
      <c r="O280" s="32" t="s">
        <v>480</v>
      </c>
      <c r="P280" s="37">
        <v>45897</v>
      </c>
      <c r="Q280" s="25">
        <v>1</v>
      </c>
      <c r="R280" s="44">
        <v>2080</v>
      </c>
      <c r="S280" s="34">
        <f t="shared" si="55"/>
        <v>2080</v>
      </c>
      <c r="T280" s="34">
        <f t="shared" si="56"/>
        <v>374.4</v>
      </c>
      <c r="U280" s="34">
        <f t="shared" si="57"/>
        <v>2454.4</v>
      </c>
      <c r="V280" s="34"/>
      <c r="W280" s="23" t="s">
        <v>1005</v>
      </c>
    </row>
    <row r="281" spans="1:23" x14ac:dyDescent="0.25">
      <c r="A281" s="31">
        <v>45840.576655092591</v>
      </c>
      <c r="B281" s="32" t="str">
        <f t="shared" si="54"/>
        <v>Jul-25</v>
      </c>
      <c r="C281" s="23" t="s">
        <v>153</v>
      </c>
      <c r="D281" s="23" t="s">
        <v>369</v>
      </c>
      <c r="E281" s="39">
        <v>44102</v>
      </c>
      <c r="F281" s="32">
        <f>IFERROR(DATEDIF(Table1[[#This Row],[MPG Ope Date]],Table1[[#This Row],[L]],"M"),"")</f>
        <v>57</v>
      </c>
      <c r="G281" s="25">
        <v>10130012</v>
      </c>
      <c r="H281" s="42" t="s">
        <v>165</v>
      </c>
      <c r="I281" s="41" t="s">
        <v>202</v>
      </c>
      <c r="J281" s="41">
        <v>7017190104</v>
      </c>
      <c r="K281" s="41" t="s">
        <v>69</v>
      </c>
      <c r="L281" s="25">
        <v>306391</v>
      </c>
      <c r="M281" s="43" t="s">
        <v>127</v>
      </c>
      <c r="N281" s="45" t="s">
        <v>128</v>
      </c>
      <c r="O281" s="32" t="s">
        <v>480</v>
      </c>
      <c r="P281" s="37">
        <v>45897</v>
      </c>
      <c r="Q281" s="25">
        <v>1</v>
      </c>
      <c r="R281" s="44">
        <v>44</v>
      </c>
      <c r="S281" s="34">
        <f t="shared" si="55"/>
        <v>44</v>
      </c>
      <c r="T281" s="34">
        <f t="shared" si="56"/>
        <v>7.92</v>
      </c>
      <c r="U281" s="34">
        <f t="shared" si="57"/>
        <v>51.92</v>
      </c>
      <c r="V281" s="34"/>
      <c r="W281" s="23" t="s">
        <v>1005</v>
      </c>
    </row>
    <row r="282" spans="1:23" x14ac:dyDescent="0.25">
      <c r="A282" s="31">
        <v>45840.576655092591</v>
      </c>
      <c r="B282" s="32" t="str">
        <f t="shared" si="54"/>
        <v>Jul-25</v>
      </c>
      <c r="C282" s="23" t="s">
        <v>153</v>
      </c>
      <c r="D282" s="23" t="s">
        <v>369</v>
      </c>
      <c r="E282" s="39">
        <v>44102</v>
      </c>
      <c r="F282" s="32">
        <f>IFERROR(DATEDIF(Table1[[#This Row],[MPG Ope Date]],Table1[[#This Row],[L]],"M"),"")</f>
        <v>57</v>
      </c>
      <c r="G282" s="25">
        <v>10130012</v>
      </c>
      <c r="H282" s="42" t="s">
        <v>165</v>
      </c>
      <c r="I282" s="41" t="s">
        <v>202</v>
      </c>
      <c r="J282" s="41">
        <v>7017190104</v>
      </c>
      <c r="K282" s="41" t="s">
        <v>69</v>
      </c>
      <c r="L282" s="25">
        <v>306391</v>
      </c>
      <c r="M282" s="43" t="s">
        <v>127</v>
      </c>
      <c r="N282" s="45" t="s">
        <v>128</v>
      </c>
      <c r="O282" s="32" t="s">
        <v>480</v>
      </c>
      <c r="P282" s="37">
        <v>45897</v>
      </c>
      <c r="Q282" s="25">
        <v>1</v>
      </c>
      <c r="R282" s="44">
        <v>44</v>
      </c>
      <c r="S282" s="34">
        <f t="shared" si="55"/>
        <v>44</v>
      </c>
      <c r="T282" s="34">
        <f t="shared" si="56"/>
        <v>7.92</v>
      </c>
      <c r="U282" s="34">
        <f t="shared" si="57"/>
        <v>51.92</v>
      </c>
      <c r="V282" s="34"/>
      <c r="W282" s="23" t="s">
        <v>1005</v>
      </c>
    </row>
    <row r="283" spans="1:23" x14ac:dyDescent="0.25">
      <c r="A283" s="31">
        <v>45840.576655092591</v>
      </c>
      <c r="B283" s="32" t="str">
        <f t="shared" si="54"/>
        <v>Jul-25</v>
      </c>
      <c r="C283" s="23" t="s">
        <v>153</v>
      </c>
      <c r="D283" s="23" t="s">
        <v>369</v>
      </c>
      <c r="E283" s="39">
        <v>44102</v>
      </c>
      <c r="F283" s="32">
        <f>IFERROR(DATEDIF(Table1[[#This Row],[MPG Ope Date]],Table1[[#This Row],[L]],"M"),"")</f>
        <v>57</v>
      </c>
      <c r="G283" s="25">
        <v>10130012</v>
      </c>
      <c r="H283" s="42" t="s">
        <v>165</v>
      </c>
      <c r="I283" s="41" t="s">
        <v>202</v>
      </c>
      <c r="J283" s="41">
        <v>7017190104</v>
      </c>
      <c r="K283" s="41" t="s">
        <v>69</v>
      </c>
      <c r="L283" s="25">
        <v>306391</v>
      </c>
      <c r="M283" s="43" t="s">
        <v>121</v>
      </c>
      <c r="N283" s="45" t="s">
        <v>122</v>
      </c>
      <c r="O283" s="32" t="s">
        <v>480</v>
      </c>
      <c r="P283" s="37">
        <v>45897</v>
      </c>
      <c r="Q283" s="25">
        <v>1</v>
      </c>
      <c r="R283" s="44">
        <v>70</v>
      </c>
      <c r="S283" s="34">
        <f t="shared" si="55"/>
        <v>70</v>
      </c>
      <c r="T283" s="34">
        <f t="shared" si="56"/>
        <v>12.6</v>
      </c>
      <c r="U283" s="34">
        <f t="shared" si="57"/>
        <v>82.6</v>
      </c>
      <c r="V283" s="34"/>
      <c r="W283" s="23" t="s">
        <v>1005</v>
      </c>
    </row>
    <row r="284" spans="1:23" x14ac:dyDescent="0.25">
      <c r="A284" s="31">
        <v>45840.576655092591</v>
      </c>
      <c r="B284" s="32" t="str">
        <f t="shared" si="54"/>
        <v>Jul-25</v>
      </c>
      <c r="C284" s="23" t="s">
        <v>153</v>
      </c>
      <c r="D284" s="23" t="s">
        <v>369</v>
      </c>
      <c r="E284" s="39">
        <v>44102</v>
      </c>
      <c r="F284" s="32">
        <f>IFERROR(DATEDIF(Table1[[#This Row],[MPG Ope Date]],Table1[[#This Row],[L]],"M"),"")</f>
        <v>57</v>
      </c>
      <c r="G284" s="25">
        <v>10130012</v>
      </c>
      <c r="H284" s="42" t="s">
        <v>165</v>
      </c>
      <c r="I284" s="41" t="s">
        <v>202</v>
      </c>
      <c r="J284" s="41">
        <v>7017190104</v>
      </c>
      <c r="K284" s="41" t="s">
        <v>69</v>
      </c>
      <c r="L284" s="25">
        <v>306391</v>
      </c>
      <c r="M284" s="43" t="s">
        <v>121</v>
      </c>
      <c r="N284" s="45" t="s">
        <v>122</v>
      </c>
      <c r="O284" s="32" t="s">
        <v>480</v>
      </c>
      <c r="P284" s="37">
        <v>45897</v>
      </c>
      <c r="Q284" s="25">
        <v>1</v>
      </c>
      <c r="R284" s="44">
        <v>70</v>
      </c>
      <c r="S284" s="34">
        <f t="shared" si="55"/>
        <v>70</v>
      </c>
      <c r="T284" s="34">
        <f t="shared" si="56"/>
        <v>12.6</v>
      </c>
      <c r="U284" s="34">
        <f t="shared" si="57"/>
        <v>82.6</v>
      </c>
      <c r="V284" s="34"/>
      <c r="W284" s="23" t="s">
        <v>1005</v>
      </c>
    </row>
    <row r="285" spans="1:23" x14ac:dyDescent="0.25">
      <c r="A285" s="31">
        <v>45899.595509259256</v>
      </c>
      <c r="B285" s="32" t="str">
        <f t="shared" si="54"/>
        <v>Aug-25</v>
      </c>
      <c r="C285" s="23" t="s">
        <v>153</v>
      </c>
      <c r="D285" s="23" t="s">
        <v>369</v>
      </c>
      <c r="E285" s="39">
        <v>45646</v>
      </c>
      <c r="F285" s="32">
        <f>IFERROR(DATEDIF(Table1[[#This Row],[MPG Ope Date]],Table1[[#This Row],[L]],"M"),"")</f>
        <v>8</v>
      </c>
      <c r="G285" s="25">
        <v>10140145</v>
      </c>
      <c r="H285" s="25" t="s">
        <v>524</v>
      </c>
      <c r="I285" s="23" t="s">
        <v>481</v>
      </c>
      <c r="J285" s="23">
        <v>7011240629</v>
      </c>
      <c r="K285" s="23" t="s">
        <v>70</v>
      </c>
      <c r="L285" s="25" t="s">
        <v>567</v>
      </c>
      <c r="M285" s="23" t="s">
        <v>123</v>
      </c>
      <c r="N285" s="25" t="s">
        <v>394</v>
      </c>
      <c r="O285" s="32" t="s">
        <v>893</v>
      </c>
      <c r="P285" s="37">
        <v>45918</v>
      </c>
      <c r="Q285" s="46">
        <v>1</v>
      </c>
      <c r="R285" s="47">
        <v>350</v>
      </c>
      <c r="S285" s="34">
        <f t="shared" si="55"/>
        <v>350</v>
      </c>
      <c r="T285" s="34">
        <f t="shared" ref="T285:T315" si="58">+S285*0.18</f>
        <v>63</v>
      </c>
      <c r="U285" s="34">
        <f t="shared" ref="U285:U315" si="59">+S285+T285</f>
        <v>413</v>
      </c>
      <c r="V285" s="34"/>
      <c r="W285" s="23" t="s">
        <v>1005</v>
      </c>
    </row>
    <row r="286" spans="1:23" x14ac:dyDescent="0.25">
      <c r="A286" s="31">
        <v>45899.679155092592</v>
      </c>
      <c r="B286" s="32" t="str">
        <f t="shared" si="54"/>
        <v>Aug-25</v>
      </c>
      <c r="C286" s="23" t="s">
        <v>153</v>
      </c>
      <c r="D286" s="23" t="s">
        <v>369</v>
      </c>
      <c r="E286" s="39">
        <v>43756</v>
      </c>
      <c r="F286" s="32">
        <f>IFERROR(DATEDIF(Table1[[#This Row],[MPG Ope Date]],Table1[[#This Row],[L]],"M"),"")</f>
        <v>70</v>
      </c>
      <c r="G286" s="25">
        <v>10130003</v>
      </c>
      <c r="H286" s="25" t="s">
        <v>276</v>
      </c>
      <c r="I286" s="23" t="s">
        <v>308</v>
      </c>
      <c r="J286" s="23">
        <v>7631356700</v>
      </c>
      <c r="K286" s="23" t="s">
        <v>69</v>
      </c>
      <c r="L286" s="25">
        <v>277324</v>
      </c>
      <c r="M286" s="23" t="s">
        <v>615</v>
      </c>
      <c r="N286" s="25" t="s">
        <v>616</v>
      </c>
      <c r="O286" s="32" t="s">
        <v>893</v>
      </c>
      <c r="P286" s="37">
        <v>45918</v>
      </c>
      <c r="Q286" s="46">
        <v>1</v>
      </c>
      <c r="R286" s="47">
        <v>65</v>
      </c>
      <c r="S286" s="34">
        <f t="shared" si="55"/>
        <v>65</v>
      </c>
      <c r="T286" s="34">
        <f t="shared" si="58"/>
        <v>11.7</v>
      </c>
      <c r="U286" s="34">
        <f t="shared" si="59"/>
        <v>76.7</v>
      </c>
      <c r="V286" s="34"/>
      <c r="W286" s="23" t="s">
        <v>1005</v>
      </c>
    </row>
    <row r="287" spans="1:23" x14ac:dyDescent="0.25">
      <c r="A287" s="31">
        <v>45899.679363425923</v>
      </c>
      <c r="B287" s="32" t="str">
        <f t="shared" si="54"/>
        <v>Aug-25</v>
      </c>
      <c r="C287" s="23" t="s">
        <v>153</v>
      </c>
      <c r="D287" s="23" t="s">
        <v>369</v>
      </c>
      <c r="E287" s="39">
        <v>43756</v>
      </c>
      <c r="F287" s="32">
        <f>IFERROR(DATEDIF(Table1[[#This Row],[MPG Ope Date]],Table1[[#This Row],[L]],"M"),"")</f>
        <v>70</v>
      </c>
      <c r="G287" s="25">
        <v>10130003</v>
      </c>
      <c r="H287" s="25" t="s">
        <v>276</v>
      </c>
      <c r="I287" s="23" t="s">
        <v>308</v>
      </c>
      <c r="J287" s="23">
        <v>7631356700</v>
      </c>
      <c r="K287" s="23" t="s">
        <v>70</v>
      </c>
      <c r="L287" s="25" t="s">
        <v>568</v>
      </c>
      <c r="M287" s="23" t="s">
        <v>149</v>
      </c>
      <c r="N287" s="25" t="s">
        <v>150</v>
      </c>
      <c r="O287" s="32" t="s">
        <v>893</v>
      </c>
      <c r="P287" s="37">
        <v>45918</v>
      </c>
      <c r="Q287" s="46">
        <v>1</v>
      </c>
      <c r="R287" s="47">
        <v>925</v>
      </c>
      <c r="S287" s="34">
        <f t="shared" si="55"/>
        <v>925</v>
      </c>
      <c r="T287" s="34">
        <f t="shared" si="58"/>
        <v>166.5</v>
      </c>
      <c r="U287" s="34">
        <f t="shared" si="59"/>
        <v>1091.5</v>
      </c>
      <c r="V287" s="34"/>
      <c r="W287" s="23" t="s">
        <v>1005</v>
      </c>
    </row>
    <row r="288" spans="1:23" x14ac:dyDescent="0.25">
      <c r="A288" s="31">
        <v>45898.778310185182</v>
      </c>
      <c r="B288" s="32" t="str">
        <f t="shared" si="54"/>
        <v>Aug-25</v>
      </c>
      <c r="C288" s="23" t="s">
        <v>152</v>
      </c>
      <c r="D288" s="23" t="s">
        <v>369</v>
      </c>
      <c r="E288" s="39" t="e">
        <v>#N/A</v>
      </c>
      <c r="F288" s="32" t="str">
        <f>IFERROR(DATEDIF(Table1[[#This Row],[MPG Ope Date]],Table1[[#This Row],[L]],"M"),"")</f>
        <v/>
      </c>
      <c r="G288" s="25">
        <v>20060007</v>
      </c>
      <c r="H288" s="25" t="s">
        <v>525</v>
      </c>
      <c r="I288" s="23" t="s">
        <v>482</v>
      </c>
      <c r="J288" s="23">
        <v>7992316696</v>
      </c>
      <c r="K288" s="23" t="s">
        <v>69</v>
      </c>
      <c r="L288" s="25">
        <v>390595</v>
      </c>
      <c r="M288" s="23" t="s">
        <v>617</v>
      </c>
      <c r="N288" s="25" t="s">
        <v>618</v>
      </c>
      <c r="O288" s="32" t="s">
        <v>894</v>
      </c>
      <c r="P288" s="37">
        <v>45918</v>
      </c>
      <c r="Q288" s="46">
        <v>1</v>
      </c>
      <c r="R288" s="48">
        <v>84</v>
      </c>
      <c r="S288" s="34">
        <f t="shared" si="55"/>
        <v>84</v>
      </c>
      <c r="T288" s="34">
        <f t="shared" si="58"/>
        <v>15.12</v>
      </c>
      <c r="U288" s="34">
        <f t="shared" si="59"/>
        <v>99.12</v>
      </c>
      <c r="V288" s="34"/>
      <c r="W288" s="23" t="e">
        <v>#N/A</v>
      </c>
    </row>
    <row r="289" spans="1:23" x14ac:dyDescent="0.25">
      <c r="A289" s="31">
        <v>45898.806342592594</v>
      </c>
      <c r="B289" s="32" t="str">
        <f t="shared" si="54"/>
        <v>Aug-25</v>
      </c>
      <c r="C289" s="23" t="s">
        <v>152</v>
      </c>
      <c r="D289" s="23" t="s">
        <v>896</v>
      </c>
      <c r="E289" s="39" t="e">
        <v>#N/A</v>
      </c>
      <c r="F289" s="32" t="str">
        <f>IFERROR(DATEDIF(Table1[[#This Row],[MPG Ope Date]],Table1[[#This Row],[L]],"M"),"")</f>
        <v/>
      </c>
      <c r="G289" s="25">
        <v>0</v>
      </c>
      <c r="H289" s="25" t="s">
        <v>526</v>
      </c>
      <c r="I289" s="23" t="s">
        <v>483</v>
      </c>
      <c r="J289" s="23">
        <v>8987509704</v>
      </c>
      <c r="K289" s="23" t="s">
        <v>68</v>
      </c>
      <c r="L289" s="25" t="s">
        <v>569</v>
      </c>
      <c r="M289" s="23" t="s">
        <v>619</v>
      </c>
      <c r="N289" s="25" t="s">
        <v>891</v>
      </c>
      <c r="O289" s="32" t="s">
        <v>894</v>
      </c>
      <c r="P289" s="37">
        <v>45918</v>
      </c>
      <c r="Q289" s="46">
        <v>1</v>
      </c>
      <c r="R289" s="48">
        <v>2080</v>
      </c>
      <c r="S289" s="34">
        <f t="shared" si="55"/>
        <v>2080</v>
      </c>
      <c r="T289" s="34">
        <f t="shared" si="58"/>
        <v>374.4</v>
      </c>
      <c r="U289" s="34">
        <f t="shared" si="59"/>
        <v>2454.4</v>
      </c>
      <c r="V289" s="34"/>
      <c r="W289" s="23" t="e">
        <v>#N/A</v>
      </c>
    </row>
    <row r="290" spans="1:23" x14ac:dyDescent="0.25">
      <c r="A290" s="31">
        <v>45897.600694444445</v>
      </c>
      <c r="B290" s="32" t="str">
        <f t="shared" si="54"/>
        <v>Aug-25</v>
      </c>
      <c r="C290" s="23" t="s">
        <v>153</v>
      </c>
      <c r="D290" s="23" t="s">
        <v>369</v>
      </c>
      <c r="E290" s="39" t="e">
        <v>#N/A</v>
      </c>
      <c r="F290" s="32" t="str">
        <f>IFERROR(DATEDIF(Table1[[#This Row],[MPG Ope Date]],Table1[[#This Row],[L]],"M"),"")</f>
        <v/>
      </c>
      <c r="G290" s="26">
        <v>10030053</v>
      </c>
      <c r="H290" s="49" t="s">
        <v>527</v>
      </c>
      <c r="I290" s="23" t="s">
        <v>484</v>
      </c>
      <c r="J290" s="23">
        <v>9204350523</v>
      </c>
      <c r="K290" s="23" t="s">
        <v>70</v>
      </c>
      <c r="L290" s="25" t="s">
        <v>570</v>
      </c>
      <c r="M290" s="23" t="s">
        <v>131</v>
      </c>
      <c r="N290" s="25" t="s">
        <v>132</v>
      </c>
      <c r="O290" s="32" t="s">
        <v>893</v>
      </c>
      <c r="P290" s="37">
        <v>45918</v>
      </c>
      <c r="Q290" s="46">
        <v>1</v>
      </c>
      <c r="R290" s="48">
        <v>2800</v>
      </c>
      <c r="S290" s="34">
        <f t="shared" si="55"/>
        <v>2800</v>
      </c>
      <c r="T290" s="34">
        <f t="shared" si="58"/>
        <v>504</v>
      </c>
      <c r="U290" s="34">
        <f t="shared" si="59"/>
        <v>3304</v>
      </c>
      <c r="V290" s="34"/>
      <c r="W290" s="23" t="s">
        <v>1005</v>
      </c>
    </row>
    <row r="291" spans="1:23" x14ac:dyDescent="0.25">
      <c r="A291" s="31">
        <v>45897.719722222224</v>
      </c>
      <c r="B291" s="32" t="str">
        <f t="shared" si="54"/>
        <v>Aug-25</v>
      </c>
      <c r="C291" s="23" t="s">
        <v>153</v>
      </c>
      <c r="D291" s="23" t="s">
        <v>369</v>
      </c>
      <c r="E291" s="39">
        <v>45899</v>
      </c>
      <c r="F291" s="32" t="str">
        <f>IFERROR(DATEDIF(Table1[[#This Row],[MPG Ope Date]],Table1[[#This Row],[L]],"M"),"")</f>
        <v/>
      </c>
      <c r="G291" s="25">
        <v>10060116</v>
      </c>
      <c r="H291" s="25" t="s">
        <v>528</v>
      </c>
      <c r="I291" s="23" t="s">
        <v>485</v>
      </c>
      <c r="J291" s="23">
        <v>9279868783</v>
      </c>
      <c r="K291" s="23" t="s">
        <v>70</v>
      </c>
      <c r="L291" s="25" t="s">
        <v>571</v>
      </c>
      <c r="M291" s="23" t="s">
        <v>123</v>
      </c>
      <c r="N291" s="25" t="s">
        <v>394</v>
      </c>
      <c r="O291" s="32" t="s">
        <v>893</v>
      </c>
      <c r="P291" s="37">
        <v>45918</v>
      </c>
      <c r="Q291" s="46">
        <v>1</v>
      </c>
      <c r="R291" s="47">
        <v>350</v>
      </c>
      <c r="S291" s="34">
        <f t="shared" si="55"/>
        <v>350</v>
      </c>
      <c r="T291" s="34">
        <f t="shared" si="58"/>
        <v>63</v>
      </c>
      <c r="U291" s="34">
        <f t="shared" si="59"/>
        <v>413</v>
      </c>
      <c r="V291" s="34"/>
      <c r="W291" s="23" t="s">
        <v>1005</v>
      </c>
    </row>
    <row r="292" spans="1:23" x14ac:dyDescent="0.25">
      <c r="A292" s="31">
        <v>45897.59915509259</v>
      </c>
      <c r="B292" s="32" t="str">
        <f t="shared" si="54"/>
        <v>Aug-25</v>
      </c>
      <c r="C292" s="23" t="s">
        <v>153</v>
      </c>
      <c r="D292" s="23" t="s">
        <v>369</v>
      </c>
      <c r="E292" s="39" t="e">
        <v>#N/A</v>
      </c>
      <c r="F292" s="32" t="str">
        <f>IFERROR(DATEDIF(Table1[[#This Row],[MPG Ope Date]],Table1[[#This Row],[L]],"M"),"")</f>
        <v/>
      </c>
      <c r="G292" s="24">
        <v>10030030</v>
      </c>
      <c r="H292" s="49" t="s">
        <v>5</v>
      </c>
      <c r="I292" s="23" t="s">
        <v>38</v>
      </c>
      <c r="J292" s="23">
        <v>7462979872</v>
      </c>
      <c r="K292" s="23" t="s">
        <v>70</v>
      </c>
      <c r="L292" s="25" t="s">
        <v>77</v>
      </c>
      <c r="M292" s="23" t="s">
        <v>266</v>
      </c>
      <c r="N292" s="25" t="s">
        <v>267</v>
      </c>
      <c r="O292" s="32" t="s">
        <v>893</v>
      </c>
      <c r="P292" s="37">
        <v>45918</v>
      </c>
      <c r="Q292" s="46">
        <v>1</v>
      </c>
      <c r="R292" s="48">
        <v>780</v>
      </c>
      <c r="S292" s="34">
        <f t="shared" si="55"/>
        <v>780</v>
      </c>
      <c r="T292" s="34">
        <f t="shared" si="58"/>
        <v>140.4</v>
      </c>
      <c r="U292" s="34">
        <f t="shared" si="59"/>
        <v>920.4</v>
      </c>
      <c r="V292" s="34"/>
      <c r="W292" s="23" t="s">
        <v>1006</v>
      </c>
    </row>
    <row r="293" spans="1:23" x14ac:dyDescent="0.25">
      <c r="A293" s="31">
        <v>45896.724594907406</v>
      </c>
      <c r="B293" s="32" t="str">
        <f t="shared" si="54"/>
        <v>Aug-25</v>
      </c>
      <c r="C293" s="23" t="s">
        <v>153</v>
      </c>
      <c r="D293" s="23" t="s">
        <v>369</v>
      </c>
      <c r="E293" s="39" t="e">
        <v>#N/A</v>
      </c>
      <c r="F293" s="32" t="str">
        <f>IFERROR(DATEDIF(Table1[[#This Row],[MPG Ope Date]],Table1[[#This Row],[L]],"M"),"")</f>
        <v/>
      </c>
      <c r="G293" s="25">
        <v>10020070</v>
      </c>
      <c r="H293" s="49" t="s">
        <v>529</v>
      </c>
      <c r="I293" s="23" t="s">
        <v>486</v>
      </c>
      <c r="J293" s="23">
        <v>8409231693</v>
      </c>
      <c r="K293" s="23" t="s">
        <v>70</v>
      </c>
      <c r="L293" s="25" t="s">
        <v>572</v>
      </c>
      <c r="M293" s="23" t="s">
        <v>123</v>
      </c>
      <c r="N293" s="25" t="s">
        <v>394</v>
      </c>
      <c r="O293" s="32" t="s">
        <v>893</v>
      </c>
      <c r="P293" s="37">
        <v>45918</v>
      </c>
      <c r="Q293" s="46">
        <v>1</v>
      </c>
      <c r="R293" s="47">
        <v>350</v>
      </c>
      <c r="S293" s="34">
        <f t="shared" si="55"/>
        <v>350</v>
      </c>
      <c r="T293" s="34">
        <f t="shared" si="58"/>
        <v>63</v>
      </c>
      <c r="U293" s="34">
        <f t="shared" si="59"/>
        <v>413</v>
      </c>
      <c r="V293" s="34"/>
      <c r="W293" s="23" t="s">
        <v>1005</v>
      </c>
    </row>
    <row r="294" spans="1:23" x14ac:dyDescent="0.25">
      <c r="A294" s="31">
        <v>45869.534062500003</v>
      </c>
      <c r="B294" s="32" t="str">
        <f t="shared" si="54"/>
        <v>Jul-25</v>
      </c>
      <c r="C294" s="23" t="s">
        <v>153</v>
      </c>
      <c r="D294" s="23" t="s">
        <v>369</v>
      </c>
      <c r="E294" s="39">
        <v>42979</v>
      </c>
      <c r="F294" s="32">
        <f>IFERROR(DATEDIF(Table1[[#This Row],[MPG Ope Date]],Table1[[#This Row],[L]],"M"),"")</f>
        <v>94</v>
      </c>
      <c r="G294" s="25">
        <v>10330001</v>
      </c>
      <c r="H294" s="25" t="s">
        <v>530</v>
      </c>
      <c r="I294" s="23" t="s">
        <v>487</v>
      </c>
      <c r="J294" s="23">
        <v>9504393173</v>
      </c>
      <c r="K294" s="23" t="s">
        <v>68</v>
      </c>
      <c r="L294" s="25" t="s">
        <v>573</v>
      </c>
      <c r="M294" s="23" t="s">
        <v>111</v>
      </c>
      <c r="N294" s="25" t="s">
        <v>112</v>
      </c>
      <c r="O294" s="32" t="s">
        <v>893</v>
      </c>
      <c r="P294" s="37">
        <v>45918</v>
      </c>
      <c r="Q294" s="46">
        <v>1</v>
      </c>
      <c r="R294" s="47">
        <v>360</v>
      </c>
      <c r="S294" s="34">
        <f t="shared" si="55"/>
        <v>360</v>
      </c>
      <c r="T294" s="34">
        <f t="shared" si="58"/>
        <v>64.8</v>
      </c>
      <c r="U294" s="34">
        <f t="shared" si="59"/>
        <v>424.8</v>
      </c>
      <c r="V294" s="34"/>
      <c r="W294" s="23" t="s">
        <v>1005</v>
      </c>
    </row>
    <row r="295" spans="1:23" x14ac:dyDescent="0.25">
      <c r="A295" s="31">
        <v>45896.825439814813</v>
      </c>
      <c r="B295" s="32" t="str">
        <f t="shared" si="54"/>
        <v>Aug-25</v>
      </c>
      <c r="C295" s="23" t="s">
        <v>152</v>
      </c>
      <c r="D295" s="23" t="s">
        <v>0</v>
      </c>
      <c r="E295" s="39" t="e">
        <v>#N/A</v>
      </c>
      <c r="F295" s="32" t="str">
        <f>IFERROR(DATEDIF(Table1[[#This Row],[MPG Ope Date]],Table1[[#This Row],[L]],"M"),"")</f>
        <v/>
      </c>
      <c r="G295" s="25">
        <v>2002</v>
      </c>
      <c r="H295" s="25" t="s">
        <v>270</v>
      </c>
      <c r="I295" s="23" t="s">
        <v>303</v>
      </c>
      <c r="J295" s="23">
        <v>8709856463</v>
      </c>
      <c r="K295" s="23" t="s">
        <v>71</v>
      </c>
      <c r="L295" s="25" t="s">
        <v>574</v>
      </c>
      <c r="M295" s="23" t="s">
        <v>141</v>
      </c>
      <c r="N295" s="25" t="s">
        <v>142</v>
      </c>
      <c r="O295" s="32" t="s">
        <v>894</v>
      </c>
      <c r="P295" s="37">
        <v>45918</v>
      </c>
      <c r="Q295" s="46">
        <v>1</v>
      </c>
      <c r="R295" s="48">
        <v>900</v>
      </c>
      <c r="S295" s="34">
        <f t="shared" si="55"/>
        <v>900</v>
      </c>
      <c r="T295" s="34">
        <f t="shared" si="58"/>
        <v>162</v>
      </c>
      <c r="U295" s="34">
        <f t="shared" si="59"/>
        <v>1062</v>
      </c>
      <c r="V295" s="34"/>
      <c r="W295" s="23" t="e">
        <v>#N/A</v>
      </c>
    </row>
    <row r="296" spans="1:23" x14ac:dyDescent="0.25">
      <c r="A296" s="31">
        <v>45895.850775462961</v>
      </c>
      <c r="B296" s="32" t="str">
        <f t="shared" si="54"/>
        <v>Aug-25</v>
      </c>
      <c r="C296" s="23" t="s">
        <v>152</v>
      </c>
      <c r="D296" s="23" t="s">
        <v>369</v>
      </c>
      <c r="E296" s="39" t="e">
        <v>#N/A</v>
      </c>
      <c r="F296" s="32" t="str">
        <f>IFERROR(DATEDIF(Table1[[#This Row],[MPG Ope Date]],Table1[[#This Row],[L]],"M"),"")</f>
        <v/>
      </c>
      <c r="G296" s="25">
        <v>20060004</v>
      </c>
      <c r="H296" s="25" t="s">
        <v>376</v>
      </c>
      <c r="I296" s="23" t="s">
        <v>385</v>
      </c>
      <c r="J296" s="23">
        <v>9507715083</v>
      </c>
      <c r="K296" s="23" t="s">
        <v>68</v>
      </c>
      <c r="L296" s="25" t="s">
        <v>392</v>
      </c>
      <c r="M296" s="23" t="s">
        <v>133</v>
      </c>
      <c r="N296" s="25" t="s">
        <v>397</v>
      </c>
      <c r="O296" s="32" t="s">
        <v>894</v>
      </c>
      <c r="P296" s="37">
        <v>45918</v>
      </c>
      <c r="Q296" s="46">
        <v>1</v>
      </c>
      <c r="R296" s="48">
        <v>2080</v>
      </c>
      <c r="S296" s="34">
        <f t="shared" si="55"/>
        <v>2080</v>
      </c>
      <c r="T296" s="34">
        <f t="shared" si="58"/>
        <v>374.4</v>
      </c>
      <c r="U296" s="34">
        <f t="shared" si="59"/>
        <v>2454.4</v>
      </c>
      <c r="V296" s="34"/>
      <c r="W296" s="23" t="e">
        <v>#N/A</v>
      </c>
    </row>
    <row r="297" spans="1:23" x14ac:dyDescent="0.25">
      <c r="A297" s="31">
        <v>45895.590879629628</v>
      </c>
      <c r="B297" s="32" t="str">
        <f t="shared" si="54"/>
        <v>Aug-25</v>
      </c>
      <c r="C297" s="23" t="s">
        <v>153</v>
      </c>
      <c r="D297" s="23" t="s">
        <v>369</v>
      </c>
      <c r="E297" s="39">
        <v>42979</v>
      </c>
      <c r="F297" s="32">
        <f>IFERROR(DATEDIF(Table1[[#This Row],[MPG Ope Date]],Table1[[#This Row],[L]],"M"),"")</f>
        <v>95</v>
      </c>
      <c r="G297" s="25">
        <v>10090006</v>
      </c>
      <c r="H297" s="25" t="s">
        <v>191</v>
      </c>
      <c r="I297" s="23" t="s">
        <v>227</v>
      </c>
      <c r="J297" s="23">
        <v>9304189034</v>
      </c>
      <c r="K297" s="23" t="s">
        <v>70</v>
      </c>
      <c r="L297" s="25" t="s">
        <v>575</v>
      </c>
      <c r="M297" s="23" t="s">
        <v>123</v>
      </c>
      <c r="N297" s="25" t="s">
        <v>394</v>
      </c>
      <c r="O297" s="32" t="s">
        <v>893</v>
      </c>
      <c r="P297" s="37">
        <v>45918</v>
      </c>
      <c r="Q297" s="46">
        <v>1</v>
      </c>
      <c r="R297" s="47">
        <v>350</v>
      </c>
      <c r="S297" s="34">
        <f t="shared" si="55"/>
        <v>350</v>
      </c>
      <c r="T297" s="34">
        <f t="shared" si="58"/>
        <v>63</v>
      </c>
      <c r="U297" s="34">
        <f t="shared" si="59"/>
        <v>413</v>
      </c>
      <c r="V297" s="34"/>
      <c r="W297" s="23" t="s">
        <v>1005</v>
      </c>
    </row>
    <row r="298" spans="1:23" x14ac:dyDescent="0.25">
      <c r="A298" s="31">
        <v>45895.478113425925</v>
      </c>
      <c r="B298" s="32" t="str">
        <f t="shared" si="54"/>
        <v>Aug-25</v>
      </c>
      <c r="C298" s="23" t="s">
        <v>153</v>
      </c>
      <c r="D298" s="23" t="s">
        <v>369</v>
      </c>
      <c r="E298" s="39">
        <v>45505</v>
      </c>
      <c r="F298" s="32">
        <f>IFERROR(DATEDIF(Table1[[#This Row],[MPG Ope Date]],Table1[[#This Row],[L]],"M"),"")</f>
        <v>12</v>
      </c>
      <c r="G298" s="25">
        <v>10030064</v>
      </c>
      <c r="H298" s="25" t="s">
        <v>189</v>
      </c>
      <c r="I298" s="23" t="s">
        <v>225</v>
      </c>
      <c r="J298" s="23">
        <v>6201732147</v>
      </c>
      <c r="K298" s="23" t="s">
        <v>68</v>
      </c>
      <c r="L298" s="25" t="s">
        <v>576</v>
      </c>
      <c r="M298" s="23" t="s">
        <v>137</v>
      </c>
      <c r="N298" s="25" t="s">
        <v>138</v>
      </c>
      <c r="O298" s="32" t="s">
        <v>893</v>
      </c>
      <c r="P298" s="37">
        <v>45918</v>
      </c>
      <c r="Q298" s="46">
        <v>1</v>
      </c>
      <c r="R298" s="48">
        <v>2800</v>
      </c>
      <c r="S298" s="34">
        <f t="shared" si="55"/>
        <v>2800</v>
      </c>
      <c r="T298" s="34">
        <f t="shared" si="58"/>
        <v>504</v>
      </c>
      <c r="U298" s="34">
        <f t="shared" si="59"/>
        <v>3304</v>
      </c>
      <c r="V298" s="34"/>
      <c r="W298" s="23" t="s">
        <v>1005</v>
      </c>
    </row>
    <row r="299" spans="1:23" x14ac:dyDescent="0.25">
      <c r="A299" s="31">
        <v>45895.478113425925</v>
      </c>
      <c r="B299" s="32" t="str">
        <f t="shared" si="54"/>
        <v>Aug-25</v>
      </c>
      <c r="C299" s="23" t="s">
        <v>153</v>
      </c>
      <c r="D299" s="23" t="s">
        <v>369</v>
      </c>
      <c r="E299" s="39">
        <v>45505</v>
      </c>
      <c r="F299" s="32">
        <f>IFERROR(DATEDIF(Table1[[#This Row],[MPG Ope Date]],Table1[[#This Row],[L]],"M"),"")</f>
        <v>12</v>
      </c>
      <c r="G299" s="25">
        <v>10030064</v>
      </c>
      <c r="H299" s="25" t="s">
        <v>189</v>
      </c>
      <c r="I299" s="23" t="s">
        <v>225</v>
      </c>
      <c r="J299" s="23">
        <v>6201732147</v>
      </c>
      <c r="K299" s="23" t="s">
        <v>68</v>
      </c>
      <c r="L299" s="25" t="s">
        <v>576</v>
      </c>
      <c r="M299" s="23" t="s">
        <v>133</v>
      </c>
      <c r="N299" s="25" t="s">
        <v>397</v>
      </c>
      <c r="O299" s="32" t="s">
        <v>893</v>
      </c>
      <c r="P299" s="37">
        <v>45918</v>
      </c>
      <c r="Q299" s="46">
        <v>1</v>
      </c>
      <c r="R299" s="48">
        <v>2080</v>
      </c>
      <c r="S299" s="34">
        <f t="shared" si="55"/>
        <v>2080</v>
      </c>
      <c r="T299" s="34">
        <f t="shared" si="58"/>
        <v>374.4</v>
      </c>
      <c r="U299" s="34">
        <f t="shared" si="59"/>
        <v>2454.4</v>
      </c>
      <c r="V299" s="34"/>
      <c r="W299" s="23" t="s">
        <v>1005</v>
      </c>
    </row>
    <row r="300" spans="1:23" x14ac:dyDescent="0.25">
      <c r="A300" s="31">
        <v>45894.532500000001</v>
      </c>
      <c r="B300" s="32" t="str">
        <f t="shared" si="54"/>
        <v>Aug-25</v>
      </c>
      <c r="C300" s="23" t="s">
        <v>153</v>
      </c>
      <c r="D300" s="23" t="s">
        <v>369</v>
      </c>
      <c r="E300" s="39">
        <v>45121</v>
      </c>
      <c r="F300" s="32">
        <f>IFERROR(DATEDIF(Table1[[#This Row],[MPG Ope Date]],Table1[[#This Row],[L]],"M"),"")</f>
        <v>25</v>
      </c>
      <c r="G300" s="25">
        <v>10060036</v>
      </c>
      <c r="H300" s="25" t="s">
        <v>281</v>
      </c>
      <c r="I300" s="23" t="s">
        <v>313</v>
      </c>
      <c r="J300" s="23">
        <v>8877360750</v>
      </c>
      <c r="K300" s="23" t="s">
        <v>69</v>
      </c>
      <c r="L300" s="25">
        <v>387870</v>
      </c>
      <c r="M300" s="23" t="s">
        <v>127</v>
      </c>
      <c r="N300" s="25" t="s">
        <v>128</v>
      </c>
      <c r="O300" s="32" t="s">
        <v>893</v>
      </c>
      <c r="P300" s="37">
        <v>45918</v>
      </c>
      <c r="Q300" s="46">
        <v>1</v>
      </c>
      <c r="R300" s="48">
        <v>44</v>
      </c>
      <c r="S300" s="34">
        <f t="shared" si="55"/>
        <v>44</v>
      </c>
      <c r="T300" s="34">
        <f t="shared" si="58"/>
        <v>7.92</v>
      </c>
      <c r="U300" s="34">
        <f t="shared" si="59"/>
        <v>51.92</v>
      </c>
      <c r="V300" s="34"/>
      <c r="W300" s="23" t="s">
        <v>1005</v>
      </c>
    </row>
    <row r="301" spans="1:23" x14ac:dyDescent="0.25">
      <c r="A301" s="31">
        <v>45894.532500000001</v>
      </c>
      <c r="B301" s="32" t="str">
        <f t="shared" si="54"/>
        <v>Aug-25</v>
      </c>
      <c r="C301" s="23" t="s">
        <v>153</v>
      </c>
      <c r="D301" s="23" t="s">
        <v>369</v>
      </c>
      <c r="E301" s="39">
        <v>45121</v>
      </c>
      <c r="F301" s="32">
        <f>IFERROR(DATEDIF(Table1[[#This Row],[MPG Ope Date]],Table1[[#This Row],[L]],"M"),"")</f>
        <v>25</v>
      </c>
      <c r="G301" s="25">
        <v>10060036</v>
      </c>
      <c r="H301" s="25" t="s">
        <v>281</v>
      </c>
      <c r="I301" s="23" t="s">
        <v>313</v>
      </c>
      <c r="J301" s="23">
        <v>8877360750</v>
      </c>
      <c r="K301" s="23" t="s">
        <v>69</v>
      </c>
      <c r="L301" s="25">
        <v>387870</v>
      </c>
      <c r="M301" s="23" t="s">
        <v>127</v>
      </c>
      <c r="N301" s="25" t="s">
        <v>128</v>
      </c>
      <c r="O301" s="32" t="s">
        <v>893</v>
      </c>
      <c r="P301" s="37">
        <v>45918</v>
      </c>
      <c r="Q301" s="46">
        <v>1</v>
      </c>
      <c r="R301" s="48">
        <v>44</v>
      </c>
      <c r="S301" s="34">
        <f t="shared" si="55"/>
        <v>44</v>
      </c>
      <c r="T301" s="34">
        <f t="shared" si="58"/>
        <v>7.92</v>
      </c>
      <c r="U301" s="34">
        <f t="shared" si="59"/>
        <v>51.92</v>
      </c>
      <c r="V301" s="34"/>
      <c r="W301" s="23" t="s">
        <v>1005</v>
      </c>
    </row>
    <row r="302" spans="1:23" x14ac:dyDescent="0.25">
      <c r="A302" s="31">
        <v>45891.692395833335</v>
      </c>
      <c r="B302" s="32" t="str">
        <f t="shared" si="54"/>
        <v>Aug-25</v>
      </c>
      <c r="C302" s="23" t="s">
        <v>153</v>
      </c>
      <c r="D302" s="23" t="s">
        <v>896</v>
      </c>
      <c r="E302" s="39" t="e">
        <v>#N/A</v>
      </c>
      <c r="F302" s="32" t="str">
        <f>IFERROR(DATEDIF(Table1[[#This Row],[MPG Ope Date]],Table1[[#This Row],[L]],"M"),"")</f>
        <v/>
      </c>
      <c r="G302" s="25">
        <v>0</v>
      </c>
      <c r="H302" s="25" t="s">
        <v>531</v>
      </c>
      <c r="I302" s="23" t="s">
        <v>488</v>
      </c>
      <c r="J302" s="23">
        <v>7631258661</v>
      </c>
      <c r="K302" s="23" t="s">
        <v>70</v>
      </c>
      <c r="L302" s="25" t="s">
        <v>577</v>
      </c>
      <c r="M302" s="23" t="s">
        <v>266</v>
      </c>
      <c r="N302" s="25" t="s">
        <v>267</v>
      </c>
      <c r="O302" s="32" t="s">
        <v>893</v>
      </c>
      <c r="P302" s="37">
        <v>45918</v>
      </c>
      <c r="Q302" s="46">
        <v>1</v>
      </c>
      <c r="R302" s="48">
        <v>780</v>
      </c>
      <c r="S302" s="34">
        <f t="shared" si="55"/>
        <v>780</v>
      </c>
      <c r="T302" s="34">
        <f t="shared" si="58"/>
        <v>140.4</v>
      </c>
      <c r="U302" s="34">
        <f t="shared" si="59"/>
        <v>920.4</v>
      </c>
      <c r="V302" s="34"/>
      <c r="W302" s="23" t="e">
        <v>#N/A</v>
      </c>
    </row>
    <row r="303" spans="1:23" x14ac:dyDescent="0.25">
      <c r="A303" s="31">
        <v>45891.691134259258</v>
      </c>
      <c r="B303" s="32" t="str">
        <f t="shared" si="54"/>
        <v>Aug-25</v>
      </c>
      <c r="C303" s="23" t="s">
        <v>153</v>
      </c>
      <c r="D303" s="23" t="s">
        <v>896</v>
      </c>
      <c r="E303" s="39" t="e">
        <v>#N/A</v>
      </c>
      <c r="F303" s="32" t="str">
        <f>IFERROR(DATEDIF(Table1[[#This Row],[MPG Ope Date]],Table1[[#This Row],[L]],"M"),"")</f>
        <v/>
      </c>
      <c r="G303" s="25">
        <v>0</v>
      </c>
      <c r="H303" s="25" t="s">
        <v>531</v>
      </c>
      <c r="I303" s="23" t="s">
        <v>488</v>
      </c>
      <c r="J303" s="23">
        <v>7631258661</v>
      </c>
      <c r="K303" s="23" t="s">
        <v>68</v>
      </c>
      <c r="L303" s="25" t="s">
        <v>578</v>
      </c>
      <c r="M303" s="23" t="s">
        <v>133</v>
      </c>
      <c r="N303" s="25" t="s">
        <v>397</v>
      </c>
      <c r="O303" s="32" t="s">
        <v>893</v>
      </c>
      <c r="P303" s="37">
        <v>45918</v>
      </c>
      <c r="Q303" s="46">
        <v>1</v>
      </c>
      <c r="R303" s="48">
        <v>2080</v>
      </c>
      <c r="S303" s="34">
        <f t="shared" si="55"/>
        <v>2080</v>
      </c>
      <c r="T303" s="34">
        <f t="shared" si="58"/>
        <v>374.4</v>
      </c>
      <c r="U303" s="34">
        <f t="shared" si="59"/>
        <v>2454.4</v>
      </c>
      <c r="V303" s="34"/>
      <c r="W303" s="23" t="e">
        <v>#N/A</v>
      </c>
    </row>
    <row r="304" spans="1:23" x14ac:dyDescent="0.25">
      <c r="A304" s="31">
        <v>45891.662488425929</v>
      </c>
      <c r="B304" s="32" t="str">
        <f t="shared" si="54"/>
        <v>Aug-25</v>
      </c>
      <c r="C304" s="23" t="s">
        <v>153</v>
      </c>
      <c r="D304" s="23" t="s">
        <v>369</v>
      </c>
      <c r="E304" s="39">
        <v>45738</v>
      </c>
      <c r="F304" s="32">
        <f>IFERROR(DATEDIF(Table1[[#This Row],[MPG Ope Date]],Table1[[#This Row],[L]],"M"),"")</f>
        <v>5</v>
      </c>
      <c r="G304" s="25">
        <v>10030070</v>
      </c>
      <c r="H304" s="25" t="s">
        <v>532</v>
      </c>
      <c r="I304" s="23" t="s">
        <v>489</v>
      </c>
      <c r="J304" s="23">
        <v>9341977117</v>
      </c>
      <c r="K304" s="23" t="s">
        <v>69</v>
      </c>
      <c r="L304" s="25">
        <v>387355</v>
      </c>
      <c r="M304" s="23" t="s">
        <v>119</v>
      </c>
      <c r="N304" s="25" t="s">
        <v>120</v>
      </c>
      <c r="O304" s="32" t="s">
        <v>893</v>
      </c>
      <c r="P304" s="37">
        <v>45918</v>
      </c>
      <c r="Q304" s="46">
        <v>1</v>
      </c>
      <c r="R304" s="48">
        <v>84</v>
      </c>
      <c r="S304" s="34">
        <f t="shared" si="55"/>
        <v>84</v>
      </c>
      <c r="T304" s="34">
        <f t="shared" si="58"/>
        <v>15.12</v>
      </c>
      <c r="U304" s="34">
        <f t="shared" si="59"/>
        <v>99.12</v>
      </c>
      <c r="V304" s="34"/>
      <c r="W304" s="23" t="s">
        <v>1005</v>
      </c>
    </row>
    <row r="305" spans="1:23" x14ac:dyDescent="0.25">
      <c r="A305" s="31">
        <v>45891.661921296298</v>
      </c>
      <c r="B305" s="32" t="str">
        <f t="shared" si="54"/>
        <v>Aug-25</v>
      </c>
      <c r="C305" s="23" t="s">
        <v>153</v>
      </c>
      <c r="D305" s="23" t="s">
        <v>369</v>
      </c>
      <c r="E305" s="39" t="e">
        <v>#N/A</v>
      </c>
      <c r="F305" s="32" t="str">
        <f>IFERROR(DATEDIF(Table1[[#This Row],[MPG Ope Date]],Table1[[#This Row],[L]],"M"),"")</f>
        <v/>
      </c>
      <c r="G305" s="27">
        <v>10030056</v>
      </c>
      <c r="H305" s="49" t="s">
        <v>533</v>
      </c>
      <c r="I305" s="49" t="s">
        <v>490</v>
      </c>
      <c r="J305" s="49">
        <v>7250611969</v>
      </c>
      <c r="K305" s="23" t="s">
        <v>70</v>
      </c>
      <c r="L305" s="25" t="s">
        <v>579</v>
      </c>
      <c r="M305" s="23" t="s">
        <v>123</v>
      </c>
      <c r="N305" s="25" t="s">
        <v>394</v>
      </c>
      <c r="O305" s="32" t="s">
        <v>893</v>
      </c>
      <c r="P305" s="37">
        <v>45918</v>
      </c>
      <c r="Q305" s="46">
        <v>1</v>
      </c>
      <c r="R305" s="47">
        <v>350</v>
      </c>
      <c r="S305" s="34">
        <f t="shared" si="55"/>
        <v>350</v>
      </c>
      <c r="T305" s="34">
        <f t="shared" si="58"/>
        <v>63</v>
      </c>
      <c r="U305" s="34">
        <f t="shared" si="59"/>
        <v>413</v>
      </c>
      <c r="V305" s="34"/>
      <c r="W305" s="23" t="s">
        <v>1005</v>
      </c>
    </row>
    <row r="306" spans="1:23" x14ac:dyDescent="0.25">
      <c r="A306" s="31">
        <v>45891.638171296298</v>
      </c>
      <c r="B306" s="32" t="str">
        <f t="shared" si="54"/>
        <v>Aug-25</v>
      </c>
      <c r="C306" s="23" t="s">
        <v>153</v>
      </c>
      <c r="D306" s="23" t="s">
        <v>0</v>
      </c>
      <c r="E306" s="39" t="e">
        <v>#N/A</v>
      </c>
      <c r="F306" s="32" t="str">
        <f>IFERROR(DATEDIF(Table1[[#This Row],[MPG Ope Date]],Table1[[#This Row],[L]],"M"),"")</f>
        <v/>
      </c>
      <c r="G306" s="38">
        <v>1014</v>
      </c>
      <c r="H306" s="25" t="s">
        <v>534</v>
      </c>
      <c r="I306" s="23" t="s">
        <v>491</v>
      </c>
      <c r="J306" s="23">
        <v>8126001571</v>
      </c>
      <c r="K306" s="23" t="s">
        <v>70</v>
      </c>
      <c r="L306" s="25" t="s">
        <v>580</v>
      </c>
      <c r="M306" s="23" t="s">
        <v>123</v>
      </c>
      <c r="N306" s="25" t="s">
        <v>394</v>
      </c>
      <c r="O306" s="32" t="s">
        <v>893</v>
      </c>
      <c r="P306" s="37">
        <v>45918</v>
      </c>
      <c r="Q306" s="46">
        <v>1</v>
      </c>
      <c r="R306" s="47">
        <v>350</v>
      </c>
      <c r="S306" s="34">
        <f t="shared" si="55"/>
        <v>350</v>
      </c>
      <c r="T306" s="34">
        <f t="shared" si="58"/>
        <v>63</v>
      </c>
      <c r="U306" s="34">
        <f t="shared" si="59"/>
        <v>413</v>
      </c>
      <c r="V306" s="34"/>
      <c r="W306" s="23" t="e">
        <v>#N/A</v>
      </c>
    </row>
    <row r="307" spans="1:23" x14ac:dyDescent="0.25">
      <c r="A307" s="31">
        <v>45891.634050925924</v>
      </c>
      <c r="B307" s="32" t="str">
        <f t="shared" si="54"/>
        <v>Aug-25</v>
      </c>
      <c r="C307" s="23" t="s">
        <v>153</v>
      </c>
      <c r="D307" s="23" t="s">
        <v>369</v>
      </c>
      <c r="E307" s="39">
        <v>44683</v>
      </c>
      <c r="F307" s="32">
        <f>IFERROR(DATEDIF(Table1[[#This Row],[MPG Ope Date]],Table1[[#This Row],[L]],"M"),"")</f>
        <v>39</v>
      </c>
      <c r="G307" s="25">
        <v>10140010</v>
      </c>
      <c r="H307" s="25" t="s">
        <v>195</v>
      </c>
      <c r="I307" s="23" t="s">
        <v>231</v>
      </c>
      <c r="J307" s="23">
        <v>8294507404</v>
      </c>
      <c r="K307" s="23" t="s">
        <v>69</v>
      </c>
      <c r="L307" s="25">
        <v>386958</v>
      </c>
      <c r="M307" s="23" t="s">
        <v>145</v>
      </c>
      <c r="N307" s="25" t="s">
        <v>146</v>
      </c>
      <c r="O307" s="32" t="s">
        <v>893</v>
      </c>
      <c r="P307" s="37">
        <v>45918</v>
      </c>
      <c r="Q307" s="46">
        <v>1</v>
      </c>
      <c r="R307" s="48">
        <v>49</v>
      </c>
      <c r="S307" s="34">
        <f t="shared" si="55"/>
        <v>49</v>
      </c>
      <c r="T307" s="34">
        <f t="shared" si="58"/>
        <v>8.82</v>
      </c>
      <c r="U307" s="34">
        <f t="shared" si="59"/>
        <v>57.82</v>
      </c>
      <c r="V307" s="34"/>
      <c r="W307" s="23" t="s">
        <v>1005</v>
      </c>
    </row>
    <row r="308" spans="1:23" x14ac:dyDescent="0.25">
      <c r="A308" s="31">
        <v>45891.634050925924</v>
      </c>
      <c r="B308" s="32" t="str">
        <f t="shared" si="54"/>
        <v>Aug-25</v>
      </c>
      <c r="C308" s="23" t="s">
        <v>153</v>
      </c>
      <c r="D308" s="23" t="s">
        <v>369</v>
      </c>
      <c r="E308" s="39">
        <v>44683</v>
      </c>
      <c r="F308" s="32">
        <f>IFERROR(DATEDIF(Table1[[#This Row],[MPG Ope Date]],Table1[[#This Row],[L]],"M"),"")</f>
        <v>39</v>
      </c>
      <c r="G308" s="25">
        <v>10140010</v>
      </c>
      <c r="H308" s="25" t="s">
        <v>195</v>
      </c>
      <c r="I308" s="23" t="s">
        <v>231</v>
      </c>
      <c r="J308" s="23">
        <v>8294507404</v>
      </c>
      <c r="K308" s="23" t="s">
        <v>69</v>
      </c>
      <c r="L308" s="25">
        <v>386958</v>
      </c>
      <c r="M308" s="23" t="s">
        <v>145</v>
      </c>
      <c r="N308" s="25" t="s">
        <v>146</v>
      </c>
      <c r="O308" s="32" t="s">
        <v>893</v>
      </c>
      <c r="P308" s="37">
        <v>45918</v>
      </c>
      <c r="Q308" s="46">
        <v>1</v>
      </c>
      <c r="R308" s="48">
        <v>49</v>
      </c>
      <c r="S308" s="34">
        <f t="shared" si="55"/>
        <v>49</v>
      </c>
      <c r="T308" s="34">
        <f t="shared" si="58"/>
        <v>8.82</v>
      </c>
      <c r="U308" s="34">
        <f t="shared" si="59"/>
        <v>57.82</v>
      </c>
      <c r="V308" s="34"/>
      <c r="W308" s="23" t="s">
        <v>1005</v>
      </c>
    </row>
    <row r="309" spans="1:23" x14ac:dyDescent="0.25">
      <c r="A309" s="31">
        <v>45891.648981481485</v>
      </c>
      <c r="B309" s="32" t="str">
        <f t="shared" si="54"/>
        <v>Aug-25</v>
      </c>
      <c r="C309" s="23" t="s">
        <v>153</v>
      </c>
      <c r="D309" s="23" t="s">
        <v>369</v>
      </c>
      <c r="E309" s="39">
        <v>45076</v>
      </c>
      <c r="F309" s="32">
        <f>IFERROR(DATEDIF(Table1[[#This Row],[MPG Ope Date]],Table1[[#This Row],[L]],"M"),"")</f>
        <v>26</v>
      </c>
      <c r="G309" s="25">
        <v>10130032</v>
      </c>
      <c r="H309" s="25" t="s">
        <v>424</v>
      </c>
      <c r="I309" s="23" t="s">
        <v>447</v>
      </c>
      <c r="J309" s="23">
        <v>9661937016</v>
      </c>
      <c r="K309" s="23" t="s">
        <v>68</v>
      </c>
      <c r="L309" s="25" t="s">
        <v>581</v>
      </c>
      <c r="M309" s="23" t="s">
        <v>111</v>
      </c>
      <c r="N309" s="25" t="s">
        <v>112</v>
      </c>
      <c r="O309" s="32" t="s">
        <v>893</v>
      </c>
      <c r="P309" s="37">
        <v>45918</v>
      </c>
      <c r="Q309" s="46">
        <v>1</v>
      </c>
      <c r="R309" s="47">
        <v>360</v>
      </c>
      <c r="S309" s="34">
        <f t="shared" si="55"/>
        <v>360</v>
      </c>
      <c r="T309" s="34">
        <f t="shared" si="58"/>
        <v>64.8</v>
      </c>
      <c r="U309" s="34">
        <f t="shared" si="59"/>
        <v>424.8</v>
      </c>
      <c r="V309" s="34"/>
      <c r="W309" s="23" t="s">
        <v>1005</v>
      </c>
    </row>
    <row r="310" spans="1:23" x14ac:dyDescent="0.25">
      <c r="A310" s="31">
        <v>45891.647476851853</v>
      </c>
      <c r="B310" s="32" t="str">
        <f t="shared" si="54"/>
        <v>Aug-25</v>
      </c>
      <c r="C310" s="23" t="s">
        <v>153</v>
      </c>
      <c r="D310" s="23" t="s">
        <v>369</v>
      </c>
      <c r="E310" s="39">
        <v>43896</v>
      </c>
      <c r="F310" s="32">
        <f>IFERROR(DATEDIF(Table1[[#This Row],[MPG Ope Date]],Table1[[#This Row],[L]],"M"),"")</f>
        <v>65</v>
      </c>
      <c r="G310" s="25">
        <v>10130007</v>
      </c>
      <c r="H310" s="25" t="s">
        <v>180</v>
      </c>
      <c r="I310" s="23" t="s">
        <v>216</v>
      </c>
      <c r="J310" s="23">
        <v>9771782305</v>
      </c>
      <c r="K310" s="23" t="s">
        <v>69</v>
      </c>
      <c r="L310" s="25">
        <v>310515</v>
      </c>
      <c r="M310" s="23" t="s">
        <v>121</v>
      </c>
      <c r="N310" s="25" t="s">
        <v>122</v>
      </c>
      <c r="O310" s="32" t="s">
        <v>893</v>
      </c>
      <c r="P310" s="37">
        <v>45918</v>
      </c>
      <c r="Q310" s="46">
        <v>1</v>
      </c>
      <c r="R310" s="48">
        <v>70</v>
      </c>
      <c r="S310" s="34">
        <f t="shared" si="55"/>
        <v>70</v>
      </c>
      <c r="T310" s="34">
        <f t="shared" si="58"/>
        <v>12.6</v>
      </c>
      <c r="U310" s="34">
        <f t="shared" si="59"/>
        <v>82.6</v>
      </c>
      <c r="V310" s="34"/>
      <c r="W310" s="23" t="s">
        <v>1008</v>
      </c>
    </row>
    <row r="311" spans="1:23" x14ac:dyDescent="0.25">
      <c r="A311" s="31">
        <v>45891.647476851853</v>
      </c>
      <c r="B311" s="32" t="str">
        <f t="shared" si="54"/>
        <v>Aug-25</v>
      </c>
      <c r="C311" s="23" t="s">
        <v>153</v>
      </c>
      <c r="D311" s="23" t="s">
        <v>369</v>
      </c>
      <c r="E311" s="39">
        <v>43896</v>
      </c>
      <c r="F311" s="32">
        <f>IFERROR(DATEDIF(Table1[[#This Row],[MPG Ope Date]],Table1[[#This Row],[L]],"M"),"")</f>
        <v>65</v>
      </c>
      <c r="G311" s="25">
        <v>10130007</v>
      </c>
      <c r="H311" s="25" t="s">
        <v>180</v>
      </c>
      <c r="I311" s="23" t="s">
        <v>216</v>
      </c>
      <c r="J311" s="23">
        <v>9771782305</v>
      </c>
      <c r="K311" s="23" t="s">
        <v>69</v>
      </c>
      <c r="L311" s="25">
        <v>310515</v>
      </c>
      <c r="M311" s="23" t="s">
        <v>360</v>
      </c>
      <c r="N311" s="25" t="s">
        <v>361</v>
      </c>
      <c r="O311" s="32" t="s">
        <v>893</v>
      </c>
      <c r="P311" s="37">
        <v>45918</v>
      </c>
      <c r="Q311" s="46">
        <v>1</v>
      </c>
      <c r="R311" s="48">
        <v>44</v>
      </c>
      <c r="S311" s="34">
        <f t="shared" si="55"/>
        <v>44</v>
      </c>
      <c r="T311" s="34">
        <f t="shared" si="58"/>
        <v>7.92</v>
      </c>
      <c r="U311" s="34">
        <f t="shared" si="59"/>
        <v>51.92</v>
      </c>
      <c r="V311" s="34"/>
      <c r="W311" s="23" t="s">
        <v>1008</v>
      </c>
    </row>
    <row r="312" spans="1:23" x14ac:dyDescent="0.25">
      <c r="A312" s="31">
        <v>45891.647476851853</v>
      </c>
      <c r="B312" s="32" t="str">
        <f t="shared" si="54"/>
        <v>Aug-25</v>
      </c>
      <c r="C312" s="23" t="s">
        <v>153</v>
      </c>
      <c r="D312" s="23" t="s">
        <v>369</v>
      </c>
      <c r="E312" s="39">
        <v>43896</v>
      </c>
      <c r="F312" s="32">
        <f>IFERROR(DATEDIF(Table1[[#This Row],[MPG Ope Date]],Table1[[#This Row],[L]],"M"),"")</f>
        <v>65</v>
      </c>
      <c r="G312" s="25">
        <v>10130007</v>
      </c>
      <c r="H312" s="25" t="s">
        <v>180</v>
      </c>
      <c r="I312" s="23" t="s">
        <v>216</v>
      </c>
      <c r="J312" s="23">
        <v>9771782305</v>
      </c>
      <c r="K312" s="23" t="s">
        <v>69</v>
      </c>
      <c r="L312" s="25">
        <v>310515</v>
      </c>
      <c r="M312" s="23" t="s">
        <v>360</v>
      </c>
      <c r="N312" s="25" t="s">
        <v>361</v>
      </c>
      <c r="O312" s="32" t="s">
        <v>893</v>
      </c>
      <c r="P312" s="37">
        <v>45918</v>
      </c>
      <c r="Q312" s="46">
        <v>1</v>
      </c>
      <c r="R312" s="48">
        <v>44</v>
      </c>
      <c r="S312" s="34">
        <f t="shared" si="55"/>
        <v>44</v>
      </c>
      <c r="T312" s="34">
        <f t="shared" si="58"/>
        <v>7.92</v>
      </c>
      <c r="U312" s="34">
        <f t="shared" si="59"/>
        <v>51.92</v>
      </c>
      <c r="V312" s="34"/>
      <c r="W312" s="23" t="s">
        <v>1008</v>
      </c>
    </row>
    <row r="313" spans="1:23" x14ac:dyDescent="0.25">
      <c r="A313" s="31">
        <v>45891.608287037037</v>
      </c>
      <c r="B313" s="32" t="str">
        <f t="shared" si="54"/>
        <v>Aug-25</v>
      </c>
      <c r="C313" s="23" t="s">
        <v>153</v>
      </c>
      <c r="D313" s="23" t="s">
        <v>369</v>
      </c>
      <c r="E313" s="39" t="e">
        <v>#N/A</v>
      </c>
      <c r="F313" s="32" t="str">
        <f>IFERROR(DATEDIF(Table1[[#This Row],[MPG Ope Date]],Table1[[#This Row],[L]],"M"),"")</f>
        <v/>
      </c>
      <c r="G313" s="25">
        <v>10140058</v>
      </c>
      <c r="H313" s="49" t="s">
        <v>535</v>
      </c>
      <c r="I313" s="23" t="s">
        <v>492</v>
      </c>
      <c r="J313" s="23">
        <v>8252388707</v>
      </c>
      <c r="K313" s="23" t="s">
        <v>71</v>
      </c>
      <c r="L313" s="25" t="s">
        <v>582</v>
      </c>
      <c r="M313" s="23" t="s">
        <v>141</v>
      </c>
      <c r="N313" s="25" t="s">
        <v>142</v>
      </c>
      <c r="O313" s="32" t="s">
        <v>893</v>
      </c>
      <c r="P313" s="37">
        <v>45918</v>
      </c>
      <c r="Q313" s="46">
        <v>1</v>
      </c>
      <c r="R313" s="48">
        <v>900</v>
      </c>
      <c r="S313" s="34">
        <f t="shared" si="55"/>
        <v>900</v>
      </c>
      <c r="T313" s="34">
        <f t="shared" si="58"/>
        <v>162</v>
      </c>
      <c r="U313" s="34">
        <f t="shared" si="59"/>
        <v>1062</v>
      </c>
      <c r="V313" s="34"/>
      <c r="W313" s="23" t="s">
        <v>1005</v>
      </c>
    </row>
    <row r="314" spans="1:23" x14ac:dyDescent="0.25">
      <c r="A314" s="31">
        <v>45890.678194444445</v>
      </c>
      <c r="B314" s="32" t="str">
        <f t="shared" si="54"/>
        <v>Aug-25</v>
      </c>
      <c r="C314" s="23" t="s">
        <v>152</v>
      </c>
      <c r="D314" s="23" t="s">
        <v>369</v>
      </c>
      <c r="E314" s="39" t="e">
        <v>#N/A</v>
      </c>
      <c r="F314" s="32" t="str">
        <f>IFERROR(DATEDIF(Table1[[#This Row],[MPG Ope Date]],Table1[[#This Row],[L]],"M"),"")</f>
        <v/>
      </c>
      <c r="G314" s="25">
        <v>20080018</v>
      </c>
      <c r="H314" s="25" t="s">
        <v>536</v>
      </c>
      <c r="I314" s="23" t="s">
        <v>493</v>
      </c>
      <c r="J314" s="23">
        <v>7856866909</v>
      </c>
      <c r="K314" s="23" t="s">
        <v>68</v>
      </c>
      <c r="L314" s="25" t="s">
        <v>583</v>
      </c>
      <c r="M314" s="23" t="s">
        <v>133</v>
      </c>
      <c r="N314" s="25" t="s">
        <v>397</v>
      </c>
      <c r="O314" s="32" t="s">
        <v>894</v>
      </c>
      <c r="P314" s="37">
        <v>45918</v>
      </c>
      <c r="Q314" s="46">
        <v>1</v>
      </c>
      <c r="R314" s="48">
        <v>2080</v>
      </c>
      <c r="S314" s="34">
        <f t="shared" si="55"/>
        <v>2080</v>
      </c>
      <c r="T314" s="34">
        <f t="shared" si="58"/>
        <v>374.4</v>
      </c>
      <c r="U314" s="34">
        <f t="shared" si="59"/>
        <v>2454.4</v>
      </c>
      <c r="V314" s="34"/>
      <c r="W314" s="23" t="e">
        <v>#N/A</v>
      </c>
    </row>
    <row r="315" spans="1:23" x14ac:dyDescent="0.25">
      <c r="A315" s="31">
        <v>45890.844502314816</v>
      </c>
      <c r="B315" s="32" t="str">
        <f t="shared" si="54"/>
        <v>Aug-25</v>
      </c>
      <c r="C315" s="23" t="s">
        <v>152</v>
      </c>
      <c r="D315" s="23" t="s">
        <v>0</v>
      </c>
      <c r="E315" s="39" t="e">
        <v>#N/A</v>
      </c>
      <c r="F315" s="32" t="str">
        <f>IFERROR(DATEDIF(Table1[[#This Row],[MPG Ope Date]],Table1[[#This Row],[L]],"M"),"")</f>
        <v/>
      </c>
      <c r="G315" s="25">
        <v>2002</v>
      </c>
      <c r="H315" s="25" t="s">
        <v>270</v>
      </c>
      <c r="I315" s="23" t="s">
        <v>303</v>
      </c>
      <c r="J315" s="23">
        <v>8709856463</v>
      </c>
      <c r="K315" s="23" t="s">
        <v>69</v>
      </c>
      <c r="L315" s="25">
        <v>360621</v>
      </c>
      <c r="M315" s="23" t="s">
        <v>115</v>
      </c>
      <c r="N315" s="25" t="s">
        <v>116</v>
      </c>
      <c r="O315" s="32" t="s">
        <v>894</v>
      </c>
      <c r="P315" s="37">
        <v>45918</v>
      </c>
      <c r="Q315" s="46">
        <v>1</v>
      </c>
      <c r="R315" s="48">
        <v>8500</v>
      </c>
      <c r="S315" s="34">
        <f t="shared" si="55"/>
        <v>8500</v>
      </c>
      <c r="T315" s="34">
        <f t="shared" si="58"/>
        <v>1530</v>
      </c>
      <c r="U315" s="34">
        <f t="shared" si="59"/>
        <v>10030</v>
      </c>
      <c r="V315" s="34"/>
      <c r="W315" s="23" t="e">
        <v>#N/A</v>
      </c>
    </row>
    <row r="316" spans="1:23" x14ac:dyDescent="0.25">
      <c r="A316" s="31">
        <v>45890.446550925924</v>
      </c>
      <c r="B316" s="32" t="str">
        <f t="shared" si="54"/>
        <v>Aug-25</v>
      </c>
      <c r="C316" s="23" t="s">
        <v>153</v>
      </c>
      <c r="D316" s="23" t="s">
        <v>369</v>
      </c>
      <c r="E316" s="39" t="e">
        <v>#N/A</v>
      </c>
      <c r="F316" s="32" t="str">
        <f>IFERROR(DATEDIF(Table1[[#This Row],[MPG Ope Date]],Table1[[#This Row],[L]],"M"),"")</f>
        <v/>
      </c>
      <c r="G316" s="26">
        <v>10070013</v>
      </c>
      <c r="H316" s="49" t="s">
        <v>537</v>
      </c>
      <c r="I316" s="23" t="s">
        <v>494</v>
      </c>
      <c r="J316" s="23">
        <v>8789901453</v>
      </c>
      <c r="K316" s="23" t="s">
        <v>68</v>
      </c>
      <c r="L316" s="25" t="s">
        <v>584</v>
      </c>
      <c r="M316" s="23" t="s">
        <v>133</v>
      </c>
      <c r="N316" s="25" t="s">
        <v>397</v>
      </c>
      <c r="O316" s="32" t="s">
        <v>893</v>
      </c>
      <c r="P316" s="37">
        <v>45918</v>
      </c>
      <c r="Q316" s="46">
        <v>1</v>
      </c>
      <c r="R316" s="48">
        <v>2080</v>
      </c>
      <c r="S316" s="34">
        <f t="shared" si="55"/>
        <v>2080</v>
      </c>
      <c r="T316" s="34">
        <f t="shared" ref="T316:T347" si="60">+S316*0.18</f>
        <v>374.4</v>
      </c>
      <c r="U316" s="34">
        <f t="shared" ref="U316:U347" si="61">+S316+T316</f>
        <v>2454.4</v>
      </c>
      <c r="V316" s="34"/>
      <c r="W316" s="23" t="s">
        <v>1005</v>
      </c>
    </row>
    <row r="317" spans="1:23" x14ac:dyDescent="0.25">
      <c r="A317" s="31">
        <v>45889.678854166668</v>
      </c>
      <c r="B317" s="32" t="str">
        <f t="shared" si="54"/>
        <v>Aug-25</v>
      </c>
      <c r="C317" s="23" t="s">
        <v>153</v>
      </c>
      <c r="D317" s="23" t="s">
        <v>896</v>
      </c>
      <c r="E317" s="39" t="e">
        <v>#N/A</v>
      </c>
      <c r="F317" s="32" t="str">
        <f>IFERROR(DATEDIF(Table1[[#This Row],[MPG Ope Date]],Table1[[#This Row],[L]],"M"),"")</f>
        <v/>
      </c>
      <c r="G317" s="25">
        <v>0</v>
      </c>
      <c r="H317" s="25" t="s">
        <v>531</v>
      </c>
      <c r="I317" s="23" t="s">
        <v>488</v>
      </c>
      <c r="J317" s="23">
        <v>7631258661</v>
      </c>
      <c r="K317" s="23" t="s">
        <v>69</v>
      </c>
      <c r="L317" s="25">
        <v>193329</v>
      </c>
      <c r="M317" s="23" t="s">
        <v>127</v>
      </c>
      <c r="N317" s="25" t="s">
        <v>128</v>
      </c>
      <c r="O317" s="32" t="s">
        <v>893</v>
      </c>
      <c r="P317" s="37">
        <v>45918</v>
      </c>
      <c r="Q317" s="46">
        <v>1</v>
      </c>
      <c r="R317" s="48">
        <v>44</v>
      </c>
      <c r="S317" s="34">
        <f t="shared" si="55"/>
        <v>44</v>
      </c>
      <c r="T317" s="34">
        <f t="shared" si="60"/>
        <v>7.92</v>
      </c>
      <c r="U317" s="34">
        <f t="shared" si="61"/>
        <v>51.92</v>
      </c>
      <c r="V317" s="34"/>
      <c r="W317" s="23" t="e">
        <v>#N/A</v>
      </c>
    </row>
    <row r="318" spans="1:23" x14ac:dyDescent="0.25">
      <c r="A318" s="31">
        <v>45889.678854166668</v>
      </c>
      <c r="B318" s="32" t="str">
        <f t="shared" si="54"/>
        <v>Aug-25</v>
      </c>
      <c r="C318" s="23" t="s">
        <v>153</v>
      </c>
      <c r="D318" s="23" t="s">
        <v>896</v>
      </c>
      <c r="E318" s="39" t="e">
        <v>#N/A</v>
      </c>
      <c r="F318" s="32" t="str">
        <f>IFERROR(DATEDIF(Table1[[#This Row],[MPG Ope Date]],Table1[[#This Row],[L]],"M"),"")</f>
        <v/>
      </c>
      <c r="G318" s="25">
        <v>0</v>
      </c>
      <c r="H318" s="25" t="s">
        <v>531</v>
      </c>
      <c r="I318" s="23" t="s">
        <v>488</v>
      </c>
      <c r="J318" s="23">
        <v>7631258661</v>
      </c>
      <c r="K318" s="23" t="s">
        <v>69</v>
      </c>
      <c r="L318" s="25">
        <v>193329</v>
      </c>
      <c r="M318" s="23" t="s">
        <v>127</v>
      </c>
      <c r="N318" s="25" t="s">
        <v>128</v>
      </c>
      <c r="O318" s="32" t="s">
        <v>893</v>
      </c>
      <c r="P318" s="37">
        <v>45918</v>
      </c>
      <c r="Q318" s="46">
        <v>1</v>
      </c>
      <c r="R318" s="48">
        <v>44</v>
      </c>
      <c r="S318" s="34">
        <f t="shared" si="55"/>
        <v>44</v>
      </c>
      <c r="T318" s="34">
        <f t="shared" si="60"/>
        <v>7.92</v>
      </c>
      <c r="U318" s="34">
        <f t="shared" si="61"/>
        <v>51.92</v>
      </c>
      <c r="V318" s="34"/>
      <c r="W318" s="23" t="e">
        <v>#N/A</v>
      </c>
    </row>
    <row r="319" spans="1:23" x14ac:dyDescent="0.25">
      <c r="A319" s="31">
        <v>45889.678854166668</v>
      </c>
      <c r="B319" s="32" t="str">
        <f t="shared" si="54"/>
        <v>Aug-25</v>
      </c>
      <c r="C319" s="23" t="s">
        <v>153</v>
      </c>
      <c r="D319" s="23" t="s">
        <v>896</v>
      </c>
      <c r="E319" s="39" t="e">
        <v>#N/A</v>
      </c>
      <c r="F319" s="32" t="str">
        <f>IFERROR(DATEDIF(Table1[[#This Row],[MPG Ope Date]],Table1[[#This Row],[L]],"M"),"")</f>
        <v/>
      </c>
      <c r="G319" s="25">
        <v>0</v>
      </c>
      <c r="H319" s="25" t="s">
        <v>531</v>
      </c>
      <c r="I319" s="23" t="s">
        <v>488</v>
      </c>
      <c r="J319" s="23">
        <v>7631258661</v>
      </c>
      <c r="K319" s="23" t="s">
        <v>69</v>
      </c>
      <c r="L319" s="25">
        <v>193329</v>
      </c>
      <c r="M319" s="23" t="s">
        <v>254</v>
      </c>
      <c r="N319" s="25" t="s">
        <v>742</v>
      </c>
      <c r="O319" s="32" t="s">
        <v>893</v>
      </c>
      <c r="P319" s="37">
        <v>45918</v>
      </c>
      <c r="Q319" s="46">
        <v>1</v>
      </c>
      <c r="R319" s="47">
        <v>2000</v>
      </c>
      <c r="S319" s="34">
        <f t="shared" si="55"/>
        <v>2000</v>
      </c>
      <c r="T319" s="34">
        <f t="shared" si="60"/>
        <v>360</v>
      </c>
      <c r="U319" s="34">
        <f t="shared" si="61"/>
        <v>2360</v>
      </c>
      <c r="V319" s="34"/>
      <c r="W319" s="23" t="e">
        <v>#N/A</v>
      </c>
    </row>
    <row r="320" spans="1:23" x14ac:dyDescent="0.25">
      <c r="A320" s="31">
        <v>45889.736886574072</v>
      </c>
      <c r="B320" s="32" t="str">
        <f t="shared" si="54"/>
        <v>Aug-25</v>
      </c>
      <c r="C320" s="23" t="s">
        <v>153</v>
      </c>
      <c r="D320" s="23" t="s">
        <v>896</v>
      </c>
      <c r="E320" s="39" t="e">
        <v>#N/A</v>
      </c>
      <c r="F320" s="32" t="str">
        <f>IFERROR(DATEDIF(Table1[[#This Row],[MPG Ope Date]],Table1[[#This Row],[L]],"M"),"")</f>
        <v/>
      </c>
      <c r="G320" s="25">
        <v>0</v>
      </c>
      <c r="H320" s="25" t="s">
        <v>531</v>
      </c>
      <c r="I320" s="23" t="s">
        <v>488</v>
      </c>
      <c r="J320" s="23">
        <v>7631258661</v>
      </c>
      <c r="K320" s="23" t="s">
        <v>69</v>
      </c>
      <c r="L320" s="25">
        <v>387860</v>
      </c>
      <c r="M320" s="23" t="s">
        <v>121</v>
      </c>
      <c r="N320" s="25" t="s">
        <v>122</v>
      </c>
      <c r="O320" s="32" t="s">
        <v>893</v>
      </c>
      <c r="P320" s="37">
        <v>45918</v>
      </c>
      <c r="Q320" s="46">
        <v>1</v>
      </c>
      <c r="R320" s="48">
        <v>70</v>
      </c>
      <c r="S320" s="34">
        <f t="shared" si="55"/>
        <v>70</v>
      </c>
      <c r="T320" s="34">
        <f t="shared" si="60"/>
        <v>12.6</v>
      </c>
      <c r="U320" s="34">
        <f t="shared" si="61"/>
        <v>82.6</v>
      </c>
      <c r="V320" s="34"/>
      <c r="W320" s="23" t="e">
        <v>#N/A</v>
      </c>
    </row>
    <row r="321" spans="1:23" x14ac:dyDescent="0.25">
      <c r="A321" s="31">
        <v>45889.736886574072</v>
      </c>
      <c r="B321" s="32" t="str">
        <f t="shared" si="54"/>
        <v>Aug-25</v>
      </c>
      <c r="C321" s="23" t="s">
        <v>153</v>
      </c>
      <c r="D321" s="23" t="s">
        <v>896</v>
      </c>
      <c r="E321" s="39" t="e">
        <v>#N/A</v>
      </c>
      <c r="F321" s="32" t="str">
        <f>IFERROR(DATEDIF(Table1[[#This Row],[MPG Ope Date]],Table1[[#This Row],[L]],"M"),"")</f>
        <v/>
      </c>
      <c r="G321" s="25">
        <v>0</v>
      </c>
      <c r="H321" s="25" t="s">
        <v>531</v>
      </c>
      <c r="I321" s="23" t="s">
        <v>488</v>
      </c>
      <c r="J321" s="23">
        <v>7631258661</v>
      </c>
      <c r="K321" s="23" t="s">
        <v>69</v>
      </c>
      <c r="L321" s="25">
        <v>387860</v>
      </c>
      <c r="M321" s="23" t="s">
        <v>121</v>
      </c>
      <c r="N321" s="25" t="s">
        <v>122</v>
      </c>
      <c r="O321" s="32" t="s">
        <v>893</v>
      </c>
      <c r="P321" s="37">
        <v>45918</v>
      </c>
      <c r="Q321" s="46">
        <v>1</v>
      </c>
      <c r="R321" s="48">
        <v>70</v>
      </c>
      <c r="S321" s="34">
        <f t="shared" si="55"/>
        <v>70</v>
      </c>
      <c r="T321" s="34">
        <f t="shared" si="60"/>
        <v>12.6</v>
      </c>
      <c r="U321" s="34">
        <f t="shared" si="61"/>
        <v>82.6</v>
      </c>
      <c r="V321" s="34"/>
      <c r="W321" s="23" t="e">
        <v>#N/A</v>
      </c>
    </row>
    <row r="322" spans="1:23" x14ac:dyDescent="0.25">
      <c r="A322" s="31">
        <v>45889.736886574072</v>
      </c>
      <c r="B322" s="32" t="str">
        <f t="shared" si="54"/>
        <v>Aug-25</v>
      </c>
      <c r="C322" s="23" t="s">
        <v>153</v>
      </c>
      <c r="D322" s="23" t="s">
        <v>896</v>
      </c>
      <c r="E322" s="39" t="e">
        <v>#N/A</v>
      </c>
      <c r="F322" s="32" t="str">
        <f>IFERROR(DATEDIF(Table1[[#This Row],[MPG Ope Date]],Table1[[#This Row],[L]],"M"),"")</f>
        <v/>
      </c>
      <c r="G322" s="25">
        <v>0</v>
      </c>
      <c r="H322" s="25" t="s">
        <v>531</v>
      </c>
      <c r="I322" s="23" t="s">
        <v>488</v>
      </c>
      <c r="J322" s="23">
        <v>7631258661</v>
      </c>
      <c r="K322" s="23" t="s">
        <v>69</v>
      </c>
      <c r="L322" s="25">
        <v>387860</v>
      </c>
      <c r="M322" s="23" t="s">
        <v>119</v>
      </c>
      <c r="N322" s="25" t="s">
        <v>120</v>
      </c>
      <c r="O322" s="32" t="s">
        <v>893</v>
      </c>
      <c r="P322" s="37">
        <v>45918</v>
      </c>
      <c r="Q322" s="46">
        <v>1</v>
      </c>
      <c r="R322" s="48">
        <v>84</v>
      </c>
      <c r="S322" s="34">
        <f t="shared" si="55"/>
        <v>84</v>
      </c>
      <c r="T322" s="34">
        <f t="shared" si="60"/>
        <v>15.12</v>
      </c>
      <c r="U322" s="34">
        <f t="shared" si="61"/>
        <v>99.12</v>
      </c>
      <c r="V322" s="34"/>
      <c r="W322" s="23" t="e">
        <v>#N/A</v>
      </c>
    </row>
    <row r="323" spans="1:23" x14ac:dyDescent="0.25">
      <c r="A323" s="31">
        <v>45889.736886574072</v>
      </c>
      <c r="B323" s="32" t="str">
        <f t="shared" si="54"/>
        <v>Aug-25</v>
      </c>
      <c r="C323" s="23" t="s">
        <v>153</v>
      </c>
      <c r="D323" s="23" t="s">
        <v>896</v>
      </c>
      <c r="E323" s="39" t="e">
        <v>#N/A</v>
      </c>
      <c r="F323" s="32" t="str">
        <f>IFERROR(DATEDIF(Table1[[#This Row],[MPG Ope Date]],Table1[[#This Row],[L]],"M"),"")</f>
        <v/>
      </c>
      <c r="G323" s="25">
        <v>0</v>
      </c>
      <c r="H323" s="25" t="s">
        <v>531</v>
      </c>
      <c r="I323" s="23" t="s">
        <v>488</v>
      </c>
      <c r="J323" s="23">
        <v>7631258661</v>
      </c>
      <c r="K323" s="23" t="s">
        <v>69</v>
      </c>
      <c r="L323" s="25">
        <v>387860</v>
      </c>
      <c r="M323" s="23" t="s">
        <v>117</v>
      </c>
      <c r="N323" s="25" t="s">
        <v>472</v>
      </c>
      <c r="O323" s="32" t="s">
        <v>893</v>
      </c>
      <c r="P323" s="37">
        <v>45918</v>
      </c>
      <c r="Q323" s="46">
        <v>1</v>
      </c>
      <c r="R323" s="48">
        <v>770</v>
      </c>
      <c r="S323" s="34">
        <f t="shared" si="55"/>
        <v>770</v>
      </c>
      <c r="T323" s="34">
        <f t="shared" si="60"/>
        <v>138.6</v>
      </c>
      <c r="U323" s="34">
        <f t="shared" si="61"/>
        <v>908.6</v>
      </c>
      <c r="V323" s="34"/>
      <c r="W323" s="23" t="e">
        <v>#N/A</v>
      </c>
    </row>
    <row r="324" spans="1:23" x14ac:dyDescent="0.25">
      <c r="A324" s="31">
        <v>45889.736886574072</v>
      </c>
      <c r="B324" s="32" t="str">
        <f t="shared" si="54"/>
        <v>Aug-25</v>
      </c>
      <c r="C324" s="23" t="s">
        <v>153</v>
      </c>
      <c r="D324" s="23" t="s">
        <v>896</v>
      </c>
      <c r="E324" s="39" t="e">
        <v>#N/A</v>
      </c>
      <c r="F324" s="32" t="str">
        <f>IFERROR(DATEDIF(Table1[[#This Row],[MPG Ope Date]],Table1[[#This Row],[L]],"M"),"")</f>
        <v/>
      </c>
      <c r="G324" s="25">
        <v>0</v>
      </c>
      <c r="H324" s="25" t="s">
        <v>531</v>
      </c>
      <c r="I324" s="23" t="s">
        <v>488</v>
      </c>
      <c r="J324" s="23">
        <v>7631258661</v>
      </c>
      <c r="K324" s="23" t="s">
        <v>69</v>
      </c>
      <c r="L324" s="25">
        <v>387860</v>
      </c>
      <c r="M324" s="23" t="s">
        <v>127</v>
      </c>
      <c r="N324" s="25" t="s">
        <v>128</v>
      </c>
      <c r="O324" s="32" t="s">
        <v>893</v>
      </c>
      <c r="P324" s="37">
        <v>45918</v>
      </c>
      <c r="Q324" s="46">
        <v>1</v>
      </c>
      <c r="R324" s="48">
        <v>44</v>
      </c>
      <c r="S324" s="34">
        <f t="shared" si="55"/>
        <v>44</v>
      </c>
      <c r="T324" s="34">
        <f t="shared" si="60"/>
        <v>7.92</v>
      </c>
      <c r="U324" s="34">
        <f t="shared" si="61"/>
        <v>51.92</v>
      </c>
      <c r="V324" s="34"/>
      <c r="W324" s="23" t="e">
        <v>#N/A</v>
      </c>
    </row>
    <row r="325" spans="1:23" x14ac:dyDescent="0.25">
      <c r="A325" s="31">
        <v>45889.524629629632</v>
      </c>
      <c r="B325" s="32" t="str">
        <f t="shared" si="54"/>
        <v>Aug-25</v>
      </c>
      <c r="C325" s="23" t="s">
        <v>153</v>
      </c>
      <c r="D325" s="23" t="s">
        <v>369</v>
      </c>
      <c r="E325" s="39">
        <v>43936</v>
      </c>
      <c r="F325" s="32">
        <f>IFERROR(DATEDIF(Table1[[#This Row],[MPG Ope Date]],Table1[[#This Row],[L]],"M"),"")</f>
        <v>64</v>
      </c>
      <c r="G325" s="25">
        <v>10120014</v>
      </c>
      <c r="H325" s="25" t="s">
        <v>190</v>
      </c>
      <c r="I325" s="23" t="s">
        <v>226</v>
      </c>
      <c r="J325" s="23">
        <v>8340595380</v>
      </c>
      <c r="K325" s="23" t="s">
        <v>69</v>
      </c>
      <c r="L325" s="25">
        <v>310523</v>
      </c>
      <c r="M325" s="23" t="s">
        <v>615</v>
      </c>
      <c r="N325" s="25" t="s">
        <v>616</v>
      </c>
      <c r="O325" s="32" t="s">
        <v>893</v>
      </c>
      <c r="P325" s="37">
        <v>45918</v>
      </c>
      <c r="Q325" s="46">
        <v>1</v>
      </c>
      <c r="R325" s="47">
        <v>65</v>
      </c>
      <c r="S325" s="34">
        <f t="shared" si="55"/>
        <v>65</v>
      </c>
      <c r="T325" s="34">
        <f t="shared" si="60"/>
        <v>11.7</v>
      </c>
      <c r="U325" s="34">
        <f t="shared" si="61"/>
        <v>76.7</v>
      </c>
      <c r="V325" s="34"/>
      <c r="W325" s="23" t="s">
        <v>1005</v>
      </c>
    </row>
    <row r="326" spans="1:23" x14ac:dyDescent="0.25">
      <c r="A326" s="31">
        <v>45889.644930555558</v>
      </c>
      <c r="B326" s="32" t="str">
        <f t="shared" si="54"/>
        <v>Aug-25</v>
      </c>
      <c r="C326" s="23" t="s">
        <v>153</v>
      </c>
      <c r="D326" s="23" t="s">
        <v>369</v>
      </c>
      <c r="E326" s="39" t="e">
        <v>#N/A</v>
      </c>
      <c r="F326" s="32" t="str">
        <f>IFERROR(DATEDIF(Table1[[#This Row],[MPG Ope Date]],Table1[[#This Row],[L]],"M"),"")</f>
        <v/>
      </c>
      <c r="G326" s="26">
        <v>10030010</v>
      </c>
      <c r="H326" s="49" t="s">
        <v>538</v>
      </c>
      <c r="I326" s="23" t="s">
        <v>495</v>
      </c>
      <c r="J326" s="23">
        <v>7631526980</v>
      </c>
      <c r="K326" s="23" t="s">
        <v>70</v>
      </c>
      <c r="L326" s="25" t="s">
        <v>585</v>
      </c>
      <c r="M326" s="23" t="s">
        <v>123</v>
      </c>
      <c r="N326" s="25" t="s">
        <v>394</v>
      </c>
      <c r="O326" s="32" t="s">
        <v>893</v>
      </c>
      <c r="P326" s="37">
        <v>45918</v>
      </c>
      <c r="Q326" s="46">
        <v>1</v>
      </c>
      <c r="R326" s="47">
        <v>350</v>
      </c>
      <c r="S326" s="34">
        <f t="shared" si="55"/>
        <v>350</v>
      </c>
      <c r="T326" s="34">
        <f t="shared" si="60"/>
        <v>63</v>
      </c>
      <c r="U326" s="34">
        <f t="shared" si="61"/>
        <v>413</v>
      </c>
      <c r="V326" s="34"/>
      <c r="W326" s="23" t="s">
        <v>1005</v>
      </c>
    </row>
    <row r="327" spans="1:23" x14ac:dyDescent="0.25">
      <c r="A327" s="31">
        <v>45889.736886574072</v>
      </c>
      <c r="B327" s="32" t="str">
        <f t="shared" si="54"/>
        <v>Aug-25</v>
      </c>
      <c r="C327" s="23" t="s">
        <v>153</v>
      </c>
      <c r="D327" s="23" t="s">
        <v>896</v>
      </c>
      <c r="E327" s="39" t="e">
        <v>#N/A</v>
      </c>
      <c r="F327" s="32" t="str">
        <f>IFERROR(DATEDIF(Table1[[#This Row],[MPG Ope Date]],Table1[[#This Row],[L]],"M"),"")</f>
        <v/>
      </c>
      <c r="G327" s="25">
        <v>0</v>
      </c>
      <c r="H327" s="25" t="s">
        <v>531</v>
      </c>
      <c r="I327" s="23" t="s">
        <v>488</v>
      </c>
      <c r="J327" s="23">
        <v>7631258661</v>
      </c>
      <c r="K327" s="23" t="s">
        <v>69</v>
      </c>
      <c r="L327" s="25">
        <v>387860</v>
      </c>
      <c r="M327" s="23" t="s">
        <v>127</v>
      </c>
      <c r="N327" s="25" t="s">
        <v>128</v>
      </c>
      <c r="O327" s="32" t="s">
        <v>893</v>
      </c>
      <c r="P327" s="37">
        <v>45918</v>
      </c>
      <c r="Q327" s="46">
        <v>1</v>
      </c>
      <c r="R327" s="48">
        <v>44</v>
      </c>
      <c r="S327" s="34">
        <f t="shared" si="55"/>
        <v>44</v>
      </c>
      <c r="T327" s="34">
        <f t="shared" si="60"/>
        <v>7.92</v>
      </c>
      <c r="U327" s="34">
        <f t="shared" si="61"/>
        <v>51.92</v>
      </c>
      <c r="V327" s="34"/>
      <c r="W327" s="23" t="e">
        <v>#N/A</v>
      </c>
    </row>
    <row r="328" spans="1:23" x14ac:dyDescent="0.25">
      <c r="A328" s="31">
        <v>45889.736886574072</v>
      </c>
      <c r="B328" s="32" t="str">
        <f t="shared" si="54"/>
        <v>Aug-25</v>
      </c>
      <c r="C328" s="23" t="s">
        <v>153</v>
      </c>
      <c r="D328" s="23" t="s">
        <v>896</v>
      </c>
      <c r="E328" s="39" t="e">
        <v>#N/A</v>
      </c>
      <c r="F328" s="32" t="str">
        <f>IFERROR(DATEDIF(Table1[[#This Row],[MPG Ope Date]],Table1[[#This Row],[L]],"M"),"")</f>
        <v/>
      </c>
      <c r="G328" s="25">
        <v>0</v>
      </c>
      <c r="H328" s="25" t="s">
        <v>531</v>
      </c>
      <c r="I328" s="23" t="s">
        <v>488</v>
      </c>
      <c r="J328" s="23">
        <v>7631258661</v>
      </c>
      <c r="K328" s="23" t="s">
        <v>69</v>
      </c>
      <c r="L328" s="25">
        <v>387860</v>
      </c>
      <c r="M328" s="23" t="s">
        <v>254</v>
      </c>
      <c r="N328" s="25" t="s">
        <v>742</v>
      </c>
      <c r="O328" s="32" t="s">
        <v>893</v>
      </c>
      <c r="P328" s="37">
        <v>45918</v>
      </c>
      <c r="Q328" s="46">
        <v>1</v>
      </c>
      <c r="R328" s="47">
        <v>2000</v>
      </c>
      <c r="S328" s="34">
        <f t="shared" si="55"/>
        <v>2000</v>
      </c>
      <c r="T328" s="34">
        <f t="shared" si="60"/>
        <v>360</v>
      </c>
      <c r="U328" s="34">
        <f t="shared" si="61"/>
        <v>2360</v>
      </c>
      <c r="V328" s="34"/>
      <c r="W328" s="23" t="e">
        <v>#N/A</v>
      </c>
    </row>
    <row r="329" spans="1:23" x14ac:dyDescent="0.25">
      <c r="A329" s="31">
        <v>45889.673518518517</v>
      </c>
      <c r="B329" s="32" t="str">
        <f t="shared" si="54"/>
        <v>Aug-25</v>
      </c>
      <c r="C329" s="23" t="s">
        <v>153</v>
      </c>
      <c r="D329" s="23" t="s">
        <v>896</v>
      </c>
      <c r="E329" s="39" t="e">
        <v>#N/A</v>
      </c>
      <c r="F329" s="32" t="str">
        <f>IFERROR(DATEDIF(Table1[[#This Row],[MPG Ope Date]],Table1[[#This Row],[L]],"M"),"")</f>
        <v/>
      </c>
      <c r="G329" s="25">
        <v>0</v>
      </c>
      <c r="H329" s="25" t="s">
        <v>531</v>
      </c>
      <c r="I329" s="23" t="s">
        <v>488</v>
      </c>
      <c r="J329" s="23">
        <v>7631258661</v>
      </c>
      <c r="K329" s="23" t="s">
        <v>68</v>
      </c>
      <c r="L329" s="25" t="s">
        <v>586</v>
      </c>
      <c r="M329" s="23" t="s">
        <v>137</v>
      </c>
      <c r="N329" s="25" t="s">
        <v>474</v>
      </c>
      <c r="O329" s="32" t="s">
        <v>893</v>
      </c>
      <c r="P329" s="37">
        <v>45918</v>
      </c>
      <c r="Q329" s="46">
        <v>1</v>
      </c>
      <c r="R329" s="48">
        <v>2800</v>
      </c>
      <c r="S329" s="34">
        <f t="shared" si="55"/>
        <v>2800</v>
      </c>
      <c r="T329" s="34">
        <f t="shared" si="60"/>
        <v>504</v>
      </c>
      <c r="U329" s="34">
        <f t="shared" si="61"/>
        <v>3304</v>
      </c>
      <c r="V329" s="34"/>
      <c r="W329" s="23" t="e">
        <v>#N/A</v>
      </c>
    </row>
    <row r="330" spans="1:23" x14ac:dyDescent="0.25">
      <c r="A330" s="31">
        <v>45889.673518518517</v>
      </c>
      <c r="B330" s="32" t="str">
        <f t="shared" si="54"/>
        <v>Aug-25</v>
      </c>
      <c r="C330" s="23" t="s">
        <v>153</v>
      </c>
      <c r="D330" s="23" t="s">
        <v>896</v>
      </c>
      <c r="E330" s="39" t="e">
        <v>#N/A</v>
      </c>
      <c r="F330" s="32" t="str">
        <f>IFERROR(DATEDIF(Table1[[#This Row],[MPG Ope Date]],Table1[[#This Row],[L]],"M"),"")</f>
        <v/>
      </c>
      <c r="G330" s="25">
        <v>0</v>
      </c>
      <c r="H330" s="25" t="s">
        <v>531</v>
      </c>
      <c r="I330" s="23" t="s">
        <v>488</v>
      </c>
      <c r="J330" s="23">
        <v>7631258661</v>
      </c>
      <c r="K330" s="23" t="s">
        <v>68</v>
      </c>
      <c r="L330" s="25" t="s">
        <v>586</v>
      </c>
      <c r="M330" s="23" t="s">
        <v>135</v>
      </c>
      <c r="N330" s="25" t="s">
        <v>396</v>
      </c>
      <c r="O330" s="32" t="s">
        <v>893</v>
      </c>
      <c r="P330" s="37">
        <v>45918</v>
      </c>
      <c r="Q330" s="46">
        <v>1</v>
      </c>
      <c r="R330" s="48">
        <v>825</v>
      </c>
      <c r="S330" s="34">
        <f t="shared" si="55"/>
        <v>825</v>
      </c>
      <c r="T330" s="34">
        <f t="shared" si="60"/>
        <v>148.5</v>
      </c>
      <c r="U330" s="34">
        <f t="shared" si="61"/>
        <v>973.5</v>
      </c>
      <c r="V330" s="34"/>
      <c r="W330" s="23" t="e">
        <v>#N/A</v>
      </c>
    </row>
    <row r="331" spans="1:23" x14ac:dyDescent="0.25">
      <c r="A331" s="31">
        <v>45889.678854166668</v>
      </c>
      <c r="B331" s="32" t="str">
        <f t="shared" si="54"/>
        <v>Aug-25</v>
      </c>
      <c r="C331" s="23" t="s">
        <v>153</v>
      </c>
      <c r="D331" s="23" t="s">
        <v>896</v>
      </c>
      <c r="E331" s="39" t="e">
        <v>#N/A</v>
      </c>
      <c r="F331" s="32" t="str">
        <f>IFERROR(DATEDIF(Table1[[#This Row],[MPG Ope Date]],Table1[[#This Row],[L]],"M"),"")</f>
        <v/>
      </c>
      <c r="G331" s="25">
        <v>0</v>
      </c>
      <c r="H331" s="25" t="s">
        <v>531</v>
      </c>
      <c r="I331" s="23" t="s">
        <v>488</v>
      </c>
      <c r="J331" s="23">
        <v>7631258661</v>
      </c>
      <c r="K331" s="23" t="s">
        <v>69</v>
      </c>
      <c r="L331" s="25">
        <v>193329</v>
      </c>
      <c r="M331" s="23" t="s">
        <v>121</v>
      </c>
      <c r="N331" s="25" t="s">
        <v>122</v>
      </c>
      <c r="O331" s="32" t="s">
        <v>893</v>
      </c>
      <c r="P331" s="37">
        <v>45918</v>
      </c>
      <c r="Q331" s="46">
        <v>1</v>
      </c>
      <c r="R331" s="48">
        <v>70</v>
      </c>
      <c r="S331" s="34">
        <f t="shared" si="55"/>
        <v>70</v>
      </c>
      <c r="T331" s="34">
        <f t="shared" si="60"/>
        <v>12.6</v>
      </c>
      <c r="U331" s="34">
        <f t="shared" si="61"/>
        <v>82.6</v>
      </c>
      <c r="V331" s="34"/>
      <c r="W331" s="23" t="e">
        <v>#N/A</v>
      </c>
    </row>
    <row r="332" spans="1:23" x14ac:dyDescent="0.25">
      <c r="A332" s="31">
        <v>45889.678854166668</v>
      </c>
      <c r="B332" s="32" t="str">
        <f t="shared" si="54"/>
        <v>Aug-25</v>
      </c>
      <c r="C332" s="23" t="s">
        <v>153</v>
      </c>
      <c r="D332" s="23" t="s">
        <v>896</v>
      </c>
      <c r="E332" s="39" t="e">
        <v>#N/A</v>
      </c>
      <c r="F332" s="32" t="str">
        <f>IFERROR(DATEDIF(Table1[[#This Row],[MPG Ope Date]],Table1[[#This Row],[L]],"M"),"")</f>
        <v/>
      </c>
      <c r="G332" s="25">
        <v>0</v>
      </c>
      <c r="H332" s="25" t="s">
        <v>531</v>
      </c>
      <c r="I332" s="23" t="s">
        <v>488</v>
      </c>
      <c r="J332" s="23">
        <v>7631258661</v>
      </c>
      <c r="K332" s="23" t="s">
        <v>69</v>
      </c>
      <c r="L332" s="25">
        <v>193329</v>
      </c>
      <c r="M332" s="23" t="s">
        <v>121</v>
      </c>
      <c r="N332" s="25" t="s">
        <v>122</v>
      </c>
      <c r="O332" s="32" t="s">
        <v>893</v>
      </c>
      <c r="P332" s="37">
        <v>45918</v>
      </c>
      <c r="Q332" s="46">
        <v>1</v>
      </c>
      <c r="R332" s="48">
        <v>70</v>
      </c>
      <c r="S332" s="34">
        <f t="shared" si="55"/>
        <v>70</v>
      </c>
      <c r="T332" s="34">
        <f t="shared" si="60"/>
        <v>12.6</v>
      </c>
      <c r="U332" s="34">
        <f t="shared" si="61"/>
        <v>82.6</v>
      </c>
      <c r="V332" s="34"/>
      <c r="W332" s="23" t="e">
        <v>#N/A</v>
      </c>
    </row>
    <row r="333" spans="1:23" x14ac:dyDescent="0.25">
      <c r="A333" s="31">
        <v>45889.676423611112</v>
      </c>
      <c r="B333" s="32" t="str">
        <f t="shared" si="54"/>
        <v>Aug-25</v>
      </c>
      <c r="C333" s="23" t="s">
        <v>153</v>
      </c>
      <c r="D333" s="23" t="s">
        <v>896</v>
      </c>
      <c r="E333" s="39" t="e">
        <v>#N/A</v>
      </c>
      <c r="F333" s="32" t="str">
        <f>IFERROR(DATEDIF(Table1[[#This Row],[MPG Ope Date]],Table1[[#This Row],[L]],"M"),"")</f>
        <v/>
      </c>
      <c r="G333" s="25">
        <v>0</v>
      </c>
      <c r="H333" s="25" t="s">
        <v>531</v>
      </c>
      <c r="I333" s="23" t="s">
        <v>488</v>
      </c>
      <c r="J333" s="23">
        <v>7631258661</v>
      </c>
      <c r="K333" s="23" t="s">
        <v>70</v>
      </c>
      <c r="L333" s="25" t="s">
        <v>587</v>
      </c>
      <c r="M333" s="23" t="s">
        <v>123</v>
      </c>
      <c r="N333" s="25" t="s">
        <v>394</v>
      </c>
      <c r="O333" s="32" t="s">
        <v>893</v>
      </c>
      <c r="P333" s="37">
        <v>45918</v>
      </c>
      <c r="Q333" s="46">
        <v>1</v>
      </c>
      <c r="R333" s="47">
        <v>350</v>
      </c>
      <c r="S333" s="34">
        <f t="shared" si="55"/>
        <v>350</v>
      </c>
      <c r="T333" s="34">
        <f t="shared" si="60"/>
        <v>63</v>
      </c>
      <c r="U333" s="34">
        <f t="shared" si="61"/>
        <v>413</v>
      </c>
      <c r="V333" s="34"/>
      <c r="W333" s="23" t="e">
        <v>#N/A</v>
      </c>
    </row>
    <row r="334" spans="1:23" x14ac:dyDescent="0.25">
      <c r="A334" s="31">
        <v>45889.677384259259</v>
      </c>
      <c r="B334" s="32" t="str">
        <f t="shared" si="54"/>
        <v>Aug-25</v>
      </c>
      <c r="C334" s="23" t="s">
        <v>153</v>
      </c>
      <c r="D334" s="23" t="s">
        <v>896</v>
      </c>
      <c r="E334" s="39" t="e">
        <v>#N/A</v>
      </c>
      <c r="F334" s="32" t="str">
        <f>IFERROR(DATEDIF(Table1[[#This Row],[MPG Ope Date]],Table1[[#This Row],[L]],"M"),"")</f>
        <v/>
      </c>
      <c r="G334" s="25">
        <v>0</v>
      </c>
      <c r="H334" s="25" t="s">
        <v>531</v>
      </c>
      <c r="I334" s="23" t="s">
        <v>488</v>
      </c>
      <c r="J334" s="23">
        <v>7631258661</v>
      </c>
      <c r="K334" s="23" t="s">
        <v>70</v>
      </c>
      <c r="L334" s="25" t="s">
        <v>588</v>
      </c>
      <c r="M334" s="23" t="s">
        <v>123</v>
      </c>
      <c r="N334" s="25" t="s">
        <v>394</v>
      </c>
      <c r="O334" s="32" t="s">
        <v>893</v>
      </c>
      <c r="P334" s="37">
        <v>45918</v>
      </c>
      <c r="Q334" s="46">
        <v>1</v>
      </c>
      <c r="R334" s="47">
        <v>350</v>
      </c>
      <c r="S334" s="34">
        <f t="shared" si="55"/>
        <v>350</v>
      </c>
      <c r="T334" s="34">
        <f t="shared" si="60"/>
        <v>63</v>
      </c>
      <c r="U334" s="34">
        <f t="shared" si="61"/>
        <v>413</v>
      </c>
      <c r="V334" s="34"/>
      <c r="W334" s="23" t="e">
        <v>#N/A</v>
      </c>
    </row>
    <row r="335" spans="1:23" x14ac:dyDescent="0.25">
      <c r="A335" s="31">
        <v>45889.677384259259</v>
      </c>
      <c r="B335" s="32" t="str">
        <f t="shared" si="54"/>
        <v>Aug-25</v>
      </c>
      <c r="C335" s="23" t="s">
        <v>153</v>
      </c>
      <c r="D335" s="23" t="s">
        <v>896</v>
      </c>
      <c r="E335" s="39" t="e">
        <v>#N/A</v>
      </c>
      <c r="F335" s="32" t="str">
        <f>IFERROR(DATEDIF(Table1[[#This Row],[MPG Ope Date]],Table1[[#This Row],[L]],"M"),"")</f>
        <v/>
      </c>
      <c r="G335" s="25">
        <v>0</v>
      </c>
      <c r="H335" s="25" t="s">
        <v>531</v>
      </c>
      <c r="I335" s="23" t="s">
        <v>488</v>
      </c>
      <c r="J335" s="23">
        <v>7631258661</v>
      </c>
      <c r="K335" s="23" t="s">
        <v>70</v>
      </c>
      <c r="L335" s="25" t="s">
        <v>588</v>
      </c>
      <c r="M335" s="23" t="s">
        <v>266</v>
      </c>
      <c r="N335" s="25" t="s">
        <v>473</v>
      </c>
      <c r="O335" s="32" t="s">
        <v>893</v>
      </c>
      <c r="P335" s="37">
        <v>45918</v>
      </c>
      <c r="Q335" s="46">
        <v>1</v>
      </c>
      <c r="R335" s="48">
        <v>780</v>
      </c>
      <c r="S335" s="34">
        <f t="shared" si="55"/>
        <v>780</v>
      </c>
      <c r="T335" s="34">
        <f t="shared" si="60"/>
        <v>140.4</v>
      </c>
      <c r="U335" s="34">
        <f t="shared" si="61"/>
        <v>920.4</v>
      </c>
      <c r="V335" s="34"/>
      <c r="W335" s="23" t="e">
        <v>#N/A</v>
      </c>
    </row>
    <row r="336" spans="1:23" x14ac:dyDescent="0.25">
      <c r="A336" s="31">
        <v>45889.674618055556</v>
      </c>
      <c r="B336" s="32" t="str">
        <f t="shared" si="54"/>
        <v>Aug-25</v>
      </c>
      <c r="C336" s="23" t="s">
        <v>153</v>
      </c>
      <c r="D336" s="23" t="s">
        <v>896</v>
      </c>
      <c r="E336" s="39" t="e">
        <v>#N/A</v>
      </c>
      <c r="F336" s="32" t="str">
        <f>IFERROR(DATEDIF(Table1[[#This Row],[MPG Ope Date]],Table1[[#This Row],[L]],"M"),"")</f>
        <v/>
      </c>
      <c r="G336" s="25">
        <v>0</v>
      </c>
      <c r="H336" s="25" t="s">
        <v>531</v>
      </c>
      <c r="I336" s="23" t="s">
        <v>488</v>
      </c>
      <c r="J336" s="23">
        <v>7631258661</v>
      </c>
      <c r="K336" s="23" t="s">
        <v>70</v>
      </c>
      <c r="L336" s="25" t="s">
        <v>589</v>
      </c>
      <c r="M336" s="23" t="s">
        <v>123</v>
      </c>
      <c r="N336" s="25" t="s">
        <v>394</v>
      </c>
      <c r="O336" s="32" t="s">
        <v>893</v>
      </c>
      <c r="P336" s="37">
        <v>45918</v>
      </c>
      <c r="Q336" s="46">
        <v>1</v>
      </c>
      <c r="R336" s="47">
        <v>350</v>
      </c>
      <c r="S336" s="34">
        <f t="shared" si="55"/>
        <v>350</v>
      </c>
      <c r="T336" s="34">
        <f t="shared" si="60"/>
        <v>63</v>
      </c>
      <c r="U336" s="34">
        <f t="shared" si="61"/>
        <v>413</v>
      </c>
      <c r="V336" s="34"/>
      <c r="W336" s="23" t="e">
        <v>#N/A</v>
      </c>
    </row>
    <row r="337" spans="1:23" x14ac:dyDescent="0.25">
      <c r="A337" s="31">
        <v>45889.674618055556</v>
      </c>
      <c r="B337" s="32" t="str">
        <f t="shared" si="54"/>
        <v>Aug-25</v>
      </c>
      <c r="C337" s="23" t="s">
        <v>153</v>
      </c>
      <c r="D337" s="23" t="s">
        <v>896</v>
      </c>
      <c r="E337" s="39" t="e">
        <v>#N/A</v>
      </c>
      <c r="F337" s="32" t="str">
        <f>IFERROR(DATEDIF(Table1[[#This Row],[MPG Ope Date]],Table1[[#This Row],[L]],"M"),"")</f>
        <v/>
      </c>
      <c r="G337" s="25">
        <v>0</v>
      </c>
      <c r="H337" s="25" t="s">
        <v>531</v>
      </c>
      <c r="I337" s="23" t="s">
        <v>488</v>
      </c>
      <c r="J337" s="23">
        <v>7631258661</v>
      </c>
      <c r="K337" s="23" t="s">
        <v>70</v>
      </c>
      <c r="L337" s="25" t="s">
        <v>589</v>
      </c>
      <c r="M337" s="23" t="s">
        <v>266</v>
      </c>
      <c r="N337" s="25" t="s">
        <v>267</v>
      </c>
      <c r="O337" s="32" t="s">
        <v>893</v>
      </c>
      <c r="P337" s="37">
        <v>45918</v>
      </c>
      <c r="Q337" s="46">
        <v>1</v>
      </c>
      <c r="R337" s="48">
        <v>780</v>
      </c>
      <c r="S337" s="34">
        <f t="shared" si="55"/>
        <v>780</v>
      </c>
      <c r="T337" s="34">
        <f t="shared" si="60"/>
        <v>140.4</v>
      </c>
      <c r="U337" s="34">
        <f t="shared" si="61"/>
        <v>920.4</v>
      </c>
      <c r="V337" s="34"/>
      <c r="W337" s="23" t="e">
        <v>#N/A</v>
      </c>
    </row>
    <row r="338" spans="1:23" x14ac:dyDescent="0.25">
      <c r="A338" s="31">
        <v>45889.677708333336</v>
      </c>
      <c r="B338" s="32" t="str">
        <f t="shared" si="54"/>
        <v>Aug-25</v>
      </c>
      <c r="C338" s="23" t="s">
        <v>153</v>
      </c>
      <c r="D338" s="23" t="s">
        <v>896</v>
      </c>
      <c r="E338" s="39" t="e">
        <v>#N/A</v>
      </c>
      <c r="F338" s="32" t="str">
        <f>IFERROR(DATEDIF(Table1[[#This Row],[MPG Ope Date]],Table1[[#This Row],[L]],"M"),"")</f>
        <v/>
      </c>
      <c r="G338" s="25">
        <v>0</v>
      </c>
      <c r="H338" s="25" t="s">
        <v>531</v>
      </c>
      <c r="I338" s="23" t="s">
        <v>488</v>
      </c>
      <c r="J338" s="23">
        <v>7631258661</v>
      </c>
      <c r="K338" s="23" t="s">
        <v>70</v>
      </c>
      <c r="L338" s="25" t="s">
        <v>590</v>
      </c>
      <c r="M338" s="23" t="s">
        <v>123</v>
      </c>
      <c r="N338" s="25" t="s">
        <v>394</v>
      </c>
      <c r="O338" s="32" t="s">
        <v>893</v>
      </c>
      <c r="P338" s="37">
        <v>45918</v>
      </c>
      <c r="Q338" s="46">
        <v>1</v>
      </c>
      <c r="R338" s="47">
        <v>350</v>
      </c>
      <c r="S338" s="34">
        <f t="shared" si="55"/>
        <v>350</v>
      </c>
      <c r="T338" s="34">
        <f t="shared" si="60"/>
        <v>63</v>
      </c>
      <c r="U338" s="34">
        <f t="shared" si="61"/>
        <v>413</v>
      </c>
      <c r="V338" s="34"/>
      <c r="W338" s="23" t="e">
        <v>#N/A</v>
      </c>
    </row>
    <row r="339" spans="1:23" x14ac:dyDescent="0.25">
      <c r="A339" s="31">
        <v>45889.678229166668</v>
      </c>
      <c r="B339" s="32" t="str">
        <f t="shared" si="54"/>
        <v>Aug-25</v>
      </c>
      <c r="C339" s="23" t="s">
        <v>153</v>
      </c>
      <c r="D339" s="23" t="s">
        <v>896</v>
      </c>
      <c r="E339" s="39" t="e">
        <v>#N/A</v>
      </c>
      <c r="F339" s="32" t="str">
        <f>IFERROR(DATEDIF(Table1[[#This Row],[MPG Ope Date]],Table1[[#This Row],[L]],"M"),"")</f>
        <v/>
      </c>
      <c r="G339" s="25">
        <v>0</v>
      </c>
      <c r="H339" s="25" t="s">
        <v>531</v>
      </c>
      <c r="I339" s="23" t="s">
        <v>488</v>
      </c>
      <c r="J339" s="23">
        <v>7631258661</v>
      </c>
      <c r="K339" s="23" t="s">
        <v>70</v>
      </c>
      <c r="L339" s="25" t="s">
        <v>577</v>
      </c>
      <c r="M339" s="23" t="s">
        <v>266</v>
      </c>
      <c r="N339" s="25" t="s">
        <v>267</v>
      </c>
      <c r="O339" s="32" t="s">
        <v>893</v>
      </c>
      <c r="P339" s="37">
        <v>45918</v>
      </c>
      <c r="Q339" s="46">
        <v>1</v>
      </c>
      <c r="R339" s="48">
        <v>780</v>
      </c>
      <c r="S339" s="34">
        <f t="shared" si="55"/>
        <v>780</v>
      </c>
      <c r="T339" s="34">
        <f t="shared" si="60"/>
        <v>140.4</v>
      </c>
      <c r="U339" s="34">
        <f t="shared" si="61"/>
        <v>920.4</v>
      </c>
      <c r="V339" s="34"/>
      <c r="W339" s="23" t="e">
        <v>#N/A</v>
      </c>
    </row>
    <row r="340" spans="1:23" x14ac:dyDescent="0.25">
      <c r="A340" s="31">
        <v>45889.678229166668</v>
      </c>
      <c r="B340" s="32" t="str">
        <f t="shared" si="54"/>
        <v>Aug-25</v>
      </c>
      <c r="C340" s="23" t="s">
        <v>153</v>
      </c>
      <c r="D340" s="23" t="s">
        <v>896</v>
      </c>
      <c r="E340" s="39" t="e">
        <v>#N/A</v>
      </c>
      <c r="F340" s="32" t="str">
        <f>IFERROR(DATEDIF(Table1[[#This Row],[MPG Ope Date]],Table1[[#This Row],[L]],"M"),"")</f>
        <v/>
      </c>
      <c r="G340" s="25">
        <v>0</v>
      </c>
      <c r="H340" s="25" t="s">
        <v>531</v>
      </c>
      <c r="I340" s="23" t="s">
        <v>488</v>
      </c>
      <c r="J340" s="23">
        <v>7631258661</v>
      </c>
      <c r="K340" s="23" t="s">
        <v>70</v>
      </c>
      <c r="L340" s="25" t="s">
        <v>577</v>
      </c>
      <c r="M340" s="23" t="s">
        <v>123</v>
      </c>
      <c r="N340" s="25" t="s">
        <v>394</v>
      </c>
      <c r="O340" s="32" t="s">
        <v>893</v>
      </c>
      <c r="P340" s="37">
        <v>45918</v>
      </c>
      <c r="Q340" s="46">
        <v>1</v>
      </c>
      <c r="R340" s="47">
        <v>350</v>
      </c>
      <c r="S340" s="34">
        <f t="shared" si="55"/>
        <v>350</v>
      </c>
      <c r="T340" s="34">
        <f t="shared" si="60"/>
        <v>63</v>
      </c>
      <c r="U340" s="34">
        <f t="shared" si="61"/>
        <v>413</v>
      </c>
      <c r="V340" s="34"/>
      <c r="W340" s="23" t="e">
        <v>#N/A</v>
      </c>
    </row>
    <row r="341" spans="1:23" x14ac:dyDescent="0.25">
      <c r="A341" s="31">
        <v>45889.522476851853</v>
      </c>
      <c r="B341" s="32" t="str">
        <f t="shared" si="54"/>
        <v>Aug-25</v>
      </c>
      <c r="C341" s="23" t="s">
        <v>153</v>
      </c>
      <c r="D341" s="23" t="s">
        <v>369</v>
      </c>
      <c r="E341" s="39">
        <v>45038</v>
      </c>
      <c r="F341" s="32">
        <f>IFERROR(DATEDIF(Table1[[#This Row],[MPG Ope Date]],Table1[[#This Row],[L]],"M"),"")</f>
        <v>27</v>
      </c>
      <c r="G341" s="25">
        <v>10130030</v>
      </c>
      <c r="H341" s="25" t="s">
        <v>539</v>
      </c>
      <c r="I341" s="23" t="s">
        <v>496</v>
      </c>
      <c r="J341" s="23">
        <v>7484096826</v>
      </c>
      <c r="K341" s="23" t="s">
        <v>71</v>
      </c>
      <c r="L341" s="25" t="s">
        <v>591</v>
      </c>
      <c r="M341" s="23" t="s">
        <v>141</v>
      </c>
      <c r="N341" s="25" t="s">
        <v>471</v>
      </c>
      <c r="O341" s="32" t="s">
        <v>893</v>
      </c>
      <c r="P341" s="37">
        <v>45918</v>
      </c>
      <c r="Q341" s="46">
        <v>1</v>
      </c>
      <c r="R341" s="48">
        <v>900</v>
      </c>
      <c r="S341" s="34">
        <f t="shared" si="55"/>
        <v>900</v>
      </c>
      <c r="T341" s="34">
        <f t="shared" si="60"/>
        <v>162</v>
      </c>
      <c r="U341" s="34">
        <f t="shared" si="61"/>
        <v>1062</v>
      </c>
      <c r="V341" s="34"/>
      <c r="W341" s="23" t="s">
        <v>1005</v>
      </c>
    </row>
    <row r="342" spans="1:23" x14ac:dyDescent="0.25">
      <c r="A342" s="31">
        <v>45888.651562500003</v>
      </c>
      <c r="B342" s="32" t="str">
        <f t="shared" si="54"/>
        <v>Aug-25</v>
      </c>
      <c r="C342" s="23" t="s">
        <v>152</v>
      </c>
      <c r="D342" s="23" t="s">
        <v>369</v>
      </c>
      <c r="E342" s="39" t="e">
        <v>#N/A</v>
      </c>
      <c r="F342" s="32" t="str">
        <f>IFERROR(DATEDIF(Table1[[#This Row],[MPG Ope Date]],Table1[[#This Row],[L]],"M"),"")</f>
        <v/>
      </c>
      <c r="G342" s="25">
        <v>20070010</v>
      </c>
      <c r="H342" s="25" t="s">
        <v>540</v>
      </c>
      <c r="I342" s="23" t="s">
        <v>497</v>
      </c>
      <c r="J342" s="23">
        <v>6203724732</v>
      </c>
      <c r="K342" s="23" t="s">
        <v>69</v>
      </c>
      <c r="L342" s="25">
        <v>390549</v>
      </c>
      <c r="M342" s="23" t="s">
        <v>115</v>
      </c>
      <c r="N342" s="25" t="s">
        <v>116</v>
      </c>
      <c r="O342" s="32" t="s">
        <v>894</v>
      </c>
      <c r="P342" s="37">
        <v>45918</v>
      </c>
      <c r="Q342" s="46">
        <v>1</v>
      </c>
      <c r="R342" s="48">
        <v>8500</v>
      </c>
      <c r="S342" s="34">
        <f t="shared" si="55"/>
        <v>8500</v>
      </c>
      <c r="T342" s="34">
        <f t="shared" si="60"/>
        <v>1530</v>
      </c>
      <c r="U342" s="34">
        <f t="shared" si="61"/>
        <v>10030</v>
      </c>
      <c r="V342" s="34"/>
      <c r="W342" s="23" t="e">
        <v>#N/A</v>
      </c>
    </row>
    <row r="343" spans="1:23" x14ac:dyDescent="0.25">
      <c r="A343" s="31">
        <v>45888.713530092595</v>
      </c>
      <c r="B343" s="32" t="str">
        <f t="shared" ref="B343:B406" si="62">TEXT(A343,"mmm-yy")</f>
        <v>Aug-25</v>
      </c>
      <c r="C343" s="23" t="s">
        <v>153</v>
      </c>
      <c r="D343" s="23" t="s">
        <v>369</v>
      </c>
      <c r="E343" s="39">
        <v>45212</v>
      </c>
      <c r="F343" s="32">
        <f>IFERROR(DATEDIF(Table1[[#This Row],[MPG Ope Date]],Table1[[#This Row],[L]],"M"),"")</f>
        <v>22</v>
      </c>
      <c r="G343" s="25">
        <v>10110049</v>
      </c>
      <c r="H343" s="25" t="s">
        <v>541</v>
      </c>
      <c r="I343" s="23" t="s">
        <v>498</v>
      </c>
      <c r="J343" s="23">
        <v>9631135565</v>
      </c>
      <c r="K343" s="23" t="s">
        <v>68</v>
      </c>
      <c r="L343" s="25" t="s">
        <v>592</v>
      </c>
      <c r="M343" s="23" t="s">
        <v>133</v>
      </c>
      <c r="N343" s="25" t="s">
        <v>397</v>
      </c>
      <c r="O343" s="32" t="s">
        <v>893</v>
      </c>
      <c r="P343" s="37">
        <v>45918</v>
      </c>
      <c r="Q343" s="46">
        <v>1</v>
      </c>
      <c r="R343" s="48">
        <v>2080</v>
      </c>
      <c r="S343" s="34">
        <f t="shared" ref="S343:S406" si="63">+Q343*R343</f>
        <v>2080</v>
      </c>
      <c r="T343" s="34">
        <f t="shared" si="60"/>
        <v>374.4</v>
      </c>
      <c r="U343" s="34">
        <f t="shared" si="61"/>
        <v>2454.4</v>
      </c>
      <c r="V343" s="34"/>
      <c r="W343" s="23" t="s">
        <v>1006</v>
      </c>
    </row>
    <row r="344" spans="1:23" x14ac:dyDescent="0.25">
      <c r="A344" s="31">
        <v>45888.814733796295</v>
      </c>
      <c r="B344" s="32" t="str">
        <f t="shared" si="62"/>
        <v>Aug-25</v>
      </c>
      <c r="C344" s="23" t="s">
        <v>152</v>
      </c>
      <c r="D344" s="23" t="s">
        <v>369</v>
      </c>
      <c r="E344" s="39" t="e">
        <v>#N/A</v>
      </c>
      <c r="F344" s="32" t="str">
        <f>IFERROR(DATEDIF(Table1[[#This Row],[MPG Ope Date]],Table1[[#This Row],[L]],"M"),"")</f>
        <v/>
      </c>
      <c r="G344" s="25">
        <v>20060009</v>
      </c>
      <c r="H344" s="25" t="s">
        <v>542</v>
      </c>
      <c r="I344" s="23" t="s">
        <v>499</v>
      </c>
      <c r="J344" s="23">
        <v>9155836147</v>
      </c>
      <c r="K344" s="23" t="s">
        <v>70</v>
      </c>
      <c r="L344" s="25" t="s">
        <v>593</v>
      </c>
      <c r="M344" s="23" t="s">
        <v>123</v>
      </c>
      <c r="N344" s="25" t="s">
        <v>394</v>
      </c>
      <c r="O344" s="32" t="s">
        <v>894</v>
      </c>
      <c r="P344" s="37">
        <v>45918</v>
      </c>
      <c r="Q344" s="46">
        <v>1</v>
      </c>
      <c r="R344" s="47">
        <v>350</v>
      </c>
      <c r="S344" s="34">
        <f t="shared" si="63"/>
        <v>350</v>
      </c>
      <c r="T344" s="34">
        <f t="shared" si="60"/>
        <v>63</v>
      </c>
      <c r="U344" s="34">
        <f t="shared" si="61"/>
        <v>413</v>
      </c>
      <c r="V344" s="34"/>
      <c r="W344" s="23" t="e">
        <v>#N/A</v>
      </c>
    </row>
    <row r="345" spans="1:23" x14ac:dyDescent="0.25">
      <c r="A345" s="31">
        <v>45887.58935185185</v>
      </c>
      <c r="B345" s="32" t="str">
        <f t="shared" si="62"/>
        <v>Aug-25</v>
      </c>
      <c r="C345" s="23" t="s">
        <v>153</v>
      </c>
      <c r="D345" s="23" t="s">
        <v>369</v>
      </c>
      <c r="E345" s="39">
        <v>45646</v>
      </c>
      <c r="F345" s="32">
        <f>IFERROR(DATEDIF(Table1[[#This Row],[MPG Ope Date]],Table1[[#This Row],[L]],"M"),"")</f>
        <v>7</v>
      </c>
      <c r="G345" s="25">
        <v>10140145</v>
      </c>
      <c r="H345" s="25" t="s">
        <v>524</v>
      </c>
      <c r="I345" s="23" t="s">
        <v>481</v>
      </c>
      <c r="J345" s="23">
        <v>7011240629</v>
      </c>
      <c r="K345" s="23" t="s">
        <v>70</v>
      </c>
      <c r="L345" s="25" t="s">
        <v>567</v>
      </c>
      <c r="M345" s="23" t="s">
        <v>131</v>
      </c>
      <c r="N345" s="25" t="s">
        <v>395</v>
      </c>
      <c r="O345" s="32" t="s">
        <v>893</v>
      </c>
      <c r="P345" s="37">
        <v>45918</v>
      </c>
      <c r="Q345" s="46">
        <v>1</v>
      </c>
      <c r="R345" s="48">
        <v>2800</v>
      </c>
      <c r="S345" s="34">
        <f t="shared" si="63"/>
        <v>2800</v>
      </c>
      <c r="T345" s="34">
        <f t="shared" si="60"/>
        <v>504</v>
      </c>
      <c r="U345" s="34">
        <f t="shared" si="61"/>
        <v>3304</v>
      </c>
      <c r="V345" s="34"/>
      <c r="W345" s="23" t="s">
        <v>1005</v>
      </c>
    </row>
    <row r="346" spans="1:23" x14ac:dyDescent="0.25">
      <c r="A346" s="31">
        <v>45887.62090277778</v>
      </c>
      <c r="B346" s="32" t="str">
        <f t="shared" si="62"/>
        <v>Aug-25</v>
      </c>
      <c r="C346" s="23" t="s">
        <v>153</v>
      </c>
      <c r="D346" s="23" t="s">
        <v>369</v>
      </c>
      <c r="E346" s="39">
        <v>45590</v>
      </c>
      <c r="F346" s="32">
        <f>IFERROR(DATEDIF(Table1[[#This Row],[MPG Ope Date]],Table1[[#This Row],[L]],"M"),"")</f>
        <v>9</v>
      </c>
      <c r="G346" s="25">
        <v>10140131</v>
      </c>
      <c r="H346" s="25" t="s">
        <v>413</v>
      </c>
      <c r="I346" s="23" t="s">
        <v>437</v>
      </c>
      <c r="J346" s="23">
        <v>6202993543</v>
      </c>
      <c r="K346" s="23" t="s">
        <v>68</v>
      </c>
      <c r="L346" s="25" t="s">
        <v>465</v>
      </c>
      <c r="M346" s="23" t="s">
        <v>139</v>
      </c>
      <c r="N346" s="25" t="s">
        <v>140</v>
      </c>
      <c r="O346" s="32" t="s">
        <v>893</v>
      </c>
      <c r="P346" s="37">
        <v>45918</v>
      </c>
      <c r="Q346" s="46">
        <v>1</v>
      </c>
      <c r="R346" s="48">
        <v>1266</v>
      </c>
      <c r="S346" s="34">
        <f t="shared" si="63"/>
        <v>1266</v>
      </c>
      <c r="T346" s="34">
        <f t="shared" si="60"/>
        <v>227.88</v>
      </c>
      <c r="U346" s="34">
        <f t="shared" si="61"/>
        <v>1493.88</v>
      </c>
      <c r="V346" s="34"/>
      <c r="W346" s="23" t="s">
        <v>1005</v>
      </c>
    </row>
    <row r="347" spans="1:23" x14ac:dyDescent="0.25">
      <c r="A347" s="31">
        <v>45885.596863425926</v>
      </c>
      <c r="B347" s="32" t="str">
        <f t="shared" si="62"/>
        <v>Aug-25</v>
      </c>
      <c r="C347" s="23" t="s">
        <v>152</v>
      </c>
      <c r="D347" s="23" t="s">
        <v>369</v>
      </c>
      <c r="E347" s="39" t="e">
        <v>#N/A</v>
      </c>
      <c r="F347" s="32" t="str">
        <f>IFERROR(DATEDIF(Table1[[#This Row],[MPG Ope Date]],Table1[[#This Row],[L]],"M"),"")</f>
        <v/>
      </c>
      <c r="G347" s="25">
        <v>20010012</v>
      </c>
      <c r="H347" s="25" t="s">
        <v>544</v>
      </c>
      <c r="I347" s="23" t="s">
        <v>501</v>
      </c>
      <c r="J347" s="23">
        <v>7667400240</v>
      </c>
      <c r="K347" s="23" t="s">
        <v>69</v>
      </c>
      <c r="L347" s="25">
        <v>385968</v>
      </c>
      <c r="M347" s="23" t="s">
        <v>121</v>
      </c>
      <c r="N347" s="25" t="s">
        <v>122</v>
      </c>
      <c r="O347" s="32" t="s">
        <v>894</v>
      </c>
      <c r="P347" s="37">
        <v>45918</v>
      </c>
      <c r="Q347" s="46">
        <v>1</v>
      </c>
      <c r="R347" s="48">
        <v>70</v>
      </c>
      <c r="S347" s="34">
        <f t="shared" si="63"/>
        <v>70</v>
      </c>
      <c r="T347" s="34">
        <f t="shared" si="60"/>
        <v>12.6</v>
      </c>
      <c r="U347" s="34">
        <f t="shared" si="61"/>
        <v>82.6</v>
      </c>
      <c r="V347" s="34"/>
      <c r="W347" s="23" t="e">
        <v>#N/A</v>
      </c>
    </row>
    <row r="348" spans="1:23" x14ac:dyDescent="0.25">
      <c r="A348" s="31">
        <v>45885.544432870367</v>
      </c>
      <c r="B348" s="32" t="str">
        <f t="shared" si="62"/>
        <v>Aug-25</v>
      </c>
      <c r="C348" s="23" t="s">
        <v>153</v>
      </c>
      <c r="D348" s="23" t="s">
        <v>369</v>
      </c>
      <c r="E348" s="39">
        <v>42979</v>
      </c>
      <c r="F348" s="32">
        <f>IFERROR(DATEDIF(Table1[[#This Row],[MPG Ope Date]],Table1[[#This Row],[L]],"M"),"")</f>
        <v>95</v>
      </c>
      <c r="G348" s="25">
        <v>10090006</v>
      </c>
      <c r="H348" s="25" t="s">
        <v>191</v>
      </c>
      <c r="I348" s="23" t="s">
        <v>227</v>
      </c>
      <c r="J348" s="23">
        <v>9304189034</v>
      </c>
      <c r="K348" s="23" t="s">
        <v>69</v>
      </c>
      <c r="L348" s="25">
        <v>210822</v>
      </c>
      <c r="M348" s="23" t="s">
        <v>117</v>
      </c>
      <c r="N348" s="25" t="s">
        <v>472</v>
      </c>
      <c r="O348" s="32" t="s">
        <v>893</v>
      </c>
      <c r="P348" s="37">
        <v>45918</v>
      </c>
      <c r="Q348" s="46">
        <v>1</v>
      </c>
      <c r="R348" s="48">
        <v>770</v>
      </c>
      <c r="S348" s="34">
        <f t="shared" si="63"/>
        <v>770</v>
      </c>
      <c r="T348" s="34">
        <f t="shared" ref="T348:T379" si="64">+S348*0.18</f>
        <v>138.6</v>
      </c>
      <c r="U348" s="34">
        <f t="shared" ref="U348:U379" si="65">+S348+T348</f>
        <v>908.6</v>
      </c>
      <c r="V348" s="34"/>
      <c r="W348" s="23" t="s">
        <v>1005</v>
      </c>
    </row>
    <row r="349" spans="1:23" x14ac:dyDescent="0.25">
      <c r="A349" s="31">
        <v>45883.665995370371</v>
      </c>
      <c r="B349" s="32" t="str">
        <f t="shared" si="62"/>
        <v>Aug-25</v>
      </c>
      <c r="C349" s="23" t="s">
        <v>153</v>
      </c>
      <c r="D349" s="23" t="s">
        <v>369</v>
      </c>
      <c r="E349" s="39">
        <v>42979</v>
      </c>
      <c r="F349" s="32">
        <f>IFERROR(DATEDIF(Table1[[#This Row],[MPG Ope Date]],Table1[[#This Row],[L]],"M"),"")</f>
        <v>95</v>
      </c>
      <c r="G349" s="25">
        <v>10320001</v>
      </c>
      <c r="H349" s="25" t="s">
        <v>545</v>
      </c>
      <c r="I349" s="23" t="s">
        <v>502</v>
      </c>
      <c r="J349" s="23">
        <v>7277687167</v>
      </c>
      <c r="K349" s="23" t="s">
        <v>69</v>
      </c>
      <c r="L349" s="25">
        <v>277240</v>
      </c>
      <c r="M349" s="23" t="s">
        <v>262</v>
      </c>
      <c r="N349" s="25" t="s">
        <v>892</v>
      </c>
      <c r="O349" s="32" t="s">
        <v>893</v>
      </c>
      <c r="P349" s="37">
        <v>45918</v>
      </c>
      <c r="Q349" s="46">
        <v>1</v>
      </c>
      <c r="R349" s="48">
        <v>140</v>
      </c>
      <c r="S349" s="34">
        <f t="shared" si="63"/>
        <v>140</v>
      </c>
      <c r="T349" s="34">
        <f t="shared" si="64"/>
        <v>25.2</v>
      </c>
      <c r="U349" s="34">
        <f t="shared" si="65"/>
        <v>165.2</v>
      </c>
      <c r="V349" s="34"/>
      <c r="W349" s="23" t="s">
        <v>1005</v>
      </c>
    </row>
    <row r="350" spans="1:23" x14ac:dyDescent="0.25">
      <c r="A350" s="31">
        <v>45883.718472222223</v>
      </c>
      <c r="B350" s="32" t="str">
        <f t="shared" si="62"/>
        <v>Aug-25</v>
      </c>
      <c r="C350" s="23" t="s">
        <v>153</v>
      </c>
      <c r="D350" s="23" t="s">
        <v>369</v>
      </c>
      <c r="E350" s="39">
        <v>45049</v>
      </c>
      <c r="F350" s="32">
        <f>IFERROR(DATEDIF(Table1[[#This Row],[MPG Ope Date]],Table1[[#This Row],[L]],"M"),"")</f>
        <v>27</v>
      </c>
      <c r="G350" s="25">
        <v>10060031</v>
      </c>
      <c r="H350" s="25" t="s">
        <v>546</v>
      </c>
      <c r="I350" s="23" t="s">
        <v>503</v>
      </c>
      <c r="J350" s="23">
        <v>9570500064</v>
      </c>
      <c r="K350" s="23" t="s">
        <v>69</v>
      </c>
      <c r="L350" s="25">
        <v>387864</v>
      </c>
      <c r="M350" s="23" t="s">
        <v>475</v>
      </c>
      <c r="N350" s="25" t="s">
        <v>476</v>
      </c>
      <c r="O350" s="32" t="s">
        <v>893</v>
      </c>
      <c r="P350" s="37">
        <v>45918</v>
      </c>
      <c r="Q350" s="46">
        <v>1</v>
      </c>
      <c r="R350" s="48">
        <v>125</v>
      </c>
      <c r="S350" s="34">
        <f t="shared" si="63"/>
        <v>125</v>
      </c>
      <c r="T350" s="34">
        <f t="shared" si="64"/>
        <v>22.5</v>
      </c>
      <c r="U350" s="34">
        <f t="shared" si="65"/>
        <v>147.5</v>
      </c>
      <c r="V350" s="34"/>
      <c r="W350" s="23" t="s">
        <v>1005</v>
      </c>
    </row>
    <row r="351" spans="1:23" x14ac:dyDescent="0.25">
      <c r="A351" s="31">
        <v>45883.718472222223</v>
      </c>
      <c r="B351" s="32" t="str">
        <f t="shared" si="62"/>
        <v>Aug-25</v>
      </c>
      <c r="C351" s="23" t="s">
        <v>153</v>
      </c>
      <c r="D351" s="23" t="s">
        <v>369</v>
      </c>
      <c r="E351" s="39">
        <v>45049</v>
      </c>
      <c r="F351" s="32">
        <f>IFERROR(DATEDIF(Table1[[#This Row],[MPG Ope Date]],Table1[[#This Row],[L]],"M"),"")</f>
        <v>27</v>
      </c>
      <c r="G351" s="25">
        <v>10060031</v>
      </c>
      <c r="H351" s="25" t="s">
        <v>546</v>
      </c>
      <c r="I351" s="23" t="s">
        <v>503</v>
      </c>
      <c r="J351" s="23">
        <v>9570500064</v>
      </c>
      <c r="K351" s="23" t="s">
        <v>69</v>
      </c>
      <c r="L351" s="25">
        <v>387864</v>
      </c>
      <c r="M351" s="23" t="s">
        <v>475</v>
      </c>
      <c r="N351" s="25" t="s">
        <v>476</v>
      </c>
      <c r="O351" s="32" t="s">
        <v>893</v>
      </c>
      <c r="P351" s="37">
        <v>45918</v>
      </c>
      <c r="Q351" s="46">
        <v>1</v>
      </c>
      <c r="R351" s="48">
        <v>125</v>
      </c>
      <c r="S351" s="34">
        <f t="shared" si="63"/>
        <v>125</v>
      </c>
      <c r="T351" s="34">
        <f t="shared" si="64"/>
        <v>22.5</v>
      </c>
      <c r="U351" s="34">
        <f t="shared" si="65"/>
        <v>147.5</v>
      </c>
      <c r="V351" s="34"/>
      <c r="W351" s="23" t="s">
        <v>1005</v>
      </c>
    </row>
    <row r="352" spans="1:23" x14ac:dyDescent="0.25">
      <c r="A352" s="31">
        <v>45883.54760416667</v>
      </c>
      <c r="B352" s="32" t="str">
        <f t="shared" si="62"/>
        <v>Aug-25</v>
      </c>
      <c r="C352" s="23" t="s">
        <v>153</v>
      </c>
      <c r="D352" s="23" t="s">
        <v>369</v>
      </c>
      <c r="E352" s="39">
        <v>44697</v>
      </c>
      <c r="F352" s="32">
        <f>IFERROR(DATEDIF(Table1[[#This Row],[MPG Ope Date]],Table1[[#This Row],[L]],"M"),"")</f>
        <v>38</v>
      </c>
      <c r="G352" s="25">
        <v>10060022</v>
      </c>
      <c r="H352" s="25" t="s">
        <v>547</v>
      </c>
      <c r="I352" s="23" t="s">
        <v>504</v>
      </c>
      <c r="J352" s="23">
        <v>8540013067</v>
      </c>
      <c r="K352" s="23" t="s">
        <v>70</v>
      </c>
      <c r="L352" s="25" t="s">
        <v>594</v>
      </c>
      <c r="M352" s="23" t="s">
        <v>123</v>
      </c>
      <c r="N352" s="25" t="s">
        <v>394</v>
      </c>
      <c r="O352" s="32" t="s">
        <v>893</v>
      </c>
      <c r="P352" s="37">
        <v>45918</v>
      </c>
      <c r="Q352" s="46">
        <v>1</v>
      </c>
      <c r="R352" s="47">
        <v>350</v>
      </c>
      <c r="S352" s="34">
        <f t="shared" si="63"/>
        <v>350</v>
      </c>
      <c r="T352" s="34">
        <f t="shared" si="64"/>
        <v>63</v>
      </c>
      <c r="U352" s="34">
        <f t="shared" si="65"/>
        <v>413</v>
      </c>
      <c r="V352" s="34"/>
      <c r="W352" s="23" t="s">
        <v>1005</v>
      </c>
    </row>
    <row r="353" spans="1:23" x14ac:dyDescent="0.25">
      <c r="A353" s="31">
        <v>45883.547222222223</v>
      </c>
      <c r="B353" s="32" t="str">
        <f t="shared" si="62"/>
        <v>Aug-25</v>
      </c>
      <c r="C353" s="23" t="s">
        <v>153</v>
      </c>
      <c r="D353" s="23" t="s">
        <v>369</v>
      </c>
      <c r="E353" s="39">
        <v>44697</v>
      </c>
      <c r="F353" s="32">
        <f>IFERROR(DATEDIF(Table1[[#This Row],[MPG Ope Date]],Table1[[#This Row],[L]],"M"),"")</f>
        <v>38</v>
      </c>
      <c r="G353" s="25">
        <v>10060022</v>
      </c>
      <c r="H353" s="25" t="s">
        <v>547</v>
      </c>
      <c r="I353" s="23" t="s">
        <v>504</v>
      </c>
      <c r="J353" s="23">
        <v>8540013067</v>
      </c>
      <c r="K353" s="23" t="s">
        <v>68</v>
      </c>
      <c r="L353" s="25" t="s">
        <v>595</v>
      </c>
      <c r="M353" s="23" t="s">
        <v>135</v>
      </c>
      <c r="N353" s="25" t="s">
        <v>396</v>
      </c>
      <c r="O353" s="32" t="s">
        <v>893</v>
      </c>
      <c r="P353" s="37">
        <v>45918</v>
      </c>
      <c r="Q353" s="46">
        <v>1</v>
      </c>
      <c r="R353" s="48">
        <v>825</v>
      </c>
      <c r="S353" s="34">
        <f t="shared" si="63"/>
        <v>825</v>
      </c>
      <c r="T353" s="34">
        <f t="shared" si="64"/>
        <v>148.5</v>
      </c>
      <c r="U353" s="34">
        <f t="shared" si="65"/>
        <v>973.5</v>
      </c>
      <c r="V353" s="34"/>
      <c r="W353" s="23" t="s">
        <v>1005</v>
      </c>
    </row>
    <row r="354" spans="1:23" x14ac:dyDescent="0.25">
      <c r="A354" s="31">
        <v>45881.686006944445</v>
      </c>
      <c r="B354" s="32" t="str">
        <f t="shared" si="62"/>
        <v>Aug-25</v>
      </c>
      <c r="C354" s="23" t="s">
        <v>153</v>
      </c>
      <c r="D354" s="23" t="s">
        <v>369</v>
      </c>
      <c r="E354" s="39">
        <v>45885</v>
      </c>
      <c r="F354" s="32" t="str">
        <f>IFERROR(DATEDIF(Table1[[#This Row],[MPG Ope Date]],Table1[[#This Row],[L]],"M"),"")</f>
        <v/>
      </c>
      <c r="G354" s="25">
        <v>10080106</v>
      </c>
      <c r="H354" s="25" t="s">
        <v>548</v>
      </c>
      <c r="I354" s="23" t="s">
        <v>505</v>
      </c>
      <c r="J354" s="23">
        <v>7563821238</v>
      </c>
      <c r="K354" s="23" t="s">
        <v>69</v>
      </c>
      <c r="L354" s="25">
        <v>382430</v>
      </c>
      <c r="M354" s="23" t="s">
        <v>360</v>
      </c>
      <c r="N354" s="25" t="s">
        <v>361</v>
      </c>
      <c r="O354" s="32" t="s">
        <v>893</v>
      </c>
      <c r="P354" s="37">
        <v>45918</v>
      </c>
      <c r="Q354" s="46">
        <v>1</v>
      </c>
      <c r="R354" s="48">
        <v>44</v>
      </c>
      <c r="S354" s="34">
        <f t="shared" si="63"/>
        <v>44</v>
      </c>
      <c r="T354" s="34">
        <f t="shared" si="64"/>
        <v>7.92</v>
      </c>
      <c r="U354" s="34">
        <f t="shared" si="65"/>
        <v>51.92</v>
      </c>
      <c r="V354" s="34"/>
      <c r="W354" s="23" t="s">
        <v>1005</v>
      </c>
    </row>
    <row r="355" spans="1:23" x14ac:dyDescent="0.25">
      <c r="A355" s="31">
        <v>45881.686006944445</v>
      </c>
      <c r="B355" s="32" t="str">
        <f t="shared" si="62"/>
        <v>Aug-25</v>
      </c>
      <c r="C355" s="23" t="s">
        <v>153</v>
      </c>
      <c r="D355" s="23" t="s">
        <v>369</v>
      </c>
      <c r="E355" s="39">
        <v>45885</v>
      </c>
      <c r="F355" s="32" t="str">
        <f>IFERROR(DATEDIF(Table1[[#This Row],[MPG Ope Date]],Table1[[#This Row],[L]],"M"),"")</f>
        <v/>
      </c>
      <c r="G355" s="25">
        <v>10080106</v>
      </c>
      <c r="H355" s="25" t="s">
        <v>548</v>
      </c>
      <c r="I355" s="23" t="s">
        <v>505</v>
      </c>
      <c r="J355" s="23">
        <v>7563821238</v>
      </c>
      <c r="K355" s="23" t="s">
        <v>69</v>
      </c>
      <c r="L355" s="25">
        <v>382430</v>
      </c>
      <c r="M355" s="23" t="s">
        <v>360</v>
      </c>
      <c r="N355" s="25" t="s">
        <v>361</v>
      </c>
      <c r="O355" s="32" t="s">
        <v>893</v>
      </c>
      <c r="P355" s="37">
        <v>45918</v>
      </c>
      <c r="Q355" s="46">
        <v>1</v>
      </c>
      <c r="R355" s="48">
        <v>44</v>
      </c>
      <c r="S355" s="34">
        <f t="shared" si="63"/>
        <v>44</v>
      </c>
      <c r="T355" s="34">
        <f t="shared" si="64"/>
        <v>7.92</v>
      </c>
      <c r="U355" s="34">
        <f t="shared" si="65"/>
        <v>51.92</v>
      </c>
      <c r="V355" s="34"/>
      <c r="W355" s="23" t="s">
        <v>1005</v>
      </c>
    </row>
    <row r="356" spans="1:23" x14ac:dyDescent="0.25">
      <c r="A356" s="31">
        <v>45881.686006944445</v>
      </c>
      <c r="B356" s="32" t="str">
        <f t="shared" si="62"/>
        <v>Aug-25</v>
      </c>
      <c r="C356" s="23" t="s">
        <v>153</v>
      </c>
      <c r="D356" s="23" t="s">
        <v>369</v>
      </c>
      <c r="E356" s="39">
        <v>45885</v>
      </c>
      <c r="F356" s="32" t="str">
        <f>IFERROR(DATEDIF(Table1[[#This Row],[MPG Ope Date]],Table1[[#This Row],[L]],"M"),"")</f>
        <v/>
      </c>
      <c r="G356" s="25">
        <v>10080106</v>
      </c>
      <c r="H356" s="25" t="s">
        <v>548</v>
      </c>
      <c r="I356" s="23" t="s">
        <v>505</v>
      </c>
      <c r="J356" s="23">
        <v>7563821238</v>
      </c>
      <c r="K356" s="23" t="s">
        <v>69</v>
      </c>
      <c r="L356" s="25">
        <v>382430</v>
      </c>
      <c r="M356" s="23" t="s">
        <v>119</v>
      </c>
      <c r="N356" s="25" t="s">
        <v>120</v>
      </c>
      <c r="O356" s="32" t="s">
        <v>893</v>
      </c>
      <c r="P356" s="37">
        <v>45918</v>
      </c>
      <c r="Q356" s="46">
        <v>1</v>
      </c>
      <c r="R356" s="48">
        <v>84</v>
      </c>
      <c r="S356" s="34">
        <f t="shared" si="63"/>
        <v>84</v>
      </c>
      <c r="T356" s="34">
        <f t="shared" si="64"/>
        <v>15.12</v>
      </c>
      <c r="U356" s="34">
        <f t="shared" si="65"/>
        <v>99.12</v>
      </c>
      <c r="V356" s="34"/>
      <c r="W356" s="23" t="s">
        <v>1005</v>
      </c>
    </row>
    <row r="357" spans="1:23" x14ac:dyDescent="0.25">
      <c r="A357" s="31">
        <v>45881.686006944445</v>
      </c>
      <c r="B357" s="32" t="str">
        <f t="shared" si="62"/>
        <v>Aug-25</v>
      </c>
      <c r="C357" s="23" t="s">
        <v>153</v>
      </c>
      <c r="D357" s="23" t="s">
        <v>369</v>
      </c>
      <c r="E357" s="39">
        <v>45885</v>
      </c>
      <c r="F357" s="32" t="str">
        <f>IFERROR(DATEDIF(Table1[[#This Row],[MPG Ope Date]],Table1[[#This Row],[L]],"M"),"")</f>
        <v/>
      </c>
      <c r="G357" s="25">
        <v>10080106</v>
      </c>
      <c r="H357" s="25" t="s">
        <v>548</v>
      </c>
      <c r="I357" s="23" t="s">
        <v>505</v>
      </c>
      <c r="J357" s="23">
        <v>7563821238</v>
      </c>
      <c r="K357" s="23" t="s">
        <v>69</v>
      </c>
      <c r="L357" s="25">
        <v>382430</v>
      </c>
      <c r="M357" s="23" t="s">
        <v>121</v>
      </c>
      <c r="N357" s="25" t="s">
        <v>122</v>
      </c>
      <c r="O357" s="32" t="s">
        <v>893</v>
      </c>
      <c r="P357" s="37">
        <v>45918</v>
      </c>
      <c r="Q357" s="46">
        <v>1</v>
      </c>
      <c r="R357" s="48">
        <v>70</v>
      </c>
      <c r="S357" s="34">
        <f t="shared" si="63"/>
        <v>70</v>
      </c>
      <c r="T357" s="34">
        <f t="shared" si="64"/>
        <v>12.6</v>
      </c>
      <c r="U357" s="34">
        <f t="shared" si="65"/>
        <v>82.6</v>
      </c>
      <c r="V357" s="34"/>
      <c r="W357" s="23" t="s">
        <v>1005</v>
      </c>
    </row>
    <row r="358" spans="1:23" x14ac:dyDescent="0.25">
      <c r="A358" s="31">
        <v>45881.6875462963</v>
      </c>
      <c r="B358" s="32" t="str">
        <f t="shared" si="62"/>
        <v>Aug-25</v>
      </c>
      <c r="C358" s="23" t="s">
        <v>153</v>
      </c>
      <c r="D358" s="23" t="s">
        <v>369</v>
      </c>
      <c r="E358" s="39">
        <v>45205</v>
      </c>
      <c r="F358" s="32">
        <f>IFERROR(DATEDIF(Table1[[#This Row],[MPG Ope Date]],Table1[[#This Row],[L]],"M"),"")</f>
        <v>22</v>
      </c>
      <c r="G358" s="25">
        <v>10080055</v>
      </c>
      <c r="H358" s="25" t="s">
        <v>549</v>
      </c>
      <c r="I358" s="23" t="s">
        <v>506</v>
      </c>
      <c r="J358" s="23">
        <v>6299308278</v>
      </c>
      <c r="K358" s="23" t="s">
        <v>69</v>
      </c>
      <c r="L358" s="25">
        <v>382427</v>
      </c>
      <c r="M358" s="23" t="s">
        <v>360</v>
      </c>
      <c r="N358" s="25" t="s">
        <v>361</v>
      </c>
      <c r="O358" s="32" t="s">
        <v>893</v>
      </c>
      <c r="P358" s="37">
        <v>45918</v>
      </c>
      <c r="Q358" s="46">
        <v>1</v>
      </c>
      <c r="R358" s="48">
        <v>44</v>
      </c>
      <c r="S358" s="34">
        <f t="shared" si="63"/>
        <v>44</v>
      </c>
      <c r="T358" s="34">
        <f t="shared" si="64"/>
        <v>7.92</v>
      </c>
      <c r="U358" s="34">
        <f t="shared" si="65"/>
        <v>51.92</v>
      </c>
      <c r="V358" s="34"/>
      <c r="W358" s="23" t="s">
        <v>1005</v>
      </c>
    </row>
    <row r="359" spans="1:23" x14ac:dyDescent="0.25">
      <c r="A359" s="31">
        <v>45881.6875462963</v>
      </c>
      <c r="B359" s="32" t="str">
        <f t="shared" si="62"/>
        <v>Aug-25</v>
      </c>
      <c r="C359" s="23" t="s">
        <v>153</v>
      </c>
      <c r="D359" s="23" t="s">
        <v>369</v>
      </c>
      <c r="E359" s="39">
        <v>45205</v>
      </c>
      <c r="F359" s="32">
        <f>IFERROR(DATEDIF(Table1[[#This Row],[MPG Ope Date]],Table1[[#This Row],[L]],"M"),"")</f>
        <v>22</v>
      </c>
      <c r="G359" s="25">
        <v>10080055</v>
      </c>
      <c r="H359" s="25" t="s">
        <v>549</v>
      </c>
      <c r="I359" s="23" t="s">
        <v>506</v>
      </c>
      <c r="J359" s="23">
        <v>6299308278</v>
      </c>
      <c r="K359" s="23" t="s">
        <v>69</v>
      </c>
      <c r="L359" s="25">
        <v>382427</v>
      </c>
      <c r="M359" s="23" t="s">
        <v>360</v>
      </c>
      <c r="N359" s="25" t="s">
        <v>361</v>
      </c>
      <c r="O359" s="32" t="s">
        <v>893</v>
      </c>
      <c r="P359" s="37">
        <v>45918</v>
      </c>
      <c r="Q359" s="46">
        <v>1</v>
      </c>
      <c r="R359" s="48">
        <v>44</v>
      </c>
      <c r="S359" s="34">
        <f t="shared" si="63"/>
        <v>44</v>
      </c>
      <c r="T359" s="34">
        <f t="shared" si="64"/>
        <v>7.92</v>
      </c>
      <c r="U359" s="34">
        <f t="shared" si="65"/>
        <v>51.92</v>
      </c>
      <c r="V359" s="34"/>
      <c r="W359" s="23" t="s">
        <v>1005</v>
      </c>
    </row>
    <row r="360" spans="1:23" x14ac:dyDescent="0.25">
      <c r="A360" s="31">
        <v>45881.6875462963</v>
      </c>
      <c r="B360" s="32" t="str">
        <f t="shared" si="62"/>
        <v>Aug-25</v>
      </c>
      <c r="C360" s="23" t="s">
        <v>153</v>
      </c>
      <c r="D360" s="23" t="s">
        <v>369</v>
      </c>
      <c r="E360" s="39">
        <v>45205</v>
      </c>
      <c r="F360" s="32">
        <f>IFERROR(DATEDIF(Table1[[#This Row],[MPG Ope Date]],Table1[[#This Row],[L]],"M"),"")</f>
        <v>22</v>
      </c>
      <c r="G360" s="25">
        <v>10080055</v>
      </c>
      <c r="H360" s="25" t="s">
        <v>549</v>
      </c>
      <c r="I360" s="23" t="s">
        <v>506</v>
      </c>
      <c r="J360" s="23">
        <v>6299308278</v>
      </c>
      <c r="K360" s="23" t="s">
        <v>69</v>
      </c>
      <c r="L360" s="25">
        <v>382427</v>
      </c>
      <c r="M360" s="23" t="s">
        <v>119</v>
      </c>
      <c r="N360" s="25" t="s">
        <v>120</v>
      </c>
      <c r="O360" s="32" t="s">
        <v>893</v>
      </c>
      <c r="P360" s="37">
        <v>45918</v>
      </c>
      <c r="Q360" s="46">
        <v>1</v>
      </c>
      <c r="R360" s="48">
        <v>84</v>
      </c>
      <c r="S360" s="34">
        <f t="shared" si="63"/>
        <v>84</v>
      </c>
      <c r="T360" s="34">
        <f t="shared" si="64"/>
        <v>15.12</v>
      </c>
      <c r="U360" s="34">
        <f t="shared" si="65"/>
        <v>99.12</v>
      </c>
      <c r="V360" s="34"/>
      <c r="W360" s="23" t="s">
        <v>1005</v>
      </c>
    </row>
    <row r="361" spans="1:23" x14ac:dyDescent="0.25">
      <c r="A361" s="31">
        <v>45870.398888888885</v>
      </c>
      <c r="B361" s="32" t="str">
        <f t="shared" si="62"/>
        <v>Aug-25</v>
      </c>
      <c r="C361" s="23" t="s">
        <v>153</v>
      </c>
      <c r="D361" s="23" t="s">
        <v>0</v>
      </c>
      <c r="E361" s="39" t="e">
        <v>#N/A</v>
      </c>
      <c r="F361" s="32" t="str">
        <f>IFERROR(DATEDIF(Table1[[#This Row],[MPG Ope Date]],Table1[[#This Row],[L]],"M"),"")</f>
        <v/>
      </c>
      <c r="G361" s="36">
        <v>1001</v>
      </c>
      <c r="H361" s="25" t="s">
        <v>25</v>
      </c>
      <c r="I361" s="23" t="s">
        <v>59</v>
      </c>
      <c r="J361" s="23">
        <v>9354051773</v>
      </c>
      <c r="K361" s="23" t="s">
        <v>68</v>
      </c>
      <c r="L361" s="25" t="s">
        <v>596</v>
      </c>
      <c r="M361" s="23" t="s">
        <v>133</v>
      </c>
      <c r="N361" s="25" t="s">
        <v>478</v>
      </c>
      <c r="O361" s="32" t="s">
        <v>893</v>
      </c>
      <c r="P361" s="37">
        <v>45918</v>
      </c>
      <c r="Q361" s="46">
        <v>1</v>
      </c>
      <c r="R361" s="48">
        <v>2080</v>
      </c>
      <c r="S361" s="34">
        <f t="shared" si="63"/>
        <v>2080</v>
      </c>
      <c r="T361" s="34">
        <f t="shared" si="64"/>
        <v>374.4</v>
      </c>
      <c r="U361" s="34">
        <f t="shared" si="65"/>
        <v>2454.4</v>
      </c>
      <c r="V361" s="34"/>
      <c r="W361" s="23" t="e">
        <v>#N/A</v>
      </c>
    </row>
    <row r="362" spans="1:23" x14ac:dyDescent="0.25">
      <c r="A362" s="31">
        <v>45870.632141203707</v>
      </c>
      <c r="B362" s="32" t="str">
        <f t="shared" si="62"/>
        <v>Aug-25</v>
      </c>
      <c r="C362" s="23" t="s">
        <v>153</v>
      </c>
      <c r="D362" s="23" t="s">
        <v>369</v>
      </c>
      <c r="E362" s="39">
        <v>44986</v>
      </c>
      <c r="F362" s="32">
        <f>IFERROR(DATEDIF(Table1[[#This Row],[MPG Ope Date]],Table1[[#This Row],[L]],"M"),"")</f>
        <v>29</v>
      </c>
      <c r="G362" s="25">
        <v>10020041</v>
      </c>
      <c r="H362" s="25" t="s">
        <v>550</v>
      </c>
      <c r="I362" s="23" t="s">
        <v>507</v>
      </c>
      <c r="J362" s="23">
        <v>6201219671</v>
      </c>
      <c r="K362" s="23" t="s">
        <v>69</v>
      </c>
      <c r="L362" s="25">
        <v>368513</v>
      </c>
      <c r="M362" s="23" t="s">
        <v>117</v>
      </c>
      <c r="N362" s="25" t="s">
        <v>472</v>
      </c>
      <c r="O362" s="32" t="s">
        <v>893</v>
      </c>
      <c r="P362" s="37">
        <v>45918</v>
      </c>
      <c r="Q362" s="46">
        <v>1</v>
      </c>
      <c r="R362" s="48">
        <v>770</v>
      </c>
      <c r="S362" s="34">
        <f t="shared" si="63"/>
        <v>770</v>
      </c>
      <c r="T362" s="34">
        <f t="shared" si="64"/>
        <v>138.6</v>
      </c>
      <c r="U362" s="34">
        <f t="shared" si="65"/>
        <v>908.6</v>
      </c>
      <c r="V362" s="34"/>
      <c r="W362" s="23" t="s">
        <v>1005</v>
      </c>
    </row>
    <row r="363" spans="1:23" x14ac:dyDescent="0.25">
      <c r="A363" s="31">
        <v>45870.630300925928</v>
      </c>
      <c r="B363" s="32" t="str">
        <f t="shared" si="62"/>
        <v>Aug-25</v>
      </c>
      <c r="C363" s="23" t="s">
        <v>153</v>
      </c>
      <c r="D363" s="23" t="s">
        <v>369</v>
      </c>
      <c r="E363" s="39">
        <v>42979</v>
      </c>
      <c r="F363" s="32">
        <f>IFERROR(DATEDIF(Table1[[#This Row],[MPG Ope Date]],Table1[[#This Row],[L]],"M"),"")</f>
        <v>95</v>
      </c>
      <c r="G363" s="25">
        <v>10020002</v>
      </c>
      <c r="H363" s="25" t="s">
        <v>551</v>
      </c>
      <c r="I363" s="23" t="s">
        <v>508</v>
      </c>
      <c r="J363" s="23">
        <v>8581963017</v>
      </c>
      <c r="K363" s="23" t="s">
        <v>68</v>
      </c>
      <c r="L363" s="25" t="s">
        <v>597</v>
      </c>
      <c r="M363" s="23" t="s">
        <v>113</v>
      </c>
      <c r="N363" s="25" t="s">
        <v>114</v>
      </c>
      <c r="O363" s="32" t="s">
        <v>893</v>
      </c>
      <c r="P363" s="37">
        <v>45918</v>
      </c>
      <c r="Q363" s="46">
        <v>1</v>
      </c>
      <c r="R363" s="48">
        <v>225</v>
      </c>
      <c r="S363" s="34">
        <f t="shared" si="63"/>
        <v>225</v>
      </c>
      <c r="T363" s="34">
        <f t="shared" si="64"/>
        <v>40.5</v>
      </c>
      <c r="U363" s="34">
        <f t="shared" si="65"/>
        <v>265.5</v>
      </c>
      <c r="V363" s="34"/>
      <c r="W363" s="23" t="s">
        <v>1005</v>
      </c>
    </row>
    <row r="364" spans="1:23" x14ac:dyDescent="0.25">
      <c r="A364" s="31">
        <v>45881.6327662037</v>
      </c>
      <c r="B364" s="32" t="str">
        <f t="shared" si="62"/>
        <v>Aug-25</v>
      </c>
      <c r="C364" s="23" t="s">
        <v>153</v>
      </c>
      <c r="D364" s="23" t="s">
        <v>369</v>
      </c>
      <c r="E364" s="39">
        <v>45323</v>
      </c>
      <c r="F364" s="32">
        <f>IFERROR(DATEDIF(Table1[[#This Row],[MPG Ope Date]],Table1[[#This Row],[L]],"M"),"")</f>
        <v>18</v>
      </c>
      <c r="G364" s="25">
        <v>10120065</v>
      </c>
      <c r="H364" s="25" t="s">
        <v>552</v>
      </c>
      <c r="I364" s="23" t="s">
        <v>509</v>
      </c>
      <c r="J364" s="23">
        <v>6204070405</v>
      </c>
      <c r="K364" s="23" t="s">
        <v>68</v>
      </c>
      <c r="L364" s="25" t="s">
        <v>598</v>
      </c>
      <c r="M364" s="23" t="s">
        <v>133</v>
      </c>
      <c r="N364" s="25" t="s">
        <v>397</v>
      </c>
      <c r="O364" s="32" t="s">
        <v>893</v>
      </c>
      <c r="P364" s="37">
        <v>45918</v>
      </c>
      <c r="Q364" s="46">
        <v>1</v>
      </c>
      <c r="R364" s="48">
        <v>2080</v>
      </c>
      <c r="S364" s="34">
        <f t="shared" si="63"/>
        <v>2080</v>
      </c>
      <c r="T364" s="34">
        <f t="shared" si="64"/>
        <v>374.4</v>
      </c>
      <c r="U364" s="34">
        <f t="shared" si="65"/>
        <v>2454.4</v>
      </c>
      <c r="V364" s="34"/>
      <c r="W364" s="23" t="s">
        <v>1006</v>
      </c>
    </row>
    <row r="365" spans="1:23" x14ac:dyDescent="0.25">
      <c r="A365" s="31">
        <v>45881.634872685187</v>
      </c>
      <c r="B365" s="32" t="str">
        <f t="shared" si="62"/>
        <v>Aug-25</v>
      </c>
      <c r="C365" s="23" t="s">
        <v>153</v>
      </c>
      <c r="D365" s="23" t="s">
        <v>369</v>
      </c>
      <c r="E365" s="39">
        <v>45793</v>
      </c>
      <c r="F365" s="32">
        <f>IFERROR(DATEDIF(Table1[[#This Row],[MPG Ope Date]],Table1[[#This Row],[L]],"M"),"")</f>
        <v>2</v>
      </c>
      <c r="G365" s="25">
        <v>10120104</v>
      </c>
      <c r="H365" s="25" t="s">
        <v>290</v>
      </c>
      <c r="I365" s="23" t="s">
        <v>322</v>
      </c>
      <c r="J365" s="23">
        <v>7079418432</v>
      </c>
      <c r="K365" s="23" t="s">
        <v>70</v>
      </c>
      <c r="L365" s="25" t="s">
        <v>599</v>
      </c>
      <c r="M365" s="23" t="s">
        <v>123</v>
      </c>
      <c r="N365" s="25" t="s">
        <v>394</v>
      </c>
      <c r="O365" s="32" t="s">
        <v>893</v>
      </c>
      <c r="P365" s="37">
        <v>45918</v>
      </c>
      <c r="Q365" s="46">
        <v>1</v>
      </c>
      <c r="R365" s="47">
        <v>350</v>
      </c>
      <c r="S365" s="34">
        <f t="shared" si="63"/>
        <v>350</v>
      </c>
      <c r="T365" s="34">
        <f t="shared" si="64"/>
        <v>63</v>
      </c>
      <c r="U365" s="34">
        <f t="shared" si="65"/>
        <v>413</v>
      </c>
      <c r="V365" s="34"/>
      <c r="W365" s="23" t="s">
        <v>1005</v>
      </c>
    </row>
    <row r="366" spans="1:23" x14ac:dyDescent="0.25">
      <c r="A366" s="31">
        <v>45881.633784722224</v>
      </c>
      <c r="B366" s="32" t="str">
        <f t="shared" si="62"/>
        <v>Aug-25</v>
      </c>
      <c r="C366" s="23" t="s">
        <v>153</v>
      </c>
      <c r="D366" s="23" t="s">
        <v>369</v>
      </c>
      <c r="E366" s="39">
        <v>45666</v>
      </c>
      <c r="F366" s="32">
        <f>IFERROR(DATEDIF(Table1[[#This Row],[MPG Ope Date]],Table1[[#This Row],[L]],"M"),"")</f>
        <v>7</v>
      </c>
      <c r="G366" s="25">
        <v>10120094</v>
      </c>
      <c r="H366" s="25" t="s">
        <v>187</v>
      </c>
      <c r="I366" s="23" t="s">
        <v>223</v>
      </c>
      <c r="J366" s="23">
        <v>9939074043</v>
      </c>
      <c r="K366" s="23" t="s">
        <v>68</v>
      </c>
      <c r="L366" s="25" t="s">
        <v>101</v>
      </c>
      <c r="M366" s="23" t="s">
        <v>111</v>
      </c>
      <c r="N366" s="25" t="s">
        <v>112</v>
      </c>
      <c r="O366" s="32" t="s">
        <v>893</v>
      </c>
      <c r="P366" s="37">
        <v>45918</v>
      </c>
      <c r="Q366" s="46">
        <v>1</v>
      </c>
      <c r="R366" s="47">
        <v>360</v>
      </c>
      <c r="S366" s="34">
        <f t="shared" si="63"/>
        <v>360</v>
      </c>
      <c r="T366" s="34">
        <f t="shared" si="64"/>
        <v>64.8</v>
      </c>
      <c r="U366" s="34">
        <f t="shared" si="65"/>
        <v>424.8</v>
      </c>
      <c r="V366" s="34"/>
      <c r="W366" s="23" t="s">
        <v>1005</v>
      </c>
    </row>
    <row r="367" spans="1:23" x14ac:dyDescent="0.25">
      <c r="A367" s="31">
        <v>45880.498807870368</v>
      </c>
      <c r="B367" s="32" t="str">
        <f t="shared" si="62"/>
        <v>Aug-25</v>
      </c>
      <c r="C367" s="23" t="s">
        <v>153</v>
      </c>
      <c r="D367" s="23" t="s">
        <v>369</v>
      </c>
      <c r="E367" s="39">
        <v>44982</v>
      </c>
      <c r="F367" s="32">
        <f>IFERROR(DATEDIF(Table1[[#This Row],[MPG Ope Date]],Table1[[#This Row],[L]],"M"),"")</f>
        <v>29</v>
      </c>
      <c r="G367" s="25">
        <v>10130026</v>
      </c>
      <c r="H367" s="25" t="s">
        <v>181</v>
      </c>
      <c r="I367" s="23" t="s">
        <v>217</v>
      </c>
      <c r="J367" s="23">
        <v>9546230615</v>
      </c>
      <c r="K367" s="23" t="s">
        <v>71</v>
      </c>
      <c r="L367" s="25" t="s">
        <v>600</v>
      </c>
      <c r="M367" s="23" t="s">
        <v>141</v>
      </c>
      <c r="N367" s="25" t="s">
        <v>142</v>
      </c>
      <c r="O367" s="32" t="s">
        <v>893</v>
      </c>
      <c r="P367" s="37">
        <v>45918</v>
      </c>
      <c r="Q367" s="46">
        <v>1</v>
      </c>
      <c r="R367" s="48">
        <v>900</v>
      </c>
      <c r="S367" s="34">
        <f t="shared" si="63"/>
        <v>900</v>
      </c>
      <c r="T367" s="34">
        <f t="shared" si="64"/>
        <v>162</v>
      </c>
      <c r="U367" s="34">
        <f t="shared" si="65"/>
        <v>1062</v>
      </c>
      <c r="V367" s="34"/>
      <c r="W367" s="23" t="s">
        <v>1005</v>
      </c>
    </row>
    <row r="368" spans="1:23" x14ac:dyDescent="0.25">
      <c r="A368" s="31">
        <v>45878.698391203703</v>
      </c>
      <c r="B368" s="32" t="str">
        <f t="shared" si="62"/>
        <v>Aug-25</v>
      </c>
      <c r="C368" s="23" t="s">
        <v>153</v>
      </c>
      <c r="D368" s="23" t="s">
        <v>369</v>
      </c>
      <c r="E368" s="39">
        <v>45590</v>
      </c>
      <c r="F368" s="32">
        <f>IFERROR(DATEDIF(Table1[[#This Row],[MPG Ope Date]],Table1[[#This Row],[L]],"M"),"")</f>
        <v>9</v>
      </c>
      <c r="G368" s="25">
        <v>10140129</v>
      </c>
      <c r="H368" s="25" t="s">
        <v>280</v>
      </c>
      <c r="I368" s="23" t="s">
        <v>312</v>
      </c>
      <c r="J368" s="23">
        <v>9931327599</v>
      </c>
      <c r="K368" s="23" t="s">
        <v>69</v>
      </c>
      <c r="L368" s="25">
        <v>360516</v>
      </c>
      <c r="M368" s="23" t="s">
        <v>264</v>
      </c>
      <c r="N368" s="25" t="s">
        <v>477</v>
      </c>
      <c r="O368" s="32" t="s">
        <v>893</v>
      </c>
      <c r="P368" s="37">
        <v>45918</v>
      </c>
      <c r="Q368" s="46">
        <v>1</v>
      </c>
      <c r="R368" s="48">
        <v>790</v>
      </c>
      <c r="S368" s="34">
        <f t="shared" si="63"/>
        <v>790</v>
      </c>
      <c r="T368" s="34">
        <f t="shared" si="64"/>
        <v>142.19999999999999</v>
      </c>
      <c r="U368" s="34">
        <f t="shared" si="65"/>
        <v>932.2</v>
      </c>
      <c r="V368" s="34"/>
      <c r="W368" s="23" t="s">
        <v>1005</v>
      </c>
    </row>
    <row r="369" spans="1:23" x14ac:dyDescent="0.25">
      <c r="A369" s="31">
        <v>45870.70621527778</v>
      </c>
      <c r="B369" s="32" t="str">
        <f t="shared" si="62"/>
        <v>Aug-25</v>
      </c>
      <c r="C369" s="23" t="s">
        <v>153</v>
      </c>
      <c r="D369" s="23" t="s">
        <v>0</v>
      </c>
      <c r="E369" s="39" t="e">
        <v>#N/A</v>
      </c>
      <c r="F369" s="32" t="str">
        <f>IFERROR(DATEDIF(Table1[[#This Row],[MPG Ope Date]],Table1[[#This Row],[L]],"M"),"")</f>
        <v/>
      </c>
      <c r="G369" s="36">
        <v>1013</v>
      </c>
      <c r="H369" s="25" t="s">
        <v>162</v>
      </c>
      <c r="I369" s="23" t="s">
        <v>199</v>
      </c>
      <c r="J369" s="23">
        <v>9608956246</v>
      </c>
      <c r="K369" s="23" t="s">
        <v>68</v>
      </c>
      <c r="L369" s="25" t="s">
        <v>467</v>
      </c>
      <c r="M369" s="23" t="s">
        <v>260</v>
      </c>
      <c r="N369" s="25" t="s">
        <v>479</v>
      </c>
      <c r="O369" s="32" t="s">
        <v>893</v>
      </c>
      <c r="P369" s="37">
        <v>45918</v>
      </c>
      <c r="Q369" s="46">
        <v>1</v>
      </c>
      <c r="R369" s="48">
        <v>2080</v>
      </c>
      <c r="S369" s="34">
        <f t="shared" si="63"/>
        <v>2080</v>
      </c>
      <c r="T369" s="34">
        <f t="shared" si="64"/>
        <v>374.4</v>
      </c>
      <c r="U369" s="34">
        <f t="shared" si="65"/>
        <v>2454.4</v>
      </c>
      <c r="V369" s="34"/>
      <c r="W369" s="23" t="e">
        <v>#N/A</v>
      </c>
    </row>
    <row r="370" spans="1:23" x14ac:dyDescent="0.25">
      <c r="A370" s="31">
        <v>45870.70621527778</v>
      </c>
      <c r="B370" s="32" t="str">
        <f t="shared" si="62"/>
        <v>Aug-25</v>
      </c>
      <c r="C370" s="23" t="s">
        <v>153</v>
      </c>
      <c r="D370" s="23" t="s">
        <v>0</v>
      </c>
      <c r="E370" s="39" t="e">
        <v>#N/A</v>
      </c>
      <c r="F370" s="32" t="str">
        <f>IFERROR(DATEDIF(Table1[[#This Row],[MPG Ope Date]],Table1[[#This Row],[L]],"M"),"")</f>
        <v/>
      </c>
      <c r="G370" s="36">
        <v>1013</v>
      </c>
      <c r="H370" s="25" t="s">
        <v>162</v>
      </c>
      <c r="I370" s="23" t="s">
        <v>199</v>
      </c>
      <c r="J370" s="23">
        <v>9608956246</v>
      </c>
      <c r="K370" s="23" t="s">
        <v>68</v>
      </c>
      <c r="L370" s="25" t="s">
        <v>467</v>
      </c>
      <c r="M370" s="23" t="s">
        <v>258</v>
      </c>
      <c r="N370" s="25" t="s">
        <v>259</v>
      </c>
      <c r="O370" s="32" t="s">
        <v>893</v>
      </c>
      <c r="P370" s="37">
        <v>45918</v>
      </c>
      <c r="Q370" s="46">
        <v>1</v>
      </c>
      <c r="R370" s="48">
        <v>788</v>
      </c>
      <c r="S370" s="34">
        <f t="shared" si="63"/>
        <v>788</v>
      </c>
      <c r="T370" s="34">
        <f t="shared" si="64"/>
        <v>141.84</v>
      </c>
      <c r="U370" s="34">
        <f t="shared" si="65"/>
        <v>929.84</v>
      </c>
      <c r="V370" s="34"/>
      <c r="W370" s="23" t="e">
        <v>#N/A</v>
      </c>
    </row>
    <row r="371" spans="1:23" x14ac:dyDescent="0.25">
      <c r="A371" s="31">
        <v>45870.647245370368</v>
      </c>
      <c r="B371" s="32" t="str">
        <f t="shared" si="62"/>
        <v>Aug-25</v>
      </c>
      <c r="C371" s="23" t="s">
        <v>153</v>
      </c>
      <c r="D371" s="23" t="s">
        <v>369</v>
      </c>
      <c r="E371" s="39">
        <v>44123</v>
      </c>
      <c r="F371" s="32">
        <f>IFERROR(DATEDIF(Table1[[#This Row],[MPG Ope Date]],Table1[[#This Row],[L]],"M"),"")</f>
        <v>57</v>
      </c>
      <c r="G371" s="25">
        <v>10130013</v>
      </c>
      <c r="H371" s="25" t="s">
        <v>178</v>
      </c>
      <c r="I371" s="23" t="s">
        <v>212</v>
      </c>
      <c r="J371" s="23">
        <v>8582040558</v>
      </c>
      <c r="K371" s="23" t="s">
        <v>69</v>
      </c>
      <c r="L371" s="25">
        <v>310437</v>
      </c>
      <c r="M371" s="23" t="s">
        <v>121</v>
      </c>
      <c r="N371" s="25" t="s">
        <v>122</v>
      </c>
      <c r="O371" s="32" t="s">
        <v>893</v>
      </c>
      <c r="P371" s="37">
        <v>45918</v>
      </c>
      <c r="Q371" s="46">
        <v>1</v>
      </c>
      <c r="R371" s="48">
        <v>70</v>
      </c>
      <c r="S371" s="34">
        <f t="shared" si="63"/>
        <v>70</v>
      </c>
      <c r="T371" s="34">
        <f t="shared" si="64"/>
        <v>12.6</v>
      </c>
      <c r="U371" s="34">
        <f t="shared" si="65"/>
        <v>82.6</v>
      </c>
      <c r="V371" s="34"/>
      <c r="W371" s="23" t="s">
        <v>1007</v>
      </c>
    </row>
    <row r="372" spans="1:23" x14ac:dyDescent="0.25">
      <c r="A372" s="31">
        <v>45870.647245370368</v>
      </c>
      <c r="B372" s="32" t="str">
        <f t="shared" si="62"/>
        <v>Aug-25</v>
      </c>
      <c r="C372" s="23" t="s">
        <v>153</v>
      </c>
      <c r="D372" s="23" t="s">
        <v>369</v>
      </c>
      <c r="E372" s="39">
        <v>44123</v>
      </c>
      <c r="F372" s="32">
        <f>IFERROR(DATEDIF(Table1[[#This Row],[MPG Ope Date]],Table1[[#This Row],[L]],"M"),"")</f>
        <v>57</v>
      </c>
      <c r="G372" s="25">
        <v>10130013</v>
      </c>
      <c r="H372" s="25" t="s">
        <v>178</v>
      </c>
      <c r="I372" s="23" t="s">
        <v>212</v>
      </c>
      <c r="J372" s="23">
        <v>8582040558</v>
      </c>
      <c r="K372" s="23" t="s">
        <v>69</v>
      </c>
      <c r="L372" s="25">
        <v>310437</v>
      </c>
      <c r="M372" s="23" t="s">
        <v>121</v>
      </c>
      <c r="N372" s="25" t="s">
        <v>122</v>
      </c>
      <c r="O372" s="32" t="s">
        <v>893</v>
      </c>
      <c r="P372" s="37">
        <v>45918</v>
      </c>
      <c r="Q372" s="46">
        <v>1</v>
      </c>
      <c r="R372" s="48">
        <v>70</v>
      </c>
      <c r="S372" s="34">
        <f t="shared" si="63"/>
        <v>70</v>
      </c>
      <c r="T372" s="34">
        <f t="shared" si="64"/>
        <v>12.6</v>
      </c>
      <c r="U372" s="34">
        <f t="shared" si="65"/>
        <v>82.6</v>
      </c>
      <c r="V372" s="34"/>
      <c r="W372" s="23" t="s">
        <v>1007</v>
      </c>
    </row>
    <row r="373" spans="1:23" x14ac:dyDescent="0.25">
      <c r="A373" s="31">
        <v>45870.647245370368</v>
      </c>
      <c r="B373" s="32" t="str">
        <f t="shared" si="62"/>
        <v>Aug-25</v>
      </c>
      <c r="C373" s="23" t="s">
        <v>153</v>
      </c>
      <c r="D373" s="23" t="s">
        <v>369</v>
      </c>
      <c r="E373" s="39">
        <v>44123</v>
      </c>
      <c r="F373" s="32">
        <f>IFERROR(DATEDIF(Table1[[#This Row],[MPG Ope Date]],Table1[[#This Row],[L]],"M"),"")</f>
        <v>57</v>
      </c>
      <c r="G373" s="25">
        <v>10130013</v>
      </c>
      <c r="H373" s="25" t="s">
        <v>178</v>
      </c>
      <c r="I373" s="23" t="s">
        <v>212</v>
      </c>
      <c r="J373" s="23">
        <v>8582040558</v>
      </c>
      <c r="K373" s="23" t="s">
        <v>69</v>
      </c>
      <c r="L373" s="25">
        <v>310437</v>
      </c>
      <c r="M373" s="23" t="s">
        <v>119</v>
      </c>
      <c r="N373" s="25" t="s">
        <v>120</v>
      </c>
      <c r="O373" s="32" t="s">
        <v>893</v>
      </c>
      <c r="P373" s="37">
        <v>45918</v>
      </c>
      <c r="Q373" s="46">
        <v>1</v>
      </c>
      <c r="R373" s="48">
        <v>84</v>
      </c>
      <c r="S373" s="34">
        <f t="shared" si="63"/>
        <v>84</v>
      </c>
      <c r="T373" s="34">
        <f t="shared" si="64"/>
        <v>15.12</v>
      </c>
      <c r="U373" s="34">
        <f t="shared" si="65"/>
        <v>99.12</v>
      </c>
      <c r="V373" s="34"/>
      <c r="W373" s="23" t="s">
        <v>1007</v>
      </c>
    </row>
    <row r="374" spans="1:23" x14ac:dyDescent="0.25">
      <c r="A374" s="31">
        <v>45877.563252314816</v>
      </c>
      <c r="B374" s="32" t="str">
        <f t="shared" si="62"/>
        <v>Aug-25</v>
      </c>
      <c r="C374" s="23" t="s">
        <v>153</v>
      </c>
      <c r="D374" s="23" t="s">
        <v>369</v>
      </c>
      <c r="E374" s="39">
        <v>45680</v>
      </c>
      <c r="F374" s="32">
        <f>IFERROR(DATEDIF(Table1[[#This Row],[MPG Ope Date]],Table1[[#This Row],[L]],"M"),"")</f>
        <v>6</v>
      </c>
      <c r="G374" s="25">
        <v>10140153</v>
      </c>
      <c r="H374" s="25" t="s">
        <v>400</v>
      </c>
      <c r="I374" s="23" t="s">
        <v>425</v>
      </c>
      <c r="J374" s="23">
        <v>7050137685</v>
      </c>
      <c r="K374" s="23" t="s">
        <v>70</v>
      </c>
      <c r="L374" s="25" t="s">
        <v>601</v>
      </c>
      <c r="M374" s="23" t="s">
        <v>131</v>
      </c>
      <c r="N374" s="25" t="s">
        <v>132</v>
      </c>
      <c r="O374" s="32" t="s">
        <v>893</v>
      </c>
      <c r="P374" s="37">
        <v>45918</v>
      </c>
      <c r="Q374" s="46">
        <v>1</v>
      </c>
      <c r="R374" s="48">
        <v>2800</v>
      </c>
      <c r="S374" s="34">
        <f t="shared" si="63"/>
        <v>2800</v>
      </c>
      <c r="T374" s="34">
        <f t="shared" si="64"/>
        <v>504</v>
      </c>
      <c r="U374" s="34">
        <f t="shared" si="65"/>
        <v>3304</v>
      </c>
      <c r="V374" s="34"/>
      <c r="W374" s="23" t="s">
        <v>1005</v>
      </c>
    </row>
    <row r="375" spans="1:23" x14ac:dyDescent="0.25">
      <c r="A375" s="31">
        <v>45877.67496527778</v>
      </c>
      <c r="B375" s="32" t="str">
        <f t="shared" si="62"/>
        <v>Aug-25</v>
      </c>
      <c r="C375" s="23" t="s">
        <v>153</v>
      </c>
      <c r="D375" s="23" t="s">
        <v>369</v>
      </c>
      <c r="E375" s="39">
        <v>45745</v>
      </c>
      <c r="F375" s="32">
        <f>IFERROR(DATEDIF(Table1[[#This Row],[MPG Ope Date]],Table1[[#This Row],[L]],"M"),"")</f>
        <v>4</v>
      </c>
      <c r="G375" s="25">
        <v>10080087</v>
      </c>
      <c r="H375" s="25" t="s">
        <v>553</v>
      </c>
      <c r="I375" s="23" t="s">
        <v>510</v>
      </c>
      <c r="J375" s="23">
        <v>9473190261</v>
      </c>
      <c r="K375" s="23" t="s">
        <v>71</v>
      </c>
      <c r="L375" s="25" t="s">
        <v>602</v>
      </c>
      <c r="M375" s="23" t="s">
        <v>129</v>
      </c>
      <c r="N375" s="25" t="s">
        <v>130</v>
      </c>
      <c r="O375" s="32" t="s">
        <v>893</v>
      </c>
      <c r="P375" s="37">
        <v>45918</v>
      </c>
      <c r="Q375" s="46">
        <v>1</v>
      </c>
      <c r="R375" s="48">
        <v>1750</v>
      </c>
      <c r="S375" s="34">
        <f t="shared" si="63"/>
        <v>1750</v>
      </c>
      <c r="T375" s="34">
        <f t="shared" si="64"/>
        <v>315</v>
      </c>
      <c r="U375" s="34">
        <f t="shared" si="65"/>
        <v>2065</v>
      </c>
      <c r="V375" s="34"/>
      <c r="W375" s="23" t="s">
        <v>1005</v>
      </c>
    </row>
    <row r="376" spans="1:23" x14ac:dyDescent="0.25">
      <c r="A376" s="31">
        <v>45877.67496527778</v>
      </c>
      <c r="B376" s="32" t="str">
        <f t="shared" si="62"/>
        <v>Aug-25</v>
      </c>
      <c r="C376" s="23" t="s">
        <v>153</v>
      </c>
      <c r="D376" s="23" t="s">
        <v>369</v>
      </c>
      <c r="E376" s="39">
        <v>45745</v>
      </c>
      <c r="F376" s="32">
        <f>IFERROR(DATEDIF(Table1[[#This Row],[MPG Ope Date]],Table1[[#This Row],[L]],"M"),"")</f>
        <v>4</v>
      </c>
      <c r="G376" s="25">
        <v>10080087</v>
      </c>
      <c r="H376" s="25" t="s">
        <v>553</v>
      </c>
      <c r="I376" s="23" t="s">
        <v>510</v>
      </c>
      <c r="J376" s="23">
        <v>9473190261</v>
      </c>
      <c r="K376" s="23" t="s">
        <v>71</v>
      </c>
      <c r="L376" s="25" t="s">
        <v>602</v>
      </c>
      <c r="M376" s="23" t="s">
        <v>141</v>
      </c>
      <c r="N376" s="25" t="s">
        <v>471</v>
      </c>
      <c r="O376" s="32" t="s">
        <v>893</v>
      </c>
      <c r="P376" s="37">
        <v>45918</v>
      </c>
      <c r="Q376" s="46">
        <v>1</v>
      </c>
      <c r="R376" s="48">
        <v>900</v>
      </c>
      <c r="S376" s="34">
        <f t="shared" si="63"/>
        <v>900</v>
      </c>
      <c r="T376" s="34">
        <f t="shared" si="64"/>
        <v>162</v>
      </c>
      <c r="U376" s="34">
        <f t="shared" si="65"/>
        <v>1062</v>
      </c>
      <c r="V376" s="34"/>
      <c r="W376" s="23" t="s">
        <v>1005</v>
      </c>
    </row>
    <row r="377" spans="1:23" x14ac:dyDescent="0.25">
      <c r="A377" s="31">
        <v>45876.871678240743</v>
      </c>
      <c r="B377" s="32" t="str">
        <f t="shared" si="62"/>
        <v>Aug-25</v>
      </c>
      <c r="C377" s="23" t="s">
        <v>152</v>
      </c>
      <c r="D377" s="23" t="s">
        <v>0</v>
      </c>
      <c r="E377" s="39" t="e">
        <v>#N/A</v>
      </c>
      <c r="F377" s="32" t="str">
        <f>IFERROR(DATEDIF(Table1[[#This Row],[MPG Ope Date]],Table1[[#This Row],[L]],"M"),"")</f>
        <v/>
      </c>
      <c r="G377" s="25">
        <v>2005</v>
      </c>
      <c r="H377" s="25" t="s">
        <v>554</v>
      </c>
      <c r="I377" s="23" t="s">
        <v>511</v>
      </c>
      <c r="J377" s="23">
        <v>7033635509</v>
      </c>
      <c r="K377" s="23" t="s">
        <v>69</v>
      </c>
      <c r="L377" s="25">
        <v>329075</v>
      </c>
      <c r="M377" s="23" t="s">
        <v>115</v>
      </c>
      <c r="N377" s="25" t="s">
        <v>116</v>
      </c>
      <c r="O377" s="32" t="s">
        <v>894</v>
      </c>
      <c r="P377" s="37">
        <v>45918</v>
      </c>
      <c r="Q377" s="46">
        <v>1</v>
      </c>
      <c r="R377" s="48">
        <v>8500</v>
      </c>
      <c r="S377" s="34">
        <f t="shared" si="63"/>
        <v>8500</v>
      </c>
      <c r="T377" s="34">
        <f t="shared" si="64"/>
        <v>1530</v>
      </c>
      <c r="U377" s="34">
        <f t="shared" si="65"/>
        <v>10030</v>
      </c>
      <c r="V377" s="34"/>
      <c r="W377" s="23" t="e">
        <v>#N/A</v>
      </c>
    </row>
    <row r="378" spans="1:23" x14ac:dyDescent="0.25">
      <c r="A378" s="31">
        <v>45876.723969907405</v>
      </c>
      <c r="B378" s="32" t="str">
        <f t="shared" si="62"/>
        <v>Aug-25</v>
      </c>
      <c r="C378" s="23" t="s">
        <v>153</v>
      </c>
      <c r="D378" s="23" t="s">
        <v>896</v>
      </c>
      <c r="E378" s="39" t="e">
        <v>#N/A</v>
      </c>
      <c r="F378" s="32" t="str">
        <f>IFERROR(DATEDIF(Table1[[#This Row],[MPG Ope Date]],Table1[[#This Row],[L]],"M"),"")</f>
        <v/>
      </c>
      <c r="G378" s="25">
        <v>0</v>
      </c>
      <c r="H378" s="25" t="s">
        <v>531</v>
      </c>
      <c r="I378" s="23" t="s">
        <v>488</v>
      </c>
      <c r="J378" s="23">
        <v>7631258661</v>
      </c>
      <c r="K378" s="23" t="s">
        <v>69</v>
      </c>
      <c r="L378" s="25">
        <v>2349697</v>
      </c>
      <c r="M378" s="23" t="s">
        <v>620</v>
      </c>
      <c r="N378" s="25" t="s">
        <v>621</v>
      </c>
      <c r="O378" s="32" t="s">
        <v>893</v>
      </c>
      <c r="P378" s="37">
        <v>45918</v>
      </c>
      <c r="Q378" s="46">
        <v>1</v>
      </c>
      <c r="R378" s="47">
        <v>62</v>
      </c>
      <c r="S378" s="34">
        <f t="shared" si="63"/>
        <v>62</v>
      </c>
      <c r="T378" s="34">
        <f t="shared" si="64"/>
        <v>11.16</v>
      </c>
      <c r="U378" s="34">
        <f t="shared" si="65"/>
        <v>73.16</v>
      </c>
      <c r="V378" s="34"/>
      <c r="W378" s="23" t="e">
        <v>#N/A</v>
      </c>
    </row>
    <row r="379" spans="1:23" x14ac:dyDescent="0.25">
      <c r="A379" s="31">
        <v>45876.725740740738</v>
      </c>
      <c r="B379" s="32" t="str">
        <f t="shared" si="62"/>
        <v>Aug-25</v>
      </c>
      <c r="C379" s="23" t="s">
        <v>153</v>
      </c>
      <c r="D379" s="23" t="s">
        <v>896</v>
      </c>
      <c r="E379" s="39" t="e">
        <v>#N/A</v>
      </c>
      <c r="F379" s="32" t="str">
        <f>IFERROR(DATEDIF(Table1[[#This Row],[MPG Ope Date]],Table1[[#This Row],[L]],"M"),"")</f>
        <v/>
      </c>
      <c r="G379" s="25">
        <v>0</v>
      </c>
      <c r="H379" s="25" t="s">
        <v>531</v>
      </c>
      <c r="I379" s="23" t="s">
        <v>488</v>
      </c>
      <c r="J379" s="23">
        <v>7631258661</v>
      </c>
      <c r="K379" s="23" t="s">
        <v>69</v>
      </c>
      <c r="L379" s="25">
        <v>210407</v>
      </c>
      <c r="M379" s="23" t="s">
        <v>119</v>
      </c>
      <c r="N379" s="25" t="s">
        <v>120</v>
      </c>
      <c r="O379" s="32" t="s">
        <v>893</v>
      </c>
      <c r="P379" s="37">
        <v>45918</v>
      </c>
      <c r="Q379" s="46">
        <v>1</v>
      </c>
      <c r="R379" s="48">
        <v>84</v>
      </c>
      <c r="S379" s="34">
        <f t="shared" si="63"/>
        <v>84</v>
      </c>
      <c r="T379" s="34">
        <f t="shared" si="64"/>
        <v>15.12</v>
      </c>
      <c r="U379" s="34">
        <f t="shared" si="65"/>
        <v>99.12</v>
      </c>
      <c r="V379" s="34"/>
      <c r="W379" s="23" t="e">
        <v>#N/A</v>
      </c>
    </row>
    <row r="380" spans="1:23" x14ac:dyDescent="0.25">
      <c r="A380" s="31">
        <v>45876.725740740738</v>
      </c>
      <c r="B380" s="32" t="str">
        <f t="shared" si="62"/>
        <v>Aug-25</v>
      </c>
      <c r="C380" s="23" t="s">
        <v>153</v>
      </c>
      <c r="D380" s="23" t="s">
        <v>896</v>
      </c>
      <c r="E380" s="39" t="e">
        <v>#N/A</v>
      </c>
      <c r="F380" s="32" t="str">
        <f>IFERROR(DATEDIF(Table1[[#This Row],[MPG Ope Date]],Table1[[#This Row],[L]],"M"),"")</f>
        <v/>
      </c>
      <c r="G380" s="25">
        <v>0</v>
      </c>
      <c r="H380" s="25" t="s">
        <v>531</v>
      </c>
      <c r="I380" s="23" t="s">
        <v>488</v>
      </c>
      <c r="J380" s="23">
        <v>7631258661</v>
      </c>
      <c r="K380" s="23" t="s">
        <v>69</v>
      </c>
      <c r="L380" s="25">
        <v>210407</v>
      </c>
      <c r="M380" s="23" t="s">
        <v>117</v>
      </c>
      <c r="N380" s="25" t="s">
        <v>472</v>
      </c>
      <c r="O380" s="32" t="s">
        <v>893</v>
      </c>
      <c r="P380" s="37">
        <v>45918</v>
      </c>
      <c r="Q380" s="46">
        <v>1</v>
      </c>
      <c r="R380" s="48">
        <v>770</v>
      </c>
      <c r="S380" s="34">
        <f t="shared" si="63"/>
        <v>770</v>
      </c>
      <c r="T380" s="34">
        <f t="shared" ref="T380:T411" si="66">+S380*0.18</f>
        <v>138.6</v>
      </c>
      <c r="U380" s="34">
        <f t="shared" ref="U380:U411" si="67">+S380+T380</f>
        <v>908.6</v>
      </c>
      <c r="V380" s="34"/>
      <c r="W380" s="23" t="e">
        <v>#N/A</v>
      </c>
    </row>
    <row r="381" spans="1:23" x14ac:dyDescent="0.25">
      <c r="A381" s="31">
        <v>45876.725740740738</v>
      </c>
      <c r="B381" s="32" t="str">
        <f t="shared" si="62"/>
        <v>Aug-25</v>
      </c>
      <c r="C381" s="23" t="s">
        <v>153</v>
      </c>
      <c r="D381" s="23" t="s">
        <v>896</v>
      </c>
      <c r="E381" s="39" t="e">
        <v>#N/A</v>
      </c>
      <c r="F381" s="32" t="str">
        <f>IFERROR(DATEDIF(Table1[[#This Row],[MPG Ope Date]],Table1[[#This Row],[L]],"M"),"")</f>
        <v/>
      </c>
      <c r="G381" s="25">
        <v>0</v>
      </c>
      <c r="H381" s="25" t="s">
        <v>531</v>
      </c>
      <c r="I381" s="23" t="s">
        <v>488</v>
      </c>
      <c r="J381" s="23">
        <v>7631258661</v>
      </c>
      <c r="K381" s="23" t="s">
        <v>69</v>
      </c>
      <c r="L381" s="25">
        <v>210407</v>
      </c>
      <c r="M381" s="23" t="s">
        <v>264</v>
      </c>
      <c r="N381" s="25" t="s">
        <v>477</v>
      </c>
      <c r="O381" s="32" t="s">
        <v>893</v>
      </c>
      <c r="P381" s="37">
        <v>45918</v>
      </c>
      <c r="Q381" s="46">
        <v>1</v>
      </c>
      <c r="R381" s="48">
        <v>790</v>
      </c>
      <c r="S381" s="34">
        <f t="shared" si="63"/>
        <v>790</v>
      </c>
      <c r="T381" s="34">
        <f t="shared" si="66"/>
        <v>142.19999999999999</v>
      </c>
      <c r="U381" s="34">
        <f t="shared" si="67"/>
        <v>932.2</v>
      </c>
      <c r="V381" s="34"/>
      <c r="W381" s="23" t="e">
        <v>#N/A</v>
      </c>
    </row>
    <row r="382" spans="1:23" x14ac:dyDescent="0.25">
      <c r="A382" s="31">
        <v>45876.7265162037</v>
      </c>
      <c r="B382" s="32" t="str">
        <f t="shared" si="62"/>
        <v>Aug-25</v>
      </c>
      <c r="C382" s="23" t="s">
        <v>153</v>
      </c>
      <c r="D382" s="23" t="s">
        <v>896</v>
      </c>
      <c r="E382" s="39" t="e">
        <v>#N/A</v>
      </c>
      <c r="F382" s="32" t="str">
        <f>IFERROR(DATEDIF(Table1[[#This Row],[MPG Ope Date]],Table1[[#This Row],[L]],"M"),"")</f>
        <v/>
      </c>
      <c r="G382" s="25">
        <v>0</v>
      </c>
      <c r="H382" s="25" t="s">
        <v>531</v>
      </c>
      <c r="I382" s="23" t="s">
        <v>488</v>
      </c>
      <c r="J382" s="23">
        <v>7631258661</v>
      </c>
      <c r="K382" s="23" t="s">
        <v>69</v>
      </c>
      <c r="L382" s="25">
        <v>382434</v>
      </c>
      <c r="M382" s="23" t="s">
        <v>117</v>
      </c>
      <c r="N382" s="25" t="s">
        <v>472</v>
      </c>
      <c r="O382" s="32" t="s">
        <v>893</v>
      </c>
      <c r="P382" s="37">
        <v>45918</v>
      </c>
      <c r="Q382" s="46">
        <v>1</v>
      </c>
      <c r="R382" s="48">
        <v>770</v>
      </c>
      <c r="S382" s="34">
        <f t="shared" si="63"/>
        <v>770</v>
      </c>
      <c r="T382" s="34">
        <f t="shared" si="66"/>
        <v>138.6</v>
      </c>
      <c r="U382" s="34">
        <f t="shared" si="67"/>
        <v>908.6</v>
      </c>
      <c r="V382" s="34"/>
      <c r="W382" s="23" t="e">
        <v>#N/A</v>
      </c>
    </row>
    <row r="383" spans="1:23" x14ac:dyDescent="0.25">
      <c r="A383" s="31">
        <v>45876.7265162037</v>
      </c>
      <c r="B383" s="32" t="str">
        <f t="shared" si="62"/>
        <v>Aug-25</v>
      </c>
      <c r="C383" s="23" t="s">
        <v>153</v>
      </c>
      <c r="D383" s="23" t="s">
        <v>896</v>
      </c>
      <c r="E383" s="39" t="e">
        <v>#N/A</v>
      </c>
      <c r="F383" s="32" t="str">
        <f>IFERROR(DATEDIF(Table1[[#This Row],[MPG Ope Date]],Table1[[#This Row],[L]],"M"),"")</f>
        <v/>
      </c>
      <c r="G383" s="25">
        <v>0</v>
      </c>
      <c r="H383" s="25" t="s">
        <v>531</v>
      </c>
      <c r="I383" s="23" t="s">
        <v>488</v>
      </c>
      <c r="J383" s="23">
        <v>7631258661</v>
      </c>
      <c r="K383" s="23" t="s">
        <v>69</v>
      </c>
      <c r="L383" s="25">
        <v>382434</v>
      </c>
      <c r="M383" s="23" t="s">
        <v>254</v>
      </c>
      <c r="N383" s="25" t="s">
        <v>742</v>
      </c>
      <c r="O383" s="32" t="s">
        <v>893</v>
      </c>
      <c r="P383" s="37">
        <v>45918</v>
      </c>
      <c r="Q383" s="46">
        <v>1</v>
      </c>
      <c r="R383" s="47">
        <v>2000</v>
      </c>
      <c r="S383" s="34">
        <f t="shared" si="63"/>
        <v>2000</v>
      </c>
      <c r="T383" s="34">
        <f t="shared" si="66"/>
        <v>360</v>
      </c>
      <c r="U383" s="34">
        <f t="shared" si="67"/>
        <v>2360</v>
      </c>
      <c r="V383" s="34"/>
      <c r="W383" s="23" t="e">
        <v>#N/A</v>
      </c>
    </row>
    <row r="384" spans="1:23" x14ac:dyDescent="0.25">
      <c r="A384" s="31">
        <v>45875.702951388892</v>
      </c>
      <c r="B384" s="32" t="str">
        <f t="shared" si="62"/>
        <v>Aug-25</v>
      </c>
      <c r="C384" s="23" t="s">
        <v>152</v>
      </c>
      <c r="D384" s="23" t="s">
        <v>369</v>
      </c>
      <c r="E384" s="39" t="e">
        <v>#N/A</v>
      </c>
      <c r="F384" s="32" t="str">
        <f>IFERROR(DATEDIF(Table1[[#This Row],[MPG Ope Date]],Table1[[#This Row],[L]],"M"),"")</f>
        <v/>
      </c>
      <c r="G384" s="25">
        <v>20010017</v>
      </c>
      <c r="H384" s="25" t="s">
        <v>377</v>
      </c>
      <c r="I384" s="23" t="s">
        <v>386</v>
      </c>
      <c r="J384" s="23">
        <v>8709453609</v>
      </c>
      <c r="K384" s="23" t="s">
        <v>69</v>
      </c>
      <c r="L384" s="25">
        <v>390572</v>
      </c>
      <c r="M384" s="23" t="s">
        <v>115</v>
      </c>
      <c r="N384" s="25" t="s">
        <v>116</v>
      </c>
      <c r="O384" s="32" t="s">
        <v>894</v>
      </c>
      <c r="P384" s="37">
        <v>45918</v>
      </c>
      <c r="Q384" s="46">
        <v>1</v>
      </c>
      <c r="R384" s="48">
        <v>8500</v>
      </c>
      <c r="S384" s="34">
        <f t="shared" si="63"/>
        <v>8500</v>
      </c>
      <c r="T384" s="34">
        <f t="shared" si="66"/>
        <v>1530</v>
      </c>
      <c r="U384" s="34">
        <f t="shared" si="67"/>
        <v>10030</v>
      </c>
      <c r="V384" s="34"/>
      <c r="W384" s="23" t="e">
        <v>#N/A</v>
      </c>
    </row>
    <row r="385" spans="1:23" x14ac:dyDescent="0.25">
      <c r="A385" s="31">
        <v>45875.841435185182</v>
      </c>
      <c r="B385" s="32" t="str">
        <f t="shared" si="62"/>
        <v>Aug-25</v>
      </c>
      <c r="C385" s="23" t="s">
        <v>152</v>
      </c>
      <c r="D385" s="23" t="s">
        <v>369</v>
      </c>
      <c r="E385" s="39" t="e">
        <v>#N/A</v>
      </c>
      <c r="F385" s="32" t="str">
        <f>IFERROR(DATEDIF(Table1[[#This Row],[MPG Ope Date]],Table1[[#This Row],[L]],"M"),"")</f>
        <v/>
      </c>
      <c r="G385" s="25">
        <v>20010042</v>
      </c>
      <c r="H385" s="25" t="s">
        <v>555</v>
      </c>
      <c r="I385" s="23" t="s">
        <v>512</v>
      </c>
      <c r="J385" s="23">
        <v>7561962180</v>
      </c>
      <c r="K385" s="23" t="s">
        <v>69</v>
      </c>
      <c r="L385" s="25">
        <v>385970</v>
      </c>
      <c r="M385" s="23" t="s">
        <v>115</v>
      </c>
      <c r="N385" s="25" t="s">
        <v>116</v>
      </c>
      <c r="O385" s="32" t="s">
        <v>894</v>
      </c>
      <c r="P385" s="37">
        <v>45918</v>
      </c>
      <c r="Q385" s="46">
        <v>1</v>
      </c>
      <c r="R385" s="48">
        <v>8500</v>
      </c>
      <c r="S385" s="34">
        <f t="shared" si="63"/>
        <v>8500</v>
      </c>
      <c r="T385" s="34">
        <f t="shared" si="66"/>
        <v>1530</v>
      </c>
      <c r="U385" s="34">
        <f t="shared" si="67"/>
        <v>10030</v>
      </c>
      <c r="V385" s="34"/>
      <c r="W385" s="23" t="e">
        <v>#N/A</v>
      </c>
    </row>
    <row r="386" spans="1:23" x14ac:dyDescent="0.25">
      <c r="A386" s="31">
        <v>45875.831053240741</v>
      </c>
      <c r="B386" s="32" t="str">
        <f t="shared" si="62"/>
        <v>Aug-25</v>
      </c>
      <c r="C386" s="23" t="s">
        <v>152</v>
      </c>
      <c r="D386" s="23" t="s">
        <v>0</v>
      </c>
      <c r="E386" s="39" t="e">
        <v>#N/A</v>
      </c>
      <c r="F386" s="32" t="str">
        <f>IFERROR(DATEDIF(Table1[[#This Row],[MPG Ope Date]],Table1[[#This Row],[L]],"M"),"")</f>
        <v/>
      </c>
      <c r="G386" s="25">
        <v>2002</v>
      </c>
      <c r="H386" s="25" t="s">
        <v>270</v>
      </c>
      <c r="I386" s="23" t="s">
        <v>303</v>
      </c>
      <c r="J386" s="23">
        <v>8709856463</v>
      </c>
      <c r="K386" s="23" t="s">
        <v>69</v>
      </c>
      <c r="L386" s="25">
        <v>385608</v>
      </c>
      <c r="M386" s="23" t="s">
        <v>115</v>
      </c>
      <c r="N386" s="25" t="s">
        <v>116</v>
      </c>
      <c r="O386" s="32" t="s">
        <v>894</v>
      </c>
      <c r="P386" s="37">
        <v>45918</v>
      </c>
      <c r="Q386" s="46">
        <v>1</v>
      </c>
      <c r="R386" s="48">
        <v>8500</v>
      </c>
      <c r="S386" s="34">
        <f t="shared" si="63"/>
        <v>8500</v>
      </c>
      <c r="T386" s="34">
        <f t="shared" si="66"/>
        <v>1530</v>
      </c>
      <c r="U386" s="34">
        <f t="shared" si="67"/>
        <v>10030</v>
      </c>
      <c r="V386" s="34"/>
      <c r="W386" s="23" t="e">
        <v>#N/A</v>
      </c>
    </row>
    <row r="387" spans="1:23" x14ac:dyDescent="0.25">
      <c r="A387" s="31">
        <v>45875.700069444443</v>
      </c>
      <c r="B387" s="32" t="str">
        <f t="shared" si="62"/>
        <v>Aug-25</v>
      </c>
      <c r="C387" s="23" t="s">
        <v>153</v>
      </c>
      <c r="D387" s="23" t="s">
        <v>369</v>
      </c>
      <c r="E387" s="39">
        <v>45872</v>
      </c>
      <c r="F387" s="32">
        <f>IFERROR(DATEDIF(Table1[[#This Row],[MPG Ope Date]],Table1[[#This Row],[L]],"M"),"")</f>
        <v>0</v>
      </c>
      <c r="G387" s="25">
        <v>10090066</v>
      </c>
      <c r="H387" s="25" t="s">
        <v>556</v>
      </c>
      <c r="I387" s="23" t="s">
        <v>513</v>
      </c>
      <c r="J387" s="23">
        <v>9142837410</v>
      </c>
      <c r="K387" s="23" t="s">
        <v>71</v>
      </c>
      <c r="L387" s="25" t="s">
        <v>603</v>
      </c>
      <c r="M387" s="23" t="s">
        <v>141</v>
      </c>
      <c r="N387" s="25" t="s">
        <v>471</v>
      </c>
      <c r="O387" s="32" t="s">
        <v>893</v>
      </c>
      <c r="P387" s="37">
        <v>45918</v>
      </c>
      <c r="Q387" s="46">
        <v>1</v>
      </c>
      <c r="R387" s="48">
        <v>900</v>
      </c>
      <c r="S387" s="34">
        <f t="shared" si="63"/>
        <v>900</v>
      </c>
      <c r="T387" s="34">
        <f t="shared" si="66"/>
        <v>162</v>
      </c>
      <c r="U387" s="34">
        <f t="shared" si="67"/>
        <v>1062</v>
      </c>
      <c r="V387" s="34"/>
      <c r="W387" s="23" t="s">
        <v>1005</v>
      </c>
    </row>
    <row r="388" spans="1:23" x14ac:dyDescent="0.25">
      <c r="A388" s="31">
        <v>45875.69935185185</v>
      </c>
      <c r="B388" s="32" t="str">
        <f t="shared" si="62"/>
        <v>Aug-25</v>
      </c>
      <c r="C388" s="23" t="s">
        <v>153</v>
      </c>
      <c r="D388" s="23" t="s">
        <v>369</v>
      </c>
      <c r="E388" s="39">
        <v>42979</v>
      </c>
      <c r="F388" s="32">
        <f>IFERROR(DATEDIF(Table1[[#This Row],[MPG Ope Date]],Table1[[#This Row],[L]],"M"),"")</f>
        <v>95</v>
      </c>
      <c r="G388" s="25">
        <v>10090002</v>
      </c>
      <c r="H388" s="25" t="s">
        <v>557</v>
      </c>
      <c r="I388" s="23" t="s">
        <v>514</v>
      </c>
      <c r="J388" s="23">
        <v>8877986410</v>
      </c>
      <c r="K388" s="23" t="s">
        <v>68</v>
      </c>
      <c r="L388" s="25" t="s">
        <v>604</v>
      </c>
      <c r="M388" s="23" t="s">
        <v>139</v>
      </c>
      <c r="N388" s="25" t="s">
        <v>140</v>
      </c>
      <c r="O388" s="32" t="s">
        <v>893</v>
      </c>
      <c r="P388" s="37">
        <v>45918</v>
      </c>
      <c r="Q388" s="46">
        <v>1</v>
      </c>
      <c r="R388" s="48">
        <v>1266</v>
      </c>
      <c r="S388" s="34">
        <f t="shared" si="63"/>
        <v>1266</v>
      </c>
      <c r="T388" s="34">
        <f t="shared" si="66"/>
        <v>227.88</v>
      </c>
      <c r="U388" s="34">
        <f t="shared" si="67"/>
        <v>1493.88</v>
      </c>
      <c r="V388" s="34"/>
      <c r="W388" s="23" t="s">
        <v>1005</v>
      </c>
    </row>
    <row r="389" spans="1:23" x14ac:dyDescent="0.25">
      <c r="A389" s="31">
        <v>45875.699259259258</v>
      </c>
      <c r="B389" s="32" t="str">
        <f t="shared" si="62"/>
        <v>Aug-25</v>
      </c>
      <c r="C389" s="23" t="s">
        <v>153</v>
      </c>
      <c r="D389" s="23" t="s">
        <v>369</v>
      </c>
      <c r="E389" s="39">
        <v>42979</v>
      </c>
      <c r="F389" s="32">
        <f>IFERROR(DATEDIF(Table1[[#This Row],[MPG Ope Date]],Table1[[#This Row],[L]],"M"),"")</f>
        <v>95</v>
      </c>
      <c r="G389" s="25">
        <v>10090002</v>
      </c>
      <c r="H389" s="25" t="s">
        <v>557</v>
      </c>
      <c r="I389" s="23" t="s">
        <v>514</v>
      </c>
      <c r="J389" s="23">
        <v>8877986410</v>
      </c>
      <c r="K389" s="23" t="s">
        <v>69</v>
      </c>
      <c r="L389" s="25">
        <v>362915</v>
      </c>
      <c r="M389" s="23" t="s">
        <v>121</v>
      </c>
      <c r="N389" s="25" t="s">
        <v>122</v>
      </c>
      <c r="O389" s="32" t="s">
        <v>893</v>
      </c>
      <c r="P389" s="37">
        <v>45918</v>
      </c>
      <c r="Q389" s="46">
        <v>1</v>
      </c>
      <c r="R389" s="48">
        <v>70</v>
      </c>
      <c r="S389" s="34">
        <f t="shared" si="63"/>
        <v>70</v>
      </c>
      <c r="T389" s="34">
        <f t="shared" si="66"/>
        <v>12.6</v>
      </c>
      <c r="U389" s="34">
        <f t="shared" si="67"/>
        <v>82.6</v>
      </c>
      <c r="V389" s="34"/>
      <c r="W389" s="23" t="s">
        <v>1005</v>
      </c>
    </row>
    <row r="390" spans="1:23" x14ac:dyDescent="0.25">
      <c r="A390" s="31">
        <v>45875.699259259258</v>
      </c>
      <c r="B390" s="32" t="str">
        <f t="shared" si="62"/>
        <v>Aug-25</v>
      </c>
      <c r="C390" s="23" t="s">
        <v>153</v>
      </c>
      <c r="D390" s="23" t="s">
        <v>369</v>
      </c>
      <c r="E390" s="39">
        <v>42979</v>
      </c>
      <c r="F390" s="32">
        <f>IFERROR(DATEDIF(Table1[[#This Row],[MPG Ope Date]],Table1[[#This Row],[L]],"M"),"")</f>
        <v>95</v>
      </c>
      <c r="G390" s="25">
        <v>10090002</v>
      </c>
      <c r="H390" s="25" t="s">
        <v>557</v>
      </c>
      <c r="I390" s="23" t="s">
        <v>514</v>
      </c>
      <c r="J390" s="23">
        <v>8877986410</v>
      </c>
      <c r="K390" s="23" t="s">
        <v>69</v>
      </c>
      <c r="L390" s="25">
        <v>362915</v>
      </c>
      <c r="M390" s="23" t="s">
        <v>121</v>
      </c>
      <c r="N390" s="25" t="s">
        <v>122</v>
      </c>
      <c r="O390" s="32" t="s">
        <v>893</v>
      </c>
      <c r="P390" s="37">
        <v>45918</v>
      </c>
      <c r="Q390" s="46">
        <v>1</v>
      </c>
      <c r="R390" s="48">
        <v>70</v>
      </c>
      <c r="S390" s="34">
        <f t="shared" si="63"/>
        <v>70</v>
      </c>
      <c r="T390" s="34">
        <f t="shared" si="66"/>
        <v>12.6</v>
      </c>
      <c r="U390" s="34">
        <f t="shared" si="67"/>
        <v>82.6</v>
      </c>
      <c r="V390" s="34"/>
      <c r="W390" s="23" t="s">
        <v>1005</v>
      </c>
    </row>
    <row r="391" spans="1:23" x14ac:dyDescent="0.25">
      <c r="A391" s="31">
        <v>45874.583043981482</v>
      </c>
      <c r="B391" s="32" t="str">
        <f t="shared" si="62"/>
        <v>Aug-25</v>
      </c>
      <c r="C391" s="23" t="s">
        <v>152</v>
      </c>
      <c r="D391" s="23" t="s">
        <v>0</v>
      </c>
      <c r="E391" s="39" t="e">
        <v>#N/A</v>
      </c>
      <c r="F391" s="32" t="str">
        <f>IFERROR(DATEDIF(Table1[[#This Row],[MPG Ope Date]],Table1[[#This Row],[L]],"M"),"")</f>
        <v/>
      </c>
      <c r="G391" s="25">
        <v>2001</v>
      </c>
      <c r="H391" s="25" t="s">
        <v>22</v>
      </c>
      <c r="I391" s="23" t="s">
        <v>56</v>
      </c>
      <c r="J391" s="23">
        <v>8210761749</v>
      </c>
      <c r="K391" s="23" t="s">
        <v>70</v>
      </c>
      <c r="L391" s="25" t="s">
        <v>95</v>
      </c>
      <c r="M391" s="23" t="s">
        <v>131</v>
      </c>
      <c r="N391" s="25" t="s">
        <v>132</v>
      </c>
      <c r="O391" s="32" t="s">
        <v>894</v>
      </c>
      <c r="P391" s="37">
        <v>45918</v>
      </c>
      <c r="Q391" s="46">
        <v>1</v>
      </c>
      <c r="R391" s="48">
        <v>2800</v>
      </c>
      <c r="S391" s="34">
        <f t="shared" si="63"/>
        <v>2800</v>
      </c>
      <c r="T391" s="34">
        <f t="shared" si="66"/>
        <v>504</v>
      </c>
      <c r="U391" s="34">
        <f t="shared" si="67"/>
        <v>3304</v>
      </c>
      <c r="V391" s="34"/>
      <c r="W391" s="23" t="e">
        <v>#N/A</v>
      </c>
    </row>
    <row r="392" spans="1:23" x14ac:dyDescent="0.25">
      <c r="A392" s="31">
        <v>45874.719571759262</v>
      </c>
      <c r="B392" s="32" t="str">
        <f t="shared" si="62"/>
        <v>Aug-25</v>
      </c>
      <c r="C392" s="23" t="s">
        <v>153</v>
      </c>
      <c r="D392" s="23" t="s">
        <v>369</v>
      </c>
      <c r="E392" s="39">
        <v>42979</v>
      </c>
      <c r="F392" s="32">
        <f>IFERROR(DATEDIF(Table1[[#This Row],[MPG Ope Date]],Table1[[#This Row],[L]],"M"),"")</f>
        <v>95</v>
      </c>
      <c r="G392" s="25">
        <v>10020002</v>
      </c>
      <c r="H392" s="25" t="s">
        <v>551</v>
      </c>
      <c r="I392" s="23" t="s">
        <v>508</v>
      </c>
      <c r="J392" s="23">
        <v>8581963017</v>
      </c>
      <c r="K392" s="23" t="s">
        <v>68</v>
      </c>
      <c r="L392" s="25" t="s">
        <v>597</v>
      </c>
      <c r="M392" s="23" t="s">
        <v>137</v>
      </c>
      <c r="N392" s="25" t="s">
        <v>138</v>
      </c>
      <c r="O392" s="32" t="s">
        <v>893</v>
      </c>
      <c r="P392" s="37">
        <v>45918</v>
      </c>
      <c r="Q392" s="46">
        <v>1</v>
      </c>
      <c r="R392" s="48">
        <v>2800</v>
      </c>
      <c r="S392" s="34">
        <f t="shared" si="63"/>
        <v>2800</v>
      </c>
      <c r="T392" s="34">
        <f t="shared" si="66"/>
        <v>504</v>
      </c>
      <c r="U392" s="34">
        <f t="shared" si="67"/>
        <v>3304</v>
      </c>
      <c r="V392" s="34"/>
      <c r="W392" s="23" t="s">
        <v>1005</v>
      </c>
    </row>
    <row r="393" spans="1:23" x14ac:dyDescent="0.25">
      <c r="A393" s="31">
        <v>45874.560706018521</v>
      </c>
      <c r="B393" s="32" t="str">
        <f t="shared" si="62"/>
        <v>Aug-25</v>
      </c>
      <c r="C393" s="23" t="s">
        <v>153</v>
      </c>
      <c r="D393" s="23" t="s">
        <v>369</v>
      </c>
      <c r="E393" s="39">
        <v>45870</v>
      </c>
      <c r="F393" s="32">
        <f>IFERROR(DATEDIF(Table1[[#This Row],[MPG Ope Date]],Table1[[#This Row],[L]],"M"),"")</f>
        <v>0</v>
      </c>
      <c r="G393" s="25">
        <v>10120111</v>
      </c>
      <c r="H393" s="25" t="s">
        <v>543</v>
      </c>
      <c r="I393" s="23" t="s">
        <v>500</v>
      </c>
      <c r="J393" s="23">
        <v>9570339234</v>
      </c>
      <c r="K393" s="23" t="s">
        <v>68</v>
      </c>
      <c r="L393" s="25" t="s">
        <v>605</v>
      </c>
      <c r="M393" s="23" t="s">
        <v>113</v>
      </c>
      <c r="N393" s="25" t="s">
        <v>114</v>
      </c>
      <c r="O393" s="32" t="s">
        <v>893</v>
      </c>
      <c r="P393" s="37">
        <v>45918</v>
      </c>
      <c r="Q393" s="46">
        <v>1</v>
      </c>
      <c r="R393" s="48">
        <v>225</v>
      </c>
      <c r="S393" s="34">
        <f t="shared" si="63"/>
        <v>225</v>
      </c>
      <c r="T393" s="34">
        <f t="shared" si="66"/>
        <v>40.5</v>
      </c>
      <c r="U393" s="34">
        <f t="shared" si="67"/>
        <v>265.5</v>
      </c>
      <c r="V393" s="34"/>
      <c r="W393" s="23" t="s">
        <v>1005</v>
      </c>
    </row>
    <row r="394" spans="1:23" x14ac:dyDescent="0.25">
      <c r="A394" s="31">
        <v>45874.560706018521</v>
      </c>
      <c r="B394" s="32" t="str">
        <f t="shared" si="62"/>
        <v>Aug-25</v>
      </c>
      <c r="C394" s="23" t="s">
        <v>153</v>
      </c>
      <c r="D394" s="23" t="s">
        <v>369</v>
      </c>
      <c r="E394" s="39">
        <v>45870</v>
      </c>
      <c r="F394" s="32">
        <f>IFERROR(DATEDIF(Table1[[#This Row],[MPG Ope Date]],Table1[[#This Row],[L]],"M"),"")</f>
        <v>0</v>
      </c>
      <c r="G394" s="25">
        <v>10120111</v>
      </c>
      <c r="H394" s="25" t="s">
        <v>543</v>
      </c>
      <c r="I394" s="23" t="s">
        <v>500</v>
      </c>
      <c r="J394" s="23">
        <v>9570339234</v>
      </c>
      <c r="K394" s="23" t="s">
        <v>68</v>
      </c>
      <c r="L394" s="25" t="s">
        <v>605</v>
      </c>
      <c r="M394" s="23" t="s">
        <v>137</v>
      </c>
      <c r="N394" s="25" t="s">
        <v>474</v>
      </c>
      <c r="O394" s="32" t="s">
        <v>893</v>
      </c>
      <c r="P394" s="37">
        <v>45918</v>
      </c>
      <c r="Q394" s="46">
        <v>1</v>
      </c>
      <c r="R394" s="48">
        <v>2800</v>
      </c>
      <c r="S394" s="34">
        <f t="shared" si="63"/>
        <v>2800</v>
      </c>
      <c r="T394" s="34">
        <f t="shared" si="66"/>
        <v>504</v>
      </c>
      <c r="U394" s="34">
        <f t="shared" si="67"/>
        <v>3304</v>
      </c>
      <c r="V394" s="34"/>
      <c r="W394" s="23" t="s">
        <v>1005</v>
      </c>
    </row>
    <row r="395" spans="1:23" x14ac:dyDescent="0.25">
      <c r="A395" s="31">
        <v>45874.720081018517</v>
      </c>
      <c r="B395" s="32" t="str">
        <f t="shared" si="62"/>
        <v>Aug-25</v>
      </c>
      <c r="C395" s="23" t="s">
        <v>153</v>
      </c>
      <c r="D395" s="23" t="s">
        <v>369</v>
      </c>
      <c r="E395" s="39">
        <v>45205</v>
      </c>
      <c r="F395" s="32">
        <f>IFERROR(DATEDIF(Table1[[#This Row],[MPG Ope Date]],Table1[[#This Row],[L]],"M"),"")</f>
        <v>21</v>
      </c>
      <c r="G395" s="25">
        <v>10020062</v>
      </c>
      <c r="H395" s="25" t="s">
        <v>558</v>
      </c>
      <c r="I395" s="23" t="s">
        <v>515</v>
      </c>
      <c r="J395" s="23">
        <v>8210313665</v>
      </c>
      <c r="K395" s="23" t="s">
        <v>68</v>
      </c>
      <c r="L395" s="25" t="s">
        <v>606</v>
      </c>
      <c r="M395" s="23" t="s">
        <v>137</v>
      </c>
      <c r="N395" s="25" t="s">
        <v>138</v>
      </c>
      <c r="O395" s="32" t="s">
        <v>893</v>
      </c>
      <c r="P395" s="37">
        <v>45918</v>
      </c>
      <c r="Q395" s="46">
        <v>1</v>
      </c>
      <c r="R395" s="48">
        <v>2800</v>
      </c>
      <c r="S395" s="34">
        <f t="shared" si="63"/>
        <v>2800</v>
      </c>
      <c r="T395" s="34">
        <f t="shared" si="66"/>
        <v>504</v>
      </c>
      <c r="U395" s="34">
        <f t="shared" si="67"/>
        <v>3304</v>
      </c>
      <c r="V395" s="34"/>
      <c r="W395" s="23" t="s">
        <v>1005</v>
      </c>
    </row>
    <row r="396" spans="1:23" x14ac:dyDescent="0.25">
      <c r="A396" s="31">
        <v>45874.720081018517</v>
      </c>
      <c r="B396" s="32" t="str">
        <f t="shared" si="62"/>
        <v>Aug-25</v>
      </c>
      <c r="C396" s="23" t="s">
        <v>153</v>
      </c>
      <c r="D396" s="23" t="s">
        <v>369</v>
      </c>
      <c r="E396" s="39">
        <v>45205</v>
      </c>
      <c r="F396" s="32">
        <f>IFERROR(DATEDIF(Table1[[#This Row],[MPG Ope Date]],Table1[[#This Row],[L]],"M"),"")</f>
        <v>21</v>
      </c>
      <c r="G396" s="25">
        <v>10020062</v>
      </c>
      <c r="H396" s="25" t="s">
        <v>558</v>
      </c>
      <c r="I396" s="23" t="s">
        <v>515</v>
      </c>
      <c r="J396" s="23">
        <v>8210313665</v>
      </c>
      <c r="K396" s="23" t="s">
        <v>68</v>
      </c>
      <c r="L396" s="25" t="s">
        <v>606</v>
      </c>
      <c r="M396" s="23" t="s">
        <v>113</v>
      </c>
      <c r="N396" s="25" t="s">
        <v>114</v>
      </c>
      <c r="O396" s="32" t="s">
        <v>893</v>
      </c>
      <c r="P396" s="37">
        <v>45918</v>
      </c>
      <c r="Q396" s="46">
        <v>1</v>
      </c>
      <c r="R396" s="48">
        <v>225</v>
      </c>
      <c r="S396" s="34">
        <f t="shared" si="63"/>
        <v>225</v>
      </c>
      <c r="T396" s="34">
        <f t="shared" si="66"/>
        <v>40.5</v>
      </c>
      <c r="U396" s="34">
        <f t="shared" si="67"/>
        <v>265.5</v>
      </c>
      <c r="V396" s="34"/>
      <c r="W396" s="23" t="s">
        <v>1005</v>
      </c>
    </row>
    <row r="397" spans="1:23" x14ac:dyDescent="0.25">
      <c r="A397" s="31">
        <v>45874.587037037039</v>
      </c>
      <c r="B397" s="32" t="str">
        <f t="shared" si="62"/>
        <v>Aug-25</v>
      </c>
      <c r="C397" s="23" t="s">
        <v>153</v>
      </c>
      <c r="D397" s="23" t="s">
        <v>369</v>
      </c>
      <c r="E397" s="39">
        <v>45870</v>
      </c>
      <c r="F397" s="32">
        <f>IFERROR(DATEDIF(Table1[[#This Row],[MPG Ope Date]],Table1[[#This Row],[L]],"M"),"")</f>
        <v>0</v>
      </c>
      <c r="G397" s="25">
        <v>10120111</v>
      </c>
      <c r="H397" s="25" t="s">
        <v>543</v>
      </c>
      <c r="I397" s="23" t="s">
        <v>500</v>
      </c>
      <c r="J397" s="23">
        <v>9570339234</v>
      </c>
      <c r="K397" s="23" t="s">
        <v>70</v>
      </c>
      <c r="L397" s="25" t="s">
        <v>607</v>
      </c>
      <c r="M397" s="23" t="s">
        <v>131</v>
      </c>
      <c r="N397" s="25" t="s">
        <v>132</v>
      </c>
      <c r="O397" s="32" t="s">
        <v>893</v>
      </c>
      <c r="P397" s="37">
        <v>45918</v>
      </c>
      <c r="Q397" s="46">
        <v>1</v>
      </c>
      <c r="R397" s="48">
        <v>2800</v>
      </c>
      <c r="S397" s="34">
        <f t="shared" si="63"/>
        <v>2800</v>
      </c>
      <c r="T397" s="34">
        <f t="shared" si="66"/>
        <v>504</v>
      </c>
      <c r="U397" s="34">
        <f t="shared" si="67"/>
        <v>3304</v>
      </c>
      <c r="V397" s="34"/>
      <c r="W397" s="23" t="s">
        <v>1005</v>
      </c>
    </row>
    <row r="398" spans="1:23" x14ac:dyDescent="0.25">
      <c r="A398" s="31">
        <v>45874.583877314813</v>
      </c>
      <c r="B398" s="32" t="str">
        <f t="shared" si="62"/>
        <v>Aug-25</v>
      </c>
      <c r="C398" s="23" t="s">
        <v>153</v>
      </c>
      <c r="D398" s="23" t="s">
        <v>369</v>
      </c>
      <c r="E398" s="39">
        <v>44866</v>
      </c>
      <c r="F398" s="32">
        <f>IFERROR(DATEDIF(Table1[[#This Row],[MPG Ope Date]],Table1[[#This Row],[L]],"M"),"")</f>
        <v>33</v>
      </c>
      <c r="G398" s="25">
        <v>10020026</v>
      </c>
      <c r="H398" s="25" t="s">
        <v>559</v>
      </c>
      <c r="I398" s="23" t="s">
        <v>516</v>
      </c>
      <c r="J398" s="23">
        <v>6202734219</v>
      </c>
      <c r="K398" s="23" t="s">
        <v>68</v>
      </c>
      <c r="L398" s="25" t="s">
        <v>608</v>
      </c>
      <c r="M398" s="23" t="s">
        <v>111</v>
      </c>
      <c r="N398" s="25" t="s">
        <v>112</v>
      </c>
      <c r="O398" s="32" t="s">
        <v>893</v>
      </c>
      <c r="P398" s="37">
        <v>45918</v>
      </c>
      <c r="Q398" s="46">
        <v>1</v>
      </c>
      <c r="R398" s="47">
        <v>360</v>
      </c>
      <c r="S398" s="34">
        <f t="shared" si="63"/>
        <v>360</v>
      </c>
      <c r="T398" s="34">
        <f t="shared" si="66"/>
        <v>64.8</v>
      </c>
      <c r="U398" s="34">
        <f t="shared" si="67"/>
        <v>424.8</v>
      </c>
      <c r="V398" s="34"/>
      <c r="W398" s="23" t="s">
        <v>1005</v>
      </c>
    </row>
    <row r="399" spans="1:23" x14ac:dyDescent="0.25">
      <c r="A399" s="31">
        <v>45874.583564814813</v>
      </c>
      <c r="B399" s="32" t="str">
        <f t="shared" si="62"/>
        <v>Aug-25</v>
      </c>
      <c r="C399" s="23" t="s">
        <v>153</v>
      </c>
      <c r="D399" s="23" t="s">
        <v>369</v>
      </c>
      <c r="E399" s="39">
        <v>44866</v>
      </c>
      <c r="F399" s="32">
        <f>IFERROR(DATEDIF(Table1[[#This Row],[MPG Ope Date]],Table1[[#This Row],[L]],"M"),"")</f>
        <v>33</v>
      </c>
      <c r="G399" s="25">
        <v>10020026</v>
      </c>
      <c r="H399" s="25" t="s">
        <v>559</v>
      </c>
      <c r="I399" s="23" t="s">
        <v>516</v>
      </c>
      <c r="J399" s="23">
        <v>6202734219</v>
      </c>
      <c r="K399" s="23" t="s">
        <v>69</v>
      </c>
      <c r="L399" s="25">
        <v>193585</v>
      </c>
      <c r="M399" s="23" t="s">
        <v>121</v>
      </c>
      <c r="N399" s="25" t="s">
        <v>122</v>
      </c>
      <c r="O399" s="32" t="s">
        <v>893</v>
      </c>
      <c r="P399" s="37">
        <v>45918</v>
      </c>
      <c r="Q399" s="46">
        <v>1</v>
      </c>
      <c r="R399" s="48">
        <v>70</v>
      </c>
      <c r="S399" s="34">
        <f t="shared" si="63"/>
        <v>70</v>
      </c>
      <c r="T399" s="34">
        <f t="shared" si="66"/>
        <v>12.6</v>
      </c>
      <c r="U399" s="34">
        <f t="shared" si="67"/>
        <v>82.6</v>
      </c>
      <c r="V399" s="34"/>
      <c r="W399" s="23" t="s">
        <v>1005</v>
      </c>
    </row>
    <row r="400" spans="1:23" x14ac:dyDescent="0.25">
      <c r="A400" s="31">
        <v>45874.583564814813</v>
      </c>
      <c r="B400" s="32" t="str">
        <f t="shared" si="62"/>
        <v>Aug-25</v>
      </c>
      <c r="C400" s="23" t="s">
        <v>153</v>
      </c>
      <c r="D400" s="23" t="s">
        <v>369</v>
      </c>
      <c r="E400" s="39">
        <v>44866</v>
      </c>
      <c r="F400" s="32">
        <f>IFERROR(DATEDIF(Table1[[#This Row],[MPG Ope Date]],Table1[[#This Row],[L]],"M"),"")</f>
        <v>33</v>
      </c>
      <c r="G400" s="25">
        <v>10020026</v>
      </c>
      <c r="H400" s="25" t="s">
        <v>559</v>
      </c>
      <c r="I400" s="23" t="s">
        <v>516</v>
      </c>
      <c r="J400" s="23">
        <v>6202734219</v>
      </c>
      <c r="K400" s="23" t="s">
        <v>69</v>
      </c>
      <c r="L400" s="25">
        <v>193585</v>
      </c>
      <c r="M400" s="23" t="s">
        <v>121</v>
      </c>
      <c r="N400" s="25" t="s">
        <v>122</v>
      </c>
      <c r="O400" s="32" t="s">
        <v>893</v>
      </c>
      <c r="P400" s="37">
        <v>45918</v>
      </c>
      <c r="Q400" s="46">
        <v>1</v>
      </c>
      <c r="R400" s="48">
        <v>70</v>
      </c>
      <c r="S400" s="34">
        <f t="shared" si="63"/>
        <v>70</v>
      </c>
      <c r="T400" s="34">
        <f t="shared" si="66"/>
        <v>12.6</v>
      </c>
      <c r="U400" s="34">
        <f t="shared" si="67"/>
        <v>82.6</v>
      </c>
      <c r="V400" s="34"/>
      <c r="W400" s="23" t="s">
        <v>1005</v>
      </c>
    </row>
    <row r="401" spans="1:23" x14ac:dyDescent="0.25">
      <c r="A401" s="31">
        <v>45874.523993055554</v>
      </c>
      <c r="B401" s="32" t="str">
        <f t="shared" si="62"/>
        <v>Aug-25</v>
      </c>
      <c r="C401" s="23" t="s">
        <v>153</v>
      </c>
      <c r="D401" s="23" t="s">
        <v>369</v>
      </c>
      <c r="E401" s="39">
        <v>44943</v>
      </c>
      <c r="F401" s="32">
        <f>IFERROR(DATEDIF(Table1[[#This Row],[MPG Ope Date]],Table1[[#This Row],[L]],"M"),"")</f>
        <v>30</v>
      </c>
      <c r="G401" s="25">
        <v>10120035</v>
      </c>
      <c r="H401" s="25" t="s">
        <v>294</v>
      </c>
      <c r="I401" s="23" t="s">
        <v>326</v>
      </c>
      <c r="J401" s="23">
        <v>7549794524</v>
      </c>
      <c r="K401" s="23" t="s">
        <v>69</v>
      </c>
      <c r="L401" s="25">
        <v>322427</v>
      </c>
      <c r="M401" s="23" t="s">
        <v>121</v>
      </c>
      <c r="N401" s="25" t="s">
        <v>122</v>
      </c>
      <c r="O401" s="32" t="s">
        <v>893</v>
      </c>
      <c r="P401" s="37">
        <v>45918</v>
      </c>
      <c r="Q401" s="46">
        <v>1</v>
      </c>
      <c r="R401" s="48">
        <v>70</v>
      </c>
      <c r="S401" s="34">
        <f t="shared" si="63"/>
        <v>70</v>
      </c>
      <c r="T401" s="34">
        <f t="shared" si="66"/>
        <v>12.6</v>
      </c>
      <c r="U401" s="34">
        <f t="shared" si="67"/>
        <v>82.6</v>
      </c>
      <c r="V401" s="34"/>
      <c r="W401" s="23" t="s">
        <v>1005</v>
      </c>
    </row>
    <row r="402" spans="1:23" x14ac:dyDescent="0.25">
      <c r="A402" s="31">
        <v>45874.523993055554</v>
      </c>
      <c r="B402" s="32" t="str">
        <f t="shared" si="62"/>
        <v>Aug-25</v>
      </c>
      <c r="C402" s="23" t="s">
        <v>153</v>
      </c>
      <c r="D402" s="23" t="s">
        <v>369</v>
      </c>
      <c r="E402" s="39">
        <v>44943</v>
      </c>
      <c r="F402" s="32">
        <f>IFERROR(DATEDIF(Table1[[#This Row],[MPG Ope Date]],Table1[[#This Row],[L]],"M"),"")</f>
        <v>30</v>
      </c>
      <c r="G402" s="25">
        <v>10120035</v>
      </c>
      <c r="H402" s="25" t="s">
        <v>294</v>
      </c>
      <c r="I402" s="23" t="s">
        <v>326</v>
      </c>
      <c r="J402" s="23">
        <v>7549794524</v>
      </c>
      <c r="K402" s="23" t="s">
        <v>69</v>
      </c>
      <c r="L402" s="25">
        <v>322427</v>
      </c>
      <c r="M402" s="23" t="s">
        <v>119</v>
      </c>
      <c r="N402" s="25" t="s">
        <v>120</v>
      </c>
      <c r="O402" s="32" t="s">
        <v>893</v>
      </c>
      <c r="P402" s="37">
        <v>45918</v>
      </c>
      <c r="Q402" s="46">
        <v>1</v>
      </c>
      <c r="R402" s="48">
        <v>84</v>
      </c>
      <c r="S402" s="34">
        <f t="shared" si="63"/>
        <v>84</v>
      </c>
      <c r="T402" s="34">
        <f t="shared" si="66"/>
        <v>15.12</v>
      </c>
      <c r="U402" s="34">
        <f t="shared" si="67"/>
        <v>99.12</v>
      </c>
      <c r="V402" s="34"/>
      <c r="W402" s="23" t="s">
        <v>1005</v>
      </c>
    </row>
    <row r="403" spans="1:23" x14ac:dyDescent="0.25">
      <c r="A403" s="31">
        <v>45874.582939814813</v>
      </c>
      <c r="B403" s="32" t="str">
        <f t="shared" si="62"/>
        <v>Aug-25</v>
      </c>
      <c r="C403" s="23" t="s">
        <v>153</v>
      </c>
      <c r="D403" s="23" t="s">
        <v>369</v>
      </c>
      <c r="E403" s="39">
        <v>44944</v>
      </c>
      <c r="F403" s="32">
        <f>IFERROR(DATEDIF(Table1[[#This Row],[MPG Ope Date]],Table1[[#This Row],[L]],"M"),"")</f>
        <v>30</v>
      </c>
      <c r="G403" s="25">
        <v>10020034</v>
      </c>
      <c r="H403" s="25" t="s">
        <v>560</v>
      </c>
      <c r="I403" s="23" t="s">
        <v>517</v>
      </c>
      <c r="J403" s="23">
        <v>9122045100</v>
      </c>
      <c r="K403" s="23" t="s">
        <v>70</v>
      </c>
      <c r="L403" s="25" t="s">
        <v>609</v>
      </c>
      <c r="M403" s="23" t="s">
        <v>131</v>
      </c>
      <c r="N403" s="25" t="s">
        <v>132</v>
      </c>
      <c r="O403" s="32" t="s">
        <v>893</v>
      </c>
      <c r="P403" s="37">
        <v>45918</v>
      </c>
      <c r="Q403" s="46">
        <v>1</v>
      </c>
      <c r="R403" s="48">
        <v>2800</v>
      </c>
      <c r="S403" s="34">
        <f t="shared" si="63"/>
        <v>2800</v>
      </c>
      <c r="T403" s="34">
        <f t="shared" si="66"/>
        <v>504</v>
      </c>
      <c r="U403" s="34">
        <f t="shared" si="67"/>
        <v>3304</v>
      </c>
      <c r="V403" s="34"/>
      <c r="W403" s="23" t="s">
        <v>1005</v>
      </c>
    </row>
    <row r="404" spans="1:23" x14ac:dyDescent="0.25">
      <c r="A404" s="31">
        <v>45874.783750000002</v>
      </c>
      <c r="B404" s="32" t="str">
        <f t="shared" si="62"/>
        <v>Aug-25</v>
      </c>
      <c r="C404" s="23" t="s">
        <v>152</v>
      </c>
      <c r="D404" s="23" t="s">
        <v>369</v>
      </c>
      <c r="E404" s="39" t="e">
        <v>#N/A</v>
      </c>
      <c r="F404" s="32" t="str">
        <f>IFERROR(DATEDIF(Table1[[#This Row],[MPG Ope Date]],Table1[[#This Row],[L]],"M"),"")</f>
        <v/>
      </c>
      <c r="G404" s="25">
        <v>20010054</v>
      </c>
      <c r="H404" s="25" t="s">
        <v>561</v>
      </c>
      <c r="I404" s="23" t="s">
        <v>518</v>
      </c>
      <c r="J404" s="23">
        <v>6205713854</v>
      </c>
      <c r="K404" s="23" t="s">
        <v>69</v>
      </c>
      <c r="L404" s="25">
        <v>360610</v>
      </c>
      <c r="M404" s="23" t="s">
        <v>117</v>
      </c>
      <c r="N404" s="25" t="s">
        <v>472</v>
      </c>
      <c r="O404" s="32" t="s">
        <v>894</v>
      </c>
      <c r="P404" s="37">
        <v>45918</v>
      </c>
      <c r="Q404" s="46">
        <v>1</v>
      </c>
      <c r="R404" s="48">
        <v>770</v>
      </c>
      <c r="S404" s="34">
        <f t="shared" si="63"/>
        <v>770</v>
      </c>
      <c r="T404" s="34">
        <f t="shared" si="66"/>
        <v>138.6</v>
      </c>
      <c r="U404" s="34">
        <f t="shared" si="67"/>
        <v>908.6</v>
      </c>
      <c r="V404" s="34"/>
      <c r="W404" s="23" t="e">
        <v>#N/A</v>
      </c>
    </row>
    <row r="405" spans="1:23" x14ac:dyDescent="0.25">
      <c r="A405" s="31">
        <v>45874.783750000002</v>
      </c>
      <c r="B405" s="32" t="str">
        <f t="shared" si="62"/>
        <v>Aug-25</v>
      </c>
      <c r="C405" s="23" t="s">
        <v>152</v>
      </c>
      <c r="D405" s="23" t="s">
        <v>369</v>
      </c>
      <c r="E405" s="39" t="e">
        <v>#N/A</v>
      </c>
      <c r="F405" s="32" t="str">
        <f>IFERROR(DATEDIF(Table1[[#This Row],[MPG Ope Date]],Table1[[#This Row],[L]],"M"),"")</f>
        <v/>
      </c>
      <c r="G405" s="25">
        <v>20010054</v>
      </c>
      <c r="H405" s="25" t="s">
        <v>561</v>
      </c>
      <c r="I405" s="23" t="s">
        <v>518</v>
      </c>
      <c r="J405" s="23">
        <v>6205713854</v>
      </c>
      <c r="K405" s="23" t="s">
        <v>69</v>
      </c>
      <c r="L405" s="25">
        <v>360610</v>
      </c>
      <c r="M405" s="23" t="s">
        <v>121</v>
      </c>
      <c r="N405" s="25" t="s">
        <v>122</v>
      </c>
      <c r="O405" s="32" t="s">
        <v>894</v>
      </c>
      <c r="P405" s="37">
        <v>45918</v>
      </c>
      <c r="Q405" s="46">
        <v>1</v>
      </c>
      <c r="R405" s="48">
        <v>70</v>
      </c>
      <c r="S405" s="34">
        <f t="shared" si="63"/>
        <v>70</v>
      </c>
      <c r="T405" s="34">
        <f t="shared" si="66"/>
        <v>12.6</v>
      </c>
      <c r="U405" s="34">
        <f t="shared" si="67"/>
        <v>82.6</v>
      </c>
      <c r="V405" s="34"/>
      <c r="W405" s="23" t="e">
        <v>#N/A</v>
      </c>
    </row>
    <row r="406" spans="1:23" x14ac:dyDescent="0.25">
      <c r="A406" s="31">
        <v>45873.490810185183</v>
      </c>
      <c r="B406" s="32" t="str">
        <f t="shared" si="62"/>
        <v>Aug-25</v>
      </c>
      <c r="C406" s="23" t="s">
        <v>152</v>
      </c>
      <c r="D406" s="23" t="s">
        <v>369</v>
      </c>
      <c r="E406" s="39" t="e">
        <v>#N/A</v>
      </c>
      <c r="F406" s="32" t="str">
        <f>IFERROR(DATEDIF(Table1[[#This Row],[MPG Ope Date]],Table1[[#This Row],[L]],"M"),"")</f>
        <v/>
      </c>
      <c r="G406" s="25">
        <v>20020003</v>
      </c>
      <c r="H406" s="25" t="s">
        <v>373</v>
      </c>
      <c r="I406" s="23" t="s">
        <v>382</v>
      </c>
      <c r="J406" s="23">
        <v>9835904490</v>
      </c>
      <c r="K406" s="23" t="s">
        <v>70</v>
      </c>
      <c r="L406" s="25" t="s">
        <v>610</v>
      </c>
      <c r="M406" s="23" t="s">
        <v>131</v>
      </c>
      <c r="N406" s="25" t="s">
        <v>132</v>
      </c>
      <c r="O406" s="32" t="s">
        <v>894</v>
      </c>
      <c r="P406" s="37">
        <v>45918</v>
      </c>
      <c r="Q406" s="46">
        <v>1</v>
      </c>
      <c r="R406" s="48">
        <v>2800</v>
      </c>
      <c r="S406" s="34">
        <f t="shared" si="63"/>
        <v>2800</v>
      </c>
      <c r="T406" s="34">
        <f t="shared" si="66"/>
        <v>504</v>
      </c>
      <c r="U406" s="34">
        <f t="shared" si="67"/>
        <v>3304</v>
      </c>
      <c r="V406" s="34"/>
      <c r="W406" s="23" t="e">
        <v>#N/A</v>
      </c>
    </row>
    <row r="407" spans="1:23" x14ac:dyDescent="0.25">
      <c r="A407" s="31">
        <v>45873.487916666665</v>
      </c>
      <c r="B407" s="32" t="str">
        <f t="shared" ref="B407:B413" si="68">TEXT(A407,"mmm-yy")</f>
        <v>Aug-25</v>
      </c>
      <c r="C407" s="23" t="s">
        <v>152</v>
      </c>
      <c r="D407" s="23" t="s">
        <v>369</v>
      </c>
      <c r="E407" s="39" t="e">
        <v>#N/A</v>
      </c>
      <c r="F407" s="32" t="str">
        <f>IFERROR(DATEDIF(Table1[[#This Row],[MPG Ope Date]],Table1[[#This Row],[L]],"M"),"")</f>
        <v/>
      </c>
      <c r="G407" s="25">
        <v>20010027</v>
      </c>
      <c r="H407" s="25" t="s">
        <v>562</v>
      </c>
      <c r="I407" s="23" t="s">
        <v>519</v>
      </c>
      <c r="J407" s="23">
        <v>8789289532</v>
      </c>
      <c r="K407" s="23" t="s">
        <v>68</v>
      </c>
      <c r="L407" s="25" t="s">
        <v>611</v>
      </c>
      <c r="M407" s="23" t="s">
        <v>137</v>
      </c>
      <c r="N407" s="25" t="s">
        <v>138</v>
      </c>
      <c r="O407" s="32" t="s">
        <v>894</v>
      </c>
      <c r="P407" s="37">
        <v>45918</v>
      </c>
      <c r="Q407" s="46">
        <v>1</v>
      </c>
      <c r="R407" s="48">
        <v>2800</v>
      </c>
      <c r="S407" s="34">
        <f t="shared" ref="S407:S413" si="69">+Q407*R407</f>
        <v>2800</v>
      </c>
      <c r="T407" s="34">
        <f t="shared" si="66"/>
        <v>504</v>
      </c>
      <c r="U407" s="34">
        <f t="shared" si="67"/>
        <v>3304</v>
      </c>
      <c r="V407" s="34"/>
      <c r="W407" s="23" t="e">
        <v>#N/A</v>
      </c>
    </row>
    <row r="408" spans="1:23" x14ac:dyDescent="0.25">
      <c r="A408" s="31">
        <v>45873.634791666664</v>
      </c>
      <c r="B408" s="32" t="str">
        <f t="shared" si="68"/>
        <v>Aug-25</v>
      </c>
      <c r="C408" s="23" t="s">
        <v>152</v>
      </c>
      <c r="D408" s="23" t="s">
        <v>0</v>
      </c>
      <c r="E408" s="39" t="e">
        <v>#N/A</v>
      </c>
      <c r="F408" s="32" t="str">
        <f>IFERROR(DATEDIF(Table1[[#This Row],[MPG Ope Date]],Table1[[#This Row],[L]],"M"),"")</f>
        <v/>
      </c>
      <c r="G408" s="25">
        <v>2001</v>
      </c>
      <c r="H408" s="25" t="s">
        <v>22</v>
      </c>
      <c r="I408" s="23" t="s">
        <v>56</v>
      </c>
      <c r="J408" s="23">
        <v>8210761749</v>
      </c>
      <c r="K408" s="23" t="s">
        <v>71</v>
      </c>
      <c r="L408" s="25" t="s">
        <v>612</v>
      </c>
      <c r="M408" s="23" t="s">
        <v>141</v>
      </c>
      <c r="N408" s="25" t="s">
        <v>471</v>
      </c>
      <c r="O408" s="32" t="s">
        <v>894</v>
      </c>
      <c r="P408" s="37">
        <v>45918</v>
      </c>
      <c r="Q408" s="46">
        <v>1</v>
      </c>
      <c r="R408" s="48">
        <v>900</v>
      </c>
      <c r="S408" s="34">
        <f t="shared" si="69"/>
        <v>900</v>
      </c>
      <c r="T408" s="34">
        <f t="shared" si="66"/>
        <v>162</v>
      </c>
      <c r="U408" s="34">
        <f t="shared" si="67"/>
        <v>1062</v>
      </c>
      <c r="V408" s="34"/>
      <c r="W408" s="23" t="e">
        <v>#N/A</v>
      </c>
    </row>
    <row r="409" spans="1:23" x14ac:dyDescent="0.25">
      <c r="A409" s="31">
        <v>45873.488796296297</v>
      </c>
      <c r="B409" s="32" t="str">
        <f t="shared" si="68"/>
        <v>Aug-25</v>
      </c>
      <c r="C409" s="23" t="s">
        <v>152</v>
      </c>
      <c r="D409" s="23" t="s">
        <v>369</v>
      </c>
      <c r="E409" s="39" t="e">
        <v>#N/A</v>
      </c>
      <c r="F409" s="32" t="str">
        <f>IFERROR(DATEDIF(Table1[[#This Row],[MPG Ope Date]],Table1[[#This Row],[L]],"M"),"")</f>
        <v/>
      </c>
      <c r="G409" s="25">
        <v>20010023</v>
      </c>
      <c r="H409" s="25" t="s">
        <v>563</v>
      </c>
      <c r="I409" s="23" t="s">
        <v>520</v>
      </c>
      <c r="J409" s="23">
        <v>7004385352</v>
      </c>
      <c r="K409" s="23" t="s">
        <v>68</v>
      </c>
      <c r="L409" s="25" t="s">
        <v>613</v>
      </c>
      <c r="M409" s="23" t="s">
        <v>137</v>
      </c>
      <c r="N409" s="25" t="s">
        <v>138</v>
      </c>
      <c r="O409" s="32" t="s">
        <v>894</v>
      </c>
      <c r="P409" s="37">
        <v>45918</v>
      </c>
      <c r="Q409" s="46">
        <v>1</v>
      </c>
      <c r="R409" s="48">
        <v>2800</v>
      </c>
      <c r="S409" s="34">
        <f t="shared" si="69"/>
        <v>2800</v>
      </c>
      <c r="T409" s="34">
        <f t="shared" si="66"/>
        <v>504</v>
      </c>
      <c r="U409" s="34">
        <f t="shared" si="67"/>
        <v>3304</v>
      </c>
      <c r="V409" s="34"/>
      <c r="W409" s="23" t="e">
        <v>#N/A</v>
      </c>
    </row>
    <row r="410" spans="1:23" x14ac:dyDescent="0.25">
      <c r="A410" s="31">
        <v>45873.694143518522</v>
      </c>
      <c r="B410" s="32" t="str">
        <f t="shared" si="68"/>
        <v>Aug-25</v>
      </c>
      <c r="C410" s="23" t="s">
        <v>153</v>
      </c>
      <c r="D410" s="23" t="s">
        <v>369</v>
      </c>
      <c r="E410" s="39">
        <v>42979</v>
      </c>
      <c r="F410" s="32">
        <f>IFERROR(DATEDIF(Table1[[#This Row],[MPG Ope Date]],Table1[[#This Row],[L]],"M"),"")</f>
        <v>95</v>
      </c>
      <c r="G410" s="25">
        <v>10060004</v>
      </c>
      <c r="H410" s="25" t="s">
        <v>564</v>
      </c>
      <c r="I410" s="23" t="s">
        <v>521</v>
      </c>
      <c r="J410" s="23">
        <v>9934893047</v>
      </c>
      <c r="K410" s="23" t="s">
        <v>68</v>
      </c>
      <c r="L410" s="25" t="s">
        <v>614</v>
      </c>
      <c r="M410" s="23" t="s">
        <v>111</v>
      </c>
      <c r="N410" s="25" t="s">
        <v>112</v>
      </c>
      <c r="O410" s="32" t="s">
        <v>893</v>
      </c>
      <c r="P410" s="37">
        <v>45918</v>
      </c>
      <c r="Q410" s="46">
        <v>1</v>
      </c>
      <c r="R410" s="47">
        <v>360</v>
      </c>
      <c r="S410" s="34">
        <f t="shared" si="69"/>
        <v>360</v>
      </c>
      <c r="T410" s="34">
        <f t="shared" si="66"/>
        <v>64.8</v>
      </c>
      <c r="U410" s="34">
        <f t="shared" si="67"/>
        <v>424.8</v>
      </c>
      <c r="V410" s="34"/>
      <c r="W410" s="23" t="s">
        <v>1005</v>
      </c>
    </row>
    <row r="411" spans="1:23" x14ac:dyDescent="0.25">
      <c r="A411" s="31">
        <v>45871.667615740742</v>
      </c>
      <c r="B411" s="32" t="str">
        <f t="shared" si="68"/>
        <v>Aug-25</v>
      </c>
      <c r="C411" s="23" t="s">
        <v>153</v>
      </c>
      <c r="D411" s="23" t="s">
        <v>369</v>
      </c>
      <c r="E411" s="39">
        <v>45226</v>
      </c>
      <c r="F411" s="32">
        <f>IFERROR(DATEDIF(Table1[[#This Row],[MPG Ope Date]],Table1[[#This Row],[L]],"M"),"")</f>
        <v>21</v>
      </c>
      <c r="G411" s="25">
        <v>10090046</v>
      </c>
      <c r="H411" s="25" t="s">
        <v>566</v>
      </c>
      <c r="I411" s="23" t="s">
        <v>523</v>
      </c>
      <c r="J411" s="23">
        <v>9006822211</v>
      </c>
      <c r="K411" s="23" t="s">
        <v>69</v>
      </c>
      <c r="L411" s="25">
        <v>2351809</v>
      </c>
      <c r="M411" s="23" t="s">
        <v>121</v>
      </c>
      <c r="N411" s="25" t="s">
        <v>122</v>
      </c>
      <c r="O411" s="32" t="s">
        <v>893</v>
      </c>
      <c r="P411" s="37">
        <v>45918</v>
      </c>
      <c r="Q411" s="46">
        <v>1</v>
      </c>
      <c r="R411" s="48">
        <v>70</v>
      </c>
      <c r="S411" s="34">
        <f t="shared" si="69"/>
        <v>70</v>
      </c>
      <c r="T411" s="34">
        <f t="shared" si="66"/>
        <v>12.6</v>
      </c>
      <c r="U411" s="34">
        <f t="shared" si="67"/>
        <v>82.6</v>
      </c>
      <c r="V411" s="34"/>
      <c r="W411" s="23" t="s">
        <v>1005</v>
      </c>
    </row>
    <row r="412" spans="1:23" x14ac:dyDescent="0.25">
      <c r="A412" s="31">
        <v>45871.667615740742</v>
      </c>
      <c r="B412" s="32" t="str">
        <f t="shared" si="68"/>
        <v>Aug-25</v>
      </c>
      <c r="C412" s="23" t="s">
        <v>153</v>
      </c>
      <c r="D412" s="23" t="s">
        <v>369</v>
      </c>
      <c r="E412" s="39">
        <v>45226</v>
      </c>
      <c r="F412" s="32">
        <f>IFERROR(DATEDIF(Table1[[#This Row],[MPG Ope Date]],Table1[[#This Row],[L]],"M"),"")</f>
        <v>21</v>
      </c>
      <c r="G412" s="25">
        <v>10090046</v>
      </c>
      <c r="H412" s="25" t="s">
        <v>566</v>
      </c>
      <c r="I412" s="23" t="s">
        <v>523</v>
      </c>
      <c r="J412" s="23">
        <v>9006822211</v>
      </c>
      <c r="K412" s="23" t="s">
        <v>69</v>
      </c>
      <c r="L412" s="25">
        <v>2351809</v>
      </c>
      <c r="M412" s="23" t="s">
        <v>121</v>
      </c>
      <c r="N412" s="25" t="s">
        <v>122</v>
      </c>
      <c r="O412" s="32" t="s">
        <v>893</v>
      </c>
      <c r="P412" s="37">
        <v>45918</v>
      </c>
      <c r="Q412" s="46">
        <v>1</v>
      </c>
      <c r="R412" s="48">
        <v>70</v>
      </c>
      <c r="S412" s="34">
        <f t="shared" si="69"/>
        <v>70</v>
      </c>
      <c r="T412" s="34">
        <f t="shared" ref="T412" si="70">+S412*0.18</f>
        <v>12.6</v>
      </c>
      <c r="U412" s="34">
        <f t="shared" ref="U412" si="71">+S412+T412</f>
        <v>82.6</v>
      </c>
      <c r="V412" s="34"/>
      <c r="W412" s="23" t="s">
        <v>1005</v>
      </c>
    </row>
    <row r="413" spans="1:23" x14ac:dyDescent="0.25">
      <c r="A413" s="31">
        <v>45930.702418981484</v>
      </c>
      <c r="B413" s="32" t="str">
        <f t="shared" si="68"/>
        <v>Sep-25</v>
      </c>
      <c r="C413" s="23" t="s">
        <v>153</v>
      </c>
      <c r="D413" s="23" t="s">
        <v>369</v>
      </c>
      <c r="E413" s="39" t="e">
        <v>#N/A</v>
      </c>
      <c r="F413" s="32" t="str">
        <f>IFERROR(DATEDIF(Table1[[#This Row],[MPG Ope Date]],Table1[[#This Row],[L]],"M"),"")</f>
        <v/>
      </c>
      <c r="G413" s="25">
        <v>10010076</v>
      </c>
      <c r="H413" s="50" t="s">
        <v>284</v>
      </c>
      <c r="I413" s="23" t="s">
        <v>316</v>
      </c>
      <c r="J413" s="23">
        <v>7808020360</v>
      </c>
      <c r="K413" s="23" t="s">
        <v>68</v>
      </c>
      <c r="L413" s="23" t="s">
        <v>707</v>
      </c>
      <c r="M413" s="23" t="s">
        <v>111</v>
      </c>
      <c r="N413" s="25" t="s">
        <v>112</v>
      </c>
      <c r="O413" s="32" t="s">
        <v>744</v>
      </c>
      <c r="P413" s="37">
        <v>45967</v>
      </c>
      <c r="Q413" s="25">
        <v>1</v>
      </c>
      <c r="R413" s="51">
        <v>360</v>
      </c>
      <c r="S413" s="34">
        <f t="shared" si="69"/>
        <v>360</v>
      </c>
      <c r="T413" s="34">
        <f t="shared" ref="T413:T444" si="72">+S413*0.18</f>
        <v>64.8</v>
      </c>
      <c r="U413" s="34">
        <f t="shared" ref="U413:U444" si="73">+S413+T413</f>
        <v>424.8</v>
      </c>
      <c r="V413" s="34"/>
      <c r="W413" s="23" t="s">
        <v>1005</v>
      </c>
    </row>
    <row r="414" spans="1:23" x14ac:dyDescent="0.25">
      <c r="A414" s="31">
        <v>45930.700648148151</v>
      </c>
      <c r="B414" s="32" t="str">
        <f t="shared" ref="B414:B444" si="74">TEXT(A414,"mmm-yy")</f>
        <v>Sep-25</v>
      </c>
      <c r="C414" s="23" t="s">
        <v>153</v>
      </c>
      <c r="D414" s="23" t="s">
        <v>369</v>
      </c>
      <c r="E414" s="39">
        <v>44694</v>
      </c>
      <c r="F414" s="32">
        <f>IFERROR(DATEDIF(Table1[[#This Row],[MPG Ope Date]],Table1[[#This Row],[L]],"M"),"")</f>
        <v>40</v>
      </c>
      <c r="G414" s="25">
        <v>10080016</v>
      </c>
      <c r="H414" s="23" t="s">
        <v>622</v>
      </c>
      <c r="I414" s="23" t="s">
        <v>665</v>
      </c>
      <c r="J414" s="23">
        <v>9162656663</v>
      </c>
      <c r="K414" s="23" t="s">
        <v>68</v>
      </c>
      <c r="L414" s="23" t="s">
        <v>708</v>
      </c>
      <c r="M414" s="23" t="s">
        <v>111</v>
      </c>
      <c r="N414" s="25" t="s">
        <v>112</v>
      </c>
      <c r="O414" s="32" t="s">
        <v>744</v>
      </c>
      <c r="P414" s="37">
        <v>45967</v>
      </c>
      <c r="Q414" s="25">
        <v>1</v>
      </c>
      <c r="R414" s="51">
        <v>360</v>
      </c>
      <c r="S414" s="34">
        <f t="shared" ref="S414:S444" si="75">+Q414*R414</f>
        <v>360</v>
      </c>
      <c r="T414" s="34">
        <f t="shared" si="72"/>
        <v>64.8</v>
      </c>
      <c r="U414" s="34">
        <f t="shared" si="73"/>
        <v>424.8</v>
      </c>
      <c r="V414" s="34"/>
      <c r="W414" s="23" t="s">
        <v>1005</v>
      </c>
    </row>
    <row r="415" spans="1:23" x14ac:dyDescent="0.25">
      <c r="A415" s="31">
        <v>45930.700648148151</v>
      </c>
      <c r="B415" s="32" t="str">
        <f t="shared" si="74"/>
        <v>Sep-25</v>
      </c>
      <c r="C415" s="23" t="s">
        <v>153</v>
      </c>
      <c r="D415" s="23" t="s">
        <v>369</v>
      </c>
      <c r="E415" s="39">
        <v>44694</v>
      </c>
      <c r="F415" s="32">
        <f>IFERROR(DATEDIF(Table1[[#This Row],[MPG Ope Date]],Table1[[#This Row],[L]],"M"),"")</f>
        <v>40</v>
      </c>
      <c r="G415" s="25">
        <v>10080016</v>
      </c>
      <c r="H415" s="23" t="s">
        <v>622</v>
      </c>
      <c r="I415" s="23" t="s">
        <v>665</v>
      </c>
      <c r="J415" s="23">
        <v>9162656663</v>
      </c>
      <c r="K415" s="23" t="s">
        <v>68</v>
      </c>
      <c r="L415" s="23" t="s">
        <v>708</v>
      </c>
      <c r="M415" s="23" t="s">
        <v>135</v>
      </c>
      <c r="N415" s="25" t="s">
        <v>396</v>
      </c>
      <c r="O415" s="32" t="s">
        <v>744</v>
      </c>
      <c r="P415" s="37">
        <v>45967</v>
      </c>
      <c r="Q415" s="25">
        <v>1</v>
      </c>
      <c r="R415" s="51">
        <v>825</v>
      </c>
      <c r="S415" s="34">
        <f t="shared" si="75"/>
        <v>825</v>
      </c>
      <c r="T415" s="34">
        <f t="shared" si="72"/>
        <v>148.5</v>
      </c>
      <c r="U415" s="34">
        <f t="shared" si="73"/>
        <v>973.5</v>
      </c>
      <c r="V415" s="34"/>
      <c r="W415" s="23" t="s">
        <v>1005</v>
      </c>
    </row>
    <row r="416" spans="1:23" x14ac:dyDescent="0.25">
      <c r="A416" s="31">
        <v>45929.675196759257</v>
      </c>
      <c r="B416" s="32" t="str">
        <f t="shared" si="74"/>
        <v>Sep-25</v>
      </c>
      <c r="C416" s="23" t="s">
        <v>153</v>
      </c>
      <c r="D416" s="23" t="s">
        <v>0</v>
      </c>
      <c r="E416" s="39" t="e">
        <v>#N/A</v>
      </c>
      <c r="F416" s="32" t="str">
        <f>IFERROR(DATEDIF(Table1[[#This Row],[MPG Ope Date]],Table1[[#This Row],[L]],"M"),"")</f>
        <v/>
      </c>
      <c r="G416" s="25">
        <v>1012</v>
      </c>
      <c r="H416" s="23" t="s">
        <v>623</v>
      </c>
      <c r="I416" s="23" t="s">
        <v>666</v>
      </c>
      <c r="J416" s="23">
        <v>9060744847</v>
      </c>
      <c r="K416" s="23" t="s">
        <v>69</v>
      </c>
      <c r="L416" s="23">
        <v>2346394</v>
      </c>
      <c r="M416" s="23" t="s">
        <v>121</v>
      </c>
      <c r="N416" s="25" t="s">
        <v>122</v>
      </c>
      <c r="O416" s="32" t="s">
        <v>744</v>
      </c>
      <c r="P416" s="37">
        <v>45967</v>
      </c>
      <c r="Q416" s="25">
        <v>1</v>
      </c>
      <c r="R416" s="51">
        <v>70</v>
      </c>
      <c r="S416" s="34">
        <f t="shared" si="75"/>
        <v>70</v>
      </c>
      <c r="T416" s="34">
        <f t="shared" si="72"/>
        <v>12.6</v>
      </c>
      <c r="U416" s="34">
        <f t="shared" si="73"/>
        <v>82.6</v>
      </c>
      <c r="V416" s="34"/>
      <c r="W416" s="23" t="e">
        <v>#N/A</v>
      </c>
    </row>
    <row r="417" spans="1:23" x14ac:dyDescent="0.25">
      <c r="A417" s="31">
        <v>45929.675196759257</v>
      </c>
      <c r="B417" s="32" t="str">
        <f t="shared" si="74"/>
        <v>Sep-25</v>
      </c>
      <c r="C417" s="23" t="s">
        <v>153</v>
      </c>
      <c r="D417" s="23" t="s">
        <v>0</v>
      </c>
      <c r="E417" s="39" t="e">
        <v>#N/A</v>
      </c>
      <c r="F417" s="32" t="str">
        <f>IFERROR(DATEDIF(Table1[[#This Row],[MPG Ope Date]],Table1[[#This Row],[L]],"M"),"")</f>
        <v/>
      </c>
      <c r="G417" s="25">
        <v>1012</v>
      </c>
      <c r="H417" s="23" t="s">
        <v>623</v>
      </c>
      <c r="I417" s="23" t="s">
        <v>666</v>
      </c>
      <c r="J417" s="23">
        <v>9060744847</v>
      </c>
      <c r="K417" s="23" t="s">
        <v>69</v>
      </c>
      <c r="L417" s="23">
        <v>2346394</v>
      </c>
      <c r="M417" s="23" t="s">
        <v>121</v>
      </c>
      <c r="N417" s="25" t="s">
        <v>122</v>
      </c>
      <c r="O417" s="32" t="s">
        <v>744</v>
      </c>
      <c r="P417" s="37">
        <v>45967</v>
      </c>
      <c r="Q417" s="25">
        <v>1</v>
      </c>
      <c r="R417" s="51">
        <v>70</v>
      </c>
      <c r="S417" s="34">
        <f t="shared" si="75"/>
        <v>70</v>
      </c>
      <c r="T417" s="34">
        <f t="shared" si="72"/>
        <v>12.6</v>
      </c>
      <c r="U417" s="34">
        <f t="shared" si="73"/>
        <v>82.6</v>
      </c>
      <c r="V417" s="34"/>
      <c r="W417" s="23" t="e">
        <v>#N/A</v>
      </c>
    </row>
    <row r="418" spans="1:23" x14ac:dyDescent="0.25">
      <c r="A418" s="31">
        <v>45929.666273148148</v>
      </c>
      <c r="B418" s="32" t="str">
        <f t="shared" si="74"/>
        <v>Sep-25</v>
      </c>
      <c r="C418" s="23" t="s">
        <v>153</v>
      </c>
      <c r="D418" s="23" t="s">
        <v>369</v>
      </c>
      <c r="E418" s="39">
        <v>43731</v>
      </c>
      <c r="F418" s="32">
        <f>IFERROR(DATEDIF(Table1[[#This Row],[MPG Ope Date]],Table1[[#This Row],[L]],"M"),"")</f>
        <v>72</v>
      </c>
      <c r="G418" s="25">
        <v>10120006</v>
      </c>
      <c r="H418" s="23" t="s">
        <v>273</v>
      </c>
      <c r="I418" s="23" t="s">
        <v>305</v>
      </c>
      <c r="J418" s="23">
        <v>7033197978</v>
      </c>
      <c r="K418" s="23" t="s">
        <v>68</v>
      </c>
      <c r="L418" s="23" t="s">
        <v>356</v>
      </c>
      <c r="M418" s="23" t="s">
        <v>260</v>
      </c>
      <c r="N418" s="25" t="s">
        <v>479</v>
      </c>
      <c r="O418" s="32" t="s">
        <v>744</v>
      </c>
      <c r="P418" s="37">
        <v>45967</v>
      </c>
      <c r="Q418" s="25">
        <v>1</v>
      </c>
      <c r="R418" s="51">
        <v>2080</v>
      </c>
      <c r="S418" s="34">
        <f t="shared" si="75"/>
        <v>2080</v>
      </c>
      <c r="T418" s="34">
        <f t="shared" si="72"/>
        <v>374.4</v>
      </c>
      <c r="U418" s="34">
        <f t="shared" si="73"/>
        <v>2454.4</v>
      </c>
      <c r="V418" s="34"/>
      <c r="W418" s="23" t="s">
        <v>1005</v>
      </c>
    </row>
    <row r="419" spans="1:23" x14ac:dyDescent="0.25">
      <c r="A419" s="31">
        <v>45927.720289351855</v>
      </c>
      <c r="B419" s="32" t="str">
        <f t="shared" si="74"/>
        <v>Sep-25</v>
      </c>
      <c r="C419" s="23" t="s">
        <v>153</v>
      </c>
      <c r="D419" s="23" t="s">
        <v>369</v>
      </c>
      <c r="E419" s="39">
        <v>44693</v>
      </c>
      <c r="F419" s="32">
        <f>IFERROR(DATEDIF(Table1[[#This Row],[MPG Ope Date]],Table1[[#This Row],[L]],"M"),"")</f>
        <v>40</v>
      </c>
      <c r="G419" s="25">
        <v>10080015</v>
      </c>
      <c r="H419" s="23" t="s">
        <v>272</v>
      </c>
      <c r="I419" s="23" t="s">
        <v>212</v>
      </c>
      <c r="J419" s="23">
        <v>9570636048</v>
      </c>
      <c r="K419" s="23" t="s">
        <v>68</v>
      </c>
      <c r="L419" s="23" t="s">
        <v>709</v>
      </c>
      <c r="M419" s="23" t="s">
        <v>111</v>
      </c>
      <c r="N419" s="25" t="s">
        <v>112</v>
      </c>
      <c r="O419" s="32" t="s">
        <v>744</v>
      </c>
      <c r="P419" s="37">
        <v>45967</v>
      </c>
      <c r="Q419" s="25">
        <v>1</v>
      </c>
      <c r="R419" s="51">
        <v>360</v>
      </c>
      <c r="S419" s="34">
        <f t="shared" si="75"/>
        <v>360</v>
      </c>
      <c r="T419" s="34">
        <f t="shared" si="72"/>
        <v>64.8</v>
      </c>
      <c r="U419" s="34">
        <f t="shared" si="73"/>
        <v>424.8</v>
      </c>
      <c r="V419" s="34"/>
      <c r="W419" s="23" t="s">
        <v>1005</v>
      </c>
    </row>
    <row r="420" spans="1:23" x14ac:dyDescent="0.25">
      <c r="A420" s="31">
        <v>45926.673043981478</v>
      </c>
      <c r="B420" s="32" t="str">
        <f t="shared" si="74"/>
        <v>Sep-25</v>
      </c>
      <c r="C420" s="23" t="s">
        <v>153</v>
      </c>
      <c r="D420" s="23" t="s">
        <v>369</v>
      </c>
      <c r="E420" s="39">
        <v>45869</v>
      </c>
      <c r="F420" s="32">
        <f>IFERROR(DATEDIF(Table1[[#This Row],[MPG Ope Date]],Table1[[#This Row],[L]],"M"),"")</f>
        <v>1</v>
      </c>
      <c r="G420" s="25">
        <v>10020076</v>
      </c>
      <c r="H420" s="23" t="s">
        <v>624</v>
      </c>
      <c r="I420" s="23" t="s">
        <v>667</v>
      </c>
      <c r="J420" s="23">
        <v>9777250343</v>
      </c>
      <c r="K420" s="23" t="s">
        <v>68</v>
      </c>
      <c r="L420" s="23" t="s">
        <v>710</v>
      </c>
      <c r="M420" s="23" t="s">
        <v>113</v>
      </c>
      <c r="N420" s="25" t="s">
        <v>114</v>
      </c>
      <c r="O420" s="32" t="s">
        <v>744</v>
      </c>
      <c r="P420" s="37">
        <v>45967</v>
      </c>
      <c r="Q420" s="25">
        <v>1</v>
      </c>
      <c r="R420" s="51">
        <v>225</v>
      </c>
      <c r="S420" s="34">
        <f t="shared" si="75"/>
        <v>225</v>
      </c>
      <c r="T420" s="34">
        <f t="shared" si="72"/>
        <v>40.5</v>
      </c>
      <c r="U420" s="34">
        <f t="shared" si="73"/>
        <v>265.5</v>
      </c>
      <c r="V420" s="34"/>
      <c r="W420" s="23" t="s">
        <v>1005</v>
      </c>
    </row>
    <row r="421" spans="1:23" x14ac:dyDescent="0.25">
      <c r="A421" s="31">
        <v>45926.673043981478</v>
      </c>
      <c r="B421" s="32" t="str">
        <f t="shared" si="74"/>
        <v>Sep-25</v>
      </c>
      <c r="C421" s="23" t="s">
        <v>153</v>
      </c>
      <c r="D421" s="23" t="s">
        <v>369</v>
      </c>
      <c r="E421" s="39">
        <v>45869</v>
      </c>
      <c r="F421" s="32">
        <f>IFERROR(DATEDIF(Table1[[#This Row],[MPG Ope Date]],Table1[[#This Row],[L]],"M"),"")</f>
        <v>1</v>
      </c>
      <c r="G421" s="25">
        <v>10020076</v>
      </c>
      <c r="H421" s="23" t="s">
        <v>624</v>
      </c>
      <c r="I421" s="23" t="s">
        <v>667</v>
      </c>
      <c r="J421" s="23">
        <v>9777250343</v>
      </c>
      <c r="K421" s="23" t="s">
        <v>68</v>
      </c>
      <c r="L421" s="23" t="s">
        <v>710</v>
      </c>
      <c r="M421" s="23" t="s">
        <v>137</v>
      </c>
      <c r="N421" s="25" t="s">
        <v>138</v>
      </c>
      <c r="O421" s="32" t="s">
        <v>744</v>
      </c>
      <c r="P421" s="37">
        <v>45967</v>
      </c>
      <c r="Q421" s="25">
        <v>1</v>
      </c>
      <c r="R421" s="51">
        <v>2800</v>
      </c>
      <c r="S421" s="34">
        <f t="shared" si="75"/>
        <v>2800</v>
      </c>
      <c r="T421" s="34">
        <f t="shared" si="72"/>
        <v>504</v>
      </c>
      <c r="U421" s="34">
        <f t="shared" si="73"/>
        <v>3304</v>
      </c>
      <c r="V421" s="34"/>
      <c r="W421" s="23" t="s">
        <v>1005</v>
      </c>
    </row>
    <row r="422" spans="1:23" x14ac:dyDescent="0.25">
      <c r="A422" s="31">
        <v>45926.689270833333</v>
      </c>
      <c r="B422" s="32" t="str">
        <f t="shared" si="74"/>
        <v>Sep-25</v>
      </c>
      <c r="C422" s="23" t="s">
        <v>153</v>
      </c>
      <c r="D422" s="23" t="s">
        <v>369</v>
      </c>
      <c r="E422" s="39" t="e">
        <v>#N/A</v>
      </c>
      <c r="F422" s="32" t="str">
        <f>IFERROR(DATEDIF(Table1[[#This Row],[MPG Ope Date]],Table1[[#This Row],[L]],"M"),"")</f>
        <v/>
      </c>
      <c r="G422" s="26">
        <v>10030053</v>
      </c>
      <c r="H422" s="50" t="s">
        <v>527</v>
      </c>
      <c r="I422" s="23" t="s">
        <v>484</v>
      </c>
      <c r="J422" s="23">
        <v>9204350523</v>
      </c>
      <c r="K422" s="23" t="s">
        <v>70</v>
      </c>
      <c r="L422" s="23" t="s">
        <v>570</v>
      </c>
      <c r="M422" s="23" t="s">
        <v>266</v>
      </c>
      <c r="N422" s="25" t="s">
        <v>473</v>
      </c>
      <c r="O422" s="32" t="s">
        <v>744</v>
      </c>
      <c r="P422" s="37">
        <v>45967</v>
      </c>
      <c r="Q422" s="25">
        <v>1</v>
      </c>
      <c r="R422" s="51">
        <v>780</v>
      </c>
      <c r="S422" s="34">
        <f t="shared" si="75"/>
        <v>780</v>
      </c>
      <c r="T422" s="34">
        <f t="shared" si="72"/>
        <v>140.4</v>
      </c>
      <c r="U422" s="34">
        <f t="shared" si="73"/>
        <v>920.4</v>
      </c>
      <c r="V422" s="34"/>
      <c r="W422" s="23" t="s">
        <v>1005</v>
      </c>
    </row>
    <row r="423" spans="1:23" x14ac:dyDescent="0.25">
      <c r="A423" s="31">
        <v>45926.688460648147</v>
      </c>
      <c r="B423" s="32" t="str">
        <f t="shared" si="74"/>
        <v>Sep-25</v>
      </c>
      <c r="C423" s="23" t="s">
        <v>153</v>
      </c>
      <c r="D423" s="23" t="s">
        <v>369</v>
      </c>
      <c r="E423" s="39">
        <v>45631</v>
      </c>
      <c r="F423" s="32">
        <f>IFERROR(DATEDIF(Table1[[#This Row],[MPG Ope Date]],Table1[[#This Row],[L]],"M"),"")</f>
        <v>9</v>
      </c>
      <c r="G423" s="25">
        <v>10030065</v>
      </c>
      <c r="H423" s="23" t="s">
        <v>625</v>
      </c>
      <c r="I423" s="23" t="s">
        <v>668</v>
      </c>
      <c r="J423" s="23">
        <v>7549362660</v>
      </c>
      <c r="K423" s="23" t="s">
        <v>70</v>
      </c>
      <c r="L423" s="23" t="s">
        <v>711</v>
      </c>
      <c r="M423" s="23" t="s">
        <v>123</v>
      </c>
      <c r="N423" s="25" t="s">
        <v>394</v>
      </c>
      <c r="O423" s="32" t="s">
        <v>744</v>
      </c>
      <c r="P423" s="37">
        <v>45967</v>
      </c>
      <c r="Q423" s="25">
        <v>1</v>
      </c>
      <c r="R423" s="51">
        <v>350</v>
      </c>
      <c r="S423" s="34">
        <f t="shared" si="75"/>
        <v>350</v>
      </c>
      <c r="T423" s="34">
        <f t="shared" si="72"/>
        <v>63</v>
      </c>
      <c r="U423" s="34">
        <f t="shared" si="73"/>
        <v>413</v>
      </c>
      <c r="V423" s="34"/>
      <c r="W423" s="23" t="s">
        <v>1005</v>
      </c>
    </row>
    <row r="424" spans="1:23" x14ac:dyDescent="0.25">
      <c r="A424" s="31">
        <v>45925.698287037034</v>
      </c>
      <c r="B424" s="32" t="str">
        <f t="shared" si="74"/>
        <v>Sep-25</v>
      </c>
      <c r="C424" s="23" t="s">
        <v>153</v>
      </c>
      <c r="D424" s="23" t="s">
        <v>369</v>
      </c>
      <c r="E424" s="39">
        <v>45323</v>
      </c>
      <c r="F424" s="32">
        <f>IFERROR(DATEDIF(Table1[[#This Row],[MPG Ope Date]],Table1[[#This Row],[L]],"M"),"")</f>
        <v>19</v>
      </c>
      <c r="G424" s="25">
        <v>10110056</v>
      </c>
      <c r="H424" s="23" t="s">
        <v>626</v>
      </c>
      <c r="I424" s="23" t="s">
        <v>669</v>
      </c>
      <c r="J424" s="23">
        <v>8210475462</v>
      </c>
      <c r="K424" s="23" t="s">
        <v>70</v>
      </c>
      <c r="L424" s="23" t="s">
        <v>712</v>
      </c>
      <c r="M424" s="23" t="s">
        <v>266</v>
      </c>
      <c r="N424" s="25" t="s">
        <v>267</v>
      </c>
      <c r="O424" s="32" t="s">
        <v>744</v>
      </c>
      <c r="P424" s="37">
        <v>45967</v>
      </c>
      <c r="Q424" s="25">
        <v>1</v>
      </c>
      <c r="R424" s="51">
        <v>780</v>
      </c>
      <c r="S424" s="34">
        <f t="shared" si="75"/>
        <v>780</v>
      </c>
      <c r="T424" s="34">
        <f t="shared" si="72"/>
        <v>140.4</v>
      </c>
      <c r="U424" s="34">
        <f t="shared" si="73"/>
        <v>920.4</v>
      </c>
      <c r="V424" s="34"/>
      <c r="W424" s="23" t="s">
        <v>1008</v>
      </c>
    </row>
    <row r="425" spans="1:23" x14ac:dyDescent="0.25">
      <c r="A425" s="31">
        <v>45924.697800925926</v>
      </c>
      <c r="B425" s="32" t="str">
        <f t="shared" si="74"/>
        <v>Sep-25</v>
      </c>
      <c r="C425" s="23" t="s">
        <v>153</v>
      </c>
      <c r="D425" s="23" t="s">
        <v>369</v>
      </c>
      <c r="E425" s="39">
        <v>45700</v>
      </c>
      <c r="F425" s="32">
        <f>IFERROR(DATEDIF(Table1[[#This Row],[MPG Ope Date]],Table1[[#This Row],[L]],"M"),"")</f>
        <v>7</v>
      </c>
      <c r="G425" s="25">
        <v>10110105</v>
      </c>
      <c r="H425" s="23" t="s">
        <v>10</v>
      </c>
      <c r="I425" s="23" t="s">
        <v>44</v>
      </c>
      <c r="J425" s="23">
        <v>7550619014</v>
      </c>
      <c r="K425" s="23" t="s">
        <v>70</v>
      </c>
      <c r="L425" s="23" t="s">
        <v>81</v>
      </c>
      <c r="M425" s="23" t="s">
        <v>123</v>
      </c>
      <c r="N425" s="25" t="s">
        <v>394</v>
      </c>
      <c r="O425" s="32" t="s">
        <v>744</v>
      </c>
      <c r="P425" s="37">
        <v>45967</v>
      </c>
      <c r="Q425" s="25">
        <v>1</v>
      </c>
      <c r="R425" s="51">
        <v>350</v>
      </c>
      <c r="S425" s="34">
        <f t="shared" si="75"/>
        <v>350</v>
      </c>
      <c r="T425" s="34">
        <f t="shared" si="72"/>
        <v>63</v>
      </c>
      <c r="U425" s="34">
        <f t="shared" si="73"/>
        <v>413</v>
      </c>
      <c r="V425" s="34"/>
      <c r="W425" s="23" t="s">
        <v>1005</v>
      </c>
    </row>
    <row r="426" spans="1:23" x14ac:dyDescent="0.25">
      <c r="A426" s="31">
        <v>45924.699166666665</v>
      </c>
      <c r="B426" s="32" t="str">
        <f t="shared" si="74"/>
        <v>Sep-25</v>
      </c>
      <c r="C426" s="23" t="s">
        <v>153</v>
      </c>
      <c r="D426" s="23" t="s">
        <v>369</v>
      </c>
      <c r="E426" s="39">
        <v>45631</v>
      </c>
      <c r="F426" s="32">
        <f>IFERROR(DATEDIF(Table1[[#This Row],[MPG Ope Date]],Table1[[#This Row],[L]],"M"),"")</f>
        <v>9</v>
      </c>
      <c r="G426" s="25">
        <v>10110094</v>
      </c>
      <c r="H426" s="23" t="s">
        <v>627</v>
      </c>
      <c r="I426" s="23" t="s">
        <v>670</v>
      </c>
      <c r="J426" s="23">
        <v>7549729151</v>
      </c>
      <c r="K426" s="23" t="s">
        <v>70</v>
      </c>
      <c r="L426" s="23" t="s">
        <v>713</v>
      </c>
      <c r="M426" s="23" t="s">
        <v>123</v>
      </c>
      <c r="N426" s="25" t="s">
        <v>394</v>
      </c>
      <c r="O426" s="32" t="s">
        <v>744</v>
      </c>
      <c r="P426" s="37">
        <v>45967</v>
      </c>
      <c r="Q426" s="25">
        <v>1</v>
      </c>
      <c r="R426" s="51">
        <v>350</v>
      </c>
      <c r="S426" s="34">
        <f t="shared" si="75"/>
        <v>350</v>
      </c>
      <c r="T426" s="34">
        <f t="shared" si="72"/>
        <v>63</v>
      </c>
      <c r="U426" s="34">
        <f t="shared" si="73"/>
        <v>413</v>
      </c>
      <c r="V426" s="34"/>
      <c r="W426" s="23" t="s">
        <v>1005</v>
      </c>
    </row>
    <row r="427" spans="1:23" x14ac:dyDescent="0.25">
      <c r="A427" s="31">
        <v>45924.613113425927</v>
      </c>
      <c r="B427" s="32" t="str">
        <f t="shared" si="74"/>
        <v>Sep-25</v>
      </c>
      <c r="C427" s="23" t="s">
        <v>153</v>
      </c>
      <c r="D427" s="23" t="s">
        <v>369</v>
      </c>
      <c r="E427" s="39">
        <v>45737</v>
      </c>
      <c r="F427" s="32">
        <f>IFERROR(DATEDIF(Table1[[#This Row],[MPG Ope Date]],Table1[[#This Row],[L]],"M"),"")</f>
        <v>6</v>
      </c>
      <c r="G427" s="25">
        <v>10010103</v>
      </c>
      <c r="H427" s="23" t="s">
        <v>628</v>
      </c>
      <c r="I427" s="23" t="s">
        <v>671</v>
      </c>
      <c r="J427" s="23">
        <v>7631449122</v>
      </c>
      <c r="K427" s="23" t="s">
        <v>69</v>
      </c>
      <c r="L427" s="23">
        <v>382402</v>
      </c>
      <c r="M427" s="23" t="s">
        <v>121</v>
      </c>
      <c r="N427" s="25" t="s">
        <v>122</v>
      </c>
      <c r="O427" s="32" t="s">
        <v>744</v>
      </c>
      <c r="P427" s="37">
        <v>45967</v>
      </c>
      <c r="Q427" s="25">
        <v>1</v>
      </c>
      <c r="R427" s="51">
        <v>70</v>
      </c>
      <c r="S427" s="34">
        <f t="shared" si="75"/>
        <v>70</v>
      </c>
      <c r="T427" s="34">
        <f t="shared" si="72"/>
        <v>12.6</v>
      </c>
      <c r="U427" s="34">
        <f t="shared" si="73"/>
        <v>82.6</v>
      </c>
      <c r="V427" s="34"/>
      <c r="W427" s="23" t="s">
        <v>1005</v>
      </c>
    </row>
    <row r="428" spans="1:23" x14ac:dyDescent="0.25">
      <c r="A428" s="31">
        <v>45924.613113425927</v>
      </c>
      <c r="B428" s="32" t="str">
        <f t="shared" si="74"/>
        <v>Sep-25</v>
      </c>
      <c r="C428" s="23" t="s">
        <v>153</v>
      </c>
      <c r="D428" s="23" t="s">
        <v>369</v>
      </c>
      <c r="E428" s="39">
        <v>45737</v>
      </c>
      <c r="F428" s="32">
        <f>IFERROR(DATEDIF(Table1[[#This Row],[MPG Ope Date]],Table1[[#This Row],[L]],"M"),"")</f>
        <v>6</v>
      </c>
      <c r="G428" s="25">
        <v>10010103</v>
      </c>
      <c r="H428" s="23" t="s">
        <v>628</v>
      </c>
      <c r="I428" s="23" t="s">
        <v>671</v>
      </c>
      <c r="J428" s="23">
        <v>7631449122</v>
      </c>
      <c r="K428" s="23" t="s">
        <v>69</v>
      </c>
      <c r="L428" s="23">
        <v>382402</v>
      </c>
      <c r="M428" s="23" t="s">
        <v>121</v>
      </c>
      <c r="N428" s="25" t="s">
        <v>122</v>
      </c>
      <c r="O428" s="32" t="s">
        <v>744</v>
      </c>
      <c r="P428" s="37">
        <v>45967</v>
      </c>
      <c r="Q428" s="25">
        <v>1</v>
      </c>
      <c r="R428" s="51">
        <v>70</v>
      </c>
      <c r="S428" s="34">
        <f t="shared" si="75"/>
        <v>70</v>
      </c>
      <c r="T428" s="34">
        <f t="shared" si="72"/>
        <v>12.6</v>
      </c>
      <c r="U428" s="34">
        <f t="shared" si="73"/>
        <v>82.6</v>
      </c>
      <c r="V428" s="34"/>
      <c r="W428" s="23" t="s">
        <v>1005</v>
      </c>
    </row>
    <row r="429" spans="1:23" x14ac:dyDescent="0.25">
      <c r="A429" s="31">
        <v>45924.702453703707</v>
      </c>
      <c r="B429" s="32" t="str">
        <f t="shared" si="74"/>
        <v>Sep-25</v>
      </c>
      <c r="C429" s="23" t="s">
        <v>153</v>
      </c>
      <c r="D429" s="23" t="s">
        <v>369</v>
      </c>
      <c r="E429" s="39">
        <v>44746</v>
      </c>
      <c r="F429" s="32">
        <f>IFERROR(DATEDIF(Table1[[#This Row],[MPG Ope Date]],Table1[[#This Row],[L]],"M"),"")</f>
        <v>38</v>
      </c>
      <c r="G429" s="25">
        <v>10110017</v>
      </c>
      <c r="H429" s="23" t="s">
        <v>629</v>
      </c>
      <c r="I429" s="23" t="s">
        <v>672</v>
      </c>
      <c r="J429" s="23">
        <v>9534494042</v>
      </c>
      <c r="K429" s="23" t="s">
        <v>70</v>
      </c>
      <c r="L429" s="23" t="s">
        <v>714</v>
      </c>
      <c r="M429" s="23" t="s">
        <v>123</v>
      </c>
      <c r="N429" s="25" t="s">
        <v>394</v>
      </c>
      <c r="O429" s="32" t="s">
        <v>744</v>
      </c>
      <c r="P429" s="37">
        <v>45967</v>
      </c>
      <c r="Q429" s="25">
        <v>1</v>
      </c>
      <c r="R429" s="51">
        <v>350</v>
      </c>
      <c r="S429" s="34">
        <f t="shared" si="75"/>
        <v>350</v>
      </c>
      <c r="T429" s="34">
        <f t="shared" si="72"/>
        <v>63</v>
      </c>
      <c r="U429" s="34">
        <f t="shared" si="73"/>
        <v>413</v>
      </c>
      <c r="V429" s="34"/>
      <c r="W429" s="23" t="s">
        <v>1011</v>
      </c>
    </row>
    <row r="430" spans="1:23" x14ac:dyDescent="0.25">
      <c r="A430" s="31">
        <v>45924.891527777778</v>
      </c>
      <c r="B430" s="32" t="str">
        <f t="shared" si="74"/>
        <v>Sep-25</v>
      </c>
      <c r="C430" s="23" t="s">
        <v>152</v>
      </c>
      <c r="D430" s="23" t="s">
        <v>369</v>
      </c>
      <c r="E430" s="39" t="e">
        <v>#N/A</v>
      </c>
      <c r="F430" s="32" t="str">
        <f>IFERROR(DATEDIF(Table1[[#This Row],[MPG Ope Date]],Table1[[#This Row],[L]],"M"),"")</f>
        <v/>
      </c>
      <c r="G430" s="25">
        <v>20010027</v>
      </c>
      <c r="H430" s="23" t="s">
        <v>562</v>
      </c>
      <c r="I430" s="23" t="s">
        <v>519</v>
      </c>
      <c r="J430" s="23">
        <v>8789289532</v>
      </c>
      <c r="K430" s="23" t="s">
        <v>68</v>
      </c>
      <c r="L430" s="23" t="s">
        <v>611</v>
      </c>
      <c r="M430" s="23" t="s">
        <v>133</v>
      </c>
      <c r="N430" s="25" t="s">
        <v>397</v>
      </c>
      <c r="O430" s="32" t="s">
        <v>743</v>
      </c>
      <c r="P430" s="37">
        <v>45967</v>
      </c>
      <c r="Q430" s="25">
        <v>1</v>
      </c>
      <c r="R430" s="51">
        <v>2080</v>
      </c>
      <c r="S430" s="34">
        <f t="shared" si="75"/>
        <v>2080</v>
      </c>
      <c r="T430" s="34">
        <f t="shared" si="72"/>
        <v>374.4</v>
      </c>
      <c r="U430" s="34">
        <f t="shared" si="73"/>
        <v>2454.4</v>
      </c>
      <c r="V430" s="34"/>
      <c r="W430" s="23" t="e">
        <v>#N/A</v>
      </c>
    </row>
    <row r="431" spans="1:23" x14ac:dyDescent="0.25">
      <c r="A431" s="31">
        <v>45923.634456018517</v>
      </c>
      <c r="B431" s="32" t="str">
        <f t="shared" si="74"/>
        <v>Sep-25</v>
      </c>
      <c r="C431" s="23" t="s">
        <v>153</v>
      </c>
      <c r="D431" s="23" t="s">
        <v>369</v>
      </c>
      <c r="E431" s="39">
        <v>45590</v>
      </c>
      <c r="F431" s="32">
        <f>IFERROR(DATEDIF(Table1[[#This Row],[MPG Ope Date]],Table1[[#This Row],[L]],"M"),"")</f>
        <v>10</v>
      </c>
      <c r="G431" s="25">
        <v>10140126</v>
      </c>
      <c r="H431" s="23" t="s">
        <v>630</v>
      </c>
      <c r="I431" s="23" t="s">
        <v>673</v>
      </c>
      <c r="J431" s="23">
        <v>7488805806</v>
      </c>
      <c r="K431" s="23" t="s">
        <v>70</v>
      </c>
      <c r="L431" s="23" t="s">
        <v>715</v>
      </c>
      <c r="M431" s="23" t="s">
        <v>147</v>
      </c>
      <c r="N431" s="25" t="s">
        <v>739</v>
      </c>
      <c r="O431" s="32" t="s">
        <v>744</v>
      </c>
      <c r="P431" s="37">
        <v>45967</v>
      </c>
      <c r="Q431" s="25">
        <v>1</v>
      </c>
      <c r="R431" s="51">
        <v>9300</v>
      </c>
      <c r="S431" s="34">
        <f t="shared" si="75"/>
        <v>9300</v>
      </c>
      <c r="T431" s="34">
        <f t="shared" si="72"/>
        <v>1674</v>
      </c>
      <c r="U431" s="34">
        <f t="shared" si="73"/>
        <v>10974</v>
      </c>
      <c r="V431" s="34"/>
      <c r="W431" s="23" t="s">
        <v>1005</v>
      </c>
    </row>
    <row r="432" spans="1:23" x14ac:dyDescent="0.25">
      <c r="A432" s="31">
        <v>45923.640428240738</v>
      </c>
      <c r="B432" s="32" t="str">
        <f t="shared" si="74"/>
        <v>Sep-25</v>
      </c>
      <c r="C432" s="23" t="s">
        <v>152</v>
      </c>
      <c r="D432" s="23" t="s">
        <v>369</v>
      </c>
      <c r="E432" s="39" t="e">
        <v>#N/A</v>
      </c>
      <c r="F432" s="32" t="str">
        <f>IFERROR(DATEDIF(Table1[[#This Row],[MPG Ope Date]],Table1[[#This Row],[L]],"M"),"")</f>
        <v/>
      </c>
      <c r="G432" s="25">
        <v>20090014</v>
      </c>
      <c r="H432" s="23" t="s">
        <v>631</v>
      </c>
      <c r="I432" s="23" t="s">
        <v>674</v>
      </c>
      <c r="J432" s="23">
        <v>7667809258</v>
      </c>
      <c r="K432" s="23" t="s">
        <v>68</v>
      </c>
      <c r="L432" s="23" t="s">
        <v>716</v>
      </c>
      <c r="M432" s="23" t="s">
        <v>740</v>
      </c>
      <c r="N432" s="25" t="s">
        <v>741</v>
      </c>
      <c r="O432" s="32" t="s">
        <v>743</v>
      </c>
      <c r="P432" s="37">
        <v>45967</v>
      </c>
      <c r="Q432" s="25">
        <v>1</v>
      </c>
      <c r="R432" s="51">
        <v>480</v>
      </c>
      <c r="S432" s="34">
        <f t="shared" si="75"/>
        <v>480</v>
      </c>
      <c r="T432" s="34">
        <f t="shared" si="72"/>
        <v>86.399999999999991</v>
      </c>
      <c r="U432" s="34">
        <f t="shared" si="73"/>
        <v>566.4</v>
      </c>
      <c r="V432" s="34"/>
      <c r="W432" s="23" t="e">
        <v>#N/A</v>
      </c>
    </row>
    <row r="433" spans="1:23" x14ac:dyDescent="0.25">
      <c r="A433" s="31">
        <v>45922.480127314811</v>
      </c>
      <c r="B433" s="32" t="str">
        <f t="shared" si="74"/>
        <v>Sep-25</v>
      </c>
      <c r="C433" s="23" t="s">
        <v>153</v>
      </c>
      <c r="D433" s="23" t="s">
        <v>369</v>
      </c>
      <c r="E433" s="39">
        <v>45770</v>
      </c>
      <c r="F433" s="32">
        <f>IFERROR(DATEDIF(Table1[[#This Row],[MPG Ope Date]],Table1[[#This Row],[L]],"M"),"")</f>
        <v>4</v>
      </c>
      <c r="G433" s="25">
        <v>10070063</v>
      </c>
      <c r="H433" s="23" t="s">
        <v>193</v>
      </c>
      <c r="I433" s="23" t="s">
        <v>229</v>
      </c>
      <c r="J433" s="23">
        <v>8051888251</v>
      </c>
      <c r="K433" s="23" t="s">
        <v>70</v>
      </c>
      <c r="L433" s="23" t="s">
        <v>251</v>
      </c>
      <c r="M433" s="23" t="s">
        <v>131</v>
      </c>
      <c r="N433" s="25" t="s">
        <v>132</v>
      </c>
      <c r="O433" s="32" t="s">
        <v>744</v>
      </c>
      <c r="P433" s="37">
        <v>45967</v>
      </c>
      <c r="Q433" s="25">
        <v>1</v>
      </c>
      <c r="R433" s="51">
        <v>2800</v>
      </c>
      <c r="S433" s="34">
        <f t="shared" si="75"/>
        <v>2800</v>
      </c>
      <c r="T433" s="34">
        <f t="shared" si="72"/>
        <v>504</v>
      </c>
      <c r="U433" s="34">
        <f t="shared" si="73"/>
        <v>3304</v>
      </c>
      <c r="V433" s="34"/>
      <c r="W433" s="23" t="s">
        <v>1005</v>
      </c>
    </row>
    <row r="434" spans="1:23" x14ac:dyDescent="0.25">
      <c r="A434" s="31">
        <v>45922.481157407405</v>
      </c>
      <c r="B434" s="32" t="str">
        <f t="shared" si="74"/>
        <v>Sep-25</v>
      </c>
      <c r="C434" s="23" t="s">
        <v>153</v>
      </c>
      <c r="D434" s="23" t="s">
        <v>369</v>
      </c>
      <c r="E434" s="39">
        <v>45738</v>
      </c>
      <c r="F434" s="32">
        <f>IFERROR(DATEDIF(Table1[[#This Row],[MPG Ope Date]],Table1[[#This Row],[L]],"M"),"")</f>
        <v>6</v>
      </c>
      <c r="G434" s="25">
        <v>10030070</v>
      </c>
      <c r="H434" s="23" t="s">
        <v>532</v>
      </c>
      <c r="I434" s="23" t="s">
        <v>489</v>
      </c>
      <c r="J434" s="23">
        <v>9341977117</v>
      </c>
      <c r="K434" s="23" t="s">
        <v>69</v>
      </c>
      <c r="L434" s="23">
        <v>387355</v>
      </c>
      <c r="M434" s="23" t="s">
        <v>145</v>
      </c>
      <c r="N434" s="25" t="s">
        <v>146</v>
      </c>
      <c r="O434" s="32" t="s">
        <v>744</v>
      </c>
      <c r="P434" s="37">
        <v>45967</v>
      </c>
      <c r="Q434" s="25">
        <v>1</v>
      </c>
      <c r="R434" s="51">
        <v>49</v>
      </c>
      <c r="S434" s="34">
        <f t="shared" si="75"/>
        <v>49</v>
      </c>
      <c r="T434" s="34">
        <f t="shared" si="72"/>
        <v>8.82</v>
      </c>
      <c r="U434" s="34">
        <f t="shared" si="73"/>
        <v>57.82</v>
      </c>
      <c r="V434" s="34"/>
      <c r="W434" s="23" t="s">
        <v>1005</v>
      </c>
    </row>
    <row r="435" spans="1:23" x14ac:dyDescent="0.25">
      <c r="A435" s="31">
        <v>45922.481157407405</v>
      </c>
      <c r="B435" s="32" t="str">
        <f t="shared" si="74"/>
        <v>Sep-25</v>
      </c>
      <c r="C435" s="23" t="s">
        <v>153</v>
      </c>
      <c r="D435" s="23" t="s">
        <v>369</v>
      </c>
      <c r="E435" s="39">
        <v>45738</v>
      </c>
      <c r="F435" s="32">
        <f>IFERROR(DATEDIF(Table1[[#This Row],[MPG Ope Date]],Table1[[#This Row],[L]],"M"),"")</f>
        <v>6</v>
      </c>
      <c r="G435" s="25">
        <v>10030070</v>
      </c>
      <c r="H435" s="23" t="s">
        <v>532</v>
      </c>
      <c r="I435" s="23" t="s">
        <v>489</v>
      </c>
      <c r="J435" s="23">
        <v>9341977117</v>
      </c>
      <c r="K435" s="23" t="s">
        <v>69</v>
      </c>
      <c r="L435" s="23">
        <v>387355</v>
      </c>
      <c r="M435" s="23" t="s">
        <v>145</v>
      </c>
      <c r="N435" s="25" t="s">
        <v>146</v>
      </c>
      <c r="O435" s="32" t="s">
        <v>744</v>
      </c>
      <c r="P435" s="37">
        <v>45967</v>
      </c>
      <c r="Q435" s="25">
        <v>1</v>
      </c>
      <c r="R435" s="51">
        <v>49</v>
      </c>
      <c r="S435" s="34">
        <f t="shared" si="75"/>
        <v>49</v>
      </c>
      <c r="T435" s="34">
        <f t="shared" si="72"/>
        <v>8.82</v>
      </c>
      <c r="U435" s="34">
        <f t="shared" si="73"/>
        <v>57.82</v>
      </c>
      <c r="V435" s="34"/>
      <c r="W435" s="23" t="s">
        <v>1005</v>
      </c>
    </row>
    <row r="436" spans="1:23" x14ac:dyDescent="0.25">
      <c r="A436" s="31">
        <v>45920.681319444448</v>
      </c>
      <c r="B436" s="32" t="str">
        <f t="shared" si="74"/>
        <v>Sep-25</v>
      </c>
      <c r="C436" s="23" t="s">
        <v>153</v>
      </c>
      <c r="D436" s="23" t="s">
        <v>369</v>
      </c>
      <c r="E436" s="39">
        <v>43622</v>
      </c>
      <c r="F436" s="32">
        <f>IFERROR(DATEDIF(Table1[[#This Row],[MPG Ope Date]],Table1[[#This Row],[L]],"M"),"")</f>
        <v>75</v>
      </c>
      <c r="G436" s="25">
        <v>10120001</v>
      </c>
      <c r="H436" s="23" t="s">
        <v>632</v>
      </c>
      <c r="I436" s="23" t="s">
        <v>675</v>
      </c>
      <c r="J436" s="23">
        <v>7545865422</v>
      </c>
      <c r="K436" s="23" t="s">
        <v>68</v>
      </c>
      <c r="L436" s="23" t="s">
        <v>717</v>
      </c>
      <c r="M436" s="23" t="s">
        <v>135</v>
      </c>
      <c r="N436" s="25" t="s">
        <v>396</v>
      </c>
      <c r="O436" s="32" t="s">
        <v>744</v>
      </c>
      <c r="P436" s="37">
        <v>45967</v>
      </c>
      <c r="Q436" s="25">
        <v>1</v>
      </c>
      <c r="R436" s="51">
        <v>825</v>
      </c>
      <c r="S436" s="34">
        <f t="shared" si="75"/>
        <v>825</v>
      </c>
      <c r="T436" s="34">
        <f t="shared" si="72"/>
        <v>148.5</v>
      </c>
      <c r="U436" s="34">
        <f t="shared" si="73"/>
        <v>973.5</v>
      </c>
      <c r="V436" s="34"/>
      <c r="W436" s="23" t="s">
        <v>1005</v>
      </c>
    </row>
    <row r="437" spans="1:23" x14ac:dyDescent="0.25">
      <c r="A437" s="31">
        <v>45920.684884259259</v>
      </c>
      <c r="B437" s="32" t="str">
        <f t="shared" si="74"/>
        <v>Sep-25</v>
      </c>
      <c r="C437" s="23" t="s">
        <v>153</v>
      </c>
      <c r="D437" s="23" t="s">
        <v>369</v>
      </c>
      <c r="E437" s="39">
        <v>44184</v>
      </c>
      <c r="F437" s="32">
        <f>IFERROR(DATEDIF(Table1[[#This Row],[MPG Ope Date]],Table1[[#This Row],[L]],"M"),"")</f>
        <v>57</v>
      </c>
      <c r="G437" s="25">
        <v>10120022</v>
      </c>
      <c r="H437" s="23" t="s">
        <v>168</v>
      </c>
      <c r="I437" s="23" t="s">
        <v>205</v>
      </c>
      <c r="J437" s="23">
        <v>9973808926</v>
      </c>
      <c r="K437" s="23" t="s">
        <v>69</v>
      </c>
      <c r="L437" s="23">
        <v>322529</v>
      </c>
      <c r="M437" s="23" t="s">
        <v>262</v>
      </c>
      <c r="N437" s="25" t="s">
        <v>263</v>
      </c>
      <c r="O437" s="32" t="s">
        <v>744</v>
      </c>
      <c r="P437" s="37">
        <v>45967</v>
      </c>
      <c r="Q437" s="25">
        <v>1</v>
      </c>
      <c r="R437" s="51">
        <v>140</v>
      </c>
      <c r="S437" s="34">
        <f t="shared" si="75"/>
        <v>140</v>
      </c>
      <c r="T437" s="34">
        <f t="shared" si="72"/>
        <v>25.2</v>
      </c>
      <c r="U437" s="34">
        <f t="shared" si="73"/>
        <v>165.2</v>
      </c>
      <c r="V437" s="34"/>
      <c r="W437" s="23" t="s">
        <v>1005</v>
      </c>
    </row>
    <row r="438" spans="1:23" x14ac:dyDescent="0.25">
      <c r="A438" s="31">
        <v>45920.684884259259</v>
      </c>
      <c r="B438" s="32" t="str">
        <f t="shared" si="74"/>
        <v>Sep-25</v>
      </c>
      <c r="C438" s="23" t="s">
        <v>153</v>
      </c>
      <c r="D438" s="23" t="s">
        <v>369</v>
      </c>
      <c r="E438" s="39">
        <v>44184</v>
      </c>
      <c r="F438" s="32">
        <f>IFERROR(DATEDIF(Table1[[#This Row],[MPG Ope Date]],Table1[[#This Row],[L]],"M"),"")</f>
        <v>57</v>
      </c>
      <c r="G438" s="25">
        <v>10120022</v>
      </c>
      <c r="H438" s="23" t="s">
        <v>168</v>
      </c>
      <c r="I438" s="23" t="s">
        <v>205</v>
      </c>
      <c r="J438" s="23">
        <v>9973808926</v>
      </c>
      <c r="K438" s="23" t="s">
        <v>69</v>
      </c>
      <c r="L438" s="23">
        <v>322529</v>
      </c>
      <c r="M438" s="23" t="s">
        <v>117</v>
      </c>
      <c r="N438" s="25" t="s">
        <v>472</v>
      </c>
      <c r="O438" s="32" t="s">
        <v>744</v>
      </c>
      <c r="P438" s="37">
        <v>45967</v>
      </c>
      <c r="Q438" s="25">
        <v>1</v>
      </c>
      <c r="R438" s="51">
        <v>770</v>
      </c>
      <c r="S438" s="34">
        <f t="shared" si="75"/>
        <v>770</v>
      </c>
      <c r="T438" s="34">
        <f t="shared" si="72"/>
        <v>138.6</v>
      </c>
      <c r="U438" s="34">
        <f t="shared" si="73"/>
        <v>908.6</v>
      </c>
      <c r="V438" s="34"/>
      <c r="W438" s="23" t="s">
        <v>1005</v>
      </c>
    </row>
    <row r="439" spans="1:23" x14ac:dyDescent="0.25">
      <c r="A439" s="31">
        <v>45920.562280092592</v>
      </c>
      <c r="B439" s="32" t="str">
        <f t="shared" si="74"/>
        <v>Sep-25</v>
      </c>
      <c r="C439" s="23" t="s">
        <v>153</v>
      </c>
      <c r="D439" s="23" t="s">
        <v>369</v>
      </c>
      <c r="E439" s="39">
        <v>42979</v>
      </c>
      <c r="F439" s="32">
        <f>IFERROR(DATEDIF(Table1[[#This Row],[MPG Ope Date]],Table1[[#This Row],[L]],"M"),"")</f>
        <v>96</v>
      </c>
      <c r="G439" s="25">
        <v>10090007</v>
      </c>
      <c r="H439" s="23" t="s">
        <v>633</v>
      </c>
      <c r="I439" s="23" t="s">
        <v>676</v>
      </c>
      <c r="J439" s="23">
        <v>7739127357</v>
      </c>
      <c r="K439" s="23" t="s">
        <v>68</v>
      </c>
      <c r="L439" s="23" t="s">
        <v>718</v>
      </c>
      <c r="M439" s="23" t="s">
        <v>111</v>
      </c>
      <c r="N439" s="25" t="s">
        <v>112</v>
      </c>
      <c r="O439" s="32" t="s">
        <v>744</v>
      </c>
      <c r="P439" s="37">
        <v>45967</v>
      </c>
      <c r="Q439" s="25">
        <v>1</v>
      </c>
      <c r="R439" s="51">
        <v>360</v>
      </c>
      <c r="S439" s="34">
        <f t="shared" si="75"/>
        <v>360</v>
      </c>
      <c r="T439" s="34">
        <f t="shared" si="72"/>
        <v>64.8</v>
      </c>
      <c r="U439" s="34">
        <f t="shared" si="73"/>
        <v>424.8</v>
      </c>
      <c r="V439" s="34"/>
      <c r="W439" s="23" t="s">
        <v>1005</v>
      </c>
    </row>
    <row r="440" spans="1:23" x14ac:dyDescent="0.25">
      <c r="A440" s="31">
        <v>45920.560590277775</v>
      </c>
      <c r="B440" s="32" t="str">
        <f t="shared" si="74"/>
        <v>Sep-25</v>
      </c>
      <c r="C440" s="23" t="s">
        <v>153</v>
      </c>
      <c r="D440" s="23" t="s">
        <v>369</v>
      </c>
      <c r="E440" s="39">
        <v>43789</v>
      </c>
      <c r="F440" s="32">
        <f>IFERROR(DATEDIF(Table1[[#This Row],[MPG Ope Date]],Table1[[#This Row],[L]],"M"),"")</f>
        <v>70</v>
      </c>
      <c r="G440" s="25">
        <v>10090015</v>
      </c>
      <c r="H440" s="23" t="s">
        <v>634</v>
      </c>
      <c r="I440" s="23" t="s">
        <v>677</v>
      </c>
      <c r="J440" s="23">
        <v>8210754673</v>
      </c>
      <c r="K440" s="23" t="s">
        <v>69</v>
      </c>
      <c r="L440" s="23">
        <v>210419</v>
      </c>
      <c r="M440" s="23" t="s">
        <v>117</v>
      </c>
      <c r="N440" s="25" t="s">
        <v>472</v>
      </c>
      <c r="O440" s="32" t="s">
        <v>744</v>
      </c>
      <c r="P440" s="37">
        <v>45967</v>
      </c>
      <c r="Q440" s="25">
        <v>1</v>
      </c>
      <c r="R440" s="51">
        <v>770</v>
      </c>
      <c r="S440" s="34">
        <f t="shared" si="75"/>
        <v>770</v>
      </c>
      <c r="T440" s="34">
        <f t="shared" si="72"/>
        <v>138.6</v>
      </c>
      <c r="U440" s="34">
        <f t="shared" si="73"/>
        <v>908.6</v>
      </c>
      <c r="V440" s="34"/>
      <c r="W440" s="23" t="s">
        <v>1005</v>
      </c>
    </row>
    <row r="441" spans="1:23" x14ac:dyDescent="0.25">
      <c r="A441" s="31">
        <v>45920.666296296295</v>
      </c>
      <c r="B441" s="32" t="str">
        <f t="shared" si="74"/>
        <v>Sep-25</v>
      </c>
      <c r="C441" s="23" t="s">
        <v>153</v>
      </c>
      <c r="D441" s="23" t="s">
        <v>369</v>
      </c>
      <c r="E441" s="39">
        <v>45793</v>
      </c>
      <c r="F441" s="32">
        <f>IFERROR(DATEDIF(Table1[[#This Row],[MPG Ope Date]],Table1[[#This Row],[L]],"M"),"")</f>
        <v>4</v>
      </c>
      <c r="G441" s="25">
        <v>10120104</v>
      </c>
      <c r="H441" s="23" t="s">
        <v>290</v>
      </c>
      <c r="I441" s="23" t="s">
        <v>322</v>
      </c>
      <c r="J441" s="23">
        <v>7079418432</v>
      </c>
      <c r="K441" s="23" t="s">
        <v>71</v>
      </c>
      <c r="L441" s="23" t="s">
        <v>351</v>
      </c>
      <c r="M441" s="23" t="s">
        <v>141</v>
      </c>
      <c r="N441" s="25" t="s">
        <v>142</v>
      </c>
      <c r="O441" s="32" t="s">
        <v>744</v>
      </c>
      <c r="P441" s="37">
        <v>45967</v>
      </c>
      <c r="Q441" s="25">
        <v>1</v>
      </c>
      <c r="R441" s="51">
        <v>900</v>
      </c>
      <c r="S441" s="34">
        <f t="shared" si="75"/>
        <v>900</v>
      </c>
      <c r="T441" s="34">
        <f t="shared" si="72"/>
        <v>162</v>
      </c>
      <c r="U441" s="34">
        <f t="shared" si="73"/>
        <v>1062</v>
      </c>
      <c r="V441" s="34"/>
      <c r="W441" s="23" t="s">
        <v>1005</v>
      </c>
    </row>
    <row r="442" spans="1:23" x14ac:dyDescent="0.25">
      <c r="A442" s="31">
        <v>45919.510370370372</v>
      </c>
      <c r="B442" s="32" t="str">
        <f t="shared" si="74"/>
        <v>Sep-25</v>
      </c>
      <c r="C442" s="23" t="s">
        <v>153</v>
      </c>
      <c r="D442" s="23" t="s">
        <v>369</v>
      </c>
      <c r="E442" s="39">
        <v>44779</v>
      </c>
      <c r="F442" s="32">
        <f>IFERROR(DATEDIF(Table1[[#This Row],[MPG Ope Date]],Table1[[#This Row],[L]],"M"),"")</f>
        <v>37</v>
      </c>
      <c r="G442" s="25">
        <v>10020023</v>
      </c>
      <c r="H442" s="23" t="s">
        <v>635</v>
      </c>
      <c r="I442" s="23" t="s">
        <v>678</v>
      </c>
      <c r="J442" s="23">
        <v>7979912299</v>
      </c>
      <c r="K442" s="23" t="s">
        <v>68</v>
      </c>
      <c r="L442" s="23" t="s">
        <v>719</v>
      </c>
      <c r="M442" s="23" t="s">
        <v>113</v>
      </c>
      <c r="N442" s="25" t="s">
        <v>114</v>
      </c>
      <c r="O442" s="32" t="s">
        <v>744</v>
      </c>
      <c r="P442" s="37">
        <v>45967</v>
      </c>
      <c r="Q442" s="25">
        <v>1</v>
      </c>
      <c r="R442" s="51">
        <v>225</v>
      </c>
      <c r="S442" s="34">
        <f t="shared" si="75"/>
        <v>225</v>
      </c>
      <c r="T442" s="34">
        <f t="shared" si="72"/>
        <v>40.5</v>
      </c>
      <c r="U442" s="34">
        <f t="shared" si="73"/>
        <v>265.5</v>
      </c>
      <c r="V442" s="34"/>
      <c r="W442" s="23" t="s">
        <v>1005</v>
      </c>
    </row>
    <row r="443" spans="1:23" x14ac:dyDescent="0.25">
      <c r="A443" s="31">
        <v>45919.510370370372</v>
      </c>
      <c r="B443" s="32" t="str">
        <f t="shared" si="74"/>
        <v>Sep-25</v>
      </c>
      <c r="C443" s="23" t="s">
        <v>153</v>
      </c>
      <c r="D443" s="23" t="s">
        <v>369</v>
      </c>
      <c r="E443" s="39">
        <v>44779</v>
      </c>
      <c r="F443" s="32">
        <f>IFERROR(DATEDIF(Table1[[#This Row],[MPG Ope Date]],Table1[[#This Row],[L]],"M"),"")</f>
        <v>37</v>
      </c>
      <c r="G443" s="25">
        <v>10020023</v>
      </c>
      <c r="H443" s="23" t="s">
        <v>635</v>
      </c>
      <c r="I443" s="23" t="s">
        <v>678</v>
      </c>
      <c r="J443" s="23">
        <v>7979912299</v>
      </c>
      <c r="K443" s="23" t="s">
        <v>68</v>
      </c>
      <c r="L443" s="23" t="s">
        <v>719</v>
      </c>
      <c r="M443" s="23" t="s">
        <v>135</v>
      </c>
      <c r="N443" s="25" t="s">
        <v>396</v>
      </c>
      <c r="O443" s="32" t="s">
        <v>744</v>
      </c>
      <c r="P443" s="37">
        <v>45967</v>
      </c>
      <c r="Q443" s="25">
        <v>1</v>
      </c>
      <c r="R443" s="51">
        <v>825</v>
      </c>
      <c r="S443" s="34">
        <f t="shared" si="75"/>
        <v>825</v>
      </c>
      <c r="T443" s="34">
        <f t="shared" si="72"/>
        <v>148.5</v>
      </c>
      <c r="U443" s="34">
        <f t="shared" si="73"/>
        <v>973.5</v>
      </c>
      <c r="V443" s="34"/>
      <c r="W443" s="23" t="s">
        <v>1005</v>
      </c>
    </row>
    <row r="444" spans="1:23" x14ac:dyDescent="0.25">
      <c r="A444" s="31">
        <v>45919.430567129632</v>
      </c>
      <c r="B444" s="32" t="str">
        <f t="shared" si="74"/>
        <v>Sep-25</v>
      </c>
      <c r="C444" s="23" t="s">
        <v>152</v>
      </c>
      <c r="D444" s="23" t="s">
        <v>369</v>
      </c>
      <c r="E444" s="39" t="e">
        <v>#N/A</v>
      </c>
      <c r="F444" s="32" t="str">
        <f>IFERROR(DATEDIF(Table1[[#This Row],[MPG Ope Date]],Table1[[#This Row],[L]],"M"),"")</f>
        <v/>
      </c>
      <c r="G444" s="25">
        <v>20040006</v>
      </c>
      <c r="H444" s="23" t="s">
        <v>636</v>
      </c>
      <c r="I444" s="23" t="s">
        <v>679</v>
      </c>
      <c r="J444" s="23">
        <v>9709036717</v>
      </c>
      <c r="K444" s="23" t="s">
        <v>69</v>
      </c>
      <c r="L444" s="23">
        <v>388825</v>
      </c>
      <c r="M444" s="23" t="s">
        <v>115</v>
      </c>
      <c r="N444" s="25" t="s">
        <v>116</v>
      </c>
      <c r="O444" s="32" t="s">
        <v>743</v>
      </c>
      <c r="P444" s="37">
        <v>45967</v>
      </c>
      <c r="Q444" s="25">
        <v>1</v>
      </c>
      <c r="R444" s="51">
        <v>8000</v>
      </c>
      <c r="S444" s="34">
        <f t="shared" si="75"/>
        <v>8000</v>
      </c>
      <c r="T444" s="34">
        <f t="shared" si="72"/>
        <v>1440</v>
      </c>
      <c r="U444" s="34">
        <f t="shared" si="73"/>
        <v>9440</v>
      </c>
      <c r="V444" s="34"/>
      <c r="W444" s="23" t="e">
        <v>#N/A</v>
      </c>
    </row>
    <row r="445" spans="1:23" x14ac:dyDescent="0.25">
      <c r="A445" s="31">
        <v>45918.62976851852</v>
      </c>
      <c r="B445" s="32" t="str">
        <f t="shared" ref="B445:B476" si="76">TEXT(A445,"mmm-yy")</f>
        <v>Sep-25</v>
      </c>
      <c r="C445" s="23" t="s">
        <v>152</v>
      </c>
      <c r="D445" s="23" t="s">
        <v>369</v>
      </c>
      <c r="E445" s="39" t="e">
        <v>#N/A</v>
      </c>
      <c r="F445" s="32" t="str">
        <f>IFERROR(DATEDIF(Table1[[#This Row],[MPG Ope Date]],Table1[[#This Row],[L]],"M"),"")</f>
        <v/>
      </c>
      <c r="G445" s="25">
        <v>20060004</v>
      </c>
      <c r="H445" s="23" t="s">
        <v>376</v>
      </c>
      <c r="I445" s="23" t="s">
        <v>385</v>
      </c>
      <c r="J445" s="23">
        <v>9507715083</v>
      </c>
      <c r="K445" s="23" t="s">
        <v>71</v>
      </c>
      <c r="L445" s="23" t="s">
        <v>720</v>
      </c>
      <c r="M445" s="23" t="s">
        <v>129</v>
      </c>
      <c r="N445" s="25" t="s">
        <v>130</v>
      </c>
      <c r="O445" s="32" t="s">
        <v>743</v>
      </c>
      <c r="P445" s="37">
        <v>45967</v>
      </c>
      <c r="Q445" s="25">
        <v>1</v>
      </c>
      <c r="R445" s="51">
        <v>1750</v>
      </c>
      <c r="S445" s="34">
        <f t="shared" ref="S445:S476" si="77">+Q445*R445</f>
        <v>1750</v>
      </c>
      <c r="T445" s="34">
        <f t="shared" ref="T445:T476" si="78">+S445*0.18</f>
        <v>315</v>
      </c>
      <c r="U445" s="34">
        <f t="shared" ref="U445:U476" si="79">+S445+T445</f>
        <v>2065</v>
      </c>
      <c r="V445" s="34"/>
      <c r="W445" s="23" t="e">
        <v>#N/A</v>
      </c>
    </row>
    <row r="446" spans="1:23" x14ac:dyDescent="0.25">
      <c r="A446" s="31">
        <v>45918.654768518521</v>
      </c>
      <c r="B446" s="32" t="str">
        <f t="shared" si="76"/>
        <v>Sep-25</v>
      </c>
      <c r="C446" s="23" t="s">
        <v>153</v>
      </c>
      <c r="D446" s="23" t="s">
        <v>0</v>
      </c>
      <c r="E446" s="39" t="e">
        <v>#N/A</v>
      </c>
      <c r="F446" s="32" t="str">
        <f>IFERROR(DATEDIF(Table1[[#This Row],[MPG Ope Date]],Table1[[#This Row],[L]],"M"),"")</f>
        <v/>
      </c>
      <c r="G446" s="36">
        <v>1013</v>
      </c>
      <c r="H446" s="23" t="s">
        <v>637</v>
      </c>
      <c r="I446" s="23" t="s">
        <v>308</v>
      </c>
      <c r="J446" s="23">
        <v>8969914657</v>
      </c>
      <c r="K446" s="23" t="s">
        <v>70</v>
      </c>
      <c r="L446" s="23" t="s">
        <v>721</v>
      </c>
      <c r="M446" s="23" t="s">
        <v>123</v>
      </c>
      <c r="N446" s="25" t="s">
        <v>394</v>
      </c>
      <c r="O446" s="32" t="s">
        <v>744</v>
      </c>
      <c r="P446" s="37">
        <v>45967</v>
      </c>
      <c r="Q446" s="25">
        <v>1</v>
      </c>
      <c r="R446" s="51">
        <v>350</v>
      </c>
      <c r="S446" s="34">
        <f t="shared" si="77"/>
        <v>350</v>
      </c>
      <c r="T446" s="34">
        <f t="shared" si="78"/>
        <v>63</v>
      </c>
      <c r="U446" s="34">
        <f t="shared" si="79"/>
        <v>413</v>
      </c>
      <c r="V446" s="34"/>
      <c r="W446" s="23" t="e">
        <v>#N/A</v>
      </c>
    </row>
    <row r="447" spans="1:23" x14ac:dyDescent="0.25">
      <c r="A447" s="31">
        <v>45917.647488425922</v>
      </c>
      <c r="B447" s="32" t="str">
        <f t="shared" si="76"/>
        <v>Sep-25</v>
      </c>
      <c r="C447" s="23" t="s">
        <v>153</v>
      </c>
      <c r="D447" s="23" t="s">
        <v>0</v>
      </c>
      <c r="E447" s="39" t="e">
        <v>#N/A</v>
      </c>
      <c r="F447" s="32" t="str">
        <f>IFERROR(DATEDIF(Table1[[#This Row],[MPG Ope Date]],Table1[[#This Row],[L]],"M"),"")</f>
        <v/>
      </c>
      <c r="G447" s="36">
        <v>1009</v>
      </c>
      <c r="H447" s="23" t="s">
        <v>26</v>
      </c>
      <c r="I447" s="23" t="s">
        <v>60</v>
      </c>
      <c r="J447" s="23">
        <v>7488561001</v>
      </c>
      <c r="K447" s="23" t="s">
        <v>70</v>
      </c>
      <c r="L447" s="23" t="s">
        <v>350</v>
      </c>
      <c r="M447" s="23" t="s">
        <v>123</v>
      </c>
      <c r="N447" s="25" t="s">
        <v>394</v>
      </c>
      <c r="O447" s="32" t="s">
        <v>744</v>
      </c>
      <c r="P447" s="37">
        <v>45967</v>
      </c>
      <c r="Q447" s="25">
        <v>1</v>
      </c>
      <c r="R447" s="51">
        <v>350</v>
      </c>
      <c r="S447" s="34">
        <f t="shared" si="77"/>
        <v>350</v>
      </c>
      <c r="T447" s="34">
        <f t="shared" si="78"/>
        <v>63</v>
      </c>
      <c r="U447" s="34">
        <f t="shared" si="79"/>
        <v>413</v>
      </c>
      <c r="V447" s="34"/>
      <c r="W447" s="23" t="e">
        <v>#N/A</v>
      </c>
    </row>
    <row r="448" spans="1:23" x14ac:dyDescent="0.25">
      <c r="A448" s="31">
        <v>45916.624155092592</v>
      </c>
      <c r="B448" s="32" t="str">
        <f t="shared" si="76"/>
        <v>Sep-25</v>
      </c>
      <c r="C448" s="23" t="s">
        <v>153</v>
      </c>
      <c r="D448" s="23" t="s">
        <v>369</v>
      </c>
      <c r="E448" s="39">
        <v>44697</v>
      </c>
      <c r="F448" s="32">
        <f>IFERROR(DATEDIF(Table1[[#This Row],[MPG Ope Date]],Table1[[#This Row],[L]],"M"),"")</f>
        <v>40</v>
      </c>
      <c r="G448" s="25">
        <v>10060022</v>
      </c>
      <c r="H448" s="23" t="s">
        <v>547</v>
      </c>
      <c r="I448" s="23" t="s">
        <v>504</v>
      </c>
      <c r="J448" s="23">
        <v>8540013067</v>
      </c>
      <c r="K448" s="23" t="s">
        <v>69</v>
      </c>
      <c r="L448" s="23">
        <v>210701</v>
      </c>
      <c r="M448" s="23" t="s">
        <v>262</v>
      </c>
      <c r="N448" s="25" t="s">
        <v>263</v>
      </c>
      <c r="O448" s="32" t="s">
        <v>744</v>
      </c>
      <c r="P448" s="37">
        <v>45967</v>
      </c>
      <c r="Q448" s="25">
        <v>1</v>
      </c>
      <c r="R448" s="51">
        <v>140</v>
      </c>
      <c r="S448" s="34">
        <f t="shared" si="77"/>
        <v>140</v>
      </c>
      <c r="T448" s="34">
        <f t="shared" si="78"/>
        <v>25.2</v>
      </c>
      <c r="U448" s="34">
        <f t="shared" si="79"/>
        <v>165.2</v>
      </c>
      <c r="V448" s="34"/>
      <c r="W448" s="23" t="s">
        <v>1005</v>
      </c>
    </row>
    <row r="449" spans="1:23" x14ac:dyDescent="0.25">
      <c r="A449" s="31">
        <v>45916.624155092592</v>
      </c>
      <c r="B449" s="32" t="str">
        <f t="shared" si="76"/>
        <v>Sep-25</v>
      </c>
      <c r="C449" s="23" t="s">
        <v>153</v>
      </c>
      <c r="D449" s="23" t="s">
        <v>369</v>
      </c>
      <c r="E449" s="39">
        <v>44697</v>
      </c>
      <c r="F449" s="32">
        <f>IFERROR(DATEDIF(Table1[[#This Row],[MPG Ope Date]],Table1[[#This Row],[L]],"M"),"")</f>
        <v>40</v>
      </c>
      <c r="G449" s="25">
        <v>10060022</v>
      </c>
      <c r="H449" s="23" t="s">
        <v>547</v>
      </c>
      <c r="I449" s="23" t="s">
        <v>504</v>
      </c>
      <c r="J449" s="23">
        <v>8540013067</v>
      </c>
      <c r="K449" s="23" t="s">
        <v>69</v>
      </c>
      <c r="L449" s="23">
        <v>210701</v>
      </c>
      <c r="M449" s="23" t="s">
        <v>145</v>
      </c>
      <c r="N449" s="25" t="s">
        <v>146</v>
      </c>
      <c r="O449" s="32" t="s">
        <v>744</v>
      </c>
      <c r="P449" s="37">
        <v>45967</v>
      </c>
      <c r="Q449" s="25">
        <v>1</v>
      </c>
      <c r="R449" s="51">
        <v>49</v>
      </c>
      <c r="S449" s="34">
        <f t="shared" si="77"/>
        <v>49</v>
      </c>
      <c r="T449" s="34">
        <f t="shared" si="78"/>
        <v>8.82</v>
      </c>
      <c r="U449" s="34">
        <f t="shared" si="79"/>
        <v>57.82</v>
      </c>
      <c r="V449" s="34"/>
      <c r="W449" s="23" t="s">
        <v>1005</v>
      </c>
    </row>
    <row r="450" spans="1:23" x14ac:dyDescent="0.25">
      <c r="A450" s="31">
        <v>45916.624155092592</v>
      </c>
      <c r="B450" s="32" t="str">
        <f t="shared" si="76"/>
        <v>Sep-25</v>
      </c>
      <c r="C450" s="23" t="s">
        <v>153</v>
      </c>
      <c r="D450" s="23" t="s">
        <v>369</v>
      </c>
      <c r="E450" s="39">
        <v>44697</v>
      </c>
      <c r="F450" s="32">
        <f>IFERROR(DATEDIF(Table1[[#This Row],[MPG Ope Date]],Table1[[#This Row],[L]],"M"),"")</f>
        <v>40</v>
      </c>
      <c r="G450" s="25">
        <v>10060022</v>
      </c>
      <c r="H450" s="23" t="s">
        <v>547</v>
      </c>
      <c r="I450" s="23" t="s">
        <v>504</v>
      </c>
      <c r="J450" s="23">
        <v>8540013067</v>
      </c>
      <c r="K450" s="23" t="s">
        <v>69</v>
      </c>
      <c r="L450" s="23">
        <v>210701</v>
      </c>
      <c r="M450" s="23" t="s">
        <v>145</v>
      </c>
      <c r="N450" s="25" t="s">
        <v>146</v>
      </c>
      <c r="O450" s="32" t="s">
        <v>744</v>
      </c>
      <c r="P450" s="37">
        <v>45967</v>
      </c>
      <c r="Q450" s="25">
        <v>1</v>
      </c>
      <c r="R450" s="51">
        <v>49</v>
      </c>
      <c r="S450" s="34">
        <f t="shared" si="77"/>
        <v>49</v>
      </c>
      <c r="T450" s="34">
        <f t="shared" si="78"/>
        <v>8.82</v>
      </c>
      <c r="U450" s="34">
        <f t="shared" si="79"/>
        <v>57.82</v>
      </c>
      <c r="V450" s="34"/>
      <c r="W450" s="23" t="s">
        <v>1005</v>
      </c>
    </row>
    <row r="451" spans="1:23" x14ac:dyDescent="0.25">
      <c r="A451" s="31">
        <v>45916.485706018517</v>
      </c>
      <c r="B451" s="32" t="str">
        <f t="shared" si="76"/>
        <v>Sep-25</v>
      </c>
      <c r="C451" s="23" t="s">
        <v>153</v>
      </c>
      <c r="D451" s="23" t="s">
        <v>369</v>
      </c>
      <c r="E451" s="39">
        <v>42979</v>
      </c>
      <c r="F451" s="32">
        <f>IFERROR(DATEDIF(Table1[[#This Row],[MPG Ope Date]],Table1[[#This Row],[L]],"M"),"")</f>
        <v>96</v>
      </c>
      <c r="G451" s="25">
        <v>10460001</v>
      </c>
      <c r="H451" s="23" t="s">
        <v>638</v>
      </c>
      <c r="I451" s="23" t="s">
        <v>680</v>
      </c>
      <c r="J451" s="23">
        <v>7004558905</v>
      </c>
      <c r="K451" s="23" t="s">
        <v>71</v>
      </c>
      <c r="L451" s="23" t="s">
        <v>722</v>
      </c>
      <c r="M451" s="23" t="s">
        <v>141</v>
      </c>
      <c r="N451" s="25" t="s">
        <v>142</v>
      </c>
      <c r="O451" s="32" t="s">
        <v>744</v>
      </c>
      <c r="P451" s="37">
        <v>45967</v>
      </c>
      <c r="Q451" s="25">
        <v>1</v>
      </c>
      <c r="R451" s="51">
        <v>900</v>
      </c>
      <c r="S451" s="34">
        <f t="shared" si="77"/>
        <v>900</v>
      </c>
      <c r="T451" s="34">
        <f t="shared" si="78"/>
        <v>162</v>
      </c>
      <c r="U451" s="34">
        <f t="shared" si="79"/>
        <v>1062</v>
      </c>
      <c r="V451" s="34"/>
      <c r="W451" s="23" t="s">
        <v>1005</v>
      </c>
    </row>
    <row r="452" spans="1:23" x14ac:dyDescent="0.25">
      <c r="A452" s="31">
        <v>45915.663287037038</v>
      </c>
      <c r="B452" s="32" t="str">
        <f t="shared" si="76"/>
        <v>Sep-25</v>
      </c>
      <c r="C452" s="23" t="s">
        <v>153</v>
      </c>
      <c r="D452" s="23" t="s">
        <v>369</v>
      </c>
      <c r="E452" s="39">
        <v>45323</v>
      </c>
      <c r="F452" s="32">
        <f>IFERROR(DATEDIF(Table1[[#This Row],[MPG Ope Date]],Table1[[#This Row],[L]],"M"),"")</f>
        <v>19</v>
      </c>
      <c r="G452" s="25">
        <v>10110065</v>
      </c>
      <c r="H452" s="23" t="s">
        <v>639</v>
      </c>
      <c r="I452" s="23" t="s">
        <v>681</v>
      </c>
      <c r="J452" s="23">
        <v>9570770004</v>
      </c>
      <c r="K452" s="23" t="s">
        <v>69</v>
      </c>
      <c r="L452" s="23">
        <v>386972</v>
      </c>
      <c r="M452" s="23" t="s">
        <v>121</v>
      </c>
      <c r="N452" s="25" t="s">
        <v>122</v>
      </c>
      <c r="O452" s="32" t="s">
        <v>744</v>
      </c>
      <c r="P452" s="37">
        <v>45967</v>
      </c>
      <c r="Q452" s="25">
        <v>1</v>
      </c>
      <c r="R452" s="51">
        <v>70</v>
      </c>
      <c r="S452" s="34">
        <f t="shared" si="77"/>
        <v>70</v>
      </c>
      <c r="T452" s="34">
        <f t="shared" si="78"/>
        <v>12.6</v>
      </c>
      <c r="U452" s="34">
        <f t="shared" si="79"/>
        <v>82.6</v>
      </c>
      <c r="V452" s="34"/>
      <c r="W452" s="23" t="s">
        <v>1005</v>
      </c>
    </row>
    <row r="453" spans="1:23" x14ac:dyDescent="0.25">
      <c r="A453" s="31">
        <v>45915.657696759263</v>
      </c>
      <c r="B453" s="32" t="str">
        <f t="shared" si="76"/>
        <v>Sep-25</v>
      </c>
      <c r="C453" s="23" t="s">
        <v>153</v>
      </c>
      <c r="D453" s="23" t="s">
        <v>369</v>
      </c>
      <c r="E453" s="39">
        <v>44184</v>
      </c>
      <c r="F453" s="32">
        <f>IFERROR(DATEDIF(Table1[[#This Row],[MPG Ope Date]],Table1[[#This Row],[L]],"M"),"")</f>
        <v>56</v>
      </c>
      <c r="G453" s="25">
        <v>10120022</v>
      </c>
      <c r="H453" s="23" t="s">
        <v>168</v>
      </c>
      <c r="I453" s="23" t="s">
        <v>205</v>
      </c>
      <c r="J453" s="23">
        <v>9973808926</v>
      </c>
      <c r="K453" s="23" t="s">
        <v>69</v>
      </c>
      <c r="L453" s="23">
        <v>322529</v>
      </c>
      <c r="M453" s="23" t="s">
        <v>620</v>
      </c>
      <c r="N453" s="25" t="s">
        <v>621</v>
      </c>
      <c r="O453" s="32" t="s">
        <v>744</v>
      </c>
      <c r="P453" s="37">
        <v>45967</v>
      </c>
      <c r="Q453" s="25">
        <v>1</v>
      </c>
      <c r="R453" s="51">
        <v>62</v>
      </c>
      <c r="S453" s="34">
        <f t="shared" si="77"/>
        <v>62</v>
      </c>
      <c r="T453" s="34">
        <f t="shared" si="78"/>
        <v>11.16</v>
      </c>
      <c r="U453" s="34">
        <f t="shared" si="79"/>
        <v>73.16</v>
      </c>
      <c r="V453" s="34"/>
      <c r="W453" s="23" t="s">
        <v>1005</v>
      </c>
    </row>
    <row r="454" spans="1:23" x14ac:dyDescent="0.25">
      <c r="A454" s="31">
        <v>45915.657696759263</v>
      </c>
      <c r="B454" s="32" t="str">
        <f t="shared" si="76"/>
        <v>Sep-25</v>
      </c>
      <c r="C454" s="23" t="s">
        <v>153</v>
      </c>
      <c r="D454" s="23" t="s">
        <v>369</v>
      </c>
      <c r="E454" s="39">
        <v>44184</v>
      </c>
      <c r="F454" s="32">
        <f>IFERROR(DATEDIF(Table1[[#This Row],[MPG Ope Date]],Table1[[#This Row],[L]],"M"),"")</f>
        <v>56</v>
      </c>
      <c r="G454" s="25">
        <v>10120022</v>
      </c>
      <c r="H454" s="23" t="s">
        <v>168</v>
      </c>
      <c r="I454" s="23" t="s">
        <v>205</v>
      </c>
      <c r="J454" s="23">
        <v>9973808926</v>
      </c>
      <c r="K454" s="23" t="s">
        <v>69</v>
      </c>
      <c r="L454" s="23">
        <v>322529</v>
      </c>
      <c r="M454" s="23" t="s">
        <v>475</v>
      </c>
      <c r="N454" s="25" t="s">
        <v>476</v>
      </c>
      <c r="O454" s="32" t="s">
        <v>744</v>
      </c>
      <c r="P454" s="37">
        <v>45967</v>
      </c>
      <c r="Q454" s="25">
        <v>1</v>
      </c>
      <c r="R454" s="51">
        <v>125</v>
      </c>
      <c r="S454" s="34">
        <f t="shared" si="77"/>
        <v>125</v>
      </c>
      <c r="T454" s="34">
        <f t="shared" si="78"/>
        <v>22.5</v>
      </c>
      <c r="U454" s="34">
        <f t="shared" si="79"/>
        <v>147.5</v>
      </c>
      <c r="V454" s="34"/>
      <c r="W454" s="23" t="s">
        <v>1005</v>
      </c>
    </row>
    <row r="455" spans="1:23" x14ac:dyDescent="0.25">
      <c r="A455" s="31">
        <v>45913.632893518516</v>
      </c>
      <c r="B455" s="32" t="str">
        <f t="shared" si="76"/>
        <v>Sep-25</v>
      </c>
      <c r="C455" s="23" t="s">
        <v>153</v>
      </c>
      <c r="D455" s="23" t="s">
        <v>369</v>
      </c>
      <c r="E455" s="39">
        <v>44899</v>
      </c>
      <c r="F455" s="32">
        <f>IFERROR(DATEDIF(Table1[[#This Row],[MPG Ope Date]],Table1[[#This Row],[L]],"M"),"")</f>
        <v>33</v>
      </c>
      <c r="G455" s="25">
        <v>10020029</v>
      </c>
      <c r="H455" s="23" t="s">
        <v>640</v>
      </c>
      <c r="I455" s="23" t="s">
        <v>204</v>
      </c>
      <c r="J455" s="23">
        <v>9430695671</v>
      </c>
      <c r="K455" s="23" t="s">
        <v>69</v>
      </c>
      <c r="L455" s="23">
        <v>328963</v>
      </c>
      <c r="M455" s="23" t="s">
        <v>121</v>
      </c>
      <c r="N455" s="25" t="s">
        <v>122</v>
      </c>
      <c r="O455" s="32" t="s">
        <v>744</v>
      </c>
      <c r="P455" s="37">
        <v>45967</v>
      </c>
      <c r="Q455" s="25">
        <v>1</v>
      </c>
      <c r="R455" s="51">
        <v>70</v>
      </c>
      <c r="S455" s="34">
        <f t="shared" si="77"/>
        <v>70</v>
      </c>
      <c r="T455" s="34">
        <f t="shared" si="78"/>
        <v>12.6</v>
      </c>
      <c r="U455" s="34">
        <f t="shared" si="79"/>
        <v>82.6</v>
      </c>
      <c r="V455" s="34"/>
      <c r="W455" s="23" t="s">
        <v>1005</v>
      </c>
    </row>
    <row r="456" spans="1:23" x14ac:dyDescent="0.25">
      <c r="A456" s="31">
        <v>45913.632893518516</v>
      </c>
      <c r="B456" s="32" t="str">
        <f t="shared" si="76"/>
        <v>Sep-25</v>
      </c>
      <c r="C456" s="23" t="s">
        <v>153</v>
      </c>
      <c r="D456" s="23" t="s">
        <v>369</v>
      </c>
      <c r="E456" s="39">
        <v>44899</v>
      </c>
      <c r="F456" s="32">
        <f>IFERROR(DATEDIF(Table1[[#This Row],[MPG Ope Date]],Table1[[#This Row],[L]],"M"),"")</f>
        <v>33</v>
      </c>
      <c r="G456" s="25">
        <v>10020029</v>
      </c>
      <c r="H456" s="23" t="s">
        <v>640</v>
      </c>
      <c r="I456" s="23" t="s">
        <v>204</v>
      </c>
      <c r="J456" s="23">
        <v>9430695671</v>
      </c>
      <c r="K456" s="23" t="s">
        <v>69</v>
      </c>
      <c r="L456" s="23">
        <v>328963</v>
      </c>
      <c r="M456" s="23" t="s">
        <v>121</v>
      </c>
      <c r="N456" s="25" t="s">
        <v>122</v>
      </c>
      <c r="O456" s="32" t="s">
        <v>744</v>
      </c>
      <c r="P456" s="37">
        <v>45967</v>
      </c>
      <c r="Q456" s="25">
        <v>1</v>
      </c>
      <c r="R456" s="51">
        <v>70</v>
      </c>
      <c r="S456" s="34">
        <f t="shared" si="77"/>
        <v>70</v>
      </c>
      <c r="T456" s="34">
        <f t="shared" si="78"/>
        <v>12.6</v>
      </c>
      <c r="U456" s="34">
        <f t="shared" si="79"/>
        <v>82.6</v>
      </c>
      <c r="V456" s="34"/>
      <c r="W456" s="23" t="s">
        <v>1005</v>
      </c>
    </row>
    <row r="457" spans="1:23" x14ac:dyDescent="0.25">
      <c r="A457" s="31">
        <v>45913.703761574077</v>
      </c>
      <c r="B457" s="32" t="str">
        <f t="shared" si="76"/>
        <v>Sep-25</v>
      </c>
      <c r="C457" s="23" t="s">
        <v>153</v>
      </c>
      <c r="D457" s="23" t="s">
        <v>369</v>
      </c>
      <c r="E457" s="39">
        <v>44927</v>
      </c>
      <c r="F457" s="32">
        <f>IFERROR(DATEDIF(Table1[[#This Row],[MPG Ope Date]],Table1[[#This Row],[L]],"M"),"")</f>
        <v>32</v>
      </c>
      <c r="G457" s="25">
        <v>10030013</v>
      </c>
      <c r="H457" s="23" t="s">
        <v>641</v>
      </c>
      <c r="I457" s="23" t="s">
        <v>682</v>
      </c>
      <c r="J457" s="23">
        <v>9771714893</v>
      </c>
      <c r="K457" s="23" t="s">
        <v>70</v>
      </c>
      <c r="L457" s="23" t="s">
        <v>723</v>
      </c>
      <c r="M457" s="23" t="s">
        <v>123</v>
      </c>
      <c r="N457" s="25" t="s">
        <v>394</v>
      </c>
      <c r="O457" s="32" t="s">
        <v>744</v>
      </c>
      <c r="P457" s="37">
        <v>45967</v>
      </c>
      <c r="Q457" s="25">
        <v>1</v>
      </c>
      <c r="R457" s="51">
        <v>350</v>
      </c>
      <c r="S457" s="34">
        <f t="shared" si="77"/>
        <v>350</v>
      </c>
      <c r="T457" s="34">
        <f t="shared" si="78"/>
        <v>63</v>
      </c>
      <c r="U457" s="34">
        <f t="shared" si="79"/>
        <v>413</v>
      </c>
      <c r="V457" s="34"/>
      <c r="W457" s="23" t="s">
        <v>1005</v>
      </c>
    </row>
    <row r="458" spans="1:23" x14ac:dyDescent="0.25">
      <c r="A458" s="31">
        <v>45913.893055555556</v>
      </c>
      <c r="B458" s="32" t="str">
        <f t="shared" si="76"/>
        <v>Sep-25</v>
      </c>
      <c r="C458" s="23" t="s">
        <v>152</v>
      </c>
      <c r="D458" s="23" t="s">
        <v>0</v>
      </c>
      <c r="E458" s="39" t="e">
        <v>#N/A</v>
      </c>
      <c r="F458" s="32" t="str">
        <f>IFERROR(DATEDIF(Table1[[#This Row],[MPG Ope Date]],Table1[[#This Row],[L]],"M"),"")</f>
        <v/>
      </c>
      <c r="G458" s="25">
        <v>2001</v>
      </c>
      <c r="H458" s="23" t="s">
        <v>22</v>
      </c>
      <c r="I458" s="23" t="s">
        <v>56</v>
      </c>
      <c r="J458" s="23">
        <v>8210761749</v>
      </c>
      <c r="K458" s="23" t="s">
        <v>233</v>
      </c>
      <c r="L458" s="23" t="s">
        <v>724</v>
      </c>
      <c r="M458" s="23" t="s">
        <v>139</v>
      </c>
      <c r="N458" s="25" t="s">
        <v>140</v>
      </c>
      <c r="O458" s="32" t="s">
        <v>743</v>
      </c>
      <c r="P458" s="37">
        <v>45967</v>
      </c>
      <c r="Q458" s="25">
        <v>1</v>
      </c>
      <c r="R458" s="51">
        <v>1266</v>
      </c>
      <c r="S458" s="34">
        <f t="shared" si="77"/>
        <v>1266</v>
      </c>
      <c r="T458" s="34">
        <f t="shared" si="78"/>
        <v>227.88</v>
      </c>
      <c r="U458" s="34">
        <f t="shared" si="79"/>
        <v>1493.88</v>
      </c>
      <c r="V458" s="34"/>
      <c r="W458" s="23" t="e">
        <v>#N/A</v>
      </c>
    </row>
    <row r="459" spans="1:23" x14ac:dyDescent="0.25">
      <c r="A459" s="31">
        <v>45913.634039351855</v>
      </c>
      <c r="B459" s="32" t="str">
        <f t="shared" si="76"/>
        <v>Sep-25</v>
      </c>
      <c r="C459" s="23" t="s">
        <v>153</v>
      </c>
      <c r="D459" s="23" t="s">
        <v>369</v>
      </c>
      <c r="E459" s="39">
        <v>45536</v>
      </c>
      <c r="F459" s="32">
        <f>IFERROR(DATEDIF(Table1[[#This Row],[MPG Ope Date]],Table1[[#This Row],[L]],"M"),"")</f>
        <v>12</v>
      </c>
      <c r="G459" s="25">
        <v>10130070</v>
      </c>
      <c r="H459" s="23" t="s">
        <v>301</v>
      </c>
      <c r="I459" s="23" t="s">
        <v>333</v>
      </c>
      <c r="J459" s="23">
        <v>9971083605</v>
      </c>
      <c r="K459" s="23" t="s">
        <v>69</v>
      </c>
      <c r="L459" s="23">
        <v>309809</v>
      </c>
      <c r="M459" s="23" t="s">
        <v>145</v>
      </c>
      <c r="N459" s="25" t="s">
        <v>146</v>
      </c>
      <c r="O459" s="32" t="s">
        <v>744</v>
      </c>
      <c r="P459" s="37">
        <v>45967</v>
      </c>
      <c r="Q459" s="25">
        <v>1</v>
      </c>
      <c r="R459" s="51">
        <v>49</v>
      </c>
      <c r="S459" s="34">
        <f t="shared" si="77"/>
        <v>49</v>
      </c>
      <c r="T459" s="34">
        <f t="shared" si="78"/>
        <v>8.82</v>
      </c>
      <c r="U459" s="34">
        <f t="shared" si="79"/>
        <v>57.82</v>
      </c>
      <c r="V459" s="34"/>
      <c r="W459" s="23" t="s">
        <v>1005</v>
      </c>
    </row>
    <row r="460" spans="1:23" x14ac:dyDescent="0.25">
      <c r="A460" s="31">
        <v>45913.634039351855</v>
      </c>
      <c r="B460" s="32" t="str">
        <f t="shared" si="76"/>
        <v>Sep-25</v>
      </c>
      <c r="C460" s="23" t="s">
        <v>153</v>
      </c>
      <c r="D460" s="23" t="s">
        <v>369</v>
      </c>
      <c r="E460" s="39">
        <v>45536</v>
      </c>
      <c r="F460" s="32">
        <f>IFERROR(DATEDIF(Table1[[#This Row],[MPG Ope Date]],Table1[[#This Row],[L]],"M"),"")</f>
        <v>12</v>
      </c>
      <c r="G460" s="25">
        <v>10130070</v>
      </c>
      <c r="H460" s="23" t="s">
        <v>301</v>
      </c>
      <c r="I460" s="23" t="s">
        <v>333</v>
      </c>
      <c r="J460" s="23">
        <v>9971083605</v>
      </c>
      <c r="K460" s="23" t="s">
        <v>69</v>
      </c>
      <c r="L460" s="23">
        <v>309809</v>
      </c>
      <c r="M460" s="23" t="s">
        <v>121</v>
      </c>
      <c r="N460" s="25" t="s">
        <v>122</v>
      </c>
      <c r="O460" s="32" t="s">
        <v>744</v>
      </c>
      <c r="P460" s="37">
        <v>45967</v>
      </c>
      <c r="Q460" s="25">
        <v>1</v>
      </c>
      <c r="R460" s="51">
        <v>70</v>
      </c>
      <c r="S460" s="34">
        <f t="shared" si="77"/>
        <v>70</v>
      </c>
      <c r="T460" s="34">
        <f t="shared" si="78"/>
        <v>12.6</v>
      </c>
      <c r="U460" s="34">
        <f t="shared" si="79"/>
        <v>82.6</v>
      </c>
      <c r="V460" s="34"/>
      <c r="W460" s="23" t="s">
        <v>1005</v>
      </c>
    </row>
    <row r="461" spans="1:23" x14ac:dyDescent="0.25">
      <c r="A461" s="31">
        <v>45913.61650462963</v>
      </c>
      <c r="B461" s="32" t="str">
        <f t="shared" si="76"/>
        <v>Sep-25</v>
      </c>
      <c r="C461" s="23" t="s">
        <v>153</v>
      </c>
      <c r="D461" s="23" t="s">
        <v>369</v>
      </c>
      <c r="E461" s="39">
        <v>45599</v>
      </c>
      <c r="F461" s="32">
        <f>IFERROR(DATEDIF(Table1[[#This Row],[MPG Ope Date]],Table1[[#This Row],[L]],"M"),"")</f>
        <v>10</v>
      </c>
      <c r="G461" s="25">
        <v>10130073</v>
      </c>
      <c r="H461" s="23" t="s">
        <v>642</v>
      </c>
      <c r="I461" s="23" t="s">
        <v>683</v>
      </c>
      <c r="J461" s="23">
        <v>9153681814</v>
      </c>
      <c r="K461" s="23" t="s">
        <v>69</v>
      </c>
      <c r="L461" s="23">
        <v>326473</v>
      </c>
      <c r="M461" s="23" t="s">
        <v>360</v>
      </c>
      <c r="N461" s="25" t="s">
        <v>361</v>
      </c>
      <c r="O461" s="32" t="s">
        <v>744</v>
      </c>
      <c r="P461" s="37">
        <v>45967</v>
      </c>
      <c r="Q461" s="25">
        <v>1</v>
      </c>
      <c r="R461" s="51">
        <v>44</v>
      </c>
      <c r="S461" s="34">
        <f t="shared" si="77"/>
        <v>44</v>
      </c>
      <c r="T461" s="34">
        <f t="shared" si="78"/>
        <v>7.92</v>
      </c>
      <c r="U461" s="34">
        <f t="shared" si="79"/>
        <v>51.92</v>
      </c>
      <c r="V461" s="34"/>
      <c r="W461" s="23" t="s">
        <v>1005</v>
      </c>
    </row>
    <row r="462" spans="1:23" x14ac:dyDescent="0.25">
      <c r="A462" s="31">
        <v>45913.61650462963</v>
      </c>
      <c r="B462" s="32" t="str">
        <f t="shared" si="76"/>
        <v>Sep-25</v>
      </c>
      <c r="C462" s="23" t="s">
        <v>153</v>
      </c>
      <c r="D462" s="23" t="s">
        <v>369</v>
      </c>
      <c r="E462" s="39">
        <v>45599</v>
      </c>
      <c r="F462" s="32">
        <f>IFERROR(DATEDIF(Table1[[#This Row],[MPG Ope Date]],Table1[[#This Row],[L]],"M"),"")</f>
        <v>10</v>
      </c>
      <c r="G462" s="25">
        <v>10130073</v>
      </c>
      <c r="H462" s="23" t="s">
        <v>642</v>
      </c>
      <c r="I462" s="23" t="s">
        <v>683</v>
      </c>
      <c r="J462" s="23">
        <v>9153681814</v>
      </c>
      <c r="K462" s="23" t="s">
        <v>69</v>
      </c>
      <c r="L462" s="23">
        <v>326473</v>
      </c>
      <c r="M462" s="23" t="s">
        <v>360</v>
      </c>
      <c r="N462" s="25" t="s">
        <v>361</v>
      </c>
      <c r="O462" s="32" t="s">
        <v>744</v>
      </c>
      <c r="P462" s="37">
        <v>45967</v>
      </c>
      <c r="Q462" s="25">
        <v>1</v>
      </c>
      <c r="R462" s="51">
        <v>44</v>
      </c>
      <c r="S462" s="34">
        <f t="shared" si="77"/>
        <v>44</v>
      </c>
      <c r="T462" s="34">
        <f t="shared" si="78"/>
        <v>7.92</v>
      </c>
      <c r="U462" s="34">
        <f t="shared" si="79"/>
        <v>51.92</v>
      </c>
      <c r="V462" s="34"/>
      <c r="W462" s="23" t="s">
        <v>1005</v>
      </c>
    </row>
    <row r="463" spans="1:23" x14ac:dyDescent="0.25">
      <c r="A463" s="31">
        <v>45913.61650462963</v>
      </c>
      <c r="B463" s="32" t="str">
        <f t="shared" si="76"/>
        <v>Sep-25</v>
      </c>
      <c r="C463" s="23" t="s">
        <v>153</v>
      </c>
      <c r="D463" s="23" t="s">
        <v>369</v>
      </c>
      <c r="E463" s="39">
        <v>45599</v>
      </c>
      <c r="F463" s="32">
        <f>IFERROR(DATEDIF(Table1[[#This Row],[MPG Ope Date]],Table1[[#This Row],[L]],"M"),"")</f>
        <v>10</v>
      </c>
      <c r="G463" s="25">
        <v>10130073</v>
      </c>
      <c r="H463" s="23" t="s">
        <v>642</v>
      </c>
      <c r="I463" s="23" t="s">
        <v>683</v>
      </c>
      <c r="J463" s="23">
        <v>9153681814</v>
      </c>
      <c r="K463" s="23" t="s">
        <v>69</v>
      </c>
      <c r="L463" s="23">
        <v>326473</v>
      </c>
      <c r="M463" s="23" t="s">
        <v>119</v>
      </c>
      <c r="N463" s="25" t="s">
        <v>120</v>
      </c>
      <c r="O463" s="32" t="s">
        <v>744</v>
      </c>
      <c r="P463" s="37">
        <v>45967</v>
      </c>
      <c r="Q463" s="25">
        <v>1</v>
      </c>
      <c r="R463" s="51">
        <v>84</v>
      </c>
      <c r="S463" s="34">
        <f t="shared" si="77"/>
        <v>84</v>
      </c>
      <c r="T463" s="34">
        <f t="shared" si="78"/>
        <v>15.12</v>
      </c>
      <c r="U463" s="34">
        <f t="shared" si="79"/>
        <v>99.12</v>
      </c>
      <c r="V463" s="34"/>
      <c r="W463" s="23" t="s">
        <v>1005</v>
      </c>
    </row>
    <row r="464" spans="1:23" x14ac:dyDescent="0.25">
      <c r="A464" s="31">
        <v>45913.706435185188</v>
      </c>
      <c r="B464" s="32" t="str">
        <f t="shared" si="76"/>
        <v>Sep-25</v>
      </c>
      <c r="C464" s="23" t="s">
        <v>153</v>
      </c>
      <c r="D464" s="23" t="s">
        <v>369</v>
      </c>
      <c r="E464" s="39">
        <v>45429</v>
      </c>
      <c r="F464" s="32">
        <f>IFERROR(DATEDIF(Table1[[#This Row],[MPG Ope Date]],Table1[[#This Row],[L]],"M"),"")</f>
        <v>15</v>
      </c>
      <c r="G464" s="25">
        <v>10110078</v>
      </c>
      <c r="H464" s="23" t="s">
        <v>643</v>
      </c>
      <c r="I464" s="23" t="s">
        <v>684</v>
      </c>
      <c r="J464" s="23">
        <v>7544958400</v>
      </c>
      <c r="K464" s="23" t="s">
        <v>69</v>
      </c>
      <c r="L464" s="23">
        <v>382405</v>
      </c>
      <c r="M464" s="23" t="s">
        <v>121</v>
      </c>
      <c r="N464" s="25" t="s">
        <v>122</v>
      </c>
      <c r="O464" s="32" t="s">
        <v>744</v>
      </c>
      <c r="P464" s="37">
        <v>45967</v>
      </c>
      <c r="Q464" s="25">
        <v>1</v>
      </c>
      <c r="R464" s="51">
        <v>70</v>
      </c>
      <c r="S464" s="34">
        <f t="shared" si="77"/>
        <v>70</v>
      </c>
      <c r="T464" s="34">
        <f t="shared" si="78"/>
        <v>12.6</v>
      </c>
      <c r="U464" s="34">
        <f t="shared" si="79"/>
        <v>82.6</v>
      </c>
      <c r="V464" s="34"/>
      <c r="W464" s="23" t="s">
        <v>1005</v>
      </c>
    </row>
    <row r="465" spans="1:23" x14ac:dyDescent="0.25">
      <c r="A465" s="31">
        <v>45913.701481481483</v>
      </c>
      <c r="B465" s="32" t="str">
        <f t="shared" si="76"/>
        <v>Sep-25</v>
      </c>
      <c r="C465" s="23" t="s">
        <v>153</v>
      </c>
      <c r="D465" s="23" t="s">
        <v>369</v>
      </c>
      <c r="E465" s="39">
        <v>45524</v>
      </c>
      <c r="F465" s="32">
        <f>IFERROR(DATEDIF(Table1[[#This Row],[MPG Ope Date]],Table1[[#This Row],[L]],"M"),"")</f>
        <v>12</v>
      </c>
      <c r="G465" s="25">
        <v>10030062</v>
      </c>
      <c r="H465" s="23" t="s">
        <v>644</v>
      </c>
      <c r="I465" s="23" t="s">
        <v>685</v>
      </c>
      <c r="J465" s="23">
        <v>6200446459</v>
      </c>
      <c r="K465" s="23" t="s">
        <v>233</v>
      </c>
      <c r="L465" s="23" t="s">
        <v>725</v>
      </c>
      <c r="M465" s="23" t="s">
        <v>133</v>
      </c>
      <c r="N465" s="25" t="s">
        <v>397</v>
      </c>
      <c r="O465" s="32" t="s">
        <v>744</v>
      </c>
      <c r="P465" s="37">
        <v>45967</v>
      </c>
      <c r="Q465" s="25">
        <v>1</v>
      </c>
      <c r="R465" s="51">
        <v>2080</v>
      </c>
      <c r="S465" s="34">
        <f t="shared" si="77"/>
        <v>2080</v>
      </c>
      <c r="T465" s="34">
        <f t="shared" si="78"/>
        <v>374.4</v>
      </c>
      <c r="U465" s="34">
        <f t="shared" si="79"/>
        <v>2454.4</v>
      </c>
      <c r="V465" s="34"/>
      <c r="W465" s="23" t="s">
        <v>1006</v>
      </c>
    </row>
    <row r="466" spans="1:23" x14ac:dyDescent="0.25">
      <c r="A466" s="31">
        <v>45912.759513888886</v>
      </c>
      <c r="B466" s="32" t="str">
        <f t="shared" si="76"/>
        <v>Sep-25</v>
      </c>
      <c r="C466" s="23" t="s">
        <v>152</v>
      </c>
      <c r="D466" s="23" t="s">
        <v>369</v>
      </c>
      <c r="E466" s="39" t="e">
        <v>#N/A</v>
      </c>
      <c r="F466" s="32" t="str">
        <f>IFERROR(DATEDIF(Table1[[#This Row],[MPG Ope Date]],Table1[[#This Row],[L]],"M"),"")</f>
        <v/>
      </c>
      <c r="G466" s="25">
        <v>20090014</v>
      </c>
      <c r="H466" s="23" t="s">
        <v>631</v>
      </c>
      <c r="I466" s="23" t="s">
        <v>674</v>
      </c>
      <c r="J466" s="23">
        <v>7667809258</v>
      </c>
      <c r="K466" s="23" t="s">
        <v>68</v>
      </c>
      <c r="L466" s="23" t="s">
        <v>716</v>
      </c>
      <c r="M466" s="23" t="s">
        <v>139</v>
      </c>
      <c r="N466" s="25" t="s">
        <v>140</v>
      </c>
      <c r="O466" s="32" t="s">
        <v>743</v>
      </c>
      <c r="P466" s="37">
        <v>45967</v>
      </c>
      <c r="Q466" s="25">
        <v>1</v>
      </c>
      <c r="R466" s="51">
        <v>1266</v>
      </c>
      <c r="S466" s="34">
        <f t="shared" si="77"/>
        <v>1266</v>
      </c>
      <c r="T466" s="34">
        <f t="shared" si="78"/>
        <v>227.88</v>
      </c>
      <c r="U466" s="34">
        <f t="shared" si="79"/>
        <v>1493.88</v>
      </c>
      <c r="V466" s="34"/>
      <c r="W466" s="23" t="e">
        <v>#N/A</v>
      </c>
    </row>
    <row r="467" spans="1:23" x14ac:dyDescent="0.25">
      <c r="A467" s="31">
        <v>45912.5703587963</v>
      </c>
      <c r="B467" s="32" t="str">
        <f t="shared" si="76"/>
        <v>Sep-25</v>
      </c>
      <c r="C467" s="23" t="s">
        <v>153</v>
      </c>
      <c r="D467" s="23" t="s">
        <v>369</v>
      </c>
      <c r="E467" s="39">
        <v>45869</v>
      </c>
      <c r="F467" s="32">
        <f>IFERROR(DATEDIF(Table1[[#This Row],[MPG Ope Date]],Table1[[#This Row],[L]],"M"),"")</f>
        <v>1</v>
      </c>
      <c r="G467" s="25">
        <v>10020078</v>
      </c>
      <c r="H467" s="23" t="s">
        <v>645</v>
      </c>
      <c r="I467" s="23" t="s">
        <v>686</v>
      </c>
      <c r="J467" s="23">
        <v>8804360388</v>
      </c>
      <c r="K467" s="23" t="s">
        <v>69</v>
      </c>
      <c r="L467" s="23">
        <v>382434</v>
      </c>
      <c r="M467" s="23" t="s">
        <v>145</v>
      </c>
      <c r="N467" s="25" t="s">
        <v>146</v>
      </c>
      <c r="O467" s="32" t="s">
        <v>744</v>
      </c>
      <c r="P467" s="37">
        <v>45967</v>
      </c>
      <c r="Q467" s="25">
        <v>1</v>
      </c>
      <c r="R467" s="51">
        <v>49</v>
      </c>
      <c r="S467" s="34">
        <f t="shared" si="77"/>
        <v>49</v>
      </c>
      <c r="T467" s="34">
        <f t="shared" si="78"/>
        <v>8.82</v>
      </c>
      <c r="U467" s="34">
        <f t="shared" si="79"/>
        <v>57.82</v>
      </c>
      <c r="V467" s="34"/>
      <c r="W467" s="23" t="s">
        <v>1005</v>
      </c>
    </row>
    <row r="468" spans="1:23" x14ac:dyDescent="0.25">
      <c r="A468" s="31">
        <v>45912.5703587963</v>
      </c>
      <c r="B468" s="32" t="str">
        <f t="shared" si="76"/>
        <v>Sep-25</v>
      </c>
      <c r="C468" s="23" t="s">
        <v>153</v>
      </c>
      <c r="D468" s="23" t="s">
        <v>369</v>
      </c>
      <c r="E468" s="39">
        <v>45869</v>
      </c>
      <c r="F468" s="32">
        <f>IFERROR(DATEDIF(Table1[[#This Row],[MPG Ope Date]],Table1[[#This Row],[L]],"M"),"")</f>
        <v>1</v>
      </c>
      <c r="G468" s="25">
        <v>10020078</v>
      </c>
      <c r="H468" s="23" t="s">
        <v>645</v>
      </c>
      <c r="I468" s="23" t="s">
        <v>686</v>
      </c>
      <c r="J468" s="23">
        <v>8804360388</v>
      </c>
      <c r="K468" s="23" t="s">
        <v>69</v>
      </c>
      <c r="L468" s="23">
        <v>382434</v>
      </c>
      <c r="M468" s="23" t="s">
        <v>145</v>
      </c>
      <c r="N468" s="25" t="s">
        <v>146</v>
      </c>
      <c r="O468" s="32" t="s">
        <v>744</v>
      </c>
      <c r="P468" s="37">
        <v>45967</v>
      </c>
      <c r="Q468" s="25">
        <v>1</v>
      </c>
      <c r="R468" s="51">
        <v>49</v>
      </c>
      <c r="S468" s="34">
        <f t="shared" si="77"/>
        <v>49</v>
      </c>
      <c r="T468" s="34">
        <f t="shared" si="78"/>
        <v>8.82</v>
      </c>
      <c r="U468" s="34">
        <f t="shared" si="79"/>
        <v>57.82</v>
      </c>
      <c r="V468" s="34"/>
      <c r="W468" s="23" t="s">
        <v>1005</v>
      </c>
    </row>
    <row r="469" spans="1:23" x14ac:dyDescent="0.25">
      <c r="A469" s="31">
        <v>45911.893518518518</v>
      </c>
      <c r="B469" s="32" t="str">
        <f t="shared" si="76"/>
        <v>Sep-25</v>
      </c>
      <c r="C469" s="23" t="s">
        <v>152</v>
      </c>
      <c r="D469" s="23" t="s">
        <v>369</v>
      </c>
      <c r="E469" s="39" t="e">
        <v>#N/A</v>
      </c>
      <c r="F469" s="32" t="str">
        <f>IFERROR(DATEDIF(Table1[[#This Row],[MPG Ope Date]],Table1[[#This Row],[L]],"M"),"")</f>
        <v/>
      </c>
      <c r="G469" s="25">
        <v>20020014</v>
      </c>
      <c r="H469" s="23" t="s">
        <v>646</v>
      </c>
      <c r="I469" s="23" t="s">
        <v>687</v>
      </c>
      <c r="J469" s="23">
        <v>9955795693</v>
      </c>
      <c r="K469" s="23" t="s">
        <v>68</v>
      </c>
      <c r="L469" s="23" t="s">
        <v>726</v>
      </c>
      <c r="M469" s="23" t="s">
        <v>137</v>
      </c>
      <c r="N469" s="25" t="s">
        <v>138</v>
      </c>
      <c r="O469" s="32" t="s">
        <v>743</v>
      </c>
      <c r="P469" s="37">
        <v>45967</v>
      </c>
      <c r="Q469" s="25">
        <v>1</v>
      </c>
      <c r="R469" s="51">
        <v>2800</v>
      </c>
      <c r="S469" s="34">
        <f t="shared" si="77"/>
        <v>2800</v>
      </c>
      <c r="T469" s="34">
        <f t="shared" si="78"/>
        <v>504</v>
      </c>
      <c r="U469" s="34">
        <f t="shared" si="79"/>
        <v>3304</v>
      </c>
      <c r="V469" s="34"/>
      <c r="W469" s="23" t="e">
        <v>#N/A</v>
      </c>
    </row>
    <row r="470" spans="1:23" x14ac:dyDescent="0.25">
      <c r="A470" s="31">
        <v>45910.893136574072</v>
      </c>
      <c r="B470" s="32" t="str">
        <f t="shared" si="76"/>
        <v>Sep-25</v>
      </c>
      <c r="C470" s="23" t="s">
        <v>152</v>
      </c>
      <c r="D470" s="23" t="s">
        <v>369</v>
      </c>
      <c r="E470" s="39" t="e">
        <v>#N/A</v>
      </c>
      <c r="F470" s="32" t="str">
        <f>IFERROR(DATEDIF(Table1[[#This Row],[MPG Ope Date]],Table1[[#This Row],[L]],"M"),"")</f>
        <v/>
      </c>
      <c r="G470" s="25">
        <v>20040004</v>
      </c>
      <c r="H470" s="23" t="s">
        <v>647</v>
      </c>
      <c r="I470" s="23" t="s">
        <v>688</v>
      </c>
      <c r="J470" s="23">
        <v>9304183284</v>
      </c>
      <c r="K470" s="23" t="s">
        <v>69</v>
      </c>
      <c r="L470" s="23">
        <v>385967</v>
      </c>
      <c r="M470" s="23" t="s">
        <v>617</v>
      </c>
      <c r="N470" s="25" t="s">
        <v>618</v>
      </c>
      <c r="O470" s="32" t="s">
        <v>743</v>
      </c>
      <c r="P470" s="37">
        <v>45967</v>
      </c>
      <c r="Q470" s="25">
        <v>1</v>
      </c>
      <c r="R470" s="51">
        <v>84</v>
      </c>
      <c r="S470" s="34">
        <f t="shared" si="77"/>
        <v>84</v>
      </c>
      <c r="T470" s="34">
        <f t="shared" si="78"/>
        <v>15.12</v>
      </c>
      <c r="U470" s="34">
        <f t="shared" si="79"/>
        <v>99.12</v>
      </c>
      <c r="V470" s="34"/>
      <c r="W470" s="23" t="e">
        <v>#N/A</v>
      </c>
    </row>
    <row r="471" spans="1:23" x14ac:dyDescent="0.25">
      <c r="A471" s="31">
        <v>45910.891944444447</v>
      </c>
      <c r="B471" s="32" t="str">
        <f t="shared" si="76"/>
        <v>Sep-25</v>
      </c>
      <c r="C471" s="23" t="s">
        <v>152</v>
      </c>
      <c r="D471" s="23" t="s">
        <v>369</v>
      </c>
      <c r="E471" s="39" t="e">
        <v>#N/A</v>
      </c>
      <c r="F471" s="32" t="str">
        <f>IFERROR(DATEDIF(Table1[[#This Row],[MPG Ope Date]],Table1[[#This Row],[L]],"M"),"")</f>
        <v/>
      </c>
      <c r="G471" s="25">
        <v>20010004</v>
      </c>
      <c r="H471" s="23" t="s">
        <v>648</v>
      </c>
      <c r="I471" s="23" t="s">
        <v>689</v>
      </c>
      <c r="J471" s="23">
        <v>6203500113</v>
      </c>
      <c r="K471" s="23" t="s">
        <v>70</v>
      </c>
      <c r="L471" s="23" t="s">
        <v>727</v>
      </c>
      <c r="M471" s="23" t="s">
        <v>131</v>
      </c>
      <c r="N471" s="25" t="s">
        <v>132</v>
      </c>
      <c r="O471" s="32" t="s">
        <v>743</v>
      </c>
      <c r="P471" s="37">
        <v>45967</v>
      </c>
      <c r="Q471" s="25">
        <v>1</v>
      </c>
      <c r="R471" s="51">
        <v>2800</v>
      </c>
      <c r="S471" s="34">
        <f t="shared" si="77"/>
        <v>2800</v>
      </c>
      <c r="T471" s="34">
        <f t="shared" si="78"/>
        <v>504</v>
      </c>
      <c r="U471" s="34">
        <f t="shared" si="79"/>
        <v>3304</v>
      </c>
      <c r="V471" s="34"/>
      <c r="W471" s="23" t="e">
        <v>#N/A</v>
      </c>
    </row>
    <row r="472" spans="1:23" x14ac:dyDescent="0.25">
      <c r="A472" s="31">
        <v>45910.721435185187</v>
      </c>
      <c r="B472" s="32" t="str">
        <f t="shared" si="76"/>
        <v>Sep-25</v>
      </c>
      <c r="C472" s="23" t="s">
        <v>152</v>
      </c>
      <c r="D472" s="23" t="s">
        <v>369</v>
      </c>
      <c r="E472" s="39" t="e">
        <v>#N/A</v>
      </c>
      <c r="F472" s="32" t="str">
        <f>IFERROR(DATEDIF(Table1[[#This Row],[MPG Ope Date]],Table1[[#This Row],[L]],"M"),"")</f>
        <v/>
      </c>
      <c r="G472" s="25">
        <v>20010023</v>
      </c>
      <c r="H472" s="23" t="s">
        <v>649</v>
      </c>
      <c r="I472" s="23" t="s">
        <v>690</v>
      </c>
      <c r="J472" s="23">
        <v>7319716601</v>
      </c>
      <c r="K472" s="23" t="s">
        <v>69</v>
      </c>
      <c r="L472" s="23">
        <v>396092</v>
      </c>
      <c r="M472" s="23" t="s">
        <v>115</v>
      </c>
      <c r="N472" s="25" t="s">
        <v>116</v>
      </c>
      <c r="O472" s="32" t="s">
        <v>743</v>
      </c>
      <c r="P472" s="37">
        <v>45967</v>
      </c>
      <c r="Q472" s="25">
        <v>1</v>
      </c>
      <c r="R472" s="51">
        <v>8000</v>
      </c>
      <c r="S472" s="34">
        <f t="shared" si="77"/>
        <v>8000</v>
      </c>
      <c r="T472" s="34">
        <f t="shared" si="78"/>
        <v>1440</v>
      </c>
      <c r="U472" s="34">
        <f t="shared" si="79"/>
        <v>9440</v>
      </c>
      <c r="V472" s="34"/>
      <c r="W472" s="23" t="e">
        <v>#N/A</v>
      </c>
    </row>
    <row r="473" spans="1:23" x14ac:dyDescent="0.25">
      <c r="A473" s="31">
        <v>45910.16646990741</v>
      </c>
      <c r="B473" s="32" t="str">
        <f t="shared" si="76"/>
        <v>Sep-25</v>
      </c>
      <c r="C473" s="23" t="s">
        <v>152</v>
      </c>
      <c r="D473" s="23" t="s">
        <v>369</v>
      </c>
      <c r="E473" s="39" t="e">
        <v>#N/A</v>
      </c>
      <c r="F473" s="32" t="str">
        <f>IFERROR(DATEDIF(Table1[[#This Row],[MPG Ope Date]],Table1[[#This Row],[L]],"M"),"")</f>
        <v/>
      </c>
      <c r="G473" s="25">
        <v>20080018</v>
      </c>
      <c r="H473" s="23" t="s">
        <v>536</v>
      </c>
      <c r="I473" s="23" t="s">
        <v>493</v>
      </c>
      <c r="J473" s="23">
        <v>7856866909</v>
      </c>
      <c r="K473" s="23" t="s">
        <v>69</v>
      </c>
      <c r="L473" s="23">
        <v>381790</v>
      </c>
      <c r="M473" s="23" t="s">
        <v>115</v>
      </c>
      <c r="N473" s="25" t="s">
        <v>116</v>
      </c>
      <c r="O473" s="32" t="s">
        <v>743</v>
      </c>
      <c r="P473" s="37">
        <v>45967</v>
      </c>
      <c r="Q473" s="25">
        <v>1</v>
      </c>
      <c r="R473" s="51">
        <v>8000</v>
      </c>
      <c r="S473" s="34">
        <f t="shared" si="77"/>
        <v>8000</v>
      </c>
      <c r="T473" s="34">
        <f t="shared" si="78"/>
        <v>1440</v>
      </c>
      <c r="U473" s="34">
        <f t="shared" si="79"/>
        <v>9440</v>
      </c>
      <c r="V473" s="34"/>
      <c r="W473" s="23" t="e">
        <v>#N/A</v>
      </c>
    </row>
    <row r="474" spans="1:23" x14ac:dyDescent="0.25">
      <c r="A474" s="31">
        <v>45909.6796875</v>
      </c>
      <c r="B474" s="32" t="str">
        <f t="shared" si="76"/>
        <v>Sep-25</v>
      </c>
      <c r="C474" s="23" t="s">
        <v>153</v>
      </c>
      <c r="D474" s="23" t="s">
        <v>369</v>
      </c>
      <c r="E474" s="39" t="e">
        <v>#N/A</v>
      </c>
      <c r="F474" s="32" t="str">
        <f>IFERROR(DATEDIF(Table1[[#This Row],[MPG Ope Date]],Table1[[#This Row],[L]],"M"),"")</f>
        <v/>
      </c>
      <c r="G474" s="26">
        <v>10070013</v>
      </c>
      <c r="H474" s="50" t="s">
        <v>537</v>
      </c>
      <c r="I474" s="23" t="s">
        <v>494</v>
      </c>
      <c r="J474" s="23">
        <v>8789901453</v>
      </c>
      <c r="K474" s="23" t="s">
        <v>70</v>
      </c>
      <c r="L474" s="23" t="s">
        <v>728</v>
      </c>
      <c r="M474" s="23" t="s">
        <v>266</v>
      </c>
      <c r="N474" s="25" t="s">
        <v>267</v>
      </c>
      <c r="O474" s="32" t="s">
        <v>744</v>
      </c>
      <c r="P474" s="37">
        <v>45967</v>
      </c>
      <c r="Q474" s="25">
        <v>1</v>
      </c>
      <c r="R474" s="51">
        <v>780</v>
      </c>
      <c r="S474" s="34">
        <f t="shared" si="77"/>
        <v>780</v>
      </c>
      <c r="T474" s="34">
        <f t="shared" si="78"/>
        <v>140.4</v>
      </c>
      <c r="U474" s="34">
        <f t="shared" si="79"/>
        <v>920.4</v>
      </c>
      <c r="V474" s="34"/>
      <c r="W474" s="23" t="s">
        <v>1005</v>
      </c>
    </row>
    <row r="475" spans="1:23" x14ac:dyDescent="0.25">
      <c r="A475" s="31">
        <v>45909.675335648149</v>
      </c>
      <c r="B475" s="32" t="str">
        <f t="shared" si="76"/>
        <v>Sep-25</v>
      </c>
      <c r="C475" s="23" t="s">
        <v>153</v>
      </c>
      <c r="D475" s="23" t="s">
        <v>369</v>
      </c>
      <c r="E475" s="39">
        <v>44693</v>
      </c>
      <c r="F475" s="32">
        <f>IFERROR(DATEDIF(Table1[[#This Row],[MPG Ope Date]],Table1[[#This Row],[L]],"M"),"")</f>
        <v>39</v>
      </c>
      <c r="G475" s="25">
        <v>10080015</v>
      </c>
      <c r="H475" s="23" t="s">
        <v>272</v>
      </c>
      <c r="I475" s="23" t="s">
        <v>212</v>
      </c>
      <c r="J475" s="23">
        <v>9570636048</v>
      </c>
      <c r="K475" s="23" t="s">
        <v>69</v>
      </c>
      <c r="L475" s="23">
        <v>359873</v>
      </c>
      <c r="M475" s="23" t="s">
        <v>117</v>
      </c>
      <c r="N475" s="25" t="s">
        <v>472</v>
      </c>
      <c r="O475" s="32" t="s">
        <v>744</v>
      </c>
      <c r="P475" s="37">
        <v>45967</v>
      </c>
      <c r="Q475" s="25">
        <v>1</v>
      </c>
      <c r="R475" s="51">
        <v>770</v>
      </c>
      <c r="S475" s="34">
        <f t="shared" si="77"/>
        <v>770</v>
      </c>
      <c r="T475" s="34">
        <f t="shared" si="78"/>
        <v>138.6</v>
      </c>
      <c r="U475" s="34">
        <f t="shared" si="79"/>
        <v>908.6</v>
      </c>
      <c r="V475" s="34"/>
      <c r="W475" s="23" t="s">
        <v>1005</v>
      </c>
    </row>
    <row r="476" spans="1:23" x14ac:dyDescent="0.25">
      <c r="A476" s="31">
        <v>45909.653553240743</v>
      </c>
      <c r="B476" s="32" t="str">
        <f t="shared" si="76"/>
        <v>Sep-25</v>
      </c>
      <c r="C476" s="23" t="s">
        <v>153</v>
      </c>
      <c r="D476" s="23" t="s">
        <v>0</v>
      </c>
      <c r="E476" s="39" t="e">
        <v>#N/A</v>
      </c>
      <c r="F476" s="32" t="str">
        <f>IFERROR(DATEDIF(Table1[[#This Row],[MPG Ope Date]],Table1[[#This Row],[L]],"M"),"")</f>
        <v/>
      </c>
      <c r="G476" s="25">
        <v>1012</v>
      </c>
      <c r="H476" s="23" t="s">
        <v>623</v>
      </c>
      <c r="I476" s="23" t="s">
        <v>666</v>
      </c>
      <c r="J476" s="23">
        <v>9060744847</v>
      </c>
      <c r="K476" s="23" t="s">
        <v>68</v>
      </c>
      <c r="L476" s="23" t="s">
        <v>729</v>
      </c>
      <c r="M476" s="23" t="s">
        <v>113</v>
      </c>
      <c r="N476" s="25" t="s">
        <v>114</v>
      </c>
      <c r="O476" s="32" t="s">
        <v>744</v>
      </c>
      <c r="P476" s="37">
        <v>45967</v>
      </c>
      <c r="Q476" s="25">
        <v>1</v>
      </c>
      <c r="R476" s="51">
        <v>225</v>
      </c>
      <c r="S476" s="34">
        <f t="shared" si="77"/>
        <v>225</v>
      </c>
      <c r="T476" s="34">
        <f t="shared" si="78"/>
        <v>40.5</v>
      </c>
      <c r="U476" s="34">
        <f t="shared" si="79"/>
        <v>265.5</v>
      </c>
      <c r="V476" s="34"/>
      <c r="W476" s="23" t="e">
        <v>#N/A</v>
      </c>
    </row>
    <row r="477" spans="1:23" x14ac:dyDescent="0.25">
      <c r="A477" s="31">
        <v>45908.680752314816</v>
      </c>
      <c r="B477" s="32" t="str">
        <f t="shared" ref="B477:B503" si="80">TEXT(A477,"mmm-yy")</f>
        <v>Sep-25</v>
      </c>
      <c r="C477" s="23" t="s">
        <v>153</v>
      </c>
      <c r="D477" s="23" t="s">
        <v>369</v>
      </c>
      <c r="E477" s="39" t="e">
        <v>#N/A</v>
      </c>
      <c r="F477" s="32" t="str">
        <f>IFERROR(DATEDIF(Table1[[#This Row],[MPG Ope Date]],Table1[[#This Row],[L]],"M"),"")</f>
        <v/>
      </c>
      <c r="G477" s="26">
        <v>10140033</v>
      </c>
      <c r="H477" s="50" t="s">
        <v>650</v>
      </c>
      <c r="I477" s="23" t="s">
        <v>691</v>
      </c>
      <c r="J477" s="23">
        <v>9097982065</v>
      </c>
      <c r="K477" s="23" t="s">
        <v>69</v>
      </c>
      <c r="L477" s="23">
        <v>371394</v>
      </c>
      <c r="M477" s="23" t="s">
        <v>254</v>
      </c>
      <c r="N477" s="25" t="s">
        <v>742</v>
      </c>
      <c r="O477" s="32" t="s">
        <v>744</v>
      </c>
      <c r="P477" s="37">
        <v>45967</v>
      </c>
      <c r="Q477" s="25">
        <v>1</v>
      </c>
      <c r="R477" s="51">
        <v>2000</v>
      </c>
      <c r="S477" s="34">
        <f t="shared" ref="S477:S503" si="81">+Q477*R477</f>
        <v>2000</v>
      </c>
      <c r="T477" s="34">
        <f t="shared" ref="T477:T503" si="82">+S477*0.18</f>
        <v>360</v>
      </c>
      <c r="U477" s="34">
        <f t="shared" ref="U477:U503" si="83">+S477+T477</f>
        <v>2360</v>
      </c>
      <c r="V477" s="34"/>
      <c r="W477" s="23" t="s">
        <v>1005</v>
      </c>
    </row>
    <row r="478" spans="1:23" x14ac:dyDescent="0.25">
      <c r="A478" s="31">
        <v>45908.888009259259</v>
      </c>
      <c r="B478" s="32" t="str">
        <f t="shared" si="80"/>
        <v>Sep-25</v>
      </c>
      <c r="C478" s="23" t="s">
        <v>152</v>
      </c>
      <c r="D478" s="23" t="s">
        <v>0</v>
      </c>
      <c r="E478" s="39" t="e">
        <v>#N/A</v>
      </c>
      <c r="F478" s="32" t="str">
        <f>IFERROR(DATEDIF(Table1[[#This Row],[MPG Ope Date]],Table1[[#This Row],[L]],"M"),"")</f>
        <v/>
      </c>
      <c r="G478" s="25">
        <v>2001</v>
      </c>
      <c r="H478" s="23" t="s">
        <v>22</v>
      </c>
      <c r="I478" s="23" t="s">
        <v>56</v>
      </c>
      <c r="J478" s="23">
        <v>8210761749</v>
      </c>
      <c r="K478" s="23" t="s">
        <v>71</v>
      </c>
      <c r="L478" s="23" t="s">
        <v>730</v>
      </c>
      <c r="M478" s="23" t="s">
        <v>141</v>
      </c>
      <c r="N478" s="25" t="s">
        <v>142</v>
      </c>
      <c r="O478" s="32" t="s">
        <v>743</v>
      </c>
      <c r="P478" s="37">
        <v>45967</v>
      </c>
      <c r="Q478" s="25">
        <v>1</v>
      </c>
      <c r="R478" s="51">
        <v>900</v>
      </c>
      <c r="S478" s="34">
        <f t="shared" si="81"/>
        <v>900</v>
      </c>
      <c r="T478" s="34">
        <f t="shared" si="82"/>
        <v>162</v>
      </c>
      <c r="U478" s="34">
        <f t="shared" si="83"/>
        <v>1062</v>
      </c>
      <c r="V478" s="34"/>
      <c r="W478" s="23" t="e">
        <v>#N/A</v>
      </c>
    </row>
    <row r="479" spans="1:23" x14ac:dyDescent="0.25">
      <c r="A479" s="31">
        <v>45908.689583333333</v>
      </c>
      <c r="B479" s="32" t="str">
        <f t="shared" si="80"/>
        <v>Sep-25</v>
      </c>
      <c r="C479" s="23" t="s">
        <v>153</v>
      </c>
      <c r="D479" s="23" t="s">
        <v>369</v>
      </c>
      <c r="E479" s="39">
        <v>45679</v>
      </c>
      <c r="F479" s="32">
        <f>IFERROR(DATEDIF(Table1[[#This Row],[MPG Ope Date]],Table1[[#This Row],[L]],"M"),"")</f>
        <v>7</v>
      </c>
      <c r="G479" s="25">
        <v>10140155</v>
      </c>
      <c r="H479" s="23" t="s">
        <v>651</v>
      </c>
      <c r="I479" s="23" t="s">
        <v>692</v>
      </c>
      <c r="J479" s="23">
        <v>8084627684</v>
      </c>
      <c r="K479" s="23" t="s">
        <v>69</v>
      </c>
      <c r="L479" s="23">
        <v>365835</v>
      </c>
      <c r="M479" s="23" t="s">
        <v>254</v>
      </c>
      <c r="N479" s="25" t="s">
        <v>742</v>
      </c>
      <c r="O479" s="32" t="s">
        <v>744</v>
      </c>
      <c r="P479" s="37">
        <v>45967</v>
      </c>
      <c r="Q479" s="25">
        <v>1</v>
      </c>
      <c r="R479" s="51">
        <v>2000</v>
      </c>
      <c r="S479" s="34">
        <f t="shared" si="81"/>
        <v>2000</v>
      </c>
      <c r="T479" s="34">
        <f t="shared" si="82"/>
        <v>360</v>
      </c>
      <c r="U479" s="34">
        <f t="shared" si="83"/>
        <v>2360</v>
      </c>
      <c r="V479" s="34"/>
      <c r="W479" s="23" t="s">
        <v>1005</v>
      </c>
    </row>
    <row r="480" spans="1:23" x14ac:dyDescent="0.25">
      <c r="A480" s="31">
        <v>45908.695208333331</v>
      </c>
      <c r="B480" s="32" t="str">
        <f t="shared" si="80"/>
        <v>Sep-25</v>
      </c>
      <c r="C480" s="23" t="s">
        <v>153</v>
      </c>
      <c r="D480" s="23" t="s">
        <v>369</v>
      </c>
      <c r="E480" s="39">
        <v>45323</v>
      </c>
      <c r="F480" s="32">
        <f>IFERROR(DATEDIF(Table1[[#This Row],[MPG Ope Date]],Table1[[#This Row],[L]],"M"),"")</f>
        <v>19</v>
      </c>
      <c r="G480" s="25">
        <v>10110066</v>
      </c>
      <c r="H480" s="23" t="s">
        <v>652</v>
      </c>
      <c r="I480" s="23" t="s">
        <v>693</v>
      </c>
      <c r="J480" s="23">
        <v>7631721721</v>
      </c>
      <c r="K480" s="23" t="s">
        <v>69</v>
      </c>
      <c r="L480" s="23">
        <v>386960</v>
      </c>
      <c r="M480" s="23" t="s">
        <v>121</v>
      </c>
      <c r="N480" s="25" t="s">
        <v>122</v>
      </c>
      <c r="O480" s="32" t="s">
        <v>744</v>
      </c>
      <c r="P480" s="37">
        <v>45967</v>
      </c>
      <c r="Q480" s="25">
        <v>1</v>
      </c>
      <c r="R480" s="51">
        <v>70</v>
      </c>
      <c r="S480" s="34">
        <f t="shared" si="81"/>
        <v>70</v>
      </c>
      <c r="T480" s="34">
        <f t="shared" si="82"/>
        <v>12.6</v>
      </c>
      <c r="U480" s="34">
        <f t="shared" si="83"/>
        <v>82.6</v>
      </c>
      <c r="V480" s="34"/>
      <c r="W480" s="23" t="s">
        <v>1005</v>
      </c>
    </row>
    <row r="481" spans="1:33" x14ac:dyDescent="0.25">
      <c r="A481" s="31">
        <v>45908.891145833331</v>
      </c>
      <c r="B481" s="32" t="str">
        <f t="shared" si="80"/>
        <v>Sep-25</v>
      </c>
      <c r="C481" s="23" t="s">
        <v>152</v>
      </c>
      <c r="D481" s="23" t="s">
        <v>369</v>
      </c>
      <c r="E481" s="39" t="e">
        <v>#N/A</v>
      </c>
      <c r="F481" s="32" t="str">
        <f>IFERROR(DATEDIF(Table1[[#This Row],[MPG Ope Date]],Table1[[#This Row],[L]],"M"),"")</f>
        <v/>
      </c>
      <c r="G481" s="25">
        <v>20010051</v>
      </c>
      <c r="H481" s="23" t="s">
        <v>653</v>
      </c>
      <c r="I481" s="23" t="s">
        <v>694</v>
      </c>
      <c r="J481" s="23">
        <v>6200906396</v>
      </c>
      <c r="K481" s="23" t="s">
        <v>69</v>
      </c>
      <c r="L481" s="23">
        <v>360543</v>
      </c>
      <c r="M481" s="23" t="s">
        <v>115</v>
      </c>
      <c r="N481" s="25" t="s">
        <v>116</v>
      </c>
      <c r="O481" s="32" t="s">
        <v>743</v>
      </c>
      <c r="P481" s="37">
        <v>45967</v>
      </c>
      <c r="Q481" s="25">
        <v>1</v>
      </c>
      <c r="R481" s="51">
        <v>8000</v>
      </c>
      <c r="S481" s="34">
        <f t="shared" si="81"/>
        <v>8000</v>
      </c>
      <c r="T481" s="34">
        <f t="shared" si="82"/>
        <v>1440</v>
      </c>
      <c r="U481" s="34">
        <f t="shared" si="83"/>
        <v>9440</v>
      </c>
      <c r="V481" s="34"/>
      <c r="W481" s="23" t="e">
        <v>#N/A</v>
      </c>
    </row>
    <row r="482" spans="1:33" x14ac:dyDescent="0.25">
      <c r="A482" s="31">
        <v>45908.48710648148</v>
      </c>
      <c r="B482" s="32" t="str">
        <f t="shared" si="80"/>
        <v>Sep-25</v>
      </c>
      <c r="C482" s="23" t="s">
        <v>153</v>
      </c>
      <c r="D482" s="23" t="s">
        <v>369</v>
      </c>
      <c r="E482" s="39">
        <v>44993</v>
      </c>
      <c r="F482" s="32">
        <f>IFERROR(DATEDIF(Table1[[#This Row],[MPG Ope Date]],Table1[[#This Row],[L]],"M"),"")</f>
        <v>30</v>
      </c>
      <c r="G482" s="25">
        <v>10030067</v>
      </c>
      <c r="H482" s="23" t="s">
        <v>1017</v>
      </c>
      <c r="I482" s="23" t="s">
        <v>695</v>
      </c>
      <c r="J482" s="23">
        <v>7634856103</v>
      </c>
      <c r="K482" s="23" t="s">
        <v>70</v>
      </c>
      <c r="L482" s="23" t="s">
        <v>731</v>
      </c>
      <c r="M482" s="23" t="s">
        <v>123</v>
      </c>
      <c r="N482" s="25" t="s">
        <v>394</v>
      </c>
      <c r="O482" s="32" t="s">
        <v>744</v>
      </c>
      <c r="P482" s="37">
        <v>45967</v>
      </c>
      <c r="Q482" s="25">
        <v>1</v>
      </c>
      <c r="R482" s="51">
        <v>350</v>
      </c>
      <c r="S482" s="34">
        <f t="shared" si="81"/>
        <v>350</v>
      </c>
      <c r="T482" s="34">
        <f t="shared" si="82"/>
        <v>63</v>
      </c>
      <c r="U482" s="34">
        <f t="shared" si="83"/>
        <v>413</v>
      </c>
      <c r="V482" s="34"/>
      <c r="W482" s="23" t="s">
        <v>1005</v>
      </c>
    </row>
    <row r="483" spans="1:33" x14ac:dyDescent="0.25">
      <c r="A483" s="31">
        <v>45906.697962962964</v>
      </c>
      <c r="B483" s="32" t="str">
        <f t="shared" si="80"/>
        <v>Sep-25</v>
      </c>
      <c r="C483" s="23" t="s">
        <v>153</v>
      </c>
      <c r="D483" s="23" t="s">
        <v>369</v>
      </c>
      <c r="E483" s="39">
        <v>45796</v>
      </c>
      <c r="F483" s="32">
        <f>IFERROR(DATEDIF(Table1[[#This Row],[MPG Ope Date]],Table1[[#This Row],[L]],"M"),"")</f>
        <v>3</v>
      </c>
      <c r="G483" s="25">
        <v>10090065</v>
      </c>
      <c r="H483" s="23" t="s">
        <v>654</v>
      </c>
      <c r="I483" s="23" t="s">
        <v>696</v>
      </c>
      <c r="J483" s="23">
        <v>9709965750</v>
      </c>
      <c r="K483" s="23" t="s">
        <v>70</v>
      </c>
      <c r="L483" s="23" t="s">
        <v>732</v>
      </c>
      <c r="M483" s="23" t="s">
        <v>123</v>
      </c>
      <c r="N483" s="25" t="s">
        <v>394</v>
      </c>
      <c r="O483" s="32" t="s">
        <v>744</v>
      </c>
      <c r="P483" s="37">
        <v>45967</v>
      </c>
      <c r="Q483" s="25">
        <v>1</v>
      </c>
      <c r="R483" s="51">
        <v>350</v>
      </c>
      <c r="S483" s="34">
        <f t="shared" si="81"/>
        <v>350</v>
      </c>
      <c r="T483" s="34">
        <f t="shared" si="82"/>
        <v>63</v>
      </c>
      <c r="U483" s="34">
        <f t="shared" si="83"/>
        <v>413</v>
      </c>
      <c r="V483" s="34"/>
      <c r="W483" s="23" t="s">
        <v>1005</v>
      </c>
    </row>
    <row r="484" spans="1:33" x14ac:dyDescent="0.25">
      <c r="A484" s="31">
        <v>45906.704039351855</v>
      </c>
      <c r="B484" s="32" t="str">
        <f t="shared" si="80"/>
        <v>Sep-25</v>
      </c>
      <c r="C484" s="23" t="s">
        <v>153</v>
      </c>
      <c r="D484" s="23" t="s">
        <v>369</v>
      </c>
      <c r="E484" s="39">
        <v>45513</v>
      </c>
      <c r="F484" s="32">
        <f>IFERROR(DATEDIF(Table1[[#This Row],[MPG Ope Date]],Table1[[#This Row],[L]],"M"),"")</f>
        <v>12</v>
      </c>
      <c r="G484" s="25">
        <v>10080070</v>
      </c>
      <c r="H484" s="23" t="s">
        <v>655</v>
      </c>
      <c r="I484" s="23" t="s">
        <v>697</v>
      </c>
      <c r="J484" s="23">
        <v>6203585917</v>
      </c>
      <c r="K484" s="23" t="s">
        <v>71</v>
      </c>
      <c r="L484" s="23" t="s">
        <v>733</v>
      </c>
      <c r="M484" s="23" t="s">
        <v>141</v>
      </c>
      <c r="N484" s="25" t="s">
        <v>142</v>
      </c>
      <c r="O484" s="32" t="s">
        <v>744</v>
      </c>
      <c r="P484" s="37">
        <v>45967</v>
      </c>
      <c r="Q484" s="25">
        <v>1</v>
      </c>
      <c r="R484" s="51">
        <v>900</v>
      </c>
      <c r="S484" s="34">
        <f t="shared" si="81"/>
        <v>900</v>
      </c>
      <c r="T484" s="34">
        <f t="shared" si="82"/>
        <v>162</v>
      </c>
      <c r="U484" s="34">
        <f t="shared" si="83"/>
        <v>1062</v>
      </c>
      <c r="V484" s="34"/>
      <c r="W484" s="23" t="s">
        <v>1005</v>
      </c>
    </row>
    <row r="485" spans="1:33" x14ac:dyDescent="0.25">
      <c r="A485" s="31">
        <v>45906.704039351855</v>
      </c>
      <c r="B485" s="32" t="str">
        <f t="shared" si="80"/>
        <v>Sep-25</v>
      </c>
      <c r="C485" s="23" t="s">
        <v>153</v>
      </c>
      <c r="D485" s="23" t="s">
        <v>369</v>
      </c>
      <c r="E485" s="39">
        <v>45513</v>
      </c>
      <c r="F485" s="32">
        <f>IFERROR(DATEDIF(Table1[[#This Row],[MPG Ope Date]],Table1[[#This Row],[L]],"M"),"")</f>
        <v>12</v>
      </c>
      <c r="G485" s="25">
        <v>10080070</v>
      </c>
      <c r="H485" s="23" t="s">
        <v>655</v>
      </c>
      <c r="I485" s="23" t="s">
        <v>697</v>
      </c>
      <c r="J485" s="23">
        <v>6203585917</v>
      </c>
      <c r="K485" s="23" t="s">
        <v>71</v>
      </c>
      <c r="L485" s="23" t="s">
        <v>733</v>
      </c>
      <c r="M485" s="23" t="s">
        <v>129</v>
      </c>
      <c r="N485" s="25" t="s">
        <v>130</v>
      </c>
      <c r="O485" s="32" t="s">
        <v>744</v>
      </c>
      <c r="P485" s="37">
        <v>45967</v>
      </c>
      <c r="Q485" s="25">
        <v>1</v>
      </c>
      <c r="R485" s="51">
        <v>1750</v>
      </c>
      <c r="S485" s="34">
        <f t="shared" si="81"/>
        <v>1750</v>
      </c>
      <c r="T485" s="34">
        <f t="shared" si="82"/>
        <v>315</v>
      </c>
      <c r="U485" s="34">
        <f t="shared" si="83"/>
        <v>2065</v>
      </c>
      <c r="V485" s="34"/>
      <c r="W485" s="23" t="s">
        <v>1005</v>
      </c>
    </row>
    <row r="486" spans="1:33" x14ac:dyDescent="0.25">
      <c r="A486" s="31">
        <v>45906.428888888891</v>
      </c>
      <c r="B486" s="32" t="str">
        <f t="shared" si="80"/>
        <v>Sep-25</v>
      </c>
      <c r="C486" s="23" t="s">
        <v>153</v>
      </c>
      <c r="D486" s="23" t="s">
        <v>369</v>
      </c>
      <c r="E486" s="39">
        <v>42979</v>
      </c>
      <c r="F486" s="32">
        <f>IFERROR(DATEDIF(Table1[[#This Row],[MPG Ope Date]],Table1[[#This Row],[L]],"M"),"")</f>
        <v>96</v>
      </c>
      <c r="G486" s="25">
        <v>10360001</v>
      </c>
      <c r="H486" s="23" t="s">
        <v>656</v>
      </c>
      <c r="I486" s="23" t="s">
        <v>698</v>
      </c>
      <c r="J486" s="23">
        <v>6204394263</v>
      </c>
      <c r="K486" s="23" t="s">
        <v>68</v>
      </c>
      <c r="L486" s="23" t="s">
        <v>734</v>
      </c>
      <c r="M486" s="23" t="s">
        <v>111</v>
      </c>
      <c r="N486" s="25" t="s">
        <v>112</v>
      </c>
      <c r="O486" s="32" t="s">
        <v>744</v>
      </c>
      <c r="P486" s="37">
        <v>45967</v>
      </c>
      <c r="Q486" s="25">
        <v>1</v>
      </c>
      <c r="R486" s="51">
        <v>360</v>
      </c>
      <c r="S486" s="34">
        <f t="shared" si="81"/>
        <v>360</v>
      </c>
      <c r="T486" s="34">
        <f t="shared" si="82"/>
        <v>64.8</v>
      </c>
      <c r="U486" s="34">
        <f t="shared" si="83"/>
        <v>424.8</v>
      </c>
      <c r="V486" s="34"/>
      <c r="W486" s="23" t="s">
        <v>1005</v>
      </c>
    </row>
    <row r="487" spans="1:33" x14ac:dyDescent="0.25">
      <c r="A487" s="31">
        <v>45906.43</v>
      </c>
      <c r="B487" s="32" t="str">
        <f t="shared" si="80"/>
        <v>Sep-25</v>
      </c>
      <c r="C487" s="23" t="s">
        <v>153</v>
      </c>
      <c r="D487" s="23" t="s">
        <v>369</v>
      </c>
      <c r="E487" s="39">
        <v>45642</v>
      </c>
      <c r="F487" s="32">
        <f>IFERROR(DATEDIF(Table1[[#This Row],[MPG Ope Date]],Table1[[#This Row],[L]],"M"),"")</f>
        <v>8</v>
      </c>
      <c r="G487" s="25">
        <v>10480022</v>
      </c>
      <c r="H487" s="23" t="s">
        <v>657</v>
      </c>
      <c r="I487" s="23" t="s">
        <v>699</v>
      </c>
      <c r="J487" s="23">
        <v>9973419727</v>
      </c>
      <c r="K487" s="23" t="s">
        <v>69</v>
      </c>
      <c r="L487" s="23">
        <v>378242</v>
      </c>
      <c r="M487" s="23" t="s">
        <v>254</v>
      </c>
      <c r="N487" s="25" t="s">
        <v>255</v>
      </c>
      <c r="O487" s="32" t="s">
        <v>744</v>
      </c>
      <c r="P487" s="37">
        <v>45967</v>
      </c>
      <c r="Q487" s="25">
        <v>1</v>
      </c>
      <c r="R487" s="51">
        <v>4500</v>
      </c>
      <c r="S487" s="34">
        <f t="shared" si="81"/>
        <v>4500</v>
      </c>
      <c r="T487" s="34">
        <f t="shared" si="82"/>
        <v>810</v>
      </c>
      <c r="U487" s="34">
        <f t="shared" si="83"/>
        <v>5310</v>
      </c>
      <c r="V487" s="34"/>
      <c r="W487" s="23" t="s">
        <v>1005</v>
      </c>
    </row>
    <row r="488" spans="1:33" x14ac:dyDescent="0.25">
      <c r="A488" s="31">
        <v>45906.712256944447</v>
      </c>
      <c r="B488" s="32" t="str">
        <f t="shared" si="80"/>
        <v>Sep-25</v>
      </c>
      <c r="C488" s="23" t="s">
        <v>153</v>
      </c>
      <c r="D488" s="23" t="s">
        <v>369</v>
      </c>
      <c r="E488" s="39">
        <v>45532</v>
      </c>
      <c r="F488" s="32">
        <f>IFERROR(DATEDIF(Table1[[#This Row],[MPG Ope Date]],Table1[[#This Row],[L]],"M"),"")</f>
        <v>12</v>
      </c>
      <c r="G488" s="25">
        <v>10120082</v>
      </c>
      <c r="H488" s="23" t="s">
        <v>658</v>
      </c>
      <c r="I488" s="23" t="s">
        <v>700</v>
      </c>
      <c r="J488" s="23">
        <v>9693003121</v>
      </c>
      <c r="K488" s="23" t="s">
        <v>68</v>
      </c>
      <c r="L488" s="31" t="s">
        <v>735</v>
      </c>
      <c r="M488" s="32" t="s">
        <v>111</v>
      </c>
      <c r="N488" s="23" t="s">
        <v>112</v>
      </c>
      <c r="O488" s="23" t="s">
        <v>744</v>
      </c>
      <c r="P488" s="39">
        <v>45967</v>
      </c>
      <c r="Q488" s="32">
        <v>1</v>
      </c>
      <c r="R488" s="25">
        <v>360</v>
      </c>
      <c r="S488" s="23">
        <f t="shared" si="81"/>
        <v>360</v>
      </c>
      <c r="T488" s="23">
        <f t="shared" si="82"/>
        <v>64.8</v>
      </c>
      <c r="U488" s="23">
        <f t="shared" si="83"/>
        <v>424.8</v>
      </c>
      <c r="V488" s="23"/>
      <c r="W488" s="23" t="s">
        <v>1008</v>
      </c>
      <c r="Y488" s="7"/>
      <c r="Z488" s="1"/>
      <c r="AA488" s="4"/>
      <c r="AB488" s="7"/>
      <c r="AC488" s="8"/>
      <c r="AD488" s="2"/>
      <c r="AE488" s="2"/>
      <c r="AF488" s="3"/>
      <c r="AG488" s="22"/>
    </row>
    <row r="489" spans="1:33" x14ac:dyDescent="0.25">
      <c r="A489" s="31">
        <v>45905.661064814813</v>
      </c>
      <c r="B489" s="32" t="str">
        <f t="shared" si="80"/>
        <v>Sep-25</v>
      </c>
      <c r="C489" s="23" t="s">
        <v>153</v>
      </c>
      <c r="D489" s="23" t="s">
        <v>369</v>
      </c>
      <c r="E489" s="39">
        <v>45599</v>
      </c>
      <c r="F489" s="32">
        <f>IFERROR(DATEDIF(Table1[[#This Row],[MPG Ope Date]],Table1[[#This Row],[L]],"M"),"")</f>
        <v>10</v>
      </c>
      <c r="G489" s="25">
        <v>10130073</v>
      </c>
      <c r="H489" s="23" t="s">
        <v>642</v>
      </c>
      <c r="I489" s="23" t="s">
        <v>683</v>
      </c>
      <c r="J489" s="23">
        <v>9153681814</v>
      </c>
      <c r="K489" s="23" t="s">
        <v>69</v>
      </c>
      <c r="L489" s="23">
        <v>326473</v>
      </c>
      <c r="M489" s="23" t="s">
        <v>117</v>
      </c>
      <c r="N489" s="25" t="s">
        <v>472</v>
      </c>
      <c r="O489" s="32" t="s">
        <v>744</v>
      </c>
      <c r="P489" s="37">
        <v>45967</v>
      </c>
      <c r="Q489" s="25">
        <v>1</v>
      </c>
      <c r="R489" s="51">
        <v>770</v>
      </c>
      <c r="S489" s="34">
        <f t="shared" si="81"/>
        <v>770</v>
      </c>
      <c r="T489" s="34">
        <f t="shared" si="82"/>
        <v>138.6</v>
      </c>
      <c r="U489" s="34">
        <f t="shared" si="83"/>
        <v>908.6</v>
      </c>
      <c r="V489" s="34"/>
      <c r="W489" s="23" t="s">
        <v>1005</v>
      </c>
    </row>
    <row r="490" spans="1:33" x14ac:dyDescent="0.25">
      <c r="A490" s="31">
        <v>45905.661064814813</v>
      </c>
      <c r="B490" s="32" t="str">
        <f t="shared" si="80"/>
        <v>Sep-25</v>
      </c>
      <c r="C490" s="23" t="s">
        <v>153</v>
      </c>
      <c r="D490" s="23" t="s">
        <v>369</v>
      </c>
      <c r="E490" s="39">
        <v>45599</v>
      </c>
      <c r="F490" s="32">
        <f>IFERROR(DATEDIF(Table1[[#This Row],[MPG Ope Date]],Table1[[#This Row],[L]],"M"),"")</f>
        <v>10</v>
      </c>
      <c r="G490" s="25">
        <v>10130073</v>
      </c>
      <c r="H490" s="23" t="s">
        <v>642</v>
      </c>
      <c r="I490" s="23" t="s">
        <v>683</v>
      </c>
      <c r="J490" s="23">
        <v>9153681814</v>
      </c>
      <c r="K490" s="23" t="s">
        <v>69</v>
      </c>
      <c r="L490" s="23">
        <v>326473</v>
      </c>
      <c r="M490" s="23" t="s">
        <v>121</v>
      </c>
      <c r="N490" s="25" t="s">
        <v>122</v>
      </c>
      <c r="O490" s="32" t="s">
        <v>744</v>
      </c>
      <c r="P490" s="37">
        <v>45967</v>
      </c>
      <c r="Q490" s="25">
        <v>1</v>
      </c>
      <c r="R490" s="51">
        <v>70</v>
      </c>
      <c r="S490" s="34">
        <f t="shared" si="81"/>
        <v>70</v>
      </c>
      <c r="T490" s="34">
        <f t="shared" si="82"/>
        <v>12.6</v>
      </c>
      <c r="U490" s="34">
        <f t="shared" si="83"/>
        <v>82.6</v>
      </c>
      <c r="V490" s="34"/>
      <c r="W490" s="23" t="s">
        <v>1005</v>
      </c>
    </row>
    <row r="491" spans="1:33" x14ac:dyDescent="0.25">
      <c r="A491" s="31">
        <v>45904.65828703704</v>
      </c>
      <c r="B491" s="32" t="str">
        <f t="shared" si="80"/>
        <v>Sep-25</v>
      </c>
      <c r="C491" s="23" t="s">
        <v>153</v>
      </c>
      <c r="D491" s="23" t="s">
        <v>369</v>
      </c>
      <c r="E491" s="39">
        <v>45692</v>
      </c>
      <c r="F491" s="32">
        <f>IFERROR(DATEDIF(Table1[[#This Row],[MPG Ope Date]],Table1[[#This Row],[L]],"M"),"")</f>
        <v>7</v>
      </c>
      <c r="G491" s="25">
        <v>10070049</v>
      </c>
      <c r="H491" s="23" t="s">
        <v>659</v>
      </c>
      <c r="I491" s="23" t="s">
        <v>701</v>
      </c>
      <c r="J491" s="23">
        <v>8405018934</v>
      </c>
      <c r="K491" s="23" t="s">
        <v>70</v>
      </c>
      <c r="L491" s="23" t="s">
        <v>736</v>
      </c>
      <c r="M491" s="23" t="s">
        <v>123</v>
      </c>
      <c r="N491" s="25" t="s">
        <v>394</v>
      </c>
      <c r="O491" s="32" t="s">
        <v>744</v>
      </c>
      <c r="P491" s="37">
        <v>45967</v>
      </c>
      <c r="Q491" s="25">
        <v>1</v>
      </c>
      <c r="R491" s="51">
        <v>350</v>
      </c>
      <c r="S491" s="34">
        <f t="shared" si="81"/>
        <v>350</v>
      </c>
      <c r="T491" s="34">
        <f t="shared" si="82"/>
        <v>63</v>
      </c>
      <c r="U491" s="34">
        <f t="shared" si="83"/>
        <v>413</v>
      </c>
      <c r="V491" s="34"/>
      <c r="W491" s="23" t="s">
        <v>1006</v>
      </c>
    </row>
    <row r="492" spans="1:33" x14ac:dyDescent="0.25">
      <c r="A492" s="31">
        <v>45903.584386574075</v>
      </c>
      <c r="B492" s="32" t="str">
        <f t="shared" si="80"/>
        <v>Sep-25</v>
      </c>
      <c r="C492" s="23" t="s">
        <v>153</v>
      </c>
      <c r="D492" s="23" t="s">
        <v>369</v>
      </c>
      <c r="E492" s="39" t="e">
        <v>#N/A</v>
      </c>
      <c r="F492" s="32" t="str">
        <f>IFERROR(DATEDIF(Table1[[#This Row],[MPG Ope Date]],Table1[[#This Row],[L]],"M"),"")</f>
        <v/>
      </c>
      <c r="G492" s="25">
        <v>10030031</v>
      </c>
      <c r="H492" s="23" t="s">
        <v>998</v>
      </c>
      <c r="I492" s="23" t="s">
        <v>999</v>
      </c>
      <c r="J492" s="23">
        <v>9955511137</v>
      </c>
      <c r="K492" s="23" t="s">
        <v>69</v>
      </c>
      <c r="L492" s="23">
        <v>277221</v>
      </c>
      <c r="M492" s="23" t="s">
        <v>119</v>
      </c>
      <c r="N492" s="25" t="s">
        <v>120</v>
      </c>
      <c r="O492" s="32" t="s">
        <v>744</v>
      </c>
      <c r="P492" s="37">
        <v>45967</v>
      </c>
      <c r="Q492" s="25">
        <v>1</v>
      </c>
      <c r="R492" s="51">
        <v>84</v>
      </c>
      <c r="S492" s="34">
        <f t="shared" si="81"/>
        <v>84</v>
      </c>
      <c r="T492" s="34">
        <f t="shared" si="82"/>
        <v>15.12</v>
      </c>
      <c r="U492" s="34">
        <f t="shared" si="83"/>
        <v>99.12</v>
      </c>
      <c r="V492" s="34"/>
      <c r="W492" s="23" t="s">
        <v>1005</v>
      </c>
      <c r="Y492" s="21">
        <v>10110108</v>
      </c>
    </row>
    <row r="493" spans="1:33" x14ac:dyDescent="0.25">
      <c r="A493" s="31">
        <v>45903.541666666664</v>
      </c>
      <c r="B493" s="32" t="str">
        <f t="shared" si="80"/>
        <v>Sep-25</v>
      </c>
      <c r="C493" s="23" t="s">
        <v>153</v>
      </c>
      <c r="D493" s="23" t="s">
        <v>369</v>
      </c>
      <c r="E493" s="39" t="e">
        <v>#N/A</v>
      </c>
      <c r="F493" s="32" t="str">
        <f>IFERROR(DATEDIF(Table1[[#This Row],[MPG Ope Date]],Table1[[#This Row],[L]],"M"),"")</f>
        <v/>
      </c>
      <c r="G493" s="25">
        <v>10140058</v>
      </c>
      <c r="H493" s="50" t="s">
        <v>535</v>
      </c>
      <c r="I493" s="23" t="s">
        <v>492</v>
      </c>
      <c r="J493" s="23">
        <v>8252388707</v>
      </c>
      <c r="K493" s="23" t="s">
        <v>71</v>
      </c>
      <c r="L493" s="23" t="s">
        <v>582</v>
      </c>
      <c r="M493" s="23" t="s">
        <v>141</v>
      </c>
      <c r="N493" s="25" t="s">
        <v>142</v>
      </c>
      <c r="O493" s="32" t="s">
        <v>744</v>
      </c>
      <c r="P493" s="37">
        <v>45967</v>
      </c>
      <c r="Q493" s="25">
        <v>1</v>
      </c>
      <c r="R493" s="51">
        <v>900</v>
      </c>
      <c r="S493" s="34">
        <f t="shared" si="81"/>
        <v>900</v>
      </c>
      <c r="T493" s="34">
        <f t="shared" si="82"/>
        <v>162</v>
      </c>
      <c r="U493" s="34">
        <f t="shared" si="83"/>
        <v>1062</v>
      </c>
      <c r="V493" s="34"/>
      <c r="W493" s="23" t="s">
        <v>1005</v>
      </c>
    </row>
    <row r="494" spans="1:33" x14ac:dyDescent="0.25">
      <c r="A494" s="31">
        <v>45903.430868055555</v>
      </c>
      <c r="B494" s="32" t="str">
        <f t="shared" si="80"/>
        <v>Sep-25</v>
      </c>
      <c r="C494" s="23" t="s">
        <v>153</v>
      </c>
      <c r="D494" s="23" t="s">
        <v>369</v>
      </c>
      <c r="E494" s="39">
        <v>44866</v>
      </c>
      <c r="F494" s="32">
        <f>IFERROR(DATEDIF(Table1[[#This Row],[MPG Ope Date]],Table1[[#This Row],[L]],"M"),"")</f>
        <v>34</v>
      </c>
      <c r="G494" s="25">
        <v>10020028</v>
      </c>
      <c r="H494" s="23" t="s">
        <v>661</v>
      </c>
      <c r="I494" s="23" t="s">
        <v>703</v>
      </c>
      <c r="J494" s="23">
        <v>9931786700</v>
      </c>
      <c r="K494" s="23" t="s">
        <v>69</v>
      </c>
      <c r="L494" s="23">
        <v>351141</v>
      </c>
      <c r="M494" s="23" t="s">
        <v>127</v>
      </c>
      <c r="N494" s="25" t="s">
        <v>128</v>
      </c>
      <c r="O494" s="32" t="s">
        <v>744</v>
      </c>
      <c r="P494" s="37">
        <v>45967</v>
      </c>
      <c r="Q494" s="25">
        <v>1</v>
      </c>
      <c r="R494" s="51">
        <v>44</v>
      </c>
      <c r="S494" s="34">
        <f t="shared" si="81"/>
        <v>44</v>
      </c>
      <c r="T494" s="34">
        <f t="shared" si="82"/>
        <v>7.92</v>
      </c>
      <c r="U494" s="34">
        <f t="shared" si="83"/>
        <v>51.92</v>
      </c>
      <c r="V494" s="34"/>
      <c r="W494" s="23" t="s">
        <v>1007</v>
      </c>
    </row>
    <row r="495" spans="1:33" x14ac:dyDescent="0.25">
      <c r="A495" s="31">
        <v>45903.652997685182</v>
      </c>
      <c r="B495" s="32" t="str">
        <f t="shared" si="80"/>
        <v>Sep-25</v>
      </c>
      <c r="C495" s="23" t="s">
        <v>153</v>
      </c>
      <c r="D495" s="23" t="s">
        <v>369</v>
      </c>
      <c r="E495" s="39">
        <v>45568</v>
      </c>
      <c r="F495" s="32">
        <f>IFERROR(DATEDIF(Table1[[#This Row],[MPG Ope Date]],Table1[[#This Row],[L]],"M"),"")</f>
        <v>11</v>
      </c>
      <c r="G495" s="25">
        <v>10010082</v>
      </c>
      <c r="H495" s="23" t="s">
        <v>662</v>
      </c>
      <c r="I495" s="23" t="s">
        <v>704</v>
      </c>
      <c r="J495" s="23">
        <v>7634894581</v>
      </c>
      <c r="K495" s="23" t="s">
        <v>71</v>
      </c>
      <c r="L495" s="23" t="s">
        <v>737</v>
      </c>
      <c r="M495" s="23" t="s">
        <v>141</v>
      </c>
      <c r="N495" s="25" t="s">
        <v>471</v>
      </c>
      <c r="O495" s="32" t="s">
        <v>744</v>
      </c>
      <c r="P495" s="37">
        <v>45967</v>
      </c>
      <c r="Q495" s="25">
        <v>1</v>
      </c>
      <c r="R495" s="51">
        <v>900</v>
      </c>
      <c r="S495" s="34">
        <f t="shared" si="81"/>
        <v>900</v>
      </c>
      <c r="T495" s="34">
        <f t="shared" si="82"/>
        <v>162</v>
      </c>
      <c r="U495" s="34">
        <f t="shared" si="83"/>
        <v>1062</v>
      </c>
      <c r="V495" s="34"/>
      <c r="W495" s="23" t="s">
        <v>1005</v>
      </c>
    </row>
    <row r="496" spans="1:33" x14ac:dyDescent="0.25">
      <c r="A496" s="31">
        <v>45903.57640046296</v>
      </c>
      <c r="B496" s="32" t="str">
        <f t="shared" si="80"/>
        <v>Sep-25</v>
      </c>
      <c r="C496" s="23" t="s">
        <v>153</v>
      </c>
      <c r="D496" s="23" t="s">
        <v>369</v>
      </c>
      <c r="E496" s="39">
        <v>45646</v>
      </c>
      <c r="F496" s="32">
        <f>IFERROR(DATEDIF(Table1[[#This Row],[MPG Ope Date]],Table1[[#This Row],[L]],"M"),"")</f>
        <v>8</v>
      </c>
      <c r="G496" s="25">
        <v>10140145</v>
      </c>
      <c r="H496" s="23" t="s">
        <v>524</v>
      </c>
      <c r="I496" s="23" t="s">
        <v>481</v>
      </c>
      <c r="J496" s="23">
        <v>7011240629</v>
      </c>
      <c r="K496" s="23" t="s">
        <v>70</v>
      </c>
      <c r="L496" s="23" t="s">
        <v>567</v>
      </c>
      <c r="M496" s="23" t="s">
        <v>266</v>
      </c>
      <c r="N496" s="25" t="s">
        <v>267</v>
      </c>
      <c r="O496" s="32" t="s">
        <v>744</v>
      </c>
      <c r="P496" s="37">
        <v>45967</v>
      </c>
      <c r="Q496" s="25">
        <v>1</v>
      </c>
      <c r="R496" s="51">
        <v>780</v>
      </c>
      <c r="S496" s="34">
        <f t="shared" si="81"/>
        <v>780</v>
      </c>
      <c r="T496" s="34">
        <f t="shared" si="82"/>
        <v>140.4</v>
      </c>
      <c r="U496" s="34">
        <f t="shared" si="83"/>
        <v>920.4</v>
      </c>
      <c r="V496" s="34"/>
      <c r="W496" s="23" t="s">
        <v>1005</v>
      </c>
    </row>
    <row r="497" spans="1:23" x14ac:dyDescent="0.25">
      <c r="A497" s="31">
        <v>45903.592685185184</v>
      </c>
      <c r="B497" s="32" t="str">
        <f t="shared" si="80"/>
        <v>Sep-25</v>
      </c>
      <c r="C497" s="23" t="s">
        <v>153</v>
      </c>
      <c r="D497" s="23" t="s">
        <v>369</v>
      </c>
      <c r="E497" s="39" t="e">
        <v>#N/A</v>
      </c>
      <c r="F497" s="32" t="str">
        <f>IFERROR(DATEDIF(Table1[[#This Row],[MPG Ope Date]],Table1[[#This Row],[L]],"M"),"")</f>
        <v/>
      </c>
      <c r="G497" s="26">
        <v>10030025</v>
      </c>
      <c r="H497" s="50" t="s">
        <v>663</v>
      </c>
      <c r="I497" s="23" t="s">
        <v>705</v>
      </c>
      <c r="J497" s="23">
        <v>6203649027</v>
      </c>
      <c r="K497" s="23" t="s">
        <v>69</v>
      </c>
      <c r="L497" s="23">
        <v>328961</v>
      </c>
      <c r="M497" s="23" t="s">
        <v>117</v>
      </c>
      <c r="N497" s="25" t="s">
        <v>472</v>
      </c>
      <c r="O497" s="32" t="s">
        <v>744</v>
      </c>
      <c r="P497" s="37">
        <v>45967</v>
      </c>
      <c r="Q497" s="25">
        <v>1</v>
      </c>
      <c r="R497" s="51">
        <v>770</v>
      </c>
      <c r="S497" s="34">
        <f t="shared" si="81"/>
        <v>770</v>
      </c>
      <c r="T497" s="34">
        <f t="shared" si="82"/>
        <v>138.6</v>
      </c>
      <c r="U497" s="34">
        <f t="shared" si="83"/>
        <v>908.6</v>
      </c>
      <c r="V497" s="34"/>
      <c r="W497" s="23" t="s">
        <v>1005</v>
      </c>
    </row>
    <row r="498" spans="1:23" x14ac:dyDescent="0.25">
      <c r="A498" s="31">
        <v>45902.695185185185</v>
      </c>
      <c r="B498" s="32" t="str">
        <f t="shared" si="80"/>
        <v>Sep-25</v>
      </c>
      <c r="C498" s="23" t="s">
        <v>153</v>
      </c>
      <c r="D498" s="23" t="s">
        <v>369</v>
      </c>
      <c r="E498" s="39">
        <v>43731</v>
      </c>
      <c r="F498" s="32">
        <f>IFERROR(DATEDIF(Table1[[#This Row],[MPG Ope Date]],Table1[[#This Row],[L]],"M"),"")</f>
        <v>71</v>
      </c>
      <c r="G498" s="25">
        <v>10120006</v>
      </c>
      <c r="H498" s="23" t="s">
        <v>273</v>
      </c>
      <c r="I498" s="23" t="s">
        <v>305</v>
      </c>
      <c r="J498" s="23">
        <v>7033197978</v>
      </c>
      <c r="K498" s="23" t="s">
        <v>68</v>
      </c>
      <c r="L498" s="23" t="s">
        <v>356</v>
      </c>
      <c r="M498" s="23" t="s">
        <v>113</v>
      </c>
      <c r="N498" s="25" t="s">
        <v>114</v>
      </c>
      <c r="O498" s="32" t="s">
        <v>744</v>
      </c>
      <c r="P498" s="37">
        <v>45967</v>
      </c>
      <c r="Q498" s="25">
        <v>1</v>
      </c>
      <c r="R498" s="51">
        <v>225</v>
      </c>
      <c r="S498" s="34">
        <f t="shared" si="81"/>
        <v>225</v>
      </c>
      <c r="T498" s="34">
        <f t="shared" si="82"/>
        <v>40.5</v>
      </c>
      <c r="U498" s="34">
        <f t="shared" si="83"/>
        <v>265.5</v>
      </c>
      <c r="V498" s="34"/>
      <c r="W498" s="23" t="s">
        <v>1005</v>
      </c>
    </row>
    <row r="499" spans="1:23" x14ac:dyDescent="0.25">
      <c r="A499" s="31">
        <v>45902.695185185185</v>
      </c>
      <c r="B499" s="32" t="str">
        <f t="shared" si="80"/>
        <v>Sep-25</v>
      </c>
      <c r="C499" s="23" t="s">
        <v>153</v>
      </c>
      <c r="D499" s="23" t="s">
        <v>369</v>
      </c>
      <c r="E499" s="39">
        <v>43731</v>
      </c>
      <c r="F499" s="32">
        <f>IFERROR(DATEDIF(Table1[[#This Row],[MPG Ope Date]],Table1[[#This Row],[L]],"M"),"")</f>
        <v>71</v>
      </c>
      <c r="G499" s="25">
        <v>10120006</v>
      </c>
      <c r="H499" s="23" t="s">
        <v>273</v>
      </c>
      <c r="I499" s="23" t="s">
        <v>305</v>
      </c>
      <c r="J499" s="23">
        <v>7033197978</v>
      </c>
      <c r="K499" s="23" t="s">
        <v>68</v>
      </c>
      <c r="L499" s="23" t="s">
        <v>356</v>
      </c>
      <c r="M499" s="23" t="s">
        <v>111</v>
      </c>
      <c r="N499" s="25" t="s">
        <v>112</v>
      </c>
      <c r="O499" s="32" t="s">
        <v>744</v>
      </c>
      <c r="P499" s="37">
        <v>45967</v>
      </c>
      <c r="Q499" s="25">
        <v>1</v>
      </c>
      <c r="R499" s="51">
        <v>360</v>
      </c>
      <c r="S499" s="34">
        <f t="shared" si="81"/>
        <v>360</v>
      </c>
      <c r="T499" s="34">
        <f t="shared" si="82"/>
        <v>64.8</v>
      </c>
      <c r="U499" s="34">
        <f t="shared" si="83"/>
        <v>424.8</v>
      </c>
      <c r="V499" s="34"/>
      <c r="W499" s="23" t="s">
        <v>1005</v>
      </c>
    </row>
    <row r="500" spans="1:23" x14ac:dyDescent="0.25">
      <c r="A500" s="31">
        <v>45901.637812499997</v>
      </c>
      <c r="B500" s="32" t="str">
        <f t="shared" si="80"/>
        <v>Sep-25</v>
      </c>
      <c r="C500" s="23" t="s">
        <v>153</v>
      </c>
      <c r="D500" s="23" t="s">
        <v>369</v>
      </c>
      <c r="E500" s="39">
        <v>43786</v>
      </c>
      <c r="F500" s="32">
        <f>IFERROR(DATEDIF(Table1[[#This Row],[MPG Ope Date]],Table1[[#This Row],[L]],"M"),"")</f>
        <v>69</v>
      </c>
      <c r="G500" s="25">
        <v>10130006</v>
      </c>
      <c r="H500" s="23" t="s">
        <v>299</v>
      </c>
      <c r="I500" s="23" t="s">
        <v>331</v>
      </c>
      <c r="J500" s="23">
        <v>7808980222</v>
      </c>
      <c r="K500" s="23" t="s">
        <v>69</v>
      </c>
      <c r="L500" s="23">
        <v>351152</v>
      </c>
      <c r="M500" s="23" t="s">
        <v>360</v>
      </c>
      <c r="N500" s="25" t="s">
        <v>361</v>
      </c>
      <c r="O500" s="32" t="s">
        <v>744</v>
      </c>
      <c r="P500" s="37">
        <v>45967</v>
      </c>
      <c r="Q500" s="25">
        <v>1</v>
      </c>
      <c r="R500" s="51">
        <v>44</v>
      </c>
      <c r="S500" s="34">
        <f t="shared" si="81"/>
        <v>44</v>
      </c>
      <c r="T500" s="34">
        <f t="shared" si="82"/>
        <v>7.92</v>
      </c>
      <c r="U500" s="34">
        <f t="shared" si="83"/>
        <v>51.92</v>
      </c>
      <c r="V500" s="34"/>
      <c r="W500" s="23" t="s">
        <v>1005</v>
      </c>
    </row>
    <row r="501" spans="1:23" x14ac:dyDescent="0.25">
      <c r="A501" s="31">
        <v>45901.637812499997</v>
      </c>
      <c r="B501" s="32" t="str">
        <f t="shared" si="80"/>
        <v>Sep-25</v>
      </c>
      <c r="C501" s="23" t="s">
        <v>153</v>
      </c>
      <c r="D501" s="23" t="s">
        <v>369</v>
      </c>
      <c r="E501" s="39">
        <v>43786</v>
      </c>
      <c r="F501" s="32">
        <f>IFERROR(DATEDIF(Table1[[#This Row],[MPG Ope Date]],Table1[[#This Row],[L]],"M"),"")</f>
        <v>69</v>
      </c>
      <c r="G501" s="25">
        <v>10130006</v>
      </c>
      <c r="H501" s="23" t="s">
        <v>299</v>
      </c>
      <c r="I501" s="23" t="s">
        <v>331</v>
      </c>
      <c r="J501" s="23">
        <v>7808980222</v>
      </c>
      <c r="K501" s="23" t="s">
        <v>69</v>
      </c>
      <c r="L501" s="23">
        <v>351152</v>
      </c>
      <c r="M501" s="23" t="s">
        <v>119</v>
      </c>
      <c r="N501" s="25" t="s">
        <v>120</v>
      </c>
      <c r="O501" s="32" t="s">
        <v>744</v>
      </c>
      <c r="P501" s="37">
        <v>45967</v>
      </c>
      <c r="Q501" s="25">
        <v>1</v>
      </c>
      <c r="R501" s="51">
        <v>84</v>
      </c>
      <c r="S501" s="34">
        <f t="shared" si="81"/>
        <v>84</v>
      </c>
      <c r="T501" s="34">
        <f t="shared" si="82"/>
        <v>15.12</v>
      </c>
      <c r="U501" s="34">
        <f t="shared" si="83"/>
        <v>99.12</v>
      </c>
      <c r="V501" s="34"/>
      <c r="W501" s="23" t="s">
        <v>1005</v>
      </c>
    </row>
    <row r="502" spans="1:23" x14ac:dyDescent="0.25">
      <c r="A502" s="31">
        <v>45901.637812499997</v>
      </c>
      <c r="B502" s="32" t="str">
        <f t="shared" si="80"/>
        <v>Sep-25</v>
      </c>
      <c r="C502" s="23" t="s">
        <v>153</v>
      </c>
      <c r="D502" s="23" t="s">
        <v>369</v>
      </c>
      <c r="E502" s="39">
        <v>43786</v>
      </c>
      <c r="F502" s="32">
        <f>IFERROR(DATEDIF(Table1[[#This Row],[MPG Ope Date]],Table1[[#This Row],[L]],"M"),"")</f>
        <v>69</v>
      </c>
      <c r="G502" s="25">
        <v>10130006</v>
      </c>
      <c r="H502" s="23" t="s">
        <v>299</v>
      </c>
      <c r="I502" s="23" t="s">
        <v>331</v>
      </c>
      <c r="J502" s="23">
        <v>7808980222</v>
      </c>
      <c r="K502" s="23" t="s">
        <v>69</v>
      </c>
      <c r="L502" s="23">
        <v>351152</v>
      </c>
      <c r="M502" s="23" t="s">
        <v>360</v>
      </c>
      <c r="N502" s="25" t="s">
        <v>361</v>
      </c>
      <c r="O502" s="32" t="s">
        <v>744</v>
      </c>
      <c r="P502" s="37">
        <v>45967</v>
      </c>
      <c r="Q502" s="25">
        <v>1</v>
      </c>
      <c r="R502" s="51">
        <v>44</v>
      </c>
      <c r="S502" s="34">
        <f t="shared" si="81"/>
        <v>44</v>
      </c>
      <c r="T502" s="34">
        <f t="shared" si="82"/>
        <v>7.92</v>
      </c>
      <c r="U502" s="34">
        <f t="shared" si="83"/>
        <v>51.92</v>
      </c>
      <c r="V502" s="34"/>
      <c r="W502" s="23" t="s">
        <v>1005</v>
      </c>
    </row>
    <row r="503" spans="1:23" x14ac:dyDescent="0.25">
      <c r="A503" s="31">
        <v>45901.879282407404</v>
      </c>
      <c r="B503" s="32" t="str">
        <f t="shared" si="80"/>
        <v>Sep-25</v>
      </c>
      <c r="C503" s="23" t="s">
        <v>152</v>
      </c>
      <c r="D503" s="23" t="s">
        <v>369</v>
      </c>
      <c r="E503" s="39" t="e">
        <v>#N/A</v>
      </c>
      <c r="F503" s="32" t="str">
        <f>IFERROR(DATEDIF(Table1[[#This Row],[MPG Ope Date]],Table1[[#This Row],[L]],"M"),"")</f>
        <v/>
      </c>
      <c r="G503" s="25">
        <v>20010003</v>
      </c>
      <c r="H503" s="23" t="s">
        <v>664</v>
      </c>
      <c r="I503" s="23" t="s">
        <v>706</v>
      </c>
      <c r="J503" s="23">
        <v>6205711535</v>
      </c>
      <c r="K503" s="23" t="s">
        <v>68</v>
      </c>
      <c r="L503" s="23" t="s">
        <v>738</v>
      </c>
      <c r="M503" s="23" t="s">
        <v>139</v>
      </c>
      <c r="N503" s="25" t="s">
        <v>140</v>
      </c>
      <c r="O503" s="32" t="s">
        <v>743</v>
      </c>
      <c r="P503" s="37">
        <v>45967</v>
      </c>
      <c r="Q503" s="25">
        <v>1</v>
      </c>
      <c r="R503" s="51">
        <v>1266</v>
      </c>
      <c r="S503" s="34">
        <f t="shared" si="81"/>
        <v>1266</v>
      </c>
      <c r="T503" s="34">
        <f t="shared" si="82"/>
        <v>227.88</v>
      </c>
      <c r="U503" s="34">
        <f t="shared" si="83"/>
        <v>1493.88</v>
      </c>
      <c r="V503" s="34"/>
      <c r="W503" s="23" t="e">
        <v>#N/A</v>
      </c>
    </row>
    <row r="504" spans="1:23" x14ac:dyDescent="0.25">
      <c r="A504" s="31">
        <v>45961.704317129632</v>
      </c>
      <c r="B504" s="32" t="str">
        <f t="shared" ref="B504:B535" si="84">TEXT(A504,"mmm-yy")</f>
        <v>Oct-25</v>
      </c>
      <c r="C504" s="23" t="s">
        <v>153</v>
      </c>
      <c r="D504" s="23" t="s">
        <v>369</v>
      </c>
      <c r="E504" s="39">
        <v>45128</v>
      </c>
      <c r="F504" s="32">
        <f>IFERROR(DATEDIF(Table1[[#This Row],[MPG Ope Date]],Table1[[#This Row],[L]],"M"),"")</f>
        <v>27</v>
      </c>
      <c r="G504" s="25">
        <v>10010038</v>
      </c>
      <c r="H504" s="23" t="s">
        <v>421</v>
      </c>
      <c r="I504" s="23" t="s">
        <v>216</v>
      </c>
      <c r="J504" s="23">
        <v>9973609107</v>
      </c>
      <c r="K504" s="23" t="s">
        <v>70</v>
      </c>
      <c r="L504" s="23" t="s">
        <v>801</v>
      </c>
      <c r="M504" s="23" t="s">
        <v>123</v>
      </c>
      <c r="N504" s="23" t="s">
        <v>124</v>
      </c>
      <c r="O504" s="32" t="s">
        <v>833</v>
      </c>
      <c r="P504" s="37">
        <v>45986</v>
      </c>
      <c r="Q504" s="25">
        <v>1</v>
      </c>
      <c r="R504" s="51">
        <v>350</v>
      </c>
      <c r="S504" s="34">
        <f t="shared" ref="S504:S535" si="85">+Q504*R504</f>
        <v>350</v>
      </c>
      <c r="T504" s="34">
        <f t="shared" ref="T504:T535" si="86">+S504*0.18</f>
        <v>63</v>
      </c>
      <c r="U504" s="34">
        <f t="shared" ref="U504:U535" si="87">+S504+T504</f>
        <v>413</v>
      </c>
      <c r="V504" s="34"/>
      <c r="W504" s="23" t="s">
        <v>1005</v>
      </c>
    </row>
    <row r="505" spans="1:23" x14ac:dyDescent="0.25">
      <c r="A505" s="31">
        <v>45960.614745370367</v>
      </c>
      <c r="B505" s="32" t="str">
        <f t="shared" si="84"/>
        <v>Oct-25</v>
      </c>
      <c r="C505" s="23" t="s">
        <v>152</v>
      </c>
      <c r="D505" s="23" t="s">
        <v>369</v>
      </c>
      <c r="E505" s="39" t="e">
        <v>#N/A</v>
      </c>
      <c r="F505" s="32" t="str">
        <f>IFERROR(DATEDIF(Table1[[#This Row],[MPG Ope Date]],Table1[[#This Row],[L]],"M"),"")</f>
        <v/>
      </c>
      <c r="G505" s="25">
        <v>20030005</v>
      </c>
      <c r="H505" s="23" t="s">
        <v>375</v>
      </c>
      <c r="I505" s="23" t="s">
        <v>384</v>
      </c>
      <c r="J505" s="23">
        <v>8709246184</v>
      </c>
      <c r="K505" s="23" t="s">
        <v>71</v>
      </c>
      <c r="L505" s="23" t="s">
        <v>802</v>
      </c>
      <c r="M505" s="23" t="s">
        <v>141</v>
      </c>
      <c r="N505" s="23" t="s">
        <v>471</v>
      </c>
      <c r="O505" s="32" t="s">
        <v>832</v>
      </c>
      <c r="P505" s="37">
        <v>45986</v>
      </c>
      <c r="Q505" s="25">
        <v>1</v>
      </c>
      <c r="R505" s="51">
        <v>900</v>
      </c>
      <c r="S505" s="34">
        <f t="shared" si="85"/>
        <v>900</v>
      </c>
      <c r="T505" s="34">
        <f t="shared" si="86"/>
        <v>162</v>
      </c>
      <c r="U505" s="34">
        <f t="shared" si="87"/>
        <v>1062</v>
      </c>
      <c r="V505" s="34"/>
      <c r="W505" s="23" t="e">
        <v>#N/A</v>
      </c>
    </row>
    <row r="506" spans="1:23" x14ac:dyDescent="0.25">
      <c r="A506" s="31">
        <v>45960.540127314816</v>
      </c>
      <c r="B506" s="32" t="str">
        <f t="shared" si="84"/>
        <v>Oct-25</v>
      </c>
      <c r="C506" s="23" t="s">
        <v>153</v>
      </c>
      <c r="D506" s="23" t="s">
        <v>369</v>
      </c>
      <c r="E506" s="39">
        <v>45049</v>
      </c>
      <c r="F506" s="32">
        <f>IFERROR(DATEDIF(Table1[[#This Row],[MPG Ope Date]],Table1[[#This Row],[L]],"M"),"")</f>
        <v>29</v>
      </c>
      <c r="G506" s="25">
        <v>10060032</v>
      </c>
      <c r="H506" s="23" t="s">
        <v>745</v>
      </c>
      <c r="I506" s="23" t="s">
        <v>774</v>
      </c>
      <c r="J506" s="23">
        <v>8051647327</v>
      </c>
      <c r="K506" s="23" t="s">
        <v>69</v>
      </c>
      <c r="L506" s="23">
        <v>378198</v>
      </c>
      <c r="M506" s="23" t="s">
        <v>121</v>
      </c>
      <c r="N506" s="23" t="s">
        <v>122</v>
      </c>
      <c r="O506" s="32" t="s">
        <v>833</v>
      </c>
      <c r="P506" s="37">
        <v>45986</v>
      </c>
      <c r="Q506" s="25">
        <v>1</v>
      </c>
      <c r="R506" s="51">
        <v>70</v>
      </c>
      <c r="S506" s="34">
        <f t="shared" si="85"/>
        <v>70</v>
      </c>
      <c r="T506" s="34">
        <f t="shared" si="86"/>
        <v>12.6</v>
      </c>
      <c r="U506" s="34">
        <f t="shared" si="87"/>
        <v>82.6</v>
      </c>
      <c r="V506" s="34"/>
      <c r="W506" s="23" t="s">
        <v>1005</v>
      </c>
    </row>
    <row r="507" spans="1:23" x14ac:dyDescent="0.25">
      <c r="A507" s="31">
        <v>45960.540127314816</v>
      </c>
      <c r="B507" s="32" t="str">
        <f t="shared" si="84"/>
        <v>Oct-25</v>
      </c>
      <c r="C507" s="23" t="s">
        <v>153</v>
      </c>
      <c r="D507" s="23" t="s">
        <v>369</v>
      </c>
      <c r="E507" s="39">
        <v>45049</v>
      </c>
      <c r="F507" s="32">
        <f>IFERROR(DATEDIF(Table1[[#This Row],[MPG Ope Date]],Table1[[#This Row],[L]],"M"),"")</f>
        <v>29</v>
      </c>
      <c r="G507" s="25">
        <v>10060032</v>
      </c>
      <c r="H507" s="23" t="s">
        <v>745</v>
      </c>
      <c r="I507" s="23" t="s">
        <v>774</v>
      </c>
      <c r="J507" s="23">
        <v>8051647327</v>
      </c>
      <c r="K507" s="23" t="s">
        <v>69</v>
      </c>
      <c r="L507" s="23">
        <v>378198</v>
      </c>
      <c r="M507" s="23" t="s">
        <v>121</v>
      </c>
      <c r="N507" s="23" t="s">
        <v>122</v>
      </c>
      <c r="O507" s="32" t="s">
        <v>833</v>
      </c>
      <c r="P507" s="37">
        <v>45986</v>
      </c>
      <c r="Q507" s="25">
        <v>1</v>
      </c>
      <c r="R507" s="51">
        <v>70</v>
      </c>
      <c r="S507" s="34">
        <f t="shared" si="85"/>
        <v>70</v>
      </c>
      <c r="T507" s="34">
        <f t="shared" si="86"/>
        <v>12.6</v>
      </c>
      <c r="U507" s="34">
        <f t="shared" si="87"/>
        <v>82.6</v>
      </c>
      <c r="V507" s="34"/>
      <c r="W507" s="23" t="s">
        <v>1005</v>
      </c>
    </row>
    <row r="508" spans="1:23" x14ac:dyDescent="0.25">
      <c r="A508" s="31">
        <v>45960.541724537034</v>
      </c>
      <c r="B508" s="32" t="str">
        <f t="shared" si="84"/>
        <v>Oct-25</v>
      </c>
      <c r="C508" s="23" t="s">
        <v>153</v>
      </c>
      <c r="D508" s="23" t="s">
        <v>369</v>
      </c>
      <c r="E508" s="39">
        <v>45631</v>
      </c>
      <c r="F508" s="32">
        <f>IFERROR(DATEDIF(Table1[[#This Row],[MPG Ope Date]],Table1[[#This Row],[L]],"M"),"")</f>
        <v>10</v>
      </c>
      <c r="G508" s="25">
        <v>10060074</v>
      </c>
      <c r="H508" s="23" t="s">
        <v>293</v>
      </c>
      <c r="I508" s="23" t="s">
        <v>325</v>
      </c>
      <c r="J508" s="23">
        <v>6206967505</v>
      </c>
      <c r="K508" s="23" t="s">
        <v>69</v>
      </c>
      <c r="L508" s="23">
        <v>382421</v>
      </c>
      <c r="M508" s="23" t="s">
        <v>145</v>
      </c>
      <c r="N508" s="23" t="s">
        <v>146</v>
      </c>
      <c r="O508" s="32" t="s">
        <v>833</v>
      </c>
      <c r="P508" s="37">
        <v>45986</v>
      </c>
      <c r="Q508" s="25">
        <v>1</v>
      </c>
      <c r="R508" s="51">
        <v>49</v>
      </c>
      <c r="S508" s="34">
        <f t="shared" si="85"/>
        <v>49</v>
      </c>
      <c r="T508" s="34">
        <f t="shared" si="86"/>
        <v>8.82</v>
      </c>
      <c r="U508" s="34">
        <f t="shared" si="87"/>
        <v>57.82</v>
      </c>
      <c r="V508" s="34"/>
      <c r="W508" s="23" t="s">
        <v>1005</v>
      </c>
    </row>
    <row r="509" spans="1:23" x14ac:dyDescent="0.25">
      <c r="A509" s="31">
        <v>45960.541724537034</v>
      </c>
      <c r="B509" s="32" t="str">
        <f t="shared" si="84"/>
        <v>Oct-25</v>
      </c>
      <c r="C509" s="23" t="s">
        <v>153</v>
      </c>
      <c r="D509" s="23" t="s">
        <v>369</v>
      </c>
      <c r="E509" s="39">
        <v>45631</v>
      </c>
      <c r="F509" s="32">
        <f>IFERROR(DATEDIF(Table1[[#This Row],[MPG Ope Date]],Table1[[#This Row],[L]],"M"),"")</f>
        <v>10</v>
      </c>
      <c r="G509" s="25">
        <v>10060074</v>
      </c>
      <c r="H509" s="23" t="s">
        <v>293</v>
      </c>
      <c r="I509" s="23" t="s">
        <v>325</v>
      </c>
      <c r="J509" s="23">
        <v>6206967505</v>
      </c>
      <c r="K509" s="23" t="s">
        <v>69</v>
      </c>
      <c r="L509" s="23">
        <v>382421</v>
      </c>
      <c r="M509" s="23" t="s">
        <v>145</v>
      </c>
      <c r="N509" s="23" t="s">
        <v>146</v>
      </c>
      <c r="O509" s="32" t="s">
        <v>833</v>
      </c>
      <c r="P509" s="37">
        <v>45986</v>
      </c>
      <c r="Q509" s="25">
        <v>1</v>
      </c>
      <c r="R509" s="51">
        <v>49</v>
      </c>
      <c r="S509" s="34">
        <f t="shared" si="85"/>
        <v>49</v>
      </c>
      <c r="T509" s="34">
        <f t="shared" si="86"/>
        <v>8.82</v>
      </c>
      <c r="U509" s="34">
        <f t="shared" si="87"/>
        <v>57.82</v>
      </c>
      <c r="V509" s="34"/>
      <c r="W509" s="23" t="s">
        <v>1005</v>
      </c>
    </row>
    <row r="510" spans="1:23" x14ac:dyDescent="0.25">
      <c r="A510" s="31">
        <v>45960.612696759257</v>
      </c>
      <c r="B510" s="32" t="str">
        <f t="shared" si="84"/>
        <v>Oct-25</v>
      </c>
      <c r="C510" s="23" t="s">
        <v>152</v>
      </c>
      <c r="D510" s="23" t="s">
        <v>0</v>
      </c>
      <c r="E510" s="39" t="e">
        <v>#N/A</v>
      </c>
      <c r="F510" s="32" t="str">
        <f>IFERROR(DATEDIF(Table1[[#This Row],[MPG Ope Date]],Table1[[#This Row],[L]],"M"),"")</f>
        <v/>
      </c>
      <c r="G510" s="25">
        <v>2002</v>
      </c>
      <c r="H510" s="23" t="s">
        <v>270</v>
      </c>
      <c r="I510" s="23" t="s">
        <v>303</v>
      </c>
      <c r="J510" s="23">
        <v>8709856463</v>
      </c>
      <c r="K510" s="23" t="s">
        <v>69</v>
      </c>
      <c r="L510" s="23">
        <v>360621</v>
      </c>
      <c r="M510" s="23" t="s">
        <v>121</v>
      </c>
      <c r="N510" s="23" t="s">
        <v>122</v>
      </c>
      <c r="O510" s="32" t="s">
        <v>832</v>
      </c>
      <c r="P510" s="37">
        <v>45986</v>
      </c>
      <c r="Q510" s="25">
        <v>1</v>
      </c>
      <c r="R510" s="51">
        <v>70</v>
      </c>
      <c r="S510" s="34">
        <f t="shared" si="85"/>
        <v>70</v>
      </c>
      <c r="T510" s="34">
        <f t="shared" si="86"/>
        <v>12.6</v>
      </c>
      <c r="U510" s="34">
        <f t="shared" si="87"/>
        <v>82.6</v>
      </c>
      <c r="V510" s="34"/>
      <c r="W510" s="23" t="e">
        <v>#N/A</v>
      </c>
    </row>
    <row r="511" spans="1:23" x14ac:dyDescent="0.25">
      <c r="A511" s="31">
        <v>45960.613796296297</v>
      </c>
      <c r="B511" s="32" t="str">
        <f t="shared" si="84"/>
        <v>Oct-25</v>
      </c>
      <c r="C511" s="23" t="s">
        <v>152</v>
      </c>
      <c r="D511" s="23" t="s">
        <v>369</v>
      </c>
      <c r="E511" s="39" t="e">
        <v>#N/A</v>
      </c>
      <c r="F511" s="32" t="str">
        <f>IFERROR(DATEDIF(Table1[[#This Row],[MPG Ope Date]],Table1[[#This Row],[L]],"M"),"")</f>
        <v/>
      </c>
      <c r="G511" s="25">
        <v>20030005</v>
      </c>
      <c r="H511" s="23" t="s">
        <v>375</v>
      </c>
      <c r="I511" s="23" t="s">
        <v>384</v>
      </c>
      <c r="J511" s="23">
        <v>8709246184</v>
      </c>
      <c r="K511" s="23" t="s">
        <v>69</v>
      </c>
      <c r="L511" s="23">
        <v>359077</v>
      </c>
      <c r="M511" s="23" t="s">
        <v>360</v>
      </c>
      <c r="N511" s="23" t="s">
        <v>361</v>
      </c>
      <c r="O511" s="32" t="s">
        <v>832</v>
      </c>
      <c r="P511" s="37">
        <v>45986</v>
      </c>
      <c r="Q511" s="25">
        <v>1</v>
      </c>
      <c r="R511" s="51">
        <v>44</v>
      </c>
      <c r="S511" s="34">
        <f t="shared" si="85"/>
        <v>44</v>
      </c>
      <c r="T511" s="34">
        <f t="shared" si="86"/>
        <v>7.92</v>
      </c>
      <c r="U511" s="34">
        <f t="shared" si="87"/>
        <v>51.92</v>
      </c>
      <c r="V511" s="34"/>
      <c r="W511" s="23" t="e">
        <v>#N/A</v>
      </c>
    </row>
    <row r="512" spans="1:23" x14ac:dyDescent="0.25">
      <c r="A512" s="31">
        <v>45960.610601851855</v>
      </c>
      <c r="B512" s="32" t="str">
        <f t="shared" si="84"/>
        <v>Oct-25</v>
      </c>
      <c r="C512" s="23" t="s">
        <v>152</v>
      </c>
      <c r="D512" s="23" t="s">
        <v>369</v>
      </c>
      <c r="E512" s="39" t="e">
        <v>#N/A</v>
      </c>
      <c r="F512" s="32" t="str">
        <f>IFERROR(DATEDIF(Table1[[#This Row],[MPG Ope Date]],Table1[[#This Row],[L]],"M"),"")</f>
        <v/>
      </c>
      <c r="G512" s="25">
        <v>20090012</v>
      </c>
      <c r="H512" s="23" t="s">
        <v>746</v>
      </c>
      <c r="I512" s="23" t="s">
        <v>775</v>
      </c>
      <c r="J512" s="23">
        <v>7541089739</v>
      </c>
      <c r="K512" s="23" t="s">
        <v>69</v>
      </c>
      <c r="L512" s="23">
        <v>210786</v>
      </c>
      <c r="M512" s="23" t="s">
        <v>121</v>
      </c>
      <c r="N512" s="23" t="s">
        <v>122</v>
      </c>
      <c r="O512" s="32" t="s">
        <v>832</v>
      </c>
      <c r="P512" s="37">
        <v>45986</v>
      </c>
      <c r="Q512" s="25">
        <v>1</v>
      </c>
      <c r="R512" s="51">
        <v>70</v>
      </c>
      <c r="S512" s="34">
        <f t="shared" si="85"/>
        <v>70</v>
      </c>
      <c r="T512" s="34">
        <f t="shared" si="86"/>
        <v>12.6</v>
      </c>
      <c r="U512" s="34">
        <f t="shared" si="87"/>
        <v>82.6</v>
      </c>
      <c r="V512" s="34"/>
      <c r="W512" s="23" t="e">
        <v>#N/A</v>
      </c>
    </row>
    <row r="513" spans="1:23" x14ac:dyDescent="0.25">
      <c r="A513" s="31">
        <v>45960.613935185182</v>
      </c>
      <c r="B513" s="32" t="str">
        <f t="shared" si="84"/>
        <v>Oct-25</v>
      </c>
      <c r="C513" s="23" t="s">
        <v>152</v>
      </c>
      <c r="D513" s="23" t="s">
        <v>369</v>
      </c>
      <c r="E513" s="39" t="e">
        <v>#N/A</v>
      </c>
      <c r="F513" s="32" t="str">
        <f>IFERROR(DATEDIF(Table1[[#This Row],[MPG Ope Date]],Table1[[#This Row],[L]],"M"),"")</f>
        <v/>
      </c>
      <c r="G513" s="25">
        <v>20030005</v>
      </c>
      <c r="H513" s="23" t="s">
        <v>375</v>
      </c>
      <c r="I513" s="23" t="s">
        <v>384</v>
      </c>
      <c r="J513" s="23">
        <v>8709246184</v>
      </c>
      <c r="K513" s="23" t="s">
        <v>69</v>
      </c>
      <c r="L513" s="23">
        <v>359077</v>
      </c>
      <c r="M513" s="23" t="s">
        <v>121</v>
      </c>
      <c r="N513" s="23" t="s">
        <v>122</v>
      </c>
      <c r="O513" s="32" t="s">
        <v>832</v>
      </c>
      <c r="P513" s="37">
        <v>45986</v>
      </c>
      <c r="Q513" s="25">
        <v>1</v>
      </c>
      <c r="R513" s="51">
        <v>70</v>
      </c>
      <c r="S513" s="34">
        <f t="shared" si="85"/>
        <v>70</v>
      </c>
      <c r="T513" s="34">
        <f t="shared" si="86"/>
        <v>12.6</v>
      </c>
      <c r="U513" s="34">
        <f t="shared" si="87"/>
        <v>82.6</v>
      </c>
      <c r="V513" s="34"/>
      <c r="W513" s="23" t="e">
        <v>#N/A</v>
      </c>
    </row>
    <row r="514" spans="1:23" x14ac:dyDescent="0.25">
      <c r="A514" s="31">
        <v>45959.70108796296</v>
      </c>
      <c r="B514" s="32" t="str">
        <f t="shared" si="84"/>
        <v>Oct-25</v>
      </c>
      <c r="C514" s="23" t="s">
        <v>153</v>
      </c>
      <c r="D514" s="23" t="s">
        <v>369</v>
      </c>
      <c r="E514" s="39">
        <v>45649</v>
      </c>
      <c r="F514" s="32">
        <f>IFERROR(DATEDIF(Table1[[#This Row],[MPG Ope Date]],Table1[[#This Row],[L]],"M"),"")</f>
        <v>10</v>
      </c>
      <c r="G514" s="25">
        <v>10120089</v>
      </c>
      <c r="H514" s="23" t="s">
        <v>747</v>
      </c>
      <c r="I514" s="23" t="s">
        <v>776</v>
      </c>
      <c r="J514" s="23">
        <v>8340433254</v>
      </c>
      <c r="K514" s="23" t="s">
        <v>69</v>
      </c>
      <c r="L514" s="23">
        <v>310512</v>
      </c>
      <c r="M514" s="23" t="s">
        <v>121</v>
      </c>
      <c r="N514" s="23" t="s">
        <v>122</v>
      </c>
      <c r="O514" s="32" t="s">
        <v>833</v>
      </c>
      <c r="P514" s="37">
        <v>45986</v>
      </c>
      <c r="Q514" s="25">
        <v>1</v>
      </c>
      <c r="R514" s="51">
        <v>70</v>
      </c>
      <c r="S514" s="34">
        <f t="shared" si="85"/>
        <v>70</v>
      </c>
      <c r="T514" s="34">
        <f t="shared" si="86"/>
        <v>12.6</v>
      </c>
      <c r="U514" s="34">
        <f t="shared" si="87"/>
        <v>82.6</v>
      </c>
      <c r="V514" s="34"/>
      <c r="W514" s="23" t="s">
        <v>1005</v>
      </c>
    </row>
    <row r="515" spans="1:23" x14ac:dyDescent="0.25">
      <c r="A515" s="31">
        <v>45959.70108796296</v>
      </c>
      <c r="B515" s="32" t="str">
        <f t="shared" si="84"/>
        <v>Oct-25</v>
      </c>
      <c r="C515" s="23" t="s">
        <v>153</v>
      </c>
      <c r="D515" s="23" t="s">
        <v>369</v>
      </c>
      <c r="E515" s="39">
        <v>45649</v>
      </c>
      <c r="F515" s="32">
        <f>IFERROR(DATEDIF(Table1[[#This Row],[MPG Ope Date]],Table1[[#This Row],[L]],"M"),"")</f>
        <v>10</v>
      </c>
      <c r="G515" s="25">
        <v>10120089</v>
      </c>
      <c r="H515" s="23" t="s">
        <v>747</v>
      </c>
      <c r="I515" s="23" t="s">
        <v>776</v>
      </c>
      <c r="J515" s="23">
        <v>8340433254</v>
      </c>
      <c r="K515" s="23" t="s">
        <v>69</v>
      </c>
      <c r="L515" s="23">
        <v>310512</v>
      </c>
      <c r="M515" s="23" t="s">
        <v>121</v>
      </c>
      <c r="N515" s="23" t="s">
        <v>122</v>
      </c>
      <c r="O515" s="32" t="s">
        <v>833</v>
      </c>
      <c r="P515" s="37">
        <v>45986</v>
      </c>
      <c r="Q515" s="25">
        <v>1</v>
      </c>
      <c r="R515" s="51">
        <v>70</v>
      </c>
      <c r="S515" s="34">
        <f t="shared" si="85"/>
        <v>70</v>
      </c>
      <c r="T515" s="34">
        <f t="shared" si="86"/>
        <v>12.6</v>
      </c>
      <c r="U515" s="34">
        <f t="shared" si="87"/>
        <v>82.6</v>
      </c>
      <c r="V515" s="34"/>
      <c r="W515" s="23" t="s">
        <v>1005</v>
      </c>
    </row>
    <row r="516" spans="1:23" x14ac:dyDescent="0.25">
      <c r="A516" s="31">
        <v>45952.66547453704</v>
      </c>
      <c r="B516" s="32" t="str">
        <f t="shared" si="84"/>
        <v>Oct-25</v>
      </c>
      <c r="C516" s="23" t="s">
        <v>153</v>
      </c>
      <c r="D516" s="23" t="s">
        <v>0</v>
      </c>
      <c r="E516" s="39" t="e">
        <v>#N/A</v>
      </c>
      <c r="F516" s="32" t="str">
        <f>IFERROR(DATEDIF(Table1[[#This Row],[MPG Ope Date]],Table1[[#This Row],[L]],"M"),"")</f>
        <v/>
      </c>
      <c r="G516" s="36">
        <v>1008</v>
      </c>
      <c r="H516" s="23" t="s">
        <v>7</v>
      </c>
      <c r="I516" s="23" t="s">
        <v>40</v>
      </c>
      <c r="J516" s="23">
        <v>9113108485</v>
      </c>
      <c r="K516" s="23" t="s">
        <v>69</v>
      </c>
      <c r="L516" s="23">
        <v>371219</v>
      </c>
      <c r="M516" s="23" t="s">
        <v>117</v>
      </c>
      <c r="N516" s="23" t="s">
        <v>472</v>
      </c>
      <c r="O516" s="32" t="s">
        <v>833</v>
      </c>
      <c r="P516" s="37">
        <v>45986</v>
      </c>
      <c r="Q516" s="25">
        <v>1</v>
      </c>
      <c r="R516" s="51">
        <v>770</v>
      </c>
      <c r="S516" s="34">
        <f t="shared" si="85"/>
        <v>770</v>
      </c>
      <c r="T516" s="34">
        <f t="shared" si="86"/>
        <v>138.6</v>
      </c>
      <c r="U516" s="34">
        <f t="shared" si="87"/>
        <v>908.6</v>
      </c>
      <c r="V516" s="34"/>
      <c r="W516" s="23" t="e">
        <v>#N/A</v>
      </c>
    </row>
    <row r="517" spans="1:23" x14ac:dyDescent="0.25">
      <c r="A517" s="31">
        <v>45952.659722222219</v>
      </c>
      <c r="B517" s="32" t="str">
        <f t="shared" si="84"/>
        <v>Oct-25</v>
      </c>
      <c r="C517" s="23" t="s">
        <v>153</v>
      </c>
      <c r="D517" s="23" t="s">
        <v>369</v>
      </c>
      <c r="E517" s="39">
        <v>45541</v>
      </c>
      <c r="F517" s="32">
        <f>IFERROR(DATEDIF(Table1[[#This Row],[MPG Ope Date]],Table1[[#This Row],[L]],"M"),"")</f>
        <v>13</v>
      </c>
      <c r="G517" s="25">
        <v>10030063</v>
      </c>
      <c r="H517" s="23" t="s">
        <v>748</v>
      </c>
      <c r="I517" s="23" t="s">
        <v>445</v>
      </c>
      <c r="J517" s="23">
        <v>7091691919</v>
      </c>
      <c r="K517" s="23" t="s">
        <v>70</v>
      </c>
      <c r="L517" s="23" t="s">
        <v>803</v>
      </c>
      <c r="M517" s="23" t="s">
        <v>123</v>
      </c>
      <c r="N517" s="23" t="s">
        <v>124</v>
      </c>
      <c r="O517" s="32" t="s">
        <v>833</v>
      </c>
      <c r="P517" s="37">
        <v>45986</v>
      </c>
      <c r="Q517" s="25">
        <v>1</v>
      </c>
      <c r="R517" s="51">
        <v>350</v>
      </c>
      <c r="S517" s="34">
        <f t="shared" si="85"/>
        <v>350</v>
      </c>
      <c r="T517" s="34">
        <f t="shared" si="86"/>
        <v>63</v>
      </c>
      <c r="U517" s="34">
        <f t="shared" si="87"/>
        <v>413</v>
      </c>
      <c r="V517" s="34"/>
      <c r="W517" s="23" t="s">
        <v>1005</v>
      </c>
    </row>
    <row r="518" spans="1:23" x14ac:dyDescent="0.25">
      <c r="A518" s="31">
        <v>45948.49560185185</v>
      </c>
      <c r="B518" s="32" t="str">
        <f t="shared" si="84"/>
        <v>Oct-25</v>
      </c>
      <c r="C518" s="23" t="s">
        <v>153</v>
      </c>
      <c r="D518" s="23" t="s">
        <v>369</v>
      </c>
      <c r="E518" s="39">
        <v>45793</v>
      </c>
      <c r="F518" s="32">
        <f>IFERROR(DATEDIF(Table1[[#This Row],[MPG Ope Date]],Table1[[#This Row],[L]],"M"),"")</f>
        <v>5</v>
      </c>
      <c r="G518" s="25">
        <v>10120104</v>
      </c>
      <c r="H518" s="23" t="s">
        <v>290</v>
      </c>
      <c r="I518" s="23" t="s">
        <v>322</v>
      </c>
      <c r="J518" s="23">
        <v>7079418432</v>
      </c>
      <c r="K518" s="23" t="s">
        <v>68</v>
      </c>
      <c r="L518" s="23" t="s">
        <v>804</v>
      </c>
      <c r="M518" s="23" t="s">
        <v>111</v>
      </c>
      <c r="N518" s="23" t="s">
        <v>112</v>
      </c>
      <c r="O518" s="32" t="s">
        <v>833</v>
      </c>
      <c r="P518" s="37">
        <v>45986</v>
      </c>
      <c r="Q518" s="25">
        <v>1</v>
      </c>
      <c r="R518" s="51">
        <v>360</v>
      </c>
      <c r="S518" s="34">
        <f t="shared" si="85"/>
        <v>360</v>
      </c>
      <c r="T518" s="34">
        <f t="shared" si="86"/>
        <v>64.8</v>
      </c>
      <c r="U518" s="34">
        <f t="shared" si="87"/>
        <v>424.8</v>
      </c>
      <c r="V518" s="34"/>
      <c r="W518" s="23" t="s">
        <v>1005</v>
      </c>
    </row>
    <row r="519" spans="1:23" x14ac:dyDescent="0.25">
      <c r="A519" s="31">
        <v>45948.649525462963</v>
      </c>
      <c r="B519" s="32" t="str">
        <f t="shared" si="84"/>
        <v>Oct-25</v>
      </c>
      <c r="C519" s="23" t="s">
        <v>153</v>
      </c>
      <c r="D519" s="23" t="s">
        <v>369</v>
      </c>
      <c r="E519" s="39">
        <v>44753</v>
      </c>
      <c r="F519" s="32">
        <f>IFERROR(DATEDIF(Table1[[#This Row],[MPG Ope Date]],Table1[[#This Row],[L]],"M"),"")</f>
        <v>39</v>
      </c>
      <c r="G519" s="25">
        <v>10140018</v>
      </c>
      <c r="H519" s="23" t="s">
        <v>749</v>
      </c>
      <c r="I519" s="23" t="s">
        <v>777</v>
      </c>
      <c r="J519" s="23">
        <v>7050105614</v>
      </c>
      <c r="K519" s="23" t="s">
        <v>71</v>
      </c>
      <c r="L519" s="23" t="s">
        <v>805</v>
      </c>
      <c r="M519" s="23" t="s">
        <v>129</v>
      </c>
      <c r="N519" s="23" t="s">
        <v>130</v>
      </c>
      <c r="O519" s="32" t="s">
        <v>833</v>
      </c>
      <c r="P519" s="37">
        <v>45986</v>
      </c>
      <c r="Q519" s="25">
        <v>1</v>
      </c>
      <c r="R519" s="51">
        <v>1750</v>
      </c>
      <c r="S519" s="34">
        <f t="shared" si="85"/>
        <v>1750</v>
      </c>
      <c r="T519" s="34">
        <f t="shared" si="86"/>
        <v>315</v>
      </c>
      <c r="U519" s="34">
        <f t="shared" si="87"/>
        <v>2065</v>
      </c>
      <c r="V519" s="34"/>
      <c r="W519" s="23" t="s">
        <v>1005</v>
      </c>
    </row>
    <row r="520" spans="1:23" x14ac:dyDescent="0.25">
      <c r="A520" s="31">
        <v>45947.662187499998</v>
      </c>
      <c r="B520" s="32" t="str">
        <f t="shared" si="84"/>
        <v>Oct-25</v>
      </c>
      <c r="C520" s="23" t="s">
        <v>153</v>
      </c>
      <c r="D520" s="23" t="s">
        <v>369</v>
      </c>
      <c r="E520" s="39">
        <v>45800</v>
      </c>
      <c r="F520" s="32">
        <f>IFERROR(DATEDIF(Table1[[#This Row],[MPG Ope Date]],Table1[[#This Row],[L]],"M"),"")</f>
        <v>4</v>
      </c>
      <c r="G520" s="25">
        <v>10140179</v>
      </c>
      <c r="H520" s="23" t="s">
        <v>750</v>
      </c>
      <c r="I520" s="23" t="s">
        <v>778</v>
      </c>
      <c r="J520" s="23">
        <v>8084278421</v>
      </c>
      <c r="K520" s="23" t="s">
        <v>70</v>
      </c>
      <c r="L520" s="23" t="s">
        <v>806</v>
      </c>
      <c r="M520" s="23" t="s">
        <v>266</v>
      </c>
      <c r="N520" s="23" t="s">
        <v>267</v>
      </c>
      <c r="O520" s="32" t="s">
        <v>833</v>
      </c>
      <c r="P520" s="37">
        <v>45986</v>
      </c>
      <c r="Q520" s="25">
        <v>1</v>
      </c>
      <c r="R520" s="51">
        <v>780</v>
      </c>
      <c r="S520" s="34">
        <f t="shared" si="85"/>
        <v>780</v>
      </c>
      <c r="T520" s="34">
        <f t="shared" si="86"/>
        <v>140.4</v>
      </c>
      <c r="U520" s="34">
        <f t="shared" si="87"/>
        <v>920.4</v>
      </c>
      <c r="V520" s="34"/>
      <c r="W520" s="23" t="s">
        <v>1005</v>
      </c>
    </row>
    <row r="521" spans="1:23" x14ac:dyDescent="0.25">
      <c r="A521" s="31">
        <v>45947.646157407406</v>
      </c>
      <c r="B521" s="32" t="str">
        <f t="shared" si="84"/>
        <v>Oct-25</v>
      </c>
      <c r="C521" s="23" t="s">
        <v>153</v>
      </c>
      <c r="D521" s="23" t="s">
        <v>369</v>
      </c>
      <c r="E521" s="39">
        <v>42979</v>
      </c>
      <c r="F521" s="32">
        <f>IFERROR(DATEDIF(Table1[[#This Row],[MPG Ope Date]],Table1[[#This Row],[L]],"M"),"")</f>
        <v>97</v>
      </c>
      <c r="G521" s="25">
        <v>10090001</v>
      </c>
      <c r="H521" s="23" t="s">
        <v>751</v>
      </c>
      <c r="I521" s="23" t="s">
        <v>779</v>
      </c>
      <c r="J521" s="23">
        <v>6204309133</v>
      </c>
      <c r="K521" s="23" t="s">
        <v>68</v>
      </c>
      <c r="L521" s="23" t="s">
        <v>807</v>
      </c>
      <c r="M521" s="23" t="s">
        <v>111</v>
      </c>
      <c r="N521" s="23" t="s">
        <v>112</v>
      </c>
      <c r="O521" s="32" t="s">
        <v>833</v>
      </c>
      <c r="P521" s="37">
        <v>45986</v>
      </c>
      <c r="Q521" s="25">
        <v>1</v>
      </c>
      <c r="R521" s="51">
        <v>360</v>
      </c>
      <c r="S521" s="34">
        <f t="shared" si="85"/>
        <v>360</v>
      </c>
      <c r="T521" s="34">
        <f t="shared" si="86"/>
        <v>64.8</v>
      </c>
      <c r="U521" s="34">
        <f t="shared" si="87"/>
        <v>424.8</v>
      </c>
      <c r="V521" s="34"/>
      <c r="W521" s="23" t="s">
        <v>1005</v>
      </c>
    </row>
    <row r="522" spans="1:23" x14ac:dyDescent="0.25">
      <c r="A522" s="31">
        <v>45947.385405092595</v>
      </c>
      <c r="B522" s="32" t="str">
        <f t="shared" si="84"/>
        <v>Oct-25</v>
      </c>
      <c r="C522" s="23" t="s">
        <v>153</v>
      </c>
      <c r="D522" s="23" t="s">
        <v>369</v>
      </c>
      <c r="E522" s="39">
        <v>42979</v>
      </c>
      <c r="F522" s="32">
        <f>IFERROR(DATEDIF(Table1[[#This Row],[MPG Ope Date]],Table1[[#This Row],[L]],"M"),"")</f>
        <v>97</v>
      </c>
      <c r="G522" s="25">
        <v>10090006</v>
      </c>
      <c r="H522" s="23" t="s">
        <v>191</v>
      </c>
      <c r="I522" s="23" t="s">
        <v>227</v>
      </c>
      <c r="J522" s="23">
        <v>9304189034</v>
      </c>
      <c r="K522" s="23" t="s">
        <v>68</v>
      </c>
      <c r="L522" s="23" t="s">
        <v>808</v>
      </c>
      <c r="M522" s="23" t="s">
        <v>111</v>
      </c>
      <c r="N522" s="23" t="s">
        <v>112</v>
      </c>
      <c r="O522" s="32" t="s">
        <v>833</v>
      </c>
      <c r="P522" s="37">
        <v>45986</v>
      </c>
      <c r="Q522" s="25">
        <v>1</v>
      </c>
      <c r="R522" s="51">
        <v>360</v>
      </c>
      <c r="S522" s="34">
        <f t="shared" si="85"/>
        <v>360</v>
      </c>
      <c r="T522" s="34">
        <f t="shared" si="86"/>
        <v>64.8</v>
      </c>
      <c r="U522" s="34">
        <f t="shared" si="87"/>
        <v>424.8</v>
      </c>
      <c r="V522" s="34"/>
      <c r="W522" s="23" t="s">
        <v>1005</v>
      </c>
    </row>
    <row r="523" spans="1:23" x14ac:dyDescent="0.25">
      <c r="A523" s="31">
        <v>45946.716203703705</v>
      </c>
      <c r="B523" s="32" t="str">
        <f t="shared" si="84"/>
        <v>Oct-25</v>
      </c>
      <c r="C523" s="23" t="s">
        <v>153</v>
      </c>
      <c r="D523" s="23" t="s">
        <v>369</v>
      </c>
      <c r="E523" s="39">
        <v>45681</v>
      </c>
      <c r="F523" s="32">
        <f>IFERROR(DATEDIF(Table1[[#This Row],[MPG Ope Date]],Table1[[#This Row],[L]],"M"),"")</f>
        <v>8</v>
      </c>
      <c r="G523" s="25">
        <v>10070048</v>
      </c>
      <c r="H523" s="23" t="s">
        <v>20</v>
      </c>
      <c r="I523" s="23" t="s">
        <v>54</v>
      </c>
      <c r="J523" s="23">
        <v>8084852614</v>
      </c>
      <c r="K523" s="23" t="s">
        <v>68</v>
      </c>
      <c r="L523" s="23" t="s">
        <v>809</v>
      </c>
      <c r="M523" s="23" t="s">
        <v>113</v>
      </c>
      <c r="N523" s="23" t="s">
        <v>114</v>
      </c>
      <c r="O523" s="32" t="s">
        <v>833</v>
      </c>
      <c r="P523" s="37">
        <v>45986</v>
      </c>
      <c r="Q523" s="25">
        <v>1</v>
      </c>
      <c r="R523" s="51">
        <v>225</v>
      </c>
      <c r="S523" s="34">
        <f t="shared" si="85"/>
        <v>225</v>
      </c>
      <c r="T523" s="34">
        <f t="shared" si="86"/>
        <v>40.5</v>
      </c>
      <c r="U523" s="34">
        <f t="shared" si="87"/>
        <v>265.5</v>
      </c>
      <c r="V523" s="34"/>
      <c r="W523" s="23" t="s">
        <v>1005</v>
      </c>
    </row>
    <row r="524" spans="1:23" x14ac:dyDescent="0.25">
      <c r="A524" s="31">
        <v>45946.626666666663</v>
      </c>
      <c r="B524" s="32" t="str">
        <f t="shared" si="84"/>
        <v>Oct-25</v>
      </c>
      <c r="C524" s="23" t="s">
        <v>153</v>
      </c>
      <c r="D524" s="23" t="s">
        <v>369</v>
      </c>
      <c r="E524" s="39">
        <v>44102</v>
      </c>
      <c r="F524" s="32">
        <f>IFERROR(DATEDIF(Table1[[#This Row],[MPG Ope Date]],Table1[[#This Row],[L]],"M"),"")</f>
        <v>60</v>
      </c>
      <c r="G524" s="25">
        <v>10130012</v>
      </c>
      <c r="H524" s="23" t="s">
        <v>165</v>
      </c>
      <c r="I524" s="23" t="s">
        <v>202</v>
      </c>
      <c r="J524" s="23">
        <v>7017190104</v>
      </c>
      <c r="K524" s="23" t="s">
        <v>68</v>
      </c>
      <c r="L524" s="23" t="s">
        <v>237</v>
      </c>
      <c r="M524" s="23" t="s">
        <v>111</v>
      </c>
      <c r="N524" s="23" t="s">
        <v>112</v>
      </c>
      <c r="O524" s="32" t="s">
        <v>833</v>
      </c>
      <c r="P524" s="37">
        <v>45986</v>
      </c>
      <c r="Q524" s="25">
        <v>1</v>
      </c>
      <c r="R524" s="51">
        <v>360</v>
      </c>
      <c r="S524" s="34">
        <f t="shared" si="85"/>
        <v>360</v>
      </c>
      <c r="T524" s="34">
        <f t="shared" si="86"/>
        <v>64.8</v>
      </c>
      <c r="U524" s="34">
        <f t="shared" si="87"/>
        <v>424.8</v>
      </c>
      <c r="V524" s="34"/>
      <c r="W524" s="23" t="s">
        <v>1005</v>
      </c>
    </row>
    <row r="525" spans="1:23" x14ac:dyDescent="0.25">
      <c r="A525" s="31">
        <v>45946.640370370369</v>
      </c>
      <c r="B525" s="32" t="str">
        <f t="shared" si="84"/>
        <v>Oct-25</v>
      </c>
      <c r="C525" s="23" t="s">
        <v>153</v>
      </c>
      <c r="D525" s="23" t="s">
        <v>369</v>
      </c>
      <c r="E525" s="39">
        <v>44949</v>
      </c>
      <c r="F525" s="32">
        <f>IFERROR(DATEDIF(Table1[[#This Row],[MPG Ope Date]],Table1[[#This Row],[L]],"M"),"")</f>
        <v>32</v>
      </c>
      <c r="G525" s="25">
        <v>10130025</v>
      </c>
      <c r="H525" s="23" t="s">
        <v>752</v>
      </c>
      <c r="I525" s="23" t="s">
        <v>780</v>
      </c>
      <c r="J525" s="23">
        <v>8298913323</v>
      </c>
      <c r="K525" s="23" t="s">
        <v>69</v>
      </c>
      <c r="L525" s="23">
        <v>322420</v>
      </c>
      <c r="M525" s="23" t="s">
        <v>475</v>
      </c>
      <c r="N525" s="23" t="s">
        <v>476</v>
      </c>
      <c r="O525" s="32" t="s">
        <v>833</v>
      </c>
      <c r="P525" s="37">
        <v>45986</v>
      </c>
      <c r="Q525" s="25">
        <v>1</v>
      </c>
      <c r="R525" s="51">
        <v>125</v>
      </c>
      <c r="S525" s="34">
        <f t="shared" si="85"/>
        <v>125</v>
      </c>
      <c r="T525" s="34">
        <f t="shared" si="86"/>
        <v>22.5</v>
      </c>
      <c r="U525" s="34">
        <f t="shared" si="87"/>
        <v>147.5</v>
      </c>
      <c r="V525" s="34"/>
      <c r="W525" s="23" t="s">
        <v>1005</v>
      </c>
    </row>
    <row r="526" spans="1:23" x14ac:dyDescent="0.25">
      <c r="A526" s="31">
        <v>45946.640370370369</v>
      </c>
      <c r="B526" s="32" t="str">
        <f t="shared" si="84"/>
        <v>Oct-25</v>
      </c>
      <c r="C526" s="23" t="s">
        <v>153</v>
      </c>
      <c r="D526" s="23" t="s">
        <v>369</v>
      </c>
      <c r="E526" s="39">
        <v>44949</v>
      </c>
      <c r="F526" s="32">
        <f>IFERROR(DATEDIF(Table1[[#This Row],[MPG Ope Date]],Table1[[#This Row],[L]],"M"),"")</f>
        <v>32</v>
      </c>
      <c r="G526" s="25">
        <v>10130025</v>
      </c>
      <c r="H526" s="23" t="s">
        <v>752</v>
      </c>
      <c r="I526" s="23" t="s">
        <v>780</v>
      </c>
      <c r="J526" s="23">
        <v>8298913323</v>
      </c>
      <c r="K526" s="23" t="s">
        <v>69</v>
      </c>
      <c r="L526" s="23">
        <v>322420</v>
      </c>
      <c r="M526" s="23" t="s">
        <v>475</v>
      </c>
      <c r="N526" s="23" t="s">
        <v>476</v>
      </c>
      <c r="O526" s="32" t="s">
        <v>833</v>
      </c>
      <c r="P526" s="37">
        <v>45986</v>
      </c>
      <c r="Q526" s="25">
        <v>1</v>
      </c>
      <c r="R526" s="51">
        <v>125</v>
      </c>
      <c r="S526" s="34">
        <f t="shared" si="85"/>
        <v>125</v>
      </c>
      <c r="T526" s="34">
        <f t="shared" si="86"/>
        <v>22.5</v>
      </c>
      <c r="U526" s="34">
        <f t="shared" si="87"/>
        <v>147.5</v>
      </c>
      <c r="V526" s="34"/>
      <c r="W526" s="23" t="s">
        <v>1005</v>
      </c>
    </row>
    <row r="527" spans="1:23" x14ac:dyDescent="0.25">
      <c r="A527" s="31">
        <v>45946.722534722219</v>
      </c>
      <c r="B527" s="32" t="str">
        <f t="shared" si="84"/>
        <v>Oct-25</v>
      </c>
      <c r="C527" s="23" t="s">
        <v>153</v>
      </c>
      <c r="D527" s="23" t="s">
        <v>369</v>
      </c>
      <c r="E527" s="39">
        <v>45323</v>
      </c>
      <c r="F527" s="32">
        <f>IFERROR(DATEDIF(Table1[[#This Row],[MPG Ope Date]],Table1[[#This Row],[L]],"M"),"")</f>
        <v>20</v>
      </c>
      <c r="G527" s="25">
        <v>10110055</v>
      </c>
      <c r="H527" s="23" t="s">
        <v>167</v>
      </c>
      <c r="I527" s="23" t="s">
        <v>204</v>
      </c>
      <c r="J527" s="23">
        <v>6204172365</v>
      </c>
      <c r="K527" s="23" t="s">
        <v>233</v>
      </c>
      <c r="L527" s="23" t="s">
        <v>238</v>
      </c>
      <c r="M527" s="23" t="s">
        <v>133</v>
      </c>
      <c r="N527" s="23" t="s">
        <v>397</v>
      </c>
      <c r="O527" s="32" t="s">
        <v>833</v>
      </c>
      <c r="P527" s="37">
        <v>45986</v>
      </c>
      <c r="Q527" s="25">
        <v>1</v>
      </c>
      <c r="R527" s="51">
        <v>2080</v>
      </c>
      <c r="S527" s="34">
        <f t="shared" si="85"/>
        <v>2080</v>
      </c>
      <c r="T527" s="34">
        <f t="shared" si="86"/>
        <v>374.4</v>
      </c>
      <c r="U527" s="34">
        <f t="shared" si="87"/>
        <v>2454.4</v>
      </c>
      <c r="V527" s="34"/>
      <c r="W527" s="23" t="s">
        <v>1005</v>
      </c>
    </row>
    <row r="528" spans="1:23" x14ac:dyDescent="0.25">
      <c r="A528" s="31">
        <v>45945.672986111109</v>
      </c>
      <c r="B528" s="32" t="str">
        <f t="shared" si="84"/>
        <v>Oct-25</v>
      </c>
      <c r="C528" s="23" t="s">
        <v>153</v>
      </c>
      <c r="D528" s="23" t="s">
        <v>0</v>
      </c>
      <c r="E528" s="39" t="e">
        <v>#N/A</v>
      </c>
      <c r="F528" s="32" t="str">
        <f>IFERROR(DATEDIF(Table1[[#This Row],[MPG Ope Date]],Table1[[#This Row],[L]],"M"),"")</f>
        <v/>
      </c>
      <c r="G528" s="36">
        <v>1001</v>
      </c>
      <c r="H528" s="23" t="s">
        <v>25</v>
      </c>
      <c r="I528" s="23" t="s">
        <v>59</v>
      </c>
      <c r="J528" s="23">
        <v>9354051773</v>
      </c>
      <c r="K528" s="23" t="s">
        <v>70</v>
      </c>
      <c r="L528" s="23" t="s">
        <v>810</v>
      </c>
      <c r="M528" s="23" t="s">
        <v>123</v>
      </c>
      <c r="N528" s="23" t="s">
        <v>124</v>
      </c>
      <c r="O528" s="32" t="s">
        <v>833</v>
      </c>
      <c r="P528" s="37">
        <v>45986</v>
      </c>
      <c r="Q528" s="25">
        <v>1</v>
      </c>
      <c r="R528" s="51">
        <v>350</v>
      </c>
      <c r="S528" s="34">
        <f t="shared" si="85"/>
        <v>350</v>
      </c>
      <c r="T528" s="34">
        <f t="shared" si="86"/>
        <v>63</v>
      </c>
      <c r="U528" s="34">
        <f t="shared" si="87"/>
        <v>413</v>
      </c>
      <c r="V528" s="34"/>
      <c r="W528" s="23" t="e">
        <v>#N/A</v>
      </c>
    </row>
    <row r="529" spans="1:23" x14ac:dyDescent="0.25">
      <c r="A529" s="31">
        <v>45945.669363425928</v>
      </c>
      <c r="B529" s="32" t="str">
        <f t="shared" si="84"/>
        <v>Oct-25</v>
      </c>
      <c r="C529" s="23" t="s">
        <v>153</v>
      </c>
      <c r="D529" s="23" t="s">
        <v>369</v>
      </c>
      <c r="E529" s="39">
        <v>45700</v>
      </c>
      <c r="F529" s="32">
        <f>IFERROR(DATEDIF(Table1[[#This Row],[MPG Ope Date]],Table1[[#This Row],[L]],"M"),"")</f>
        <v>8</v>
      </c>
      <c r="G529" s="25">
        <v>10010095</v>
      </c>
      <c r="H529" s="23" t="s">
        <v>753</v>
      </c>
      <c r="I529" s="23" t="s">
        <v>781</v>
      </c>
      <c r="J529" s="23">
        <v>9931643607</v>
      </c>
      <c r="K529" s="23" t="s">
        <v>70</v>
      </c>
      <c r="L529" s="23" t="s">
        <v>811</v>
      </c>
      <c r="M529" s="23" t="s">
        <v>123</v>
      </c>
      <c r="N529" s="23" t="s">
        <v>124</v>
      </c>
      <c r="O529" s="32" t="s">
        <v>833</v>
      </c>
      <c r="P529" s="37">
        <v>45986</v>
      </c>
      <c r="Q529" s="25">
        <v>1</v>
      </c>
      <c r="R529" s="51">
        <v>350</v>
      </c>
      <c r="S529" s="34">
        <f t="shared" si="85"/>
        <v>350</v>
      </c>
      <c r="T529" s="34">
        <f t="shared" si="86"/>
        <v>63</v>
      </c>
      <c r="U529" s="34">
        <f t="shared" si="87"/>
        <v>413</v>
      </c>
      <c r="V529" s="34"/>
      <c r="W529" s="23" t="s">
        <v>1005</v>
      </c>
    </row>
    <row r="530" spans="1:23" x14ac:dyDescent="0.25">
      <c r="A530" s="31">
        <v>45945.684895833336</v>
      </c>
      <c r="B530" s="32" t="str">
        <f t="shared" si="84"/>
        <v>Oct-25</v>
      </c>
      <c r="C530" s="23" t="s">
        <v>153</v>
      </c>
      <c r="D530" s="23" t="s">
        <v>369</v>
      </c>
      <c r="E530" s="39">
        <v>45737</v>
      </c>
      <c r="F530" s="32">
        <f>IFERROR(DATEDIF(Table1[[#This Row],[MPG Ope Date]],Table1[[#This Row],[L]],"M"),"")</f>
        <v>6</v>
      </c>
      <c r="G530" s="25">
        <v>10030071</v>
      </c>
      <c r="H530" s="23" t="s">
        <v>754</v>
      </c>
      <c r="I530" s="23" t="s">
        <v>782</v>
      </c>
      <c r="J530" s="23">
        <v>7480981389</v>
      </c>
      <c r="K530" s="23" t="s">
        <v>70</v>
      </c>
      <c r="L530" s="23" t="s">
        <v>812</v>
      </c>
      <c r="M530" s="23" t="s">
        <v>123</v>
      </c>
      <c r="N530" s="23" t="s">
        <v>124</v>
      </c>
      <c r="O530" s="32" t="s">
        <v>833</v>
      </c>
      <c r="P530" s="37">
        <v>45986</v>
      </c>
      <c r="Q530" s="25">
        <v>1</v>
      </c>
      <c r="R530" s="51">
        <v>350</v>
      </c>
      <c r="S530" s="34">
        <f t="shared" si="85"/>
        <v>350</v>
      </c>
      <c r="T530" s="34">
        <f t="shared" si="86"/>
        <v>63</v>
      </c>
      <c r="U530" s="34">
        <f t="shared" si="87"/>
        <v>413</v>
      </c>
      <c r="V530" s="34"/>
      <c r="W530" s="23" t="s">
        <v>1005</v>
      </c>
    </row>
    <row r="531" spans="1:23" x14ac:dyDescent="0.25">
      <c r="A531" s="31">
        <v>45944.63925925926</v>
      </c>
      <c r="B531" s="32" t="str">
        <f t="shared" si="84"/>
        <v>Oct-25</v>
      </c>
      <c r="C531" s="23" t="s">
        <v>153</v>
      </c>
      <c r="D531" s="23" t="s">
        <v>369</v>
      </c>
      <c r="E531" s="39">
        <v>42979</v>
      </c>
      <c r="F531" s="32">
        <f>IFERROR(DATEDIF(Table1[[#This Row],[MPG Ope Date]],Table1[[#This Row],[L]],"M"),"")</f>
        <v>97</v>
      </c>
      <c r="G531" s="25">
        <v>10400001</v>
      </c>
      <c r="H531" s="23" t="s">
        <v>186</v>
      </c>
      <c r="I531" s="23" t="s">
        <v>222</v>
      </c>
      <c r="J531" s="23">
        <v>6299652936</v>
      </c>
      <c r="K531" s="23" t="s">
        <v>68</v>
      </c>
      <c r="L531" s="23" t="s">
        <v>248</v>
      </c>
      <c r="M531" s="23" t="s">
        <v>139</v>
      </c>
      <c r="N531" s="23" t="s">
        <v>140</v>
      </c>
      <c r="O531" s="32" t="s">
        <v>833</v>
      </c>
      <c r="P531" s="37">
        <v>45986</v>
      </c>
      <c r="Q531" s="25">
        <v>1</v>
      </c>
      <c r="R531" s="51">
        <v>1266</v>
      </c>
      <c r="S531" s="34">
        <f t="shared" si="85"/>
        <v>1266</v>
      </c>
      <c r="T531" s="34">
        <f t="shared" si="86"/>
        <v>227.88</v>
      </c>
      <c r="U531" s="34">
        <f t="shared" si="87"/>
        <v>1493.88</v>
      </c>
      <c r="V531" s="34"/>
      <c r="W531" s="23" t="s">
        <v>1005</v>
      </c>
    </row>
    <row r="532" spans="1:23" x14ac:dyDescent="0.25">
      <c r="A532" s="31">
        <v>45944.63925925926</v>
      </c>
      <c r="B532" s="32" t="str">
        <f t="shared" si="84"/>
        <v>Oct-25</v>
      </c>
      <c r="C532" s="23" t="s">
        <v>153</v>
      </c>
      <c r="D532" s="23" t="s">
        <v>369</v>
      </c>
      <c r="E532" s="39">
        <v>42979</v>
      </c>
      <c r="F532" s="32">
        <f>IFERROR(DATEDIF(Table1[[#This Row],[MPG Ope Date]],Table1[[#This Row],[L]],"M"),"")</f>
        <v>97</v>
      </c>
      <c r="G532" s="25">
        <v>10400001</v>
      </c>
      <c r="H532" s="23" t="s">
        <v>186</v>
      </c>
      <c r="I532" s="23" t="s">
        <v>222</v>
      </c>
      <c r="J532" s="23">
        <v>6299652936</v>
      </c>
      <c r="K532" s="23" t="s">
        <v>68</v>
      </c>
      <c r="L532" s="23" t="s">
        <v>248</v>
      </c>
      <c r="M532" s="23" t="s">
        <v>113</v>
      </c>
      <c r="N532" s="23" t="s">
        <v>114</v>
      </c>
      <c r="O532" s="32" t="s">
        <v>833</v>
      </c>
      <c r="P532" s="37">
        <v>45986</v>
      </c>
      <c r="Q532" s="25">
        <v>1</v>
      </c>
      <c r="R532" s="51">
        <v>225</v>
      </c>
      <c r="S532" s="34">
        <f t="shared" si="85"/>
        <v>225</v>
      </c>
      <c r="T532" s="34">
        <f t="shared" si="86"/>
        <v>40.5</v>
      </c>
      <c r="U532" s="34">
        <f t="shared" si="87"/>
        <v>265.5</v>
      </c>
      <c r="V532" s="34"/>
      <c r="W532" s="23" t="s">
        <v>1005</v>
      </c>
    </row>
    <row r="533" spans="1:23" x14ac:dyDescent="0.25">
      <c r="A533" s="31">
        <v>45944.63925925926</v>
      </c>
      <c r="B533" s="32" t="str">
        <f t="shared" si="84"/>
        <v>Oct-25</v>
      </c>
      <c r="C533" s="23" t="s">
        <v>153</v>
      </c>
      <c r="D533" s="23" t="s">
        <v>369</v>
      </c>
      <c r="E533" s="39">
        <v>42979</v>
      </c>
      <c r="F533" s="32">
        <f>IFERROR(DATEDIF(Table1[[#This Row],[MPG Ope Date]],Table1[[#This Row],[L]],"M"),"")</f>
        <v>97</v>
      </c>
      <c r="G533" s="25">
        <v>10400001</v>
      </c>
      <c r="H533" s="23" t="s">
        <v>186</v>
      </c>
      <c r="I533" s="23" t="s">
        <v>222</v>
      </c>
      <c r="J533" s="23">
        <v>6299652936</v>
      </c>
      <c r="K533" s="23" t="s">
        <v>68</v>
      </c>
      <c r="L533" s="23" t="s">
        <v>248</v>
      </c>
      <c r="M533" s="23" t="s">
        <v>135</v>
      </c>
      <c r="N533" s="23" t="s">
        <v>396</v>
      </c>
      <c r="O533" s="32" t="s">
        <v>833</v>
      </c>
      <c r="P533" s="37">
        <v>45986</v>
      </c>
      <c r="Q533" s="25">
        <v>1</v>
      </c>
      <c r="R533" s="51">
        <v>825</v>
      </c>
      <c r="S533" s="34">
        <f t="shared" si="85"/>
        <v>825</v>
      </c>
      <c r="T533" s="34">
        <f t="shared" si="86"/>
        <v>148.5</v>
      </c>
      <c r="U533" s="34">
        <f t="shared" si="87"/>
        <v>973.5</v>
      </c>
      <c r="V533" s="34"/>
      <c r="W533" s="23" t="s">
        <v>1005</v>
      </c>
    </row>
    <row r="534" spans="1:23" x14ac:dyDescent="0.25">
      <c r="A534" s="31">
        <v>45944.706805555557</v>
      </c>
      <c r="B534" s="32" t="str">
        <f t="shared" si="84"/>
        <v>Oct-25</v>
      </c>
      <c r="C534" s="23" t="s">
        <v>153</v>
      </c>
      <c r="D534" s="23" t="s">
        <v>369</v>
      </c>
      <c r="E534" s="39">
        <v>44161</v>
      </c>
      <c r="F534" s="32">
        <f>IFERROR(DATEDIF(Table1[[#This Row],[MPG Ope Date]],Table1[[#This Row],[L]],"M"),"")</f>
        <v>58</v>
      </c>
      <c r="G534" s="25">
        <v>10020008</v>
      </c>
      <c r="H534" s="23" t="s">
        <v>755</v>
      </c>
      <c r="I534" s="23" t="s">
        <v>783</v>
      </c>
      <c r="J534" s="23">
        <v>9006834686</v>
      </c>
      <c r="K534" s="23" t="s">
        <v>69</v>
      </c>
      <c r="L534" s="23">
        <v>194333</v>
      </c>
      <c r="M534" s="23" t="s">
        <v>475</v>
      </c>
      <c r="N534" s="23" t="s">
        <v>476</v>
      </c>
      <c r="O534" s="32" t="s">
        <v>833</v>
      </c>
      <c r="P534" s="37">
        <v>45986</v>
      </c>
      <c r="Q534" s="25">
        <v>1</v>
      </c>
      <c r="R534" s="51">
        <v>125</v>
      </c>
      <c r="S534" s="34">
        <f t="shared" si="85"/>
        <v>125</v>
      </c>
      <c r="T534" s="34">
        <f t="shared" si="86"/>
        <v>22.5</v>
      </c>
      <c r="U534" s="34">
        <f t="shared" si="87"/>
        <v>147.5</v>
      </c>
      <c r="V534" s="34"/>
      <c r="W534" s="23" t="s">
        <v>1005</v>
      </c>
    </row>
    <row r="535" spans="1:23" x14ac:dyDescent="0.25">
      <c r="A535" s="31">
        <v>45944.608344907407</v>
      </c>
      <c r="B535" s="32" t="str">
        <f t="shared" si="84"/>
        <v>Oct-25</v>
      </c>
      <c r="C535" s="23" t="s">
        <v>153</v>
      </c>
      <c r="D535" s="23" t="s">
        <v>369</v>
      </c>
      <c r="E535" s="39">
        <v>45226</v>
      </c>
      <c r="F535" s="32">
        <f>IFERROR(DATEDIF(Table1[[#This Row],[MPG Ope Date]],Table1[[#This Row],[L]],"M"),"")</f>
        <v>23</v>
      </c>
      <c r="G535" s="25">
        <v>10120051</v>
      </c>
      <c r="H535" s="23" t="s">
        <v>411</v>
      </c>
      <c r="I535" s="23" t="s">
        <v>435</v>
      </c>
      <c r="J535" s="23">
        <v>7488826293</v>
      </c>
      <c r="K535" s="23" t="s">
        <v>69</v>
      </c>
      <c r="L535" s="23">
        <v>2352038</v>
      </c>
      <c r="M535" s="23" t="s">
        <v>119</v>
      </c>
      <c r="N535" s="23" t="s">
        <v>120</v>
      </c>
      <c r="O535" s="32" t="s">
        <v>833</v>
      </c>
      <c r="P535" s="37">
        <v>45986</v>
      </c>
      <c r="Q535" s="25">
        <v>1</v>
      </c>
      <c r="R535" s="51">
        <v>84</v>
      </c>
      <c r="S535" s="34">
        <f t="shared" si="85"/>
        <v>84</v>
      </c>
      <c r="T535" s="34">
        <f t="shared" si="86"/>
        <v>15.12</v>
      </c>
      <c r="U535" s="34">
        <f t="shared" si="87"/>
        <v>99.12</v>
      </c>
      <c r="V535" s="34"/>
      <c r="W535" s="23" t="s">
        <v>1005</v>
      </c>
    </row>
    <row r="536" spans="1:23" x14ac:dyDescent="0.25">
      <c r="A536" s="31">
        <v>45944.608344907407</v>
      </c>
      <c r="B536" s="32" t="str">
        <f t="shared" ref="B536:B567" si="88">TEXT(A536,"mmm-yy")</f>
        <v>Oct-25</v>
      </c>
      <c r="C536" s="23" t="s">
        <v>153</v>
      </c>
      <c r="D536" s="23" t="s">
        <v>369</v>
      </c>
      <c r="E536" s="39">
        <v>45226</v>
      </c>
      <c r="F536" s="32">
        <f>IFERROR(DATEDIF(Table1[[#This Row],[MPG Ope Date]],Table1[[#This Row],[L]],"M"),"")</f>
        <v>23</v>
      </c>
      <c r="G536" s="25">
        <v>10120051</v>
      </c>
      <c r="H536" s="23" t="s">
        <v>411</v>
      </c>
      <c r="I536" s="23" t="s">
        <v>435</v>
      </c>
      <c r="J536" s="23">
        <v>7488826293</v>
      </c>
      <c r="K536" s="23" t="s">
        <v>69</v>
      </c>
      <c r="L536" s="23">
        <v>2352038</v>
      </c>
      <c r="M536" s="23" t="s">
        <v>121</v>
      </c>
      <c r="N536" s="23" t="s">
        <v>122</v>
      </c>
      <c r="O536" s="32" t="s">
        <v>833</v>
      </c>
      <c r="P536" s="37">
        <v>45986</v>
      </c>
      <c r="Q536" s="25">
        <v>1</v>
      </c>
      <c r="R536" s="51">
        <v>70</v>
      </c>
      <c r="S536" s="34">
        <f t="shared" ref="S536:S567" si="89">+Q536*R536</f>
        <v>70</v>
      </c>
      <c r="T536" s="34">
        <f t="shared" ref="T536:T567" si="90">+S536*0.18</f>
        <v>12.6</v>
      </c>
      <c r="U536" s="34">
        <f t="shared" ref="U536:U567" si="91">+S536+T536</f>
        <v>82.6</v>
      </c>
      <c r="V536" s="34"/>
      <c r="W536" s="23" t="s">
        <v>1005</v>
      </c>
    </row>
    <row r="537" spans="1:23" x14ac:dyDescent="0.25">
      <c r="A537" s="31">
        <v>45943.586157407408</v>
      </c>
      <c r="B537" s="32" t="str">
        <f t="shared" si="88"/>
        <v>Oct-25</v>
      </c>
      <c r="C537" s="23" t="s">
        <v>153</v>
      </c>
      <c r="D537" s="23" t="s">
        <v>369</v>
      </c>
      <c r="E537" s="39" t="e">
        <v>#N/A</v>
      </c>
      <c r="F537" s="32" t="str">
        <f>IFERROR(DATEDIF(Table1[[#This Row],[MPG Ope Date]],Table1[[#This Row],[L]],"M"),"")</f>
        <v/>
      </c>
      <c r="G537" s="26">
        <v>10030038</v>
      </c>
      <c r="H537" s="50" t="s">
        <v>565</v>
      </c>
      <c r="I537" s="23" t="s">
        <v>522</v>
      </c>
      <c r="J537" s="23">
        <v>6200792161</v>
      </c>
      <c r="K537" s="23" t="s">
        <v>70</v>
      </c>
      <c r="L537" s="23" t="s">
        <v>813</v>
      </c>
      <c r="M537" s="23" t="s">
        <v>123</v>
      </c>
      <c r="N537" s="23" t="s">
        <v>124</v>
      </c>
      <c r="O537" s="32" t="s">
        <v>833</v>
      </c>
      <c r="P537" s="37">
        <v>45986</v>
      </c>
      <c r="Q537" s="25">
        <v>1</v>
      </c>
      <c r="R537" s="51">
        <v>350</v>
      </c>
      <c r="S537" s="34">
        <f t="shared" si="89"/>
        <v>350</v>
      </c>
      <c r="T537" s="34">
        <f t="shared" si="90"/>
        <v>63</v>
      </c>
      <c r="U537" s="34">
        <f t="shared" si="91"/>
        <v>413</v>
      </c>
      <c r="V537" s="34"/>
      <c r="W537" s="23" t="s">
        <v>1005</v>
      </c>
    </row>
    <row r="538" spans="1:23" x14ac:dyDescent="0.25">
      <c r="A538" s="31">
        <v>45943.587233796294</v>
      </c>
      <c r="B538" s="32" t="str">
        <f t="shared" si="88"/>
        <v>Oct-25</v>
      </c>
      <c r="C538" s="23" t="s">
        <v>153</v>
      </c>
      <c r="D538" s="23" t="s">
        <v>369</v>
      </c>
      <c r="E538" s="39" t="e">
        <v>#N/A</v>
      </c>
      <c r="F538" s="32" t="str">
        <f>IFERROR(DATEDIF(Table1[[#This Row],[MPG Ope Date]],Table1[[#This Row],[L]],"M"),"")</f>
        <v/>
      </c>
      <c r="G538" s="26">
        <v>10030051</v>
      </c>
      <c r="H538" s="50" t="s">
        <v>756</v>
      </c>
      <c r="I538" s="23" t="s">
        <v>325</v>
      </c>
      <c r="J538" s="23">
        <v>7301951783</v>
      </c>
      <c r="K538" s="23" t="s">
        <v>70</v>
      </c>
      <c r="L538" s="23" t="s">
        <v>814</v>
      </c>
      <c r="M538" s="23" t="s">
        <v>123</v>
      </c>
      <c r="N538" s="23" t="s">
        <v>124</v>
      </c>
      <c r="O538" s="32" t="s">
        <v>833</v>
      </c>
      <c r="P538" s="37">
        <v>45986</v>
      </c>
      <c r="Q538" s="25">
        <v>1</v>
      </c>
      <c r="R538" s="51">
        <v>350</v>
      </c>
      <c r="S538" s="34">
        <f t="shared" si="89"/>
        <v>350</v>
      </c>
      <c r="T538" s="34">
        <f t="shared" si="90"/>
        <v>63</v>
      </c>
      <c r="U538" s="34">
        <f t="shared" si="91"/>
        <v>413</v>
      </c>
      <c r="V538" s="34"/>
      <c r="W538" s="23" t="s">
        <v>1005</v>
      </c>
    </row>
    <row r="539" spans="1:23" x14ac:dyDescent="0.25">
      <c r="A539" s="31">
        <v>45943.653819444444</v>
      </c>
      <c r="B539" s="32" t="str">
        <f t="shared" si="88"/>
        <v>Oct-25</v>
      </c>
      <c r="C539" s="23" t="s">
        <v>153</v>
      </c>
      <c r="D539" s="23" t="s">
        <v>369</v>
      </c>
      <c r="E539" s="39">
        <v>45944</v>
      </c>
      <c r="F539" s="32" t="str">
        <f>IFERROR(DATEDIF(Table1[[#This Row],[MPG Ope Date]],Table1[[#This Row],[L]],"M"),"")</f>
        <v/>
      </c>
      <c r="G539" s="25">
        <v>10130108</v>
      </c>
      <c r="H539" s="23" t="s">
        <v>757</v>
      </c>
      <c r="I539" s="23" t="s">
        <v>784</v>
      </c>
      <c r="J539" s="23">
        <v>9570648273</v>
      </c>
      <c r="K539" s="23" t="s">
        <v>69</v>
      </c>
      <c r="L539" s="23">
        <v>322438</v>
      </c>
      <c r="M539" s="23" t="s">
        <v>475</v>
      </c>
      <c r="N539" s="23" t="s">
        <v>476</v>
      </c>
      <c r="O539" s="32" t="s">
        <v>833</v>
      </c>
      <c r="P539" s="37">
        <v>45986</v>
      </c>
      <c r="Q539" s="25">
        <v>1</v>
      </c>
      <c r="R539" s="51">
        <v>125</v>
      </c>
      <c r="S539" s="34">
        <f t="shared" si="89"/>
        <v>125</v>
      </c>
      <c r="T539" s="34">
        <f t="shared" si="90"/>
        <v>22.5</v>
      </c>
      <c r="U539" s="34">
        <f t="shared" si="91"/>
        <v>147.5</v>
      </c>
      <c r="V539" s="34"/>
      <c r="W539" s="23" t="s">
        <v>1007</v>
      </c>
    </row>
    <row r="540" spans="1:23" x14ac:dyDescent="0.25">
      <c r="A540" s="31">
        <v>45943.653819444444</v>
      </c>
      <c r="B540" s="32" t="str">
        <f t="shared" si="88"/>
        <v>Oct-25</v>
      </c>
      <c r="C540" s="23" t="s">
        <v>153</v>
      </c>
      <c r="D540" s="23" t="s">
        <v>369</v>
      </c>
      <c r="E540" s="39">
        <v>45944</v>
      </c>
      <c r="F540" s="32" t="str">
        <f>IFERROR(DATEDIF(Table1[[#This Row],[MPG Ope Date]],Table1[[#This Row],[L]],"M"),"")</f>
        <v/>
      </c>
      <c r="G540" s="25">
        <v>10130108</v>
      </c>
      <c r="H540" s="23" t="s">
        <v>757</v>
      </c>
      <c r="I540" s="23" t="s">
        <v>784</v>
      </c>
      <c r="J540" s="23">
        <v>9570648273</v>
      </c>
      <c r="K540" s="23" t="s">
        <v>69</v>
      </c>
      <c r="L540" s="23">
        <v>322438</v>
      </c>
      <c r="M540" s="23" t="s">
        <v>475</v>
      </c>
      <c r="N540" s="23" t="s">
        <v>476</v>
      </c>
      <c r="O540" s="32" t="s">
        <v>833</v>
      </c>
      <c r="P540" s="37">
        <v>45986</v>
      </c>
      <c r="Q540" s="25">
        <v>1</v>
      </c>
      <c r="R540" s="51">
        <v>125</v>
      </c>
      <c r="S540" s="34">
        <f t="shared" si="89"/>
        <v>125</v>
      </c>
      <c r="T540" s="34">
        <f t="shared" si="90"/>
        <v>22.5</v>
      </c>
      <c r="U540" s="34">
        <f t="shared" si="91"/>
        <v>147.5</v>
      </c>
      <c r="V540" s="34"/>
      <c r="W540" s="23" t="s">
        <v>1007</v>
      </c>
    </row>
    <row r="541" spans="1:23" x14ac:dyDescent="0.25">
      <c r="A541" s="31">
        <v>45943.653819444444</v>
      </c>
      <c r="B541" s="32" t="str">
        <f t="shared" si="88"/>
        <v>Oct-25</v>
      </c>
      <c r="C541" s="23" t="s">
        <v>153</v>
      </c>
      <c r="D541" s="23" t="s">
        <v>369</v>
      </c>
      <c r="E541" s="39">
        <v>45944</v>
      </c>
      <c r="F541" s="32" t="str">
        <f>IFERROR(DATEDIF(Table1[[#This Row],[MPG Ope Date]],Table1[[#This Row],[L]],"M"),"")</f>
        <v/>
      </c>
      <c r="G541" s="25">
        <v>10130108</v>
      </c>
      <c r="H541" s="23" t="s">
        <v>757</v>
      </c>
      <c r="I541" s="23" t="s">
        <v>784</v>
      </c>
      <c r="J541" s="23">
        <v>9570648273</v>
      </c>
      <c r="K541" s="23" t="s">
        <v>69</v>
      </c>
      <c r="L541" s="23">
        <v>322438</v>
      </c>
      <c r="M541" s="23" t="s">
        <v>121</v>
      </c>
      <c r="N541" s="23" t="s">
        <v>122</v>
      </c>
      <c r="O541" s="32" t="s">
        <v>833</v>
      </c>
      <c r="P541" s="37">
        <v>45986</v>
      </c>
      <c r="Q541" s="25">
        <v>1</v>
      </c>
      <c r="R541" s="51">
        <v>70</v>
      </c>
      <c r="S541" s="34">
        <f t="shared" si="89"/>
        <v>70</v>
      </c>
      <c r="T541" s="34">
        <f t="shared" si="90"/>
        <v>12.6</v>
      </c>
      <c r="U541" s="34">
        <f t="shared" si="91"/>
        <v>82.6</v>
      </c>
      <c r="V541" s="34"/>
      <c r="W541" s="23" t="s">
        <v>1007</v>
      </c>
    </row>
    <row r="542" spans="1:23" x14ac:dyDescent="0.25">
      <c r="A542" s="31">
        <v>45943.653599537036</v>
      </c>
      <c r="B542" s="32" t="str">
        <f t="shared" si="88"/>
        <v>Oct-25</v>
      </c>
      <c r="C542" s="23" t="s">
        <v>153</v>
      </c>
      <c r="D542" s="23" t="s">
        <v>369</v>
      </c>
      <c r="E542" s="39">
        <v>45944</v>
      </c>
      <c r="F542" s="32" t="str">
        <f>IFERROR(DATEDIF(Table1[[#This Row],[MPG Ope Date]],Table1[[#This Row],[L]],"M"),"")</f>
        <v/>
      </c>
      <c r="G542" s="25">
        <v>10130108</v>
      </c>
      <c r="H542" s="23" t="s">
        <v>757</v>
      </c>
      <c r="I542" s="23" t="s">
        <v>784</v>
      </c>
      <c r="J542" s="23">
        <v>9570648273</v>
      </c>
      <c r="K542" s="23" t="s">
        <v>68</v>
      </c>
      <c r="L542" s="23" t="s">
        <v>815</v>
      </c>
      <c r="M542" s="23" t="s">
        <v>111</v>
      </c>
      <c r="N542" s="23" t="s">
        <v>112</v>
      </c>
      <c r="O542" s="32" t="s">
        <v>833</v>
      </c>
      <c r="P542" s="37">
        <v>45986</v>
      </c>
      <c r="Q542" s="25">
        <v>1</v>
      </c>
      <c r="R542" s="51">
        <v>360</v>
      </c>
      <c r="S542" s="34">
        <f t="shared" si="89"/>
        <v>360</v>
      </c>
      <c r="T542" s="34">
        <f t="shared" si="90"/>
        <v>64.8</v>
      </c>
      <c r="U542" s="34">
        <f t="shared" si="91"/>
        <v>424.8</v>
      </c>
      <c r="V542" s="34"/>
      <c r="W542" s="23" t="s">
        <v>1007</v>
      </c>
    </row>
    <row r="543" spans="1:23" x14ac:dyDescent="0.25">
      <c r="A543" s="31">
        <v>45943.653599537036</v>
      </c>
      <c r="B543" s="32" t="str">
        <f t="shared" si="88"/>
        <v>Oct-25</v>
      </c>
      <c r="C543" s="23" t="s">
        <v>153</v>
      </c>
      <c r="D543" s="23" t="s">
        <v>369</v>
      </c>
      <c r="E543" s="39">
        <v>45944</v>
      </c>
      <c r="F543" s="32" t="str">
        <f>IFERROR(DATEDIF(Table1[[#This Row],[MPG Ope Date]],Table1[[#This Row],[L]],"M"),"")</f>
        <v/>
      </c>
      <c r="G543" s="25">
        <v>10130108</v>
      </c>
      <c r="H543" s="23" t="s">
        <v>757</v>
      </c>
      <c r="I543" s="23" t="s">
        <v>784</v>
      </c>
      <c r="J543" s="23">
        <v>9570648273</v>
      </c>
      <c r="K543" s="23" t="s">
        <v>68</v>
      </c>
      <c r="L543" s="23" t="s">
        <v>815</v>
      </c>
      <c r="M543" s="23" t="s">
        <v>135</v>
      </c>
      <c r="N543" s="23" t="s">
        <v>396</v>
      </c>
      <c r="O543" s="32" t="s">
        <v>833</v>
      </c>
      <c r="P543" s="37">
        <v>45986</v>
      </c>
      <c r="Q543" s="25">
        <v>1</v>
      </c>
      <c r="R543" s="51">
        <v>825</v>
      </c>
      <c r="S543" s="34">
        <f t="shared" si="89"/>
        <v>825</v>
      </c>
      <c r="T543" s="34">
        <f t="shared" si="90"/>
        <v>148.5</v>
      </c>
      <c r="U543" s="34">
        <f t="shared" si="91"/>
        <v>973.5</v>
      </c>
      <c r="V543" s="34"/>
      <c r="W543" s="23" t="s">
        <v>1007</v>
      </c>
    </row>
    <row r="544" spans="1:23" x14ac:dyDescent="0.25">
      <c r="A544" s="31">
        <v>45941.640717592592</v>
      </c>
      <c r="B544" s="32" t="str">
        <f t="shared" si="88"/>
        <v>Oct-25</v>
      </c>
      <c r="C544" s="23" t="s">
        <v>153</v>
      </c>
      <c r="D544" s="23" t="s">
        <v>369</v>
      </c>
      <c r="E544" s="39">
        <v>45530</v>
      </c>
      <c r="F544" s="32">
        <f>IFERROR(DATEDIF(Table1[[#This Row],[MPG Ope Date]],Table1[[#This Row],[L]],"M"),"")</f>
        <v>13</v>
      </c>
      <c r="G544" s="25">
        <v>10120083</v>
      </c>
      <c r="H544" s="23" t="s">
        <v>164</v>
      </c>
      <c r="I544" s="23" t="s">
        <v>201</v>
      </c>
      <c r="J544" s="23">
        <v>9262776421</v>
      </c>
      <c r="K544" s="23" t="s">
        <v>69</v>
      </c>
      <c r="L544" s="23">
        <v>387344</v>
      </c>
      <c r="M544" s="23" t="s">
        <v>475</v>
      </c>
      <c r="N544" s="23" t="s">
        <v>476</v>
      </c>
      <c r="O544" s="32" t="s">
        <v>833</v>
      </c>
      <c r="P544" s="37">
        <v>45986</v>
      </c>
      <c r="Q544" s="25">
        <v>1</v>
      </c>
      <c r="R544" s="51">
        <v>125</v>
      </c>
      <c r="S544" s="34">
        <f t="shared" si="89"/>
        <v>125</v>
      </c>
      <c r="T544" s="34">
        <f t="shared" si="90"/>
        <v>22.5</v>
      </c>
      <c r="U544" s="34">
        <f t="shared" si="91"/>
        <v>147.5</v>
      </c>
      <c r="V544" s="34"/>
      <c r="W544" s="23" t="s">
        <v>1005</v>
      </c>
    </row>
    <row r="545" spans="1:23" x14ac:dyDescent="0.25">
      <c r="A545" s="31">
        <v>45941.640717592592</v>
      </c>
      <c r="B545" s="32" t="str">
        <f t="shared" si="88"/>
        <v>Oct-25</v>
      </c>
      <c r="C545" s="23" t="s">
        <v>153</v>
      </c>
      <c r="D545" s="23" t="s">
        <v>369</v>
      </c>
      <c r="E545" s="39">
        <v>45530</v>
      </c>
      <c r="F545" s="32">
        <f>IFERROR(DATEDIF(Table1[[#This Row],[MPG Ope Date]],Table1[[#This Row],[L]],"M"),"")</f>
        <v>13</v>
      </c>
      <c r="G545" s="25">
        <v>10120083</v>
      </c>
      <c r="H545" s="23" t="s">
        <v>164</v>
      </c>
      <c r="I545" s="23" t="s">
        <v>201</v>
      </c>
      <c r="J545" s="23">
        <v>9262776421</v>
      </c>
      <c r="K545" s="23" t="s">
        <v>69</v>
      </c>
      <c r="L545" s="23">
        <v>387344</v>
      </c>
      <c r="M545" s="23" t="s">
        <v>475</v>
      </c>
      <c r="N545" s="23" t="s">
        <v>476</v>
      </c>
      <c r="O545" s="32" t="s">
        <v>833</v>
      </c>
      <c r="P545" s="37">
        <v>45986</v>
      </c>
      <c r="Q545" s="25">
        <v>1</v>
      </c>
      <c r="R545" s="51">
        <v>125</v>
      </c>
      <c r="S545" s="34">
        <f t="shared" si="89"/>
        <v>125</v>
      </c>
      <c r="T545" s="34">
        <f t="shared" si="90"/>
        <v>22.5</v>
      </c>
      <c r="U545" s="34">
        <f t="shared" si="91"/>
        <v>147.5</v>
      </c>
      <c r="V545" s="34"/>
      <c r="W545" s="23" t="s">
        <v>1005</v>
      </c>
    </row>
    <row r="546" spans="1:23" x14ac:dyDescent="0.25">
      <c r="A546" s="31">
        <v>45941.577708333331</v>
      </c>
      <c r="B546" s="32" t="str">
        <f t="shared" si="88"/>
        <v>Oct-25</v>
      </c>
      <c r="C546" s="23" t="s">
        <v>153</v>
      </c>
      <c r="D546" s="23" t="s">
        <v>369</v>
      </c>
      <c r="E546" s="39">
        <v>42979</v>
      </c>
      <c r="F546" s="32">
        <f>IFERROR(DATEDIF(Table1[[#This Row],[MPG Ope Date]],Table1[[#This Row],[L]],"M"),"")</f>
        <v>97</v>
      </c>
      <c r="G546" s="25">
        <v>10090004</v>
      </c>
      <c r="H546" s="23" t="s">
        <v>758</v>
      </c>
      <c r="I546" s="23" t="s">
        <v>785</v>
      </c>
      <c r="J546" s="23">
        <v>9113476504</v>
      </c>
      <c r="K546" s="23" t="s">
        <v>70</v>
      </c>
      <c r="L546" s="23" t="s">
        <v>816</v>
      </c>
      <c r="M546" s="23" t="s">
        <v>266</v>
      </c>
      <c r="N546" s="23" t="s">
        <v>267</v>
      </c>
      <c r="O546" s="32" t="s">
        <v>833</v>
      </c>
      <c r="P546" s="37">
        <v>45986</v>
      </c>
      <c r="Q546" s="25">
        <v>1</v>
      </c>
      <c r="R546" s="51">
        <v>780</v>
      </c>
      <c r="S546" s="34">
        <f t="shared" si="89"/>
        <v>780</v>
      </c>
      <c r="T546" s="34">
        <f t="shared" si="90"/>
        <v>140.4</v>
      </c>
      <c r="U546" s="34">
        <f t="shared" si="91"/>
        <v>920.4</v>
      </c>
      <c r="V546" s="34"/>
      <c r="W546" s="23" t="s">
        <v>1005</v>
      </c>
    </row>
    <row r="547" spans="1:23" x14ac:dyDescent="0.25">
      <c r="A547" s="31">
        <v>45941.588043981479</v>
      </c>
      <c r="B547" s="32" t="str">
        <f t="shared" si="88"/>
        <v>Oct-25</v>
      </c>
      <c r="C547" s="23" t="s">
        <v>153</v>
      </c>
      <c r="D547" s="23" t="s">
        <v>369</v>
      </c>
      <c r="E547" s="39">
        <v>44995</v>
      </c>
      <c r="F547" s="32">
        <f>IFERROR(DATEDIF(Table1[[#This Row],[MPG Ope Date]],Table1[[#This Row],[L]],"M"),"")</f>
        <v>31</v>
      </c>
      <c r="G547" s="25">
        <v>10030018</v>
      </c>
      <c r="H547" s="23" t="s">
        <v>759</v>
      </c>
      <c r="I547" s="23" t="s">
        <v>786</v>
      </c>
      <c r="J547" s="23">
        <v>9572714705</v>
      </c>
      <c r="K547" s="23" t="s">
        <v>69</v>
      </c>
      <c r="L547" s="23">
        <v>359711</v>
      </c>
      <c r="M547" s="23" t="s">
        <v>121</v>
      </c>
      <c r="N547" s="23" t="s">
        <v>122</v>
      </c>
      <c r="O547" s="32" t="s">
        <v>833</v>
      </c>
      <c r="P547" s="37">
        <v>45986</v>
      </c>
      <c r="Q547" s="25">
        <v>1</v>
      </c>
      <c r="R547" s="51">
        <v>70</v>
      </c>
      <c r="S547" s="34">
        <f t="shared" si="89"/>
        <v>70</v>
      </c>
      <c r="T547" s="34">
        <f t="shared" si="90"/>
        <v>12.6</v>
      </c>
      <c r="U547" s="34">
        <f t="shared" si="91"/>
        <v>82.6</v>
      </c>
      <c r="V547" s="34"/>
      <c r="W547" s="23" t="s">
        <v>1005</v>
      </c>
    </row>
    <row r="548" spans="1:23" x14ac:dyDescent="0.25">
      <c r="A548" s="31">
        <v>45941.588043981479</v>
      </c>
      <c r="B548" s="32" t="str">
        <f t="shared" si="88"/>
        <v>Oct-25</v>
      </c>
      <c r="C548" s="23" t="s">
        <v>153</v>
      </c>
      <c r="D548" s="23" t="s">
        <v>369</v>
      </c>
      <c r="E548" s="39">
        <v>44995</v>
      </c>
      <c r="F548" s="32">
        <f>IFERROR(DATEDIF(Table1[[#This Row],[MPG Ope Date]],Table1[[#This Row],[L]],"M"),"")</f>
        <v>31</v>
      </c>
      <c r="G548" s="25">
        <v>10030018</v>
      </c>
      <c r="H548" s="23" t="s">
        <v>759</v>
      </c>
      <c r="I548" s="23" t="s">
        <v>786</v>
      </c>
      <c r="J548" s="23">
        <v>9572714705</v>
      </c>
      <c r="K548" s="23" t="s">
        <v>69</v>
      </c>
      <c r="L548" s="23">
        <v>359711</v>
      </c>
      <c r="M548" s="23" t="s">
        <v>121</v>
      </c>
      <c r="N548" s="23" t="s">
        <v>122</v>
      </c>
      <c r="O548" s="32" t="s">
        <v>833</v>
      </c>
      <c r="P548" s="37">
        <v>45986</v>
      </c>
      <c r="Q548" s="25">
        <v>1</v>
      </c>
      <c r="R548" s="51">
        <v>70</v>
      </c>
      <c r="S548" s="34">
        <f t="shared" si="89"/>
        <v>70</v>
      </c>
      <c r="T548" s="34">
        <f t="shared" si="90"/>
        <v>12.6</v>
      </c>
      <c r="U548" s="34">
        <f t="shared" si="91"/>
        <v>82.6</v>
      </c>
      <c r="V548" s="34"/>
      <c r="W548" s="23" t="s">
        <v>1005</v>
      </c>
    </row>
    <row r="549" spans="1:23" x14ac:dyDescent="0.25">
      <c r="A549" s="31">
        <v>45941.730451388888</v>
      </c>
      <c r="B549" s="32" t="str">
        <f t="shared" si="88"/>
        <v>Oct-25</v>
      </c>
      <c r="C549" s="23" t="s">
        <v>153</v>
      </c>
      <c r="D549" s="23" t="s">
        <v>369</v>
      </c>
      <c r="E549" s="39" t="e">
        <v>#N/A</v>
      </c>
      <c r="F549" s="32" t="str">
        <f>IFERROR(DATEDIF(Table1[[#This Row],[MPG Ope Date]],Table1[[#This Row],[L]],"M"),"")</f>
        <v/>
      </c>
      <c r="G549" s="26">
        <v>10110043</v>
      </c>
      <c r="H549" s="50" t="s">
        <v>760</v>
      </c>
      <c r="I549" s="23" t="s">
        <v>787</v>
      </c>
      <c r="J549" s="23">
        <v>7488023515</v>
      </c>
      <c r="K549" s="23" t="s">
        <v>68</v>
      </c>
      <c r="L549" s="23" t="s">
        <v>817</v>
      </c>
      <c r="M549" s="23" t="s">
        <v>113</v>
      </c>
      <c r="N549" s="23" t="s">
        <v>114</v>
      </c>
      <c r="O549" s="32" t="s">
        <v>833</v>
      </c>
      <c r="P549" s="37">
        <v>45986</v>
      </c>
      <c r="Q549" s="25">
        <v>1</v>
      </c>
      <c r="R549" s="51">
        <v>225</v>
      </c>
      <c r="S549" s="34">
        <f t="shared" si="89"/>
        <v>225</v>
      </c>
      <c r="T549" s="34">
        <f t="shared" si="90"/>
        <v>40.5</v>
      </c>
      <c r="U549" s="34">
        <f t="shared" si="91"/>
        <v>265.5</v>
      </c>
      <c r="V549" s="34"/>
      <c r="W549" s="23" t="s">
        <v>1005</v>
      </c>
    </row>
    <row r="550" spans="1:23" x14ac:dyDescent="0.25">
      <c r="A550" s="31">
        <v>45941.731377314813</v>
      </c>
      <c r="B550" s="32" t="str">
        <f t="shared" si="88"/>
        <v>Oct-25</v>
      </c>
      <c r="C550" s="23" t="s">
        <v>153</v>
      </c>
      <c r="D550" s="23" t="s">
        <v>369</v>
      </c>
      <c r="E550" s="39">
        <v>45631</v>
      </c>
      <c r="F550" s="32">
        <f>IFERROR(DATEDIF(Table1[[#This Row],[MPG Ope Date]],Table1[[#This Row],[L]],"M"),"")</f>
        <v>10</v>
      </c>
      <c r="G550" s="25">
        <v>10110094</v>
      </c>
      <c r="H550" s="23" t="s">
        <v>627</v>
      </c>
      <c r="I550" s="23" t="s">
        <v>670</v>
      </c>
      <c r="J550" s="23">
        <v>7549729151</v>
      </c>
      <c r="K550" s="23" t="s">
        <v>68</v>
      </c>
      <c r="L550" s="23" t="s">
        <v>818</v>
      </c>
      <c r="M550" s="23" t="s">
        <v>113</v>
      </c>
      <c r="N550" s="23" t="s">
        <v>114</v>
      </c>
      <c r="O550" s="32" t="s">
        <v>833</v>
      </c>
      <c r="P550" s="37">
        <v>45986</v>
      </c>
      <c r="Q550" s="25">
        <v>1</v>
      </c>
      <c r="R550" s="51">
        <v>225</v>
      </c>
      <c r="S550" s="34">
        <f t="shared" si="89"/>
        <v>225</v>
      </c>
      <c r="T550" s="34">
        <f t="shared" si="90"/>
        <v>40.5</v>
      </c>
      <c r="U550" s="34">
        <f t="shared" si="91"/>
        <v>265.5</v>
      </c>
      <c r="V550" s="34"/>
      <c r="W550" s="23" t="s">
        <v>1005</v>
      </c>
    </row>
    <row r="551" spans="1:23" x14ac:dyDescent="0.25">
      <c r="A551" s="31">
        <v>45941.575115740743</v>
      </c>
      <c r="B551" s="32" t="str">
        <f t="shared" si="88"/>
        <v>Oct-25</v>
      </c>
      <c r="C551" s="23" t="s">
        <v>153</v>
      </c>
      <c r="D551" s="23" t="s">
        <v>369</v>
      </c>
      <c r="E551" s="39">
        <v>44652</v>
      </c>
      <c r="F551" s="32">
        <f>IFERROR(DATEDIF(Table1[[#This Row],[MPG Ope Date]],Table1[[#This Row],[L]],"M"),"")</f>
        <v>42</v>
      </c>
      <c r="G551" s="25">
        <v>10090042</v>
      </c>
      <c r="H551" s="23" t="s">
        <v>761</v>
      </c>
      <c r="I551" s="23" t="s">
        <v>788</v>
      </c>
      <c r="J551" s="23">
        <v>9113718491</v>
      </c>
      <c r="K551" s="23" t="s">
        <v>69</v>
      </c>
      <c r="L551" s="23">
        <v>2346390</v>
      </c>
      <c r="M551" s="23" t="s">
        <v>127</v>
      </c>
      <c r="N551" s="23" t="s">
        <v>128</v>
      </c>
      <c r="O551" s="32" t="s">
        <v>833</v>
      </c>
      <c r="P551" s="37">
        <v>45986</v>
      </c>
      <c r="Q551" s="25">
        <v>1</v>
      </c>
      <c r="R551" s="51">
        <v>44</v>
      </c>
      <c r="S551" s="34">
        <f t="shared" si="89"/>
        <v>44</v>
      </c>
      <c r="T551" s="34">
        <f t="shared" si="90"/>
        <v>7.92</v>
      </c>
      <c r="U551" s="34">
        <f t="shared" si="91"/>
        <v>51.92</v>
      </c>
      <c r="V551" s="34"/>
      <c r="W551" s="23" t="s">
        <v>1005</v>
      </c>
    </row>
    <row r="552" spans="1:23" x14ac:dyDescent="0.25">
      <c r="A552" s="31">
        <v>45941.729745370372</v>
      </c>
      <c r="B552" s="32" t="str">
        <f t="shared" si="88"/>
        <v>Oct-25</v>
      </c>
      <c r="C552" s="23" t="s">
        <v>153</v>
      </c>
      <c r="D552" s="23" t="s">
        <v>369</v>
      </c>
      <c r="E552" s="39">
        <v>45323</v>
      </c>
      <c r="F552" s="32">
        <f>IFERROR(DATEDIF(Table1[[#This Row],[MPG Ope Date]],Table1[[#This Row],[L]],"M"),"")</f>
        <v>20</v>
      </c>
      <c r="G552" s="25">
        <v>10110055</v>
      </c>
      <c r="H552" s="23" t="s">
        <v>167</v>
      </c>
      <c r="I552" s="23" t="s">
        <v>204</v>
      </c>
      <c r="J552" s="23">
        <v>6204172365</v>
      </c>
      <c r="K552" s="23" t="s">
        <v>233</v>
      </c>
      <c r="L552" s="23" t="s">
        <v>238</v>
      </c>
      <c r="M552" s="23" t="s">
        <v>113</v>
      </c>
      <c r="N552" s="23" t="s">
        <v>114</v>
      </c>
      <c r="O552" s="32" t="s">
        <v>833</v>
      </c>
      <c r="P552" s="37">
        <v>45986</v>
      </c>
      <c r="Q552" s="25">
        <v>1</v>
      </c>
      <c r="R552" s="51">
        <v>225</v>
      </c>
      <c r="S552" s="34">
        <f t="shared" si="89"/>
        <v>225</v>
      </c>
      <c r="T552" s="34">
        <f t="shared" si="90"/>
        <v>40.5</v>
      </c>
      <c r="U552" s="34">
        <f t="shared" si="91"/>
        <v>265.5</v>
      </c>
      <c r="V552" s="34"/>
      <c r="W552" s="23" t="s">
        <v>1005</v>
      </c>
    </row>
    <row r="553" spans="1:23" x14ac:dyDescent="0.25">
      <c r="A553" s="31">
        <v>45941.677384259259</v>
      </c>
      <c r="B553" s="32" t="str">
        <f t="shared" si="88"/>
        <v>Oct-25</v>
      </c>
      <c r="C553" s="23" t="s">
        <v>153</v>
      </c>
      <c r="D553" s="23" t="s">
        <v>369</v>
      </c>
      <c r="E553" s="39">
        <v>44703</v>
      </c>
      <c r="F553" s="32">
        <f>IFERROR(DATEDIF(Table1[[#This Row],[MPG Ope Date]],Table1[[#This Row],[L]],"M"),"")</f>
        <v>40</v>
      </c>
      <c r="G553" s="25">
        <v>10140012</v>
      </c>
      <c r="H553" s="23" t="s">
        <v>762</v>
      </c>
      <c r="I553" s="23" t="s">
        <v>789</v>
      </c>
      <c r="J553" s="23">
        <v>9060576286</v>
      </c>
      <c r="K553" s="23" t="s">
        <v>68</v>
      </c>
      <c r="L553" s="23" t="s">
        <v>819</v>
      </c>
      <c r="M553" s="23" t="s">
        <v>137</v>
      </c>
      <c r="N553" s="23" t="s">
        <v>138</v>
      </c>
      <c r="O553" s="32" t="s">
        <v>833</v>
      </c>
      <c r="P553" s="37">
        <v>45986</v>
      </c>
      <c r="Q553" s="25">
        <v>1</v>
      </c>
      <c r="R553" s="51">
        <v>2800</v>
      </c>
      <c r="S553" s="34">
        <f t="shared" si="89"/>
        <v>2800</v>
      </c>
      <c r="T553" s="34">
        <f t="shared" si="90"/>
        <v>504</v>
      </c>
      <c r="U553" s="34">
        <f t="shared" si="91"/>
        <v>3304</v>
      </c>
      <c r="V553" s="34"/>
      <c r="W553" s="23" t="s">
        <v>1005</v>
      </c>
    </row>
    <row r="554" spans="1:23" x14ac:dyDescent="0.25">
      <c r="A554" s="31">
        <v>45941.523136574076</v>
      </c>
      <c r="B554" s="32" t="str">
        <f t="shared" si="88"/>
        <v>Oct-25</v>
      </c>
      <c r="C554" s="23" t="s">
        <v>153</v>
      </c>
      <c r="D554" s="23" t="s">
        <v>369</v>
      </c>
      <c r="E554" s="39">
        <v>45939</v>
      </c>
      <c r="F554" s="32">
        <f>IFERROR(DATEDIF(Table1[[#This Row],[MPG Ope Date]],Table1[[#This Row],[L]],"M"),"")</f>
        <v>0</v>
      </c>
      <c r="G554" s="25">
        <v>10120114</v>
      </c>
      <c r="H554" s="23" t="s">
        <v>763</v>
      </c>
      <c r="I554" s="23" t="s">
        <v>790</v>
      </c>
      <c r="J554" s="23">
        <v>9631389655</v>
      </c>
      <c r="K554" s="23" t="s">
        <v>71</v>
      </c>
      <c r="L554" s="23" t="s">
        <v>820</v>
      </c>
      <c r="M554" s="23" t="s">
        <v>129</v>
      </c>
      <c r="N554" s="23" t="s">
        <v>130</v>
      </c>
      <c r="O554" s="32" t="s">
        <v>833</v>
      </c>
      <c r="P554" s="37">
        <v>45986</v>
      </c>
      <c r="Q554" s="25">
        <v>1</v>
      </c>
      <c r="R554" s="51">
        <v>1750</v>
      </c>
      <c r="S554" s="34">
        <f t="shared" si="89"/>
        <v>1750</v>
      </c>
      <c r="T554" s="34">
        <f t="shared" si="90"/>
        <v>315</v>
      </c>
      <c r="U554" s="34">
        <f t="shared" si="91"/>
        <v>2065</v>
      </c>
      <c r="V554" s="34"/>
      <c r="W554" s="23" t="s">
        <v>1005</v>
      </c>
    </row>
    <row r="555" spans="1:23" x14ac:dyDescent="0.25">
      <c r="A555" s="31">
        <v>45940.499108796299</v>
      </c>
      <c r="B555" s="32" t="str">
        <f t="shared" si="88"/>
        <v>Oct-25</v>
      </c>
      <c r="C555" s="23" t="s">
        <v>153</v>
      </c>
      <c r="D555" s="23" t="s">
        <v>369</v>
      </c>
      <c r="E555" s="39">
        <v>44950</v>
      </c>
      <c r="F555" s="32">
        <f>IFERROR(DATEDIF(Table1[[#This Row],[MPG Ope Date]],Table1[[#This Row],[L]],"M"),"")</f>
        <v>32</v>
      </c>
      <c r="G555" s="25">
        <v>10020035</v>
      </c>
      <c r="H555" s="23" t="s">
        <v>764</v>
      </c>
      <c r="I555" s="23" t="s">
        <v>791</v>
      </c>
      <c r="J555" s="23">
        <v>7644976216</v>
      </c>
      <c r="K555" s="23" t="s">
        <v>68</v>
      </c>
      <c r="L555" s="23" t="s">
        <v>821</v>
      </c>
      <c r="M555" s="23" t="s">
        <v>113</v>
      </c>
      <c r="N555" s="23" t="s">
        <v>114</v>
      </c>
      <c r="O555" s="32" t="s">
        <v>833</v>
      </c>
      <c r="P555" s="37">
        <v>45986</v>
      </c>
      <c r="Q555" s="25">
        <v>1</v>
      </c>
      <c r="R555" s="51">
        <v>225</v>
      </c>
      <c r="S555" s="34">
        <f t="shared" si="89"/>
        <v>225</v>
      </c>
      <c r="T555" s="34">
        <f t="shared" si="90"/>
        <v>40.5</v>
      </c>
      <c r="U555" s="34">
        <f t="shared" si="91"/>
        <v>265.5</v>
      </c>
      <c r="V555" s="34"/>
      <c r="W555" s="23" t="s">
        <v>1005</v>
      </c>
    </row>
    <row r="556" spans="1:23" x14ac:dyDescent="0.25">
      <c r="A556" s="31">
        <v>45940.671261574076</v>
      </c>
      <c r="B556" s="32" t="str">
        <f t="shared" si="88"/>
        <v>Oct-25</v>
      </c>
      <c r="C556" s="23" t="s">
        <v>153</v>
      </c>
      <c r="D556" s="23" t="s">
        <v>369</v>
      </c>
      <c r="E556" s="39">
        <v>44256</v>
      </c>
      <c r="F556" s="32">
        <f>IFERROR(DATEDIF(Table1[[#This Row],[MPG Ope Date]],Table1[[#This Row],[L]],"M"),"")</f>
        <v>55</v>
      </c>
      <c r="G556" s="25">
        <v>10130016</v>
      </c>
      <c r="H556" s="23" t="s">
        <v>765</v>
      </c>
      <c r="I556" s="23" t="s">
        <v>792</v>
      </c>
      <c r="J556" s="23">
        <v>7654339470</v>
      </c>
      <c r="K556" s="23" t="s">
        <v>68</v>
      </c>
      <c r="L556" s="23" t="s">
        <v>822</v>
      </c>
      <c r="M556" s="23" t="s">
        <v>135</v>
      </c>
      <c r="N556" s="23" t="s">
        <v>396</v>
      </c>
      <c r="O556" s="32" t="s">
        <v>833</v>
      </c>
      <c r="P556" s="37">
        <v>45986</v>
      </c>
      <c r="Q556" s="25">
        <v>1</v>
      </c>
      <c r="R556" s="51">
        <v>825</v>
      </c>
      <c r="S556" s="34">
        <f t="shared" si="89"/>
        <v>825</v>
      </c>
      <c r="T556" s="34">
        <f t="shared" si="90"/>
        <v>148.5</v>
      </c>
      <c r="U556" s="34">
        <f t="shared" si="91"/>
        <v>973.5</v>
      </c>
      <c r="V556" s="34"/>
      <c r="W556" s="23" t="s">
        <v>1005</v>
      </c>
    </row>
    <row r="557" spans="1:23" x14ac:dyDescent="0.25">
      <c r="A557" s="31">
        <v>45938.630358796298</v>
      </c>
      <c r="B557" s="32" t="str">
        <f t="shared" si="88"/>
        <v>Oct-25</v>
      </c>
      <c r="C557" s="23" t="s">
        <v>153</v>
      </c>
      <c r="D557" s="23" t="s">
        <v>369</v>
      </c>
      <c r="E557" s="39">
        <v>45457</v>
      </c>
      <c r="F557" s="32">
        <f>IFERROR(DATEDIF(Table1[[#This Row],[MPG Ope Date]],Table1[[#This Row],[L]],"M"),"")</f>
        <v>15</v>
      </c>
      <c r="G557" s="25">
        <v>10140098</v>
      </c>
      <c r="H557" s="23" t="s">
        <v>766</v>
      </c>
      <c r="I557" s="23" t="s">
        <v>793</v>
      </c>
      <c r="J557" s="23">
        <v>9263542819</v>
      </c>
      <c r="K557" s="23" t="s">
        <v>69</v>
      </c>
      <c r="L557" s="23">
        <v>385642</v>
      </c>
      <c r="M557" s="23" t="s">
        <v>254</v>
      </c>
      <c r="N557" s="23" t="s">
        <v>255</v>
      </c>
      <c r="O557" s="32" t="s">
        <v>833</v>
      </c>
      <c r="P557" s="37">
        <v>45986</v>
      </c>
      <c r="Q557" s="25">
        <v>1</v>
      </c>
      <c r="R557" s="51">
        <v>4500</v>
      </c>
      <c r="S557" s="34">
        <f t="shared" si="89"/>
        <v>4500</v>
      </c>
      <c r="T557" s="34">
        <f t="shared" si="90"/>
        <v>810</v>
      </c>
      <c r="U557" s="34">
        <f t="shared" si="91"/>
        <v>5310</v>
      </c>
      <c r="V557" s="34"/>
      <c r="W557" s="23" t="s">
        <v>1005</v>
      </c>
    </row>
    <row r="558" spans="1:23" x14ac:dyDescent="0.25">
      <c r="A558" s="31">
        <v>45938.478981481479</v>
      </c>
      <c r="B558" s="32" t="str">
        <f t="shared" si="88"/>
        <v>Oct-25</v>
      </c>
      <c r="C558" s="23" t="s">
        <v>153</v>
      </c>
      <c r="D558" s="23" t="s">
        <v>369</v>
      </c>
      <c r="E558" s="39">
        <v>45737</v>
      </c>
      <c r="F558" s="32">
        <f>IFERROR(DATEDIF(Table1[[#This Row],[MPG Ope Date]],Table1[[#This Row],[L]],"M"),"")</f>
        <v>6</v>
      </c>
      <c r="G558" s="25">
        <v>10030071</v>
      </c>
      <c r="H558" s="23" t="s">
        <v>754</v>
      </c>
      <c r="I558" s="23" t="s">
        <v>782</v>
      </c>
      <c r="J558" s="23">
        <v>7480981389</v>
      </c>
      <c r="K558" s="23" t="s">
        <v>68</v>
      </c>
      <c r="L558" s="23" t="s">
        <v>823</v>
      </c>
      <c r="M558" s="23" t="s">
        <v>133</v>
      </c>
      <c r="N558" s="23" t="s">
        <v>478</v>
      </c>
      <c r="O558" s="32" t="s">
        <v>833</v>
      </c>
      <c r="P558" s="37">
        <v>45986</v>
      </c>
      <c r="Q558" s="25">
        <v>1</v>
      </c>
      <c r="R558" s="51">
        <v>2080</v>
      </c>
      <c r="S558" s="34">
        <f t="shared" si="89"/>
        <v>2080</v>
      </c>
      <c r="T558" s="34">
        <f t="shared" si="90"/>
        <v>374.4</v>
      </c>
      <c r="U558" s="34">
        <f t="shared" si="91"/>
        <v>2454.4</v>
      </c>
      <c r="V558" s="34"/>
      <c r="W558" s="23" t="s">
        <v>1005</v>
      </c>
    </row>
    <row r="559" spans="1:23" x14ac:dyDescent="0.25">
      <c r="A559" s="31">
        <v>45938.697870370372</v>
      </c>
      <c r="B559" s="32" t="str">
        <f t="shared" si="88"/>
        <v>Oct-25</v>
      </c>
      <c r="C559" s="23" t="s">
        <v>153</v>
      </c>
      <c r="D559" s="23" t="s">
        <v>369</v>
      </c>
      <c r="E559" s="39">
        <v>43622</v>
      </c>
      <c r="F559" s="32">
        <f>IFERROR(DATEDIF(Table1[[#This Row],[MPG Ope Date]],Table1[[#This Row],[L]],"M"),"")</f>
        <v>76</v>
      </c>
      <c r="G559" s="25">
        <v>10120001</v>
      </c>
      <c r="H559" s="23" t="s">
        <v>632</v>
      </c>
      <c r="I559" s="23" t="s">
        <v>675</v>
      </c>
      <c r="J559" s="23">
        <v>7545865422</v>
      </c>
      <c r="K559" s="23" t="s">
        <v>69</v>
      </c>
      <c r="L559" s="23">
        <v>277353</v>
      </c>
      <c r="M559" s="23" t="s">
        <v>121</v>
      </c>
      <c r="N559" s="23" t="s">
        <v>122</v>
      </c>
      <c r="O559" s="32" t="s">
        <v>833</v>
      </c>
      <c r="P559" s="37">
        <v>45986</v>
      </c>
      <c r="Q559" s="25">
        <v>1</v>
      </c>
      <c r="R559" s="51">
        <v>70</v>
      </c>
      <c r="S559" s="34">
        <f t="shared" si="89"/>
        <v>70</v>
      </c>
      <c r="T559" s="34">
        <f t="shared" si="90"/>
        <v>12.6</v>
      </c>
      <c r="U559" s="34">
        <f t="shared" si="91"/>
        <v>82.6</v>
      </c>
      <c r="V559" s="34"/>
      <c r="W559" s="23" t="s">
        <v>1005</v>
      </c>
    </row>
    <row r="560" spans="1:23" x14ac:dyDescent="0.25">
      <c r="A560" s="31">
        <v>45938.697870370372</v>
      </c>
      <c r="B560" s="32" t="str">
        <f t="shared" si="88"/>
        <v>Oct-25</v>
      </c>
      <c r="C560" s="23" t="s">
        <v>153</v>
      </c>
      <c r="D560" s="23" t="s">
        <v>369</v>
      </c>
      <c r="E560" s="39">
        <v>43622</v>
      </c>
      <c r="F560" s="32">
        <f>IFERROR(DATEDIF(Table1[[#This Row],[MPG Ope Date]],Table1[[#This Row],[L]],"M"),"")</f>
        <v>76</v>
      </c>
      <c r="G560" s="25">
        <v>10120001</v>
      </c>
      <c r="H560" s="23" t="s">
        <v>632</v>
      </c>
      <c r="I560" s="23" t="s">
        <v>675</v>
      </c>
      <c r="J560" s="23">
        <v>7545865422</v>
      </c>
      <c r="K560" s="23" t="s">
        <v>69</v>
      </c>
      <c r="L560" s="23">
        <v>277353</v>
      </c>
      <c r="M560" s="23" t="s">
        <v>127</v>
      </c>
      <c r="N560" s="23" t="s">
        <v>128</v>
      </c>
      <c r="O560" s="32" t="s">
        <v>833</v>
      </c>
      <c r="P560" s="37">
        <v>45986</v>
      </c>
      <c r="Q560" s="25">
        <v>1</v>
      </c>
      <c r="R560" s="51">
        <v>44</v>
      </c>
      <c r="S560" s="34">
        <f t="shared" si="89"/>
        <v>44</v>
      </c>
      <c r="T560" s="34">
        <f t="shared" si="90"/>
        <v>7.92</v>
      </c>
      <c r="U560" s="34">
        <f t="shared" si="91"/>
        <v>51.92</v>
      </c>
      <c r="V560" s="34"/>
      <c r="W560" s="23" t="s">
        <v>1005</v>
      </c>
    </row>
    <row r="561" spans="1:23" x14ac:dyDescent="0.25">
      <c r="A561" s="31">
        <v>45938.697870370372</v>
      </c>
      <c r="B561" s="32" t="str">
        <f t="shared" si="88"/>
        <v>Oct-25</v>
      </c>
      <c r="C561" s="23" t="s">
        <v>153</v>
      </c>
      <c r="D561" s="23" t="s">
        <v>369</v>
      </c>
      <c r="E561" s="39">
        <v>43622</v>
      </c>
      <c r="F561" s="32">
        <f>IFERROR(DATEDIF(Table1[[#This Row],[MPG Ope Date]],Table1[[#This Row],[L]],"M"),"")</f>
        <v>76</v>
      </c>
      <c r="G561" s="25">
        <v>10120001</v>
      </c>
      <c r="H561" s="23" t="s">
        <v>632</v>
      </c>
      <c r="I561" s="23" t="s">
        <v>675</v>
      </c>
      <c r="J561" s="23">
        <v>7545865422</v>
      </c>
      <c r="K561" s="23" t="s">
        <v>69</v>
      </c>
      <c r="L561" s="23">
        <v>277353</v>
      </c>
      <c r="M561" s="23" t="s">
        <v>127</v>
      </c>
      <c r="N561" s="23" t="s">
        <v>128</v>
      </c>
      <c r="O561" s="32" t="s">
        <v>833</v>
      </c>
      <c r="P561" s="37">
        <v>45986</v>
      </c>
      <c r="Q561" s="25">
        <v>1</v>
      </c>
      <c r="R561" s="51">
        <v>44</v>
      </c>
      <c r="S561" s="34">
        <f t="shared" si="89"/>
        <v>44</v>
      </c>
      <c r="T561" s="34">
        <f t="shared" si="90"/>
        <v>7.92</v>
      </c>
      <c r="U561" s="34">
        <f t="shared" si="91"/>
        <v>51.92</v>
      </c>
      <c r="V561" s="34"/>
      <c r="W561" s="23" t="s">
        <v>1005</v>
      </c>
    </row>
    <row r="562" spans="1:23" x14ac:dyDescent="0.25">
      <c r="A562" s="31">
        <v>45937.703356481485</v>
      </c>
      <c r="B562" s="32" t="str">
        <f t="shared" si="88"/>
        <v>Oct-25</v>
      </c>
      <c r="C562" s="23" t="s">
        <v>153</v>
      </c>
      <c r="D562" s="23" t="s">
        <v>369</v>
      </c>
      <c r="E562" s="39" t="e">
        <v>#N/A</v>
      </c>
      <c r="F562" s="32" t="str">
        <f>IFERROR(DATEDIF(Table1[[#This Row],[MPG Ope Date]],Table1[[#This Row],[L]],"M"),"")</f>
        <v/>
      </c>
      <c r="G562" s="26">
        <v>10110043</v>
      </c>
      <c r="H562" s="50" t="s">
        <v>760</v>
      </c>
      <c r="I562" s="23" t="s">
        <v>787</v>
      </c>
      <c r="J562" s="23">
        <v>7488023515</v>
      </c>
      <c r="K562" s="23" t="s">
        <v>70</v>
      </c>
      <c r="L562" s="23" t="s">
        <v>824</v>
      </c>
      <c r="M562" s="23" t="s">
        <v>123</v>
      </c>
      <c r="N562" s="23" t="s">
        <v>124</v>
      </c>
      <c r="O562" s="32" t="s">
        <v>833</v>
      </c>
      <c r="P562" s="37">
        <v>45986</v>
      </c>
      <c r="Q562" s="25">
        <v>1</v>
      </c>
      <c r="R562" s="51">
        <v>350</v>
      </c>
      <c r="S562" s="34">
        <f t="shared" si="89"/>
        <v>350</v>
      </c>
      <c r="T562" s="34">
        <f t="shared" si="90"/>
        <v>63</v>
      </c>
      <c r="U562" s="34">
        <f t="shared" si="91"/>
        <v>413</v>
      </c>
      <c r="V562" s="34"/>
      <c r="W562" s="23" t="s">
        <v>1005</v>
      </c>
    </row>
    <row r="563" spans="1:23" x14ac:dyDescent="0.25">
      <c r="A563" s="31">
        <v>45937.578113425923</v>
      </c>
      <c r="B563" s="32" t="str">
        <f t="shared" si="88"/>
        <v>Oct-25</v>
      </c>
      <c r="C563" s="23" t="s">
        <v>153</v>
      </c>
      <c r="D563" s="23" t="s">
        <v>369</v>
      </c>
      <c r="E563" s="39">
        <v>44996</v>
      </c>
      <c r="F563" s="32">
        <f>IFERROR(DATEDIF(Table1[[#This Row],[MPG Ope Date]],Table1[[#This Row],[L]],"M"),"")</f>
        <v>30</v>
      </c>
      <c r="G563" s="25">
        <v>10140047</v>
      </c>
      <c r="H563" s="23" t="s">
        <v>767</v>
      </c>
      <c r="I563" s="23" t="s">
        <v>794</v>
      </c>
      <c r="J563" s="23">
        <v>9122078800</v>
      </c>
      <c r="K563" s="23" t="s">
        <v>70</v>
      </c>
      <c r="L563" s="23" t="s">
        <v>825</v>
      </c>
      <c r="M563" s="23" t="s">
        <v>131</v>
      </c>
      <c r="N563" s="23" t="s">
        <v>395</v>
      </c>
      <c r="O563" s="32" t="s">
        <v>833</v>
      </c>
      <c r="P563" s="37">
        <v>45986</v>
      </c>
      <c r="Q563" s="25">
        <v>1</v>
      </c>
      <c r="R563" s="51">
        <v>2800</v>
      </c>
      <c r="S563" s="34">
        <f t="shared" si="89"/>
        <v>2800</v>
      </c>
      <c r="T563" s="34">
        <f t="shared" si="90"/>
        <v>504</v>
      </c>
      <c r="U563" s="34">
        <f t="shared" si="91"/>
        <v>3304</v>
      </c>
      <c r="V563" s="34"/>
      <c r="W563" s="23" t="s">
        <v>1005</v>
      </c>
    </row>
    <row r="564" spans="1:23" x14ac:dyDescent="0.25">
      <c r="A564" s="31">
        <v>45936.587847222225</v>
      </c>
      <c r="B564" s="32" t="str">
        <f t="shared" si="88"/>
        <v>Oct-25</v>
      </c>
      <c r="C564" s="23" t="s">
        <v>153</v>
      </c>
      <c r="D564" s="23" t="s">
        <v>369</v>
      </c>
      <c r="E564" s="39">
        <v>45590</v>
      </c>
      <c r="F564" s="32">
        <f>IFERROR(DATEDIF(Table1[[#This Row],[MPG Ope Date]],Table1[[#This Row],[L]],"M"),"")</f>
        <v>11</v>
      </c>
      <c r="G564" s="25">
        <v>10140129</v>
      </c>
      <c r="H564" s="23" t="s">
        <v>280</v>
      </c>
      <c r="I564" s="23" t="s">
        <v>312</v>
      </c>
      <c r="J564" s="23">
        <v>9931327599</v>
      </c>
      <c r="K564" s="23" t="s">
        <v>69</v>
      </c>
      <c r="L564" s="23">
        <v>360516</v>
      </c>
      <c r="M564" s="23" t="s">
        <v>121</v>
      </c>
      <c r="N564" s="23" t="s">
        <v>122</v>
      </c>
      <c r="O564" s="32" t="s">
        <v>833</v>
      </c>
      <c r="P564" s="37">
        <v>45986</v>
      </c>
      <c r="Q564" s="25">
        <v>1</v>
      </c>
      <c r="R564" s="51">
        <v>70</v>
      </c>
      <c r="S564" s="34">
        <f t="shared" si="89"/>
        <v>70</v>
      </c>
      <c r="T564" s="34">
        <f t="shared" si="90"/>
        <v>12.6</v>
      </c>
      <c r="U564" s="34">
        <f t="shared" si="91"/>
        <v>82.6</v>
      </c>
      <c r="V564" s="34"/>
      <c r="W564" s="23" t="s">
        <v>1005</v>
      </c>
    </row>
    <row r="565" spans="1:23" x14ac:dyDescent="0.25">
      <c r="A565" s="31">
        <v>45936.517372685186</v>
      </c>
      <c r="B565" s="32" t="str">
        <f t="shared" si="88"/>
        <v>Oct-25</v>
      </c>
      <c r="C565" s="23" t="s">
        <v>153</v>
      </c>
      <c r="D565" s="23" t="s">
        <v>369</v>
      </c>
      <c r="E565" s="39">
        <v>45614</v>
      </c>
      <c r="F565" s="32">
        <f>IFERROR(DATEDIF(Table1[[#This Row],[MPG Ope Date]],Table1[[#This Row],[L]],"M"),"")</f>
        <v>10</v>
      </c>
      <c r="G565" s="25">
        <v>10080077</v>
      </c>
      <c r="H565" s="23" t="s">
        <v>768</v>
      </c>
      <c r="I565" s="23" t="s">
        <v>795</v>
      </c>
      <c r="J565" s="23">
        <v>9006508520</v>
      </c>
      <c r="K565" s="23" t="s">
        <v>68</v>
      </c>
      <c r="L565" s="23" t="s">
        <v>826</v>
      </c>
      <c r="M565" s="23" t="s">
        <v>133</v>
      </c>
      <c r="N565" s="23" t="s">
        <v>397</v>
      </c>
      <c r="O565" s="32" t="s">
        <v>833</v>
      </c>
      <c r="P565" s="37">
        <v>45986</v>
      </c>
      <c r="Q565" s="25">
        <v>1</v>
      </c>
      <c r="R565" s="51">
        <v>2080</v>
      </c>
      <c r="S565" s="34">
        <f t="shared" si="89"/>
        <v>2080</v>
      </c>
      <c r="T565" s="34">
        <f t="shared" si="90"/>
        <v>374.4</v>
      </c>
      <c r="U565" s="34">
        <f t="shared" si="91"/>
        <v>2454.4</v>
      </c>
      <c r="V565" s="34"/>
      <c r="W565" s="23" t="s">
        <v>1005</v>
      </c>
    </row>
    <row r="566" spans="1:23" x14ac:dyDescent="0.25">
      <c r="A566" s="31">
        <v>45936.584224537037</v>
      </c>
      <c r="B566" s="32" t="str">
        <f t="shared" si="88"/>
        <v>Oct-25</v>
      </c>
      <c r="C566" s="23" t="s">
        <v>153</v>
      </c>
      <c r="D566" s="23" t="s">
        <v>369</v>
      </c>
      <c r="E566" s="39">
        <v>44708</v>
      </c>
      <c r="F566" s="32">
        <f>IFERROR(DATEDIF(Table1[[#This Row],[MPG Ope Date]],Table1[[#This Row],[L]],"M"),"")</f>
        <v>40</v>
      </c>
      <c r="G566" s="25">
        <v>10510001</v>
      </c>
      <c r="H566" s="23" t="s">
        <v>769</v>
      </c>
      <c r="I566" s="23" t="s">
        <v>796</v>
      </c>
      <c r="J566" s="23">
        <v>8789757009</v>
      </c>
      <c r="K566" s="23" t="s">
        <v>68</v>
      </c>
      <c r="L566" s="23" t="s">
        <v>827</v>
      </c>
      <c r="M566" s="23" t="s">
        <v>139</v>
      </c>
      <c r="N566" s="23" t="s">
        <v>140</v>
      </c>
      <c r="O566" s="32" t="s">
        <v>833</v>
      </c>
      <c r="P566" s="37">
        <v>45986</v>
      </c>
      <c r="Q566" s="25">
        <v>1</v>
      </c>
      <c r="R566" s="51">
        <v>1266</v>
      </c>
      <c r="S566" s="34">
        <f t="shared" si="89"/>
        <v>1266</v>
      </c>
      <c r="T566" s="34">
        <f t="shared" si="90"/>
        <v>227.88</v>
      </c>
      <c r="U566" s="34">
        <f t="shared" si="91"/>
        <v>1493.88</v>
      </c>
      <c r="V566" s="34"/>
      <c r="W566" s="23" t="s">
        <v>1005</v>
      </c>
    </row>
    <row r="567" spans="1:23" x14ac:dyDescent="0.25">
      <c r="A567" s="31">
        <v>45934.644560185188</v>
      </c>
      <c r="B567" s="32" t="str">
        <f t="shared" si="88"/>
        <v>Oct-25</v>
      </c>
      <c r="C567" s="23" t="s">
        <v>153</v>
      </c>
      <c r="D567" s="23" t="s">
        <v>369</v>
      </c>
      <c r="E567" s="39">
        <v>44722</v>
      </c>
      <c r="F567" s="32">
        <f>IFERROR(DATEDIF(Table1[[#This Row],[MPG Ope Date]],Table1[[#This Row],[L]],"M"),"")</f>
        <v>39</v>
      </c>
      <c r="G567" s="25">
        <v>10090024</v>
      </c>
      <c r="H567" s="23" t="s">
        <v>770</v>
      </c>
      <c r="I567" s="23" t="s">
        <v>797</v>
      </c>
      <c r="J567" s="23">
        <v>7667343183</v>
      </c>
      <c r="K567" s="23" t="s">
        <v>68</v>
      </c>
      <c r="L567" s="23" t="s">
        <v>828</v>
      </c>
      <c r="M567" s="23" t="s">
        <v>135</v>
      </c>
      <c r="N567" s="23" t="s">
        <v>396</v>
      </c>
      <c r="O567" s="32" t="s">
        <v>833</v>
      </c>
      <c r="P567" s="37">
        <v>45986</v>
      </c>
      <c r="Q567" s="25">
        <v>1</v>
      </c>
      <c r="R567" s="51">
        <v>825</v>
      </c>
      <c r="S567" s="34">
        <f t="shared" si="89"/>
        <v>825</v>
      </c>
      <c r="T567" s="34">
        <f t="shared" si="90"/>
        <v>148.5</v>
      </c>
      <c r="U567" s="34">
        <f t="shared" si="91"/>
        <v>973.5</v>
      </c>
      <c r="V567" s="34"/>
      <c r="W567" s="23" t="s">
        <v>1005</v>
      </c>
    </row>
    <row r="568" spans="1:23" x14ac:dyDescent="0.25">
      <c r="A568" s="31">
        <v>45934.682118055556</v>
      </c>
      <c r="B568" s="32" t="str">
        <f t="shared" ref="B568:B577" si="92">TEXT(A568,"mmm-yy")</f>
        <v>Oct-25</v>
      </c>
      <c r="C568" s="23" t="s">
        <v>153</v>
      </c>
      <c r="D568" s="23" t="s">
        <v>369</v>
      </c>
      <c r="E568" s="39">
        <v>45170</v>
      </c>
      <c r="F568" s="32">
        <f>IFERROR(DATEDIF(Table1[[#This Row],[MPG Ope Date]],Table1[[#This Row],[L]],"M"),"")</f>
        <v>25</v>
      </c>
      <c r="G568" s="25">
        <v>10140069</v>
      </c>
      <c r="H568" s="23" t="s">
        <v>771</v>
      </c>
      <c r="I568" s="23" t="s">
        <v>798</v>
      </c>
      <c r="J568" s="23">
        <v>8102978679</v>
      </c>
      <c r="K568" s="23" t="s">
        <v>69</v>
      </c>
      <c r="L568" s="23">
        <v>388079</v>
      </c>
      <c r="M568" s="23" t="s">
        <v>254</v>
      </c>
      <c r="N568" s="23" t="s">
        <v>255</v>
      </c>
      <c r="O568" s="32" t="s">
        <v>833</v>
      </c>
      <c r="P568" s="37">
        <v>45986</v>
      </c>
      <c r="Q568" s="25">
        <v>1</v>
      </c>
      <c r="R568" s="51">
        <v>4500</v>
      </c>
      <c r="S568" s="34">
        <f t="shared" ref="S568:S577" si="93">+Q568*R568</f>
        <v>4500</v>
      </c>
      <c r="T568" s="34">
        <f t="shared" ref="T568:T577" si="94">+S568*0.18</f>
        <v>810</v>
      </c>
      <c r="U568" s="34">
        <f t="shared" ref="U568:U577" si="95">+S568+T568</f>
        <v>5310</v>
      </c>
      <c r="V568" s="34"/>
      <c r="W568" s="23" t="s">
        <v>1005</v>
      </c>
    </row>
    <row r="569" spans="1:23" x14ac:dyDescent="0.25">
      <c r="A569" s="31">
        <v>45934.587245370371</v>
      </c>
      <c r="B569" s="32" t="str">
        <f t="shared" si="92"/>
        <v>Oct-25</v>
      </c>
      <c r="C569" s="23" t="s">
        <v>153</v>
      </c>
      <c r="D569" s="23" t="s">
        <v>369</v>
      </c>
      <c r="E569" s="39">
        <v>45737</v>
      </c>
      <c r="F569" s="32">
        <f>IFERROR(DATEDIF(Table1[[#This Row],[MPG Ope Date]],Table1[[#This Row],[L]],"M"),"")</f>
        <v>6</v>
      </c>
      <c r="G569" s="25">
        <v>10030071</v>
      </c>
      <c r="H569" s="23" t="s">
        <v>754</v>
      </c>
      <c r="I569" s="23" t="s">
        <v>782</v>
      </c>
      <c r="J569" s="23">
        <v>7480981389</v>
      </c>
      <c r="K569" s="23" t="s">
        <v>71</v>
      </c>
      <c r="L569" s="23" t="s">
        <v>829</v>
      </c>
      <c r="M569" s="23" t="s">
        <v>129</v>
      </c>
      <c r="N569" s="23" t="s">
        <v>130</v>
      </c>
      <c r="O569" s="32" t="s">
        <v>833</v>
      </c>
      <c r="P569" s="37">
        <v>45986</v>
      </c>
      <c r="Q569" s="25">
        <v>1</v>
      </c>
      <c r="R569" s="51">
        <v>1750</v>
      </c>
      <c r="S569" s="34">
        <f t="shared" si="93"/>
        <v>1750</v>
      </c>
      <c r="T569" s="34">
        <f t="shared" si="94"/>
        <v>315</v>
      </c>
      <c r="U569" s="34">
        <f t="shared" si="95"/>
        <v>2065</v>
      </c>
      <c r="V569" s="34"/>
      <c r="W569" s="23" t="s">
        <v>1005</v>
      </c>
    </row>
    <row r="570" spans="1:23" x14ac:dyDescent="0.25">
      <c r="A570" s="31">
        <v>45934.587245370371</v>
      </c>
      <c r="B570" s="32" t="str">
        <f t="shared" si="92"/>
        <v>Oct-25</v>
      </c>
      <c r="C570" s="23" t="s">
        <v>153</v>
      </c>
      <c r="D570" s="23" t="s">
        <v>369</v>
      </c>
      <c r="E570" s="39">
        <v>45737</v>
      </c>
      <c r="F570" s="32">
        <f>IFERROR(DATEDIF(Table1[[#This Row],[MPG Ope Date]],Table1[[#This Row],[L]],"M"),"")</f>
        <v>6</v>
      </c>
      <c r="G570" s="25">
        <v>10030071</v>
      </c>
      <c r="H570" s="23" t="s">
        <v>754</v>
      </c>
      <c r="I570" s="23" t="s">
        <v>782</v>
      </c>
      <c r="J570" s="23">
        <v>7480981389</v>
      </c>
      <c r="K570" s="23" t="s">
        <v>71</v>
      </c>
      <c r="L570" s="23" t="s">
        <v>829</v>
      </c>
      <c r="M570" s="23" t="s">
        <v>141</v>
      </c>
      <c r="N570" s="23" t="s">
        <v>471</v>
      </c>
      <c r="O570" s="32" t="s">
        <v>833</v>
      </c>
      <c r="P570" s="37">
        <v>45986</v>
      </c>
      <c r="Q570" s="25">
        <v>1</v>
      </c>
      <c r="R570" s="51">
        <v>900</v>
      </c>
      <c r="S570" s="34">
        <f t="shared" si="93"/>
        <v>900</v>
      </c>
      <c r="T570" s="34">
        <f t="shared" si="94"/>
        <v>162</v>
      </c>
      <c r="U570" s="34">
        <f t="shared" si="95"/>
        <v>1062</v>
      </c>
      <c r="V570" s="34"/>
      <c r="W570" s="23" t="s">
        <v>1005</v>
      </c>
    </row>
    <row r="571" spans="1:23" x14ac:dyDescent="0.25">
      <c r="A571" s="31">
        <v>45934.683229166665</v>
      </c>
      <c r="B571" s="32" t="str">
        <f t="shared" si="92"/>
        <v>Oct-25</v>
      </c>
      <c r="C571" s="23" t="s">
        <v>153</v>
      </c>
      <c r="D571" s="23" t="s">
        <v>369</v>
      </c>
      <c r="E571" s="39">
        <v>45016</v>
      </c>
      <c r="F571" s="32">
        <f>IFERROR(DATEDIF(Table1[[#This Row],[MPG Ope Date]],Table1[[#This Row],[L]],"M"),"")</f>
        <v>30</v>
      </c>
      <c r="G571" s="25">
        <v>10510004</v>
      </c>
      <c r="H571" s="23" t="s">
        <v>772</v>
      </c>
      <c r="I571" s="23" t="s">
        <v>799</v>
      </c>
      <c r="J571" s="23">
        <v>8651032442</v>
      </c>
      <c r="K571" s="23" t="s">
        <v>69</v>
      </c>
      <c r="L571" s="23">
        <v>358573</v>
      </c>
      <c r="M571" s="23" t="s">
        <v>121</v>
      </c>
      <c r="N571" s="23" t="s">
        <v>122</v>
      </c>
      <c r="O571" s="32" t="s">
        <v>833</v>
      </c>
      <c r="P571" s="37">
        <v>45986</v>
      </c>
      <c r="Q571" s="25">
        <v>1</v>
      </c>
      <c r="R571" s="51">
        <v>70</v>
      </c>
      <c r="S571" s="34">
        <f t="shared" si="93"/>
        <v>70</v>
      </c>
      <c r="T571" s="34">
        <f t="shared" si="94"/>
        <v>12.6</v>
      </c>
      <c r="U571" s="34">
        <f t="shared" si="95"/>
        <v>82.6</v>
      </c>
      <c r="V571" s="34"/>
      <c r="W571" s="23" t="s">
        <v>1005</v>
      </c>
    </row>
    <row r="572" spans="1:23" x14ac:dyDescent="0.25">
      <c r="A572" s="31">
        <v>45934.642256944448</v>
      </c>
      <c r="B572" s="32" t="str">
        <f t="shared" si="92"/>
        <v>Oct-25</v>
      </c>
      <c r="C572" s="23" t="s">
        <v>153</v>
      </c>
      <c r="D572" s="23" t="s">
        <v>369</v>
      </c>
      <c r="E572" s="39">
        <v>45721</v>
      </c>
      <c r="F572" s="32">
        <f>IFERROR(DATEDIF(Table1[[#This Row],[MPG Ope Date]],Table1[[#This Row],[L]],"M"),"")</f>
        <v>6</v>
      </c>
      <c r="G572" s="25">
        <v>10090057</v>
      </c>
      <c r="H572" s="23" t="s">
        <v>179</v>
      </c>
      <c r="I572" s="23" t="s">
        <v>215</v>
      </c>
      <c r="J572" s="23">
        <v>7739036729</v>
      </c>
      <c r="K572" s="23" t="s">
        <v>70</v>
      </c>
      <c r="L572" s="23" t="s">
        <v>830</v>
      </c>
      <c r="M572" s="23" t="s">
        <v>123</v>
      </c>
      <c r="N572" s="23" t="s">
        <v>124</v>
      </c>
      <c r="O572" s="32" t="s">
        <v>833</v>
      </c>
      <c r="P572" s="37">
        <v>45986</v>
      </c>
      <c r="Q572" s="25">
        <v>1</v>
      </c>
      <c r="R572" s="51">
        <v>350</v>
      </c>
      <c r="S572" s="34">
        <f t="shared" si="93"/>
        <v>350</v>
      </c>
      <c r="T572" s="34">
        <f t="shared" si="94"/>
        <v>63</v>
      </c>
      <c r="U572" s="34">
        <f t="shared" si="95"/>
        <v>413</v>
      </c>
      <c r="V572" s="34"/>
      <c r="W572" s="23" t="s">
        <v>1006</v>
      </c>
    </row>
    <row r="573" spans="1:23" x14ac:dyDescent="0.25">
      <c r="A573" s="31">
        <v>45933.645578703705</v>
      </c>
      <c r="B573" s="32" t="str">
        <f t="shared" si="92"/>
        <v>Oct-25</v>
      </c>
      <c r="C573" s="23" t="s">
        <v>153</v>
      </c>
      <c r="D573" s="23" t="s">
        <v>369</v>
      </c>
      <c r="E573" s="39">
        <v>45692</v>
      </c>
      <c r="F573" s="32">
        <f>IFERROR(DATEDIF(Table1[[#This Row],[MPG Ope Date]],Table1[[#This Row],[L]],"M"),"")</f>
        <v>7</v>
      </c>
      <c r="G573" s="25">
        <v>10070049</v>
      </c>
      <c r="H573" s="23" t="s">
        <v>659</v>
      </c>
      <c r="I573" s="23" t="s">
        <v>701</v>
      </c>
      <c r="J573" s="23">
        <v>8405018934</v>
      </c>
      <c r="K573" s="23" t="s">
        <v>70</v>
      </c>
      <c r="L573" s="23" t="s">
        <v>736</v>
      </c>
      <c r="M573" s="23" t="s">
        <v>123</v>
      </c>
      <c r="N573" s="23" t="s">
        <v>124</v>
      </c>
      <c r="O573" s="32" t="s">
        <v>833</v>
      </c>
      <c r="P573" s="37">
        <v>45986</v>
      </c>
      <c r="Q573" s="25">
        <v>1</v>
      </c>
      <c r="R573" s="51">
        <v>350</v>
      </c>
      <c r="S573" s="34">
        <f t="shared" si="93"/>
        <v>350</v>
      </c>
      <c r="T573" s="34">
        <f t="shared" si="94"/>
        <v>63</v>
      </c>
      <c r="U573" s="34">
        <f t="shared" si="95"/>
        <v>413</v>
      </c>
      <c r="V573" s="34"/>
      <c r="W573" s="23" t="s">
        <v>1006</v>
      </c>
    </row>
    <row r="574" spans="1:23" x14ac:dyDescent="0.25">
      <c r="A574" s="31">
        <v>45933.439930555556</v>
      </c>
      <c r="B574" s="32" t="str">
        <f t="shared" si="92"/>
        <v>Oct-25</v>
      </c>
      <c r="C574" s="23" t="s">
        <v>153</v>
      </c>
      <c r="D574" s="23" t="s">
        <v>369</v>
      </c>
      <c r="E574" s="39">
        <v>43756</v>
      </c>
      <c r="F574" s="32">
        <f>IFERROR(DATEDIF(Table1[[#This Row],[MPG Ope Date]],Table1[[#This Row],[L]],"M"),"")</f>
        <v>71</v>
      </c>
      <c r="G574" s="25">
        <v>10130003</v>
      </c>
      <c r="H574" s="23" t="s">
        <v>276</v>
      </c>
      <c r="I574" s="23" t="s">
        <v>308</v>
      </c>
      <c r="J574" s="23">
        <v>7631356700</v>
      </c>
      <c r="K574" s="23" t="s">
        <v>69</v>
      </c>
      <c r="L574" s="23">
        <v>277324</v>
      </c>
      <c r="M574" s="23" t="s">
        <v>117</v>
      </c>
      <c r="N574" s="23" t="s">
        <v>472</v>
      </c>
      <c r="O574" s="32" t="s">
        <v>833</v>
      </c>
      <c r="P574" s="37">
        <v>45986</v>
      </c>
      <c r="Q574" s="25">
        <v>1</v>
      </c>
      <c r="R574" s="51">
        <v>770</v>
      </c>
      <c r="S574" s="34">
        <f t="shared" si="93"/>
        <v>770</v>
      </c>
      <c r="T574" s="34">
        <f t="shared" si="94"/>
        <v>138.6</v>
      </c>
      <c r="U574" s="34">
        <f t="shared" si="95"/>
        <v>908.6</v>
      </c>
      <c r="V574" s="34"/>
      <c r="W574" s="23" t="s">
        <v>1005</v>
      </c>
    </row>
    <row r="575" spans="1:23" x14ac:dyDescent="0.25">
      <c r="A575" s="31">
        <v>45933.439930555556</v>
      </c>
      <c r="B575" s="32" t="str">
        <f t="shared" si="92"/>
        <v>Oct-25</v>
      </c>
      <c r="C575" s="23" t="s">
        <v>153</v>
      </c>
      <c r="D575" s="23" t="s">
        <v>369</v>
      </c>
      <c r="E575" s="39">
        <v>43756</v>
      </c>
      <c r="F575" s="32">
        <f>IFERROR(DATEDIF(Table1[[#This Row],[MPG Ope Date]],Table1[[#This Row],[L]],"M"),"")</f>
        <v>71</v>
      </c>
      <c r="G575" s="25">
        <v>10130003</v>
      </c>
      <c r="H575" s="23" t="s">
        <v>276</v>
      </c>
      <c r="I575" s="23" t="s">
        <v>308</v>
      </c>
      <c r="J575" s="23">
        <v>7631356700</v>
      </c>
      <c r="K575" s="23" t="s">
        <v>69</v>
      </c>
      <c r="L575" s="23">
        <v>277324</v>
      </c>
      <c r="M575" s="23" t="s">
        <v>121</v>
      </c>
      <c r="N575" s="23" t="s">
        <v>122</v>
      </c>
      <c r="O575" s="32" t="s">
        <v>833</v>
      </c>
      <c r="P575" s="37">
        <v>45986</v>
      </c>
      <c r="Q575" s="25">
        <v>1</v>
      </c>
      <c r="R575" s="51">
        <v>70</v>
      </c>
      <c r="S575" s="34">
        <f t="shared" si="93"/>
        <v>70</v>
      </c>
      <c r="T575" s="34">
        <f t="shared" si="94"/>
        <v>12.6</v>
      </c>
      <c r="U575" s="34">
        <f t="shared" si="95"/>
        <v>82.6</v>
      </c>
      <c r="V575" s="34"/>
      <c r="W575" s="23" t="s">
        <v>1005</v>
      </c>
    </row>
    <row r="576" spans="1:23" x14ac:dyDescent="0.25">
      <c r="A576" s="31">
        <v>45933.439930555556</v>
      </c>
      <c r="B576" s="32" t="str">
        <f t="shared" si="92"/>
        <v>Oct-25</v>
      </c>
      <c r="C576" s="23" t="s">
        <v>153</v>
      </c>
      <c r="D576" s="23" t="s">
        <v>369</v>
      </c>
      <c r="E576" s="39">
        <v>43756</v>
      </c>
      <c r="F576" s="32">
        <f>IFERROR(DATEDIF(Table1[[#This Row],[MPG Ope Date]],Table1[[#This Row],[L]],"M"),"")</f>
        <v>71</v>
      </c>
      <c r="G576" s="25">
        <v>10130003</v>
      </c>
      <c r="H576" s="23" t="s">
        <v>276</v>
      </c>
      <c r="I576" s="23" t="s">
        <v>308</v>
      </c>
      <c r="J576" s="23">
        <v>7631356700</v>
      </c>
      <c r="K576" s="23" t="s">
        <v>69</v>
      </c>
      <c r="L576" s="23">
        <v>277324</v>
      </c>
      <c r="M576" s="23" t="s">
        <v>121</v>
      </c>
      <c r="N576" s="23" t="s">
        <v>122</v>
      </c>
      <c r="O576" s="32" t="s">
        <v>833</v>
      </c>
      <c r="P576" s="37">
        <v>45986</v>
      </c>
      <c r="Q576" s="25">
        <v>1</v>
      </c>
      <c r="R576" s="51">
        <v>70</v>
      </c>
      <c r="S576" s="34">
        <f t="shared" si="93"/>
        <v>70</v>
      </c>
      <c r="T576" s="34">
        <f t="shared" si="94"/>
        <v>12.6</v>
      </c>
      <c r="U576" s="34">
        <f t="shared" si="95"/>
        <v>82.6</v>
      </c>
      <c r="V576" s="34"/>
      <c r="W576" s="23" t="s">
        <v>1005</v>
      </c>
    </row>
    <row r="577" spans="1:23" x14ac:dyDescent="0.25">
      <c r="A577" s="31">
        <v>45933.571909722225</v>
      </c>
      <c r="B577" s="32" t="str">
        <f t="shared" si="92"/>
        <v>Oct-25</v>
      </c>
      <c r="C577" s="23" t="s">
        <v>153</v>
      </c>
      <c r="D577" s="23" t="s">
        <v>369</v>
      </c>
      <c r="E577" s="39">
        <v>44979</v>
      </c>
      <c r="F577" s="32">
        <f>IFERROR(DATEDIF(Table1[[#This Row],[MPG Ope Date]],Table1[[#This Row],[L]],"M"),"")</f>
        <v>31</v>
      </c>
      <c r="G577" s="25">
        <v>10140041</v>
      </c>
      <c r="H577" s="23" t="s">
        <v>773</v>
      </c>
      <c r="I577" s="23" t="s">
        <v>800</v>
      </c>
      <c r="J577" s="23">
        <v>7277905756</v>
      </c>
      <c r="K577" s="23" t="s">
        <v>70</v>
      </c>
      <c r="L577" s="23" t="s">
        <v>831</v>
      </c>
      <c r="M577" s="23" t="s">
        <v>123</v>
      </c>
      <c r="N577" s="23" t="s">
        <v>124</v>
      </c>
      <c r="O577" s="32" t="s">
        <v>833</v>
      </c>
      <c r="P577" s="37">
        <v>45986</v>
      </c>
      <c r="Q577" s="25">
        <v>1</v>
      </c>
      <c r="R577" s="51">
        <v>350</v>
      </c>
      <c r="S577" s="34">
        <f t="shared" si="93"/>
        <v>350</v>
      </c>
      <c r="T577" s="34">
        <f t="shared" si="94"/>
        <v>63</v>
      </c>
      <c r="U577" s="34">
        <f t="shared" si="95"/>
        <v>413</v>
      </c>
      <c r="V577" s="34"/>
      <c r="W577" s="23" t="s">
        <v>1005</v>
      </c>
    </row>
    <row r="578" spans="1:23" x14ac:dyDescent="0.25">
      <c r="A578" s="31">
        <v>45990.659131944441</v>
      </c>
      <c r="B578" s="32" t="str">
        <f t="shared" ref="B578:B621" si="96">TEXT(A578,"mmm-yy")</f>
        <v>Nov-25</v>
      </c>
      <c r="C578" s="23" t="s">
        <v>153</v>
      </c>
      <c r="D578" s="23" t="s">
        <v>369</v>
      </c>
      <c r="E578" s="39" t="e">
        <v>#N/A</v>
      </c>
      <c r="F578" s="32" t="str">
        <f>IFERROR(DATEDIF(Table1[[#This Row],[MPG Ope Date]],Table1[[#This Row],[L]],"M"),"")</f>
        <v/>
      </c>
      <c r="G578" s="25">
        <v>10010076</v>
      </c>
      <c r="H578" s="50" t="s">
        <v>284</v>
      </c>
      <c r="I578" s="23" t="s">
        <v>316</v>
      </c>
      <c r="J578" s="23">
        <v>7808020360</v>
      </c>
      <c r="K578" s="23" t="s">
        <v>69</v>
      </c>
      <c r="L578" s="23">
        <v>381775</v>
      </c>
      <c r="M578" s="23" t="s">
        <v>254</v>
      </c>
      <c r="N578" s="23" t="s">
        <v>255</v>
      </c>
      <c r="O578" s="32" t="s">
        <v>890</v>
      </c>
      <c r="P578" s="37">
        <v>45991</v>
      </c>
      <c r="Q578" s="25">
        <v>1</v>
      </c>
      <c r="R578" s="48">
        <v>2000</v>
      </c>
      <c r="S578" s="34">
        <f t="shared" ref="S578:S621" si="97">+Q578*R578</f>
        <v>2000</v>
      </c>
      <c r="T578" s="34">
        <f t="shared" ref="T578:T621" si="98">+S578*0.18</f>
        <v>360</v>
      </c>
      <c r="U578" s="34">
        <f t="shared" ref="U578:U621" si="99">+S578+T578</f>
        <v>2360</v>
      </c>
      <c r="V578" s="34"/>
      <c r="W578" s="23" t="s">
        <v>1005</v>
      </c>
    </row>
    <row r="579" spans="1:23" x14ac:dyDescent="0.25">
      <c r="A579" s="31">
        <v>45990.652025462965</v>
      </c>
      <c r="B579" s="32" t="str">
        <f t="shared" si="96"/>
        <v>Nov-25</v>
      </c>
      <c r="C579" s="23" t="s">
        <v>153</v>
      </c>
      <c r="D579" s="23" t="s">
        <v>369</v>
      </c>
      <c r="E579" s="39" t="e">
        <v>#N/A</v>
      </c>
      <c r="F579" s="32" t="str">
        <f>IFERROR(DATEDIF(Table1[[#This Row],[MPG Ope Date]],Table1[[#This Row],[L]],"M"),"")</f>
        <v/>
      </c>
      <c r="G579" s="26">
        <v>10030053</v>
      </c>
      <c r="H579" s="50" t="s">
        <v>527</v>
      </c>
      <c r="I579" s="23" t="s">
        <v>484</v>
      </c>
      <c r="J579" s="23">
        <v>9204350523</v>
      </c>
      <c r="K579" s="23" t="s">
        <v>69</v>
      </c>
      <c r="L579" s="23">
        <v>2347805</v>
      </c>
      <c r="M579" s="23" t="s">
        <v>615</v>
      </c>
      <c r="N579" s="23" t="s">
        <v>616</v>
      </c>
      <c r="O579" s="32" t="s">
        <v>890</v>
      </c>
      <c r="P579" s="37">
        <v>45991</v>
      </c>
      <c r="Q579" s="25">
        <v>1</v>
      </c>
      <c r="R579" s="48">
        <v>120</v>
      </c>
      <c r="S579" s="34">
        <f t="shared" si="97"/>
        <v>120</v>
      </c>
      <c r="T579" s="34">
        <f t="shared" si="98"/>
        <v>21.599999999999998</v>
      </c>
      <c r="U579" s="34">
        <f t="shared" si="99"/>
        <v>141.6</v>
      </c>
      <c r="V579" s="34"/>
      <c r="W579" s="23" t="s">
        <v>1005</v>
      </c>
    </row>
    <row r="580" spans="1:23" x14ac:dyDescent="0.25">
      <c r="A580" s="31">
        <v>45990.674328703702</v>
      </c>
      <c r="B580" s="32" t="str">
        <f t="shared" si="96"/>
        <v>Nov-25</v>
      </c>
      <c r="C580" s="23" t="s">
        <v>152</v>
      </c>
      <c r="D580" s="23" t="s">
        <v>0</v>
      </c>
      <c r="E580" s="39" t="e">
        <v>#N/A</v>
      </c>
      <c r="F580" s="32" t="str">
        <f>IFERROR(DATEDIF(Table1[[#This Row],[MPG Ope Date]],Table1[[#This Row],[L]],"M"),"")</f>
        <v/>
      </c>
      <c r="G580" s="25">
        <v>2002</v>
      </c>
      <c r="H580" s="23" t="s">
        <v>270</v>
      </c>
      <c r="I580" s="23" t="s">
        <v>303</v>
      </c>
      <c r="J580" s="23">
        <v>8709856463</v>
      </c>
      <c r="K580" s="23" t="s">
        <v>69</v>
      </c>
      <c r="L580" s="23">
        <v>360621</v>
      </c>
      <c r="M580" s="23" t="s">
        <v>115</v>
      </c>
      <c r="N580" s="23" t="s">
        <v>116</v>
      </c>
      <c r="O580" s="32" t="s">
        <v>890</v>
      </c>
      <c r="P580" s="37">
        <v>45991</v>
      </c>
      <c r="Q580" s="25">
        <v>1</v>
      </c>
      <c r="R580" s="48">
        <v>8000</v>
      </c>
      <c r="S580" s="34">
        <f t="shared" si="97"/>
        <v>8000</v>
      </c>
      <c r="T580" s="34">
        <f t="shared" si="98"/>
        <v>1440</v>
      </c>
      <c r="U580" s="34">
        <f t="shared" si="99"/>
        <v>9440</v>
      </c>
      <c r="V580" s="34"/>
      <c r="W580" s="23" t="e">
        <v>#N/A</v>
      </c>
    </row>
    <row r="581" spans="1:23" x14ac:dyDescent="0.25">
      <c r="A581" s="31">
        <v>45989.588090277779</v>
      </c>
      <c r="B581" s="32" t="str">
        <f t="shared" si="96"/>
        <v>Nov-25</v>
      </c>
      <c r="C581" s="23" t="s">
        <v>153</v>
      </c>
      <c r="D581" s="23" t="s">
        <v>369</v>
      </c>
      <c r="E581" s="39">
        <v>45198</v>
      </c>
      <c r="F581" s="32">
        <f>IFERROR(DATEDIF(Table1[[#This Row],[MPG Ope Date]],Table1[[#This Row],[L]],"M"),"")</f>
        <v>25</v>
      </c>
      <c r="G581" s="25">
        <v>10020063</v>
      </c>
      <c r="H581" s="23" t="s">
        <v>834</v>
      </c>
      <c r="I581" s="23" t="s">
        <v>848</v>
      </c>
      <c r="J581" s="23">
        <v>9117249722</v>
      </c>
      <c r="K581" s="23" t="s">
        <v>70</v>
      </c>
      <c r="L581" s="23" t="s">
        <v>862</v>
      </c>
      <c r="M581" s="23" t="s">
        <v>123</v>
      </c>
      <c r="N581" s="23" t="s">
        <v>124</v>
      </c>
      <c r="O581" s="32" t="s">
        <v>890</v>
      </c>
      <c r="P581" s="37">
        <v>45991</v>
      </c>
      <c r="Q581" s="25">
        <v>1</v>
      </c>
      <c r="R581" s="48">
        <v>350</v>
      </c>
      <c r="S581" s="34">
        <f t="shared" si="97"/>
        <v>350</v>
      </c>
      <c r="T581" s="34">
        <f t="shared" si="98"/>
        <v>63</v>
      </c>
      <c r="U581" s="34">
        <f t="shared" si="99"/>
        <v>413</v>
      </c>
      <c r="V581" s="34"/>
      <c r="W581" s="23" t="s">
        <v>1005</v>
      </c>
    </row>
    <row r="582" spans="1:23" x14ac:dyDescent="0.25">
      <c r="A582" s="31">
        <v>45988.633773148147</v>
      </c>
      <c r="B582" s="32" t="str">
        <f t="shared" si="96"/>
        <v>Nov-25</v>
      </c>
      <c r="C582" s="23" t="s">
        <v>153</v>
      </c>
      <c r="D582" s="23" t="s">
        <v>369</v>
      </c>
      <c r="E582" s="39">
        <v>44664</v>
      </c>
      <c r="F582" s="32">
        <f>IFERROR(DATEDIF(Table1[[#This Row],[MPG Ope Date]],Table1[[#This Row],[L]],"M"),"")</f>
        <v>43</v>
      </c>
      <c r="G582" s="25">
        <v>10140004</v>
      </c>
      <c r="H582" s="23" t="s">
        <v>835</v>
      </c>
      <c r="I582" s="23" t="s">
        <v>849</v>
      </c>
      <c r="J582" s="23">
        <v>9304177703</v>
      </c>
      <c r="K582" s="23" t="s">
        <v>69</v>
      </c>
      <c r="L582" s="23">
        <v>359350</v>
      </c>
      <c r="M582" s="23" t="s">
        <v>119</v>
      </c>
      <c r="N582" s="23" t="s">
        <v>120</v>
      </c>
      <c r="O582" s="32" t="s">
        <v>890</v>
      </c>
      <c r="P582" s="37">
        <v>45991</v>
      </c>
      <c r="Q582" s="25">
        <v>1</v>
      </c>
      <c r="R582" s="48">
        <v>84</v>
      </c>
      <c r="S582" s="34">
        <f t="shared" si="97"/>
        <v>84</v>
      </c>
      <c r="T582" s="34">
        <f t="shared" si="98"/>
        <v>15.12</v>
      </c>
      <c r="U582" s="34">
        <f t="shared" si="99"/>
        <v>99.12</v>
      </c>
      <c r="V582" s="34"/>
      <c r="W582" s="23" t="s">
        <v>1005</v>
      </c>
    </row>
    <row r="583" spans="1:23" x14ac:dyDescent="0.25">
      <c r="A583" s="31">
        <v>45987.816643518519</v>
      </c>
      <c r="B583" s="32" t="str">
        <f t="shared" si="96"/>
        <v>Nov-25</v>
      </c>
      <c r="C583" s="23" t="s">
        <v>153</v>
      </c>
      <c r="D583" s="23" t="s">
        <v>369</v>
      </c>
      <c r="E583" s="39">
        <v>44967</v>
      </c>
      <c r="F583" s="32">
        <f>IFERROR(DATEDIF(Table1[[#This Row],[MPG Ope Date]],Table1[[#This Row],[L]],"M"),"")</f>
        <v>33</v>
      </c>
      <c r="G583" s="25">
        <v>10090029</v>
      </c>
      <c r="H583" s="23" t="s">
        <v>836</v>
      </c>
      <c r="I583" s="23" t="s">
        <v>850</v>
      </c>
      <c r="J583" s="23">
        <v>9142528994</v>
      </c>
      <c r="K583" s="23" t="s">
        <v>70</v>
      </c>
      <c r="L583" s="23" t="s">
        <v>863</v>
      </c>
      <c r="M583" s="23" t="s">
        <v>131</v>
      </c>
      <c r="N583" s="23" t="s">
        <v>132</v>
      </c>
      <c r="O583" s="32" t="s">
        <v>890</v>
      </c>
      <c r="P583" s="37">
        <v>45991</v>
      </c>
      <c r="Q583" s="25">
        <v>1</v>
      </c>
      <c r="R583" s="48">
        <v>2800</v>
      </c>
      <c r="S583" s="34">
        <f t="shared" si="97"/>
        <v>2800</v>
      </c>
      <c r="T583" s="34">
        <f t="shared" si="98"/>
        <v>504</v>
      </c>
      <c r="U583" s="34">
        <f t="shared" si="99"/>
        <v>3304</v>
      </c>
      <c r="V583" s="34"/>
      <c r="W583" s="23" t="s">
        <v>1005</v>
      </c>
    </row>
    <row r="584" spans="1:23" x14ac:dyDescent="0.25">
      <c r="A584" s="31">
        <v>45986.642928240741</v>
      </c>
      <c r="B584" s="32" t="str">
        <f t="shared" si="96"/>
        <v>Nov-25</v>
      </c>
      <c r="C584" s="23" t="s">
        <v>153</v>
      </c>
      <c r="D584" s="23" t="s">
        <v>369</v>
      </c>
      <c r="E584" s="39">
        <v>44697</v>
      </c>
      <c r="F584" s="32">
        <f>IFERROR(DATEDIF(Table1[[#This Row],[MPG Ope Date]],Table1[[#This Row],[L]],"M"),"")</f>
        <v>42</v>
      </c>
      <c r="G584" s="25">
        <v>10060022</v>
      </c>
      <c r="H584" s="23" t="s">
        <v>547</v>
      </c>
      <c r="I584" s="23" t="s">
        <v>504</v>
      </c>
      <c r="J584" s="23">
        <v>8540013067</v>
      </c>
      <c r="K584" s="23" t="s">
        <v>68</v>
      </c>
      <c r="L584" s="23" t="s">
        <v>595</v>
      </c>
      <c r="M584" s="23" t="s">
        <v>258</v>
      </c>
      <c r="N584" s="23" t="s">
        <v>259</v>
      </c>
      <c r="O584" s="32" t="s">
        <v>890</v>
      </c>
      <c r="P584" s="37">
        <v>45991</v>
      </c>
      <c r="Q584" s="25">
        <v>1</v>
      </c>
      <c r="R584" s="48">
        <v>788</v>
      </c>
      <c r="S584" s="34">
        <f t="shared" si="97"/>
        <v>788</v>
      </c>
      <c r="T584" s="34">
        <f t="shared" si="98"/>
        <v>141.84</v>
      </c>
      <c r="U584" s="34">
        <f t="shared" si="99"/>
        <v>929.84</v>
      </c>
      <c r="V584" s="34"/>
      <c r="W584" s="23" t="s">
        <v>1005</v>
      </c>
    </row>
    <row r="585" spans="1:23" x14ac:dyDescent="0.25">
      <c r="A585" s="31">
        <v>45986.642928240741</v>
      </c>
      <c r="B585" s="32" t="str">
        <f t="shared" si="96"/>
        <v>Nov-25</v>
      </c>
      <c r="C585" s="23" t="s">
        <v>153</v>
      </c>
      <c r="D585" s="23" t="s">
        <v>369</v>
      </c>
      <c r="E585" s="39">
        <v>44697</v>
      </c>
      <c r="F585" s="32">
        <f>IFERROR(DATEDIF(Table1[[#This Row],[MPG Ope Date]],Table1[[#This Row],[L]],"M"),"")</f>
        <v>42</v>
      </c>
      <c r="G585" s="25">
        <v>10060022</v>
      </c>
      <c r="H585" s="23" t="s">
        <v>547</v>
      </c>
      <c r="I585" s="23" t="s">
        <v>504</v>
      </c>
      <c r="J585" s="23">
        <v>8540013067</v>
      </c>
      <c r="K585" s="23" t="s">
        <v>68</v>
      </c>
      <c r="L585" s="23" t="s">
        <v>595</v>
      </c>
      <c r="M585" s="23" t="s">
        <v>260</v>
      </c>
      <c r="N585" s="23" t="s">
        <v>261</v>
      </c>
      <c r="O585" s="32" t="s">
        <v>890</v>
      </c>
      <c r="P585" s="37">
        <v>45991</v>
      </c>
      <c r="Q585" s="25">
        <v>1</v>
      </c>
      <c r="R585" s="48">
        <v>2080</v>
      </c>
      <c r="S585" s="34">
        <f t="shared" si="97"/>
        <v>2080</v>
      </c>
      <c r="T585" s="34">
        <f t="shared" si="98"/>
        <v>374.4</v>
      </c>
      <c r="U585" s="34">
        <f t="shared" si="99"/>
        <v>2454.4</v>
      </c>
      <c r="V585" s="34"/>
      <c r="W585" s="23" t="s">
        <v>1005</v>
      </c>
    </row>
    <row r="586" spans="1:23" x14ac:dyDescent="0.25">
      <c r="A586" s="31">
        <v>45985.68277777778</v>
      </c>
      <c r="B586" s="32" t="str">
        <f t="shared" si="96"/>
        <v>Nov-25</v>
      </c>
      <c r="C586" s="23" t="s">
        <v>153</v>
      </c>
      <c r="D586" s="23" t="s">
        <v>369</v>
      </c>
      <c r="E586" s="39">
        <v>45649</v>
      </c>
      <c r="F586" s="32">
        <f>IFERROR(DATEDIF(Table1[[#This Row],[MPG Ope Date]],Table1[[#This Row],[L]],"M"),"")</f>
        <v>11</v>
      </c>
      <c r="G586" s="25">
        <v>10120089</v>
      </c>
      <c r="H586" s="23" t="s">
        <v>747</v>
      </c>
      <c r="I586" s="23" t="s">
        <v>776</v>
      </c>
      <c r="J586" s="23">
        <v>8340433254</v>
      </c>
      <c r="K586" s="23" t="s">
        <v>68</v>
      </c>
      <c r="L586" s="23" t="s">
        <v>864</v>
      </c>
      <c r="M586" s="23" t="s">
        <v>135</v>
      </c>
      <c r="N586" s="23" t="s">
        <v>136</v>
      </c>
      <c r="O586" s="32" t="s">
        <v>890</v>
      </c>
      <c r="P586" s="37">
        <v>45991</v>
      </c>
      <c r="Q586" s="25">
        <v>1</v>
      </c>
      <c r="R586" s="48">
        <v>825</v>
      </c>
      <c r="S586" s="34">
        <f t="shared" si="97"/>
        <v>825</v>
      </c>
      <c r="T586" s="34">
        <f t="shared" si="98"/>
        <v>148.5</v>
      </c>
      <c r="U586" s="34">
        <f t="shared" si="99"/>
        <v>973.5</v>
      </c>
      <c r="V586" s="34"/>
      <c r="W586" s="23" t="s">
        <v>1005</v>
      </c>
    </row>
    <row r="587" spans="1:23" x14ac:dyDescent="0.25">
      <c r="A587" s="31">
        <v>45985.605578703704</v>
      </c>
      <c r="B587" s="32" t="str">
        <f t="shared" si="96"/>
        <v>Nov-25</v>
      </c>
      <c r="C587" s="23" t="s">
        <v>153</v>
      </c>
      <c r="D587" s="23" t="s">
        <v>369</v>
      </c>
      <c r="E587" s="39">
        <v>44776</v>
      </c>
      <c r="F587" s="32">
        <f>IFERROR(DATEDIF(Table1[[#This Row],[MPG Ope Date]],Table1[[#This Row],[L]],"M"),"")</f>
        <v>39</v>
      </c>
      <c r="G587" s="25">
        <v>10120030</v>
      </c>
      <c r="H587" s="23" t="s">
        <v>837</v>
      </c>
      <c r="I587" s="23" t="s">
        <v>851</v>
      </c>
      <c r="J587" s="23">
        <v>7050978558</v>
      </c>
      <c r="K587" s="23" t="s">
        <v>71</v>
      </c>
      <c r="L587" s="23" t="s">
        <v>865</v>
      </c>
      <c r="M587" s="23" t="s">
        <v>141</v>
      </c>
      <c r="N587" s="23" t="s">
        <v>142</v>
      </c>
      <c r="O587" s="32" t="s">
        <v>890</v>
      </c>
      <c r="P587" s="37">
        <v>45991</v>
      </c>
      <c r="Q587" s="25">
        <v>1</v>
      </c>
      <c r="R587" s="48">
        <v>900</v>
      </c>
      <c r="S587" s="34">
        <f t="shared" si="97"/>
        <v>900</v>
      </c>
      <c r="T587" s="34">
        <f t="shared" si="98"/>
        <v>162</v>
      </c>
      <c r="U587" s="34">
        <f t="shared" si="99"/>
        <v>1062</v>
      </c>
      <c r="V587" s="34"/>
      <c r="W587" s="23" t="s">
        <v>1005</v>
      </c>
    </row>
    <row r="588" spans="1:23" x14ac:dyDescent="0.25">
      <c r="A588" s="31">
        <v>45985.606620370374</v>
      </c>
      <c r="B588" s="32" t="str">
        <f t="shared" si="96"/>
        <v>Nov-25</v>
      </c>
      <c r="C588" s="23" t="s">
        <v>153</v>
      </c>
      <c r="D588" s="23" t="s">
        <v>369</v>
      </c>
      <c r="E588" s="39">
        <v>45530</v>
      </c>
      <c r="F588" s="32">
        <f>IFERROR(DATEDIF(Table1[[#This Row],[MPG Ope Date]],Table1[[#This Row],[L]],"M"),"")</f>
        <v>14</v>
      </c>
      <c r="G588" s="25">
        <v>10120083</v>
      </c>
      <c r="H588" s="23" t="s">
        <v>164</v>
      </c>
      <c r="I588" s="23" t="s">
        <v>201</v>
      </c>
      <c r="J588" s="23">
        <v>9262776421</v>
      </c>
      <c r="K588" s="23" t="s">
        <v>70</v>
      </c>
      <c r="L588" s="23" t="s">
        <v>866</v>
      </c>
      <c r="M588" s="23" t="s">
        <v>266</v>
      </c>
      <c r="N588" s="23" t="s">
        <v>267</v>
      </c>
      <c r="O588" s="32" t="s">
        <v>890</v>
      </c>
      <c r="P588" s="37">
        <v>45991</v>
      </c>
      <c r="Q588" s="25">
        <v>1</v>
      </c>
      <c r="R588" s="48">
        <v>780</v>
      </c>
      <c r="S588" s="34">
        <f t="shared" si="97"/>
        <v>780</v>
      </c>
      <c r="T588" s="34">
        <f t="shared" si="98"/>
        <v>140.4</v>
      </c>
      <c r="U588" s="34">
        <f t="shared" si="99"/>
        <v>920.4</v>
      </c>
      <c r="V588" s="34"/>
      <c r="W588" s="23" t="s">
        <v>1005</v>
      </c>
    </row>
    <row r="589" spans="1:23" x14ac:dyDescent="0.25">
      <c r="A589" s="31">
        <v>45985.695474537039</v>
      </c>
      <c r="B589" s="32" t="str">
        <f t="shared" si="96"/>
        <v>Nov-25</v>
      </c>
      <c r="C589" s="23" t="s">
        <v>153</v>
      </c>
      <c r="D589" s="23" t="s">
        <v>369</v>
      </c>
      <c r="E589" s="39">
        <v>45990</v>
      </c>
      <c r="F589" s="32" t="str">
        <f>IFERROR(DATEDIF(Table1[[#This Row],[MPG Ope Date]],Table1[[#This Row],[L]],"M"),"")</f>
        <v/>
      </c>
      <c r="G589" s="25">
        <v>10550003</v>
      </c>
      <c r="H589" s="23" t="s">
        <v>838</v>
      </c>
      <c r="I589" s="23" t="s">
        <v>852</v>
      </c>
      <c r="J589" s="23">
        <v>9155621270</v>
      </c>
      <c r="K589" s="23" t="s">
        <v>70</v>
      </c>
      <c r="L589" s="23" t="s">
        <v>867</v>
      </c>
      <c r="M589" s="23" t="s">
        <v>123</v>
      </c>
      <c r="N589" s="23" t="s">
        <v>124</v>
      </c>
      <c r="O589" s="32" t="s">
        <v>890</v>
      </c>
      <c r="P589" s="37">
        <v>45991</v>
      </c>
      <c r="Q589" s="25">
        <v>1</v>
      </c>
      <c r="R589" s="48">
        <v>350</v>
      </c>
      <c r="S589" s="34">
        <f t="shared" si="97"/>
        <v>350</v>
      </c>
      <c r="T589" s="34">
        <f t="shared" si="98"/>
        <v>63</v>
      </c>
      <c r="U589" s="34">
        <f t="shared" si="99"/>
        <v>413</v>
      </c>
      <c r="V589" s="34"/>
      <c r="W589" s="23" t="s">
        <v>1005</v>
      </c>
    </row>
    <row r="590" spans="1:23" x14ac:dyDescent="0.25">
      <c r="A590" s="31">
        <v>45985.694918981484</v>
      </c>
      <c r="B590" s="32" t="str">
        <f t="shared" si="96"/>
        <v>Nov-25</v>
      </c>
      <c r="C590" s="23" t="s">
        <v>153</v>
      </c>
      <c r="D590" s="23" t="s">
        <v>369</v>
      </c>
      <c r="E590" s="39">
        <v>45990</v>
      </c>
      <c r="F590" s="32" t="str">
        <f>IFERROR(DATEDIF(Table1[[#This Row],[MPG Ope Date]],Table1[[#This Row],[L]],"M"),"")</f>
        <v/>
      </c>
      <c r="G590" s="25">
        <v>10550003</v>
      </c>
      <c r="H590" s="23" t="s">
        <v>838</v>
      </c>
      <c r="I590" s="23" t="s">
        <v>852</v>
      </c>
      <c r="J590" s="23">
        <v>9155621270</v>
      </c>
      <c r="K590" s="23" t="s">
        <v>71</v>
      </c>
      <c r="L590" s="23" t="s">
        <v>868</v>
      </c>
      <c r="M590" s="23" t="s">
        <v>141</v>
      </c>
      <c r="N590" s="23" t="s">
        <v>142</v>
      </c>
      <c r="O590" s="32" t="s">
        <v>890</v>
      </c>
      <c r="P590" s="37">
        <v>45991</v>
      </c>
      <c r="Q590" s="25">
        <v>1</v>
      </c>
      <c r="R590" s="48">
        <v>900</v>
      </c>
      <c r="S590" s="34">
        <f t="shared" si="97"/>
        <v>900</v>
      </c>
      <c r="T590" s="34">
        <f t="shared" si="98"/>
        <v>162</v>
      </c>
      <c r="U590" s="34">
        <f t="shared" si="99"/>
        <v>1062</v>
      </c>
      <c r="V590" s="34"/>
      <c r="W590" s="23" t="s">
        <v>1005</v>
      </c>
    </row>
    <row r="591" spans="1:23" x14ac:dyDescent="0.25">
      <c r="A591" s="31">
        <v>45983.553969907407</v>
      </c>
      <c r="B591" s="32" t="str">
        <f t="shared" si="96"/>
        <v>Nov-25</v>
      </c>
      <c r="C591" s="23" t="s">
        <v>153</v>
      </c>
      <c r="D591" s="23" t="s">
        <v>369</v>
      </c>
      <c r="E591" s="39">
        <v>45599</v>
      </c>
      <c r="F591" s="32">
        <f>IFERROR(DATEDIF(Table1[[#This Row],[MPG Ope Date]],Table1[[#This Row],[L]],"M"),"")</f>
        <v>12</v>
      </c>
      <c r="G591" s="25">
        <v>10130073</v>
      </c>
      <c r="H591" s="23" t="s">
        <v>642</v>
      </c>
      <c r="I591" s="23" t="s">
        <v>683</v>
      </c>
      <c r="J591" s="23">
        <v>9153681814</v>
      </c>
      <c r="K591" s="23" t="s">
        <v>69</v>
      </c>
      <c r="L591" s="23">
        <v>326473</v>
      </c>
      <c r="M591" s="23" t="s">
        <v>121</v>
      </c>
      <c r="N591" s="23" t="s">
        <v>122</v>
      </c>
      <c r="O591" s="32" t="s">
        <v>890</v>
      </c>
      <c r="P591" s="37">
        <v>45991</v>
      </c>
      <c r="Q591" s="25">
        <v>1</v>
      </c>
      <c r="R591" s="48">
        <v>70</v>
      </c>
      <c r="S591" s="34">
        <f t="shared" si="97"/>
        <v>70</v>
      </c>
      <c r="T591" s="34">
        <f t="shared" si="98"/>
        <v>12.6</v>
      </c>
      <c r="U591" s="34">
        <f t="shared" si="99"/>
        <v>82.6</v>
      </c>
      <c r="V591" s="34"/>
      <c r="W591" s="23" t="s">
        <v>1005</v>
      </c>
    </row>
    <row r="592" spans="1:23" x14ac:dyDescent="0.25">
      <c r="A592" s="31">
        <v>45983.553969907407</v>
      </c>
      <c r="B592" s="32" t="str">
        <f t="shared" si="96"/>
        <v>Nov-25</v>
      </c>
      <c r="C592" s="23" t="s">
        <v>153</v>
      </c>
      <c r="D592" s="23" t="s">
        <v>369</v>
      </c>
      <c r="E592" s="39">
        <v>45599</v>
      </c>
      <c r="F592" s="32">
        <f>IFERROR(DATEDIF(Table1[[#This Row],[MPG Ope Date]],Table1[[#This Row],[L]],"M"),"")</f>
        <v>12</v>
      </c>
      <c r="G592" s="25">
        <v>10130073</v>
      </c>
      <c r="H592" s="23" t="s">
        <v>642</v>
      </c>
      <c r="I592" s="23" t="s">
        <v>683</v>
      </c>
      <c r="J592" s="23">
        <v>9153681814</v>
      </c>
      <c r="K592" s="23" t="s">
        <v>69</v>
      </c>
      <c r="L592" s="23">
        <v>326473</v>
      </c>
      <c r="M592" s="23" t="s">
        <v>121</v>
      </c>
      <c r="N592" s="23" t="s">
        <v>122</v>
      </c>
      <c r="O592" s="32" t="s">
        <v>890</v>
      </c>
      <c r="P592" s="37">
        <v>45991</v>
      </c>
      <c r="Q592" s="25">
        <v>1</v>
      </c>
      <c r="R592" s="48">
        <v>70</v>
      </c>
      <c r="S592" s="34">
        <f t="shared" si="97"/>
        <v>70</v>
      </c>
      <c r="T592" s="34">
        <f t="shared" si="98"/>
        <v>12.6</v>
      </c>
      <c r="U592" s="34">
        <f t="shared" si="99"/>
        <v>82.6</v>
      </c>
      <c r="V592" s="34"/>
      <c r="W592" s="23" t="s">
        <v>1005</v>
      </c>
    </row>
    <row r="593" spans="1:23" x14ac:dyDescent="0.25">
      <c r="A593" s="31">
        <v>45983.541481481479</v>
      </c>
      <c r="B593" s="32" t="str">
        <f t="shared" si="96"/>
        <v>Nov-25</v>
      </c>
      <c r="C593" s="23" t="s">
        <v>153</v>
      </c>
      <c r="D593" s="23" t="s">
        <v>369</v>
      </c>
      <c r="E593" s="39">
        <v>45536</v>
      </c>
      <c r="F593" s="32">
        <f>IFERROR(DATEDIF(Table1[[#This Row],[MPG Ope Date]],Table1[[#This Row],[L]],"M"),"")</f>
        <v>14</v>
      </c>
      <c r="G593" s="25">
        <v>10130070</v>
      </c>
      <c r="H593" s="23" t="s">
        <v>301</v>
      </c>
      <c r="I593" s="23" t="s">
        <v>333</v>
      </c>
      <c r="J593" s="23">
        <v>9971083605</v>
      </c>
      <c r="K593" s="23" t="s">
        <v>69</v>
      </c>
      <c r="L593" s="23">
        <v>309809</v>
      </c>
      <c r="M593" s="23" t="s">
        <v>121</v>
      </c>
      <c r="N593" s="23" t="s">
        <v>122</v>
      </c>
      <c r="O593" s="32" t="s">
        <v>890</v>
      </c>
      <c r="P593" s="37">
        <v>45991</v>
      </c>
      <c r="Q593" s="25">
        <v>1</v>
      </c>
      <c r="R593" s="48">
        <v>70</v>
      </c>
      <c r="S593" s="34">
        <f t="shared" si="97"/>
        <v>70</v>
      </c>
      <c r="T593" s="34">
        <f t="shared" si="98"/>
        <v>12.6</v>
      </c>
      <c r="U593" s="34">
        <f t="shared" si="99"/>
        <v>82.6</v>
      </c>
      <c r="V593" s="34"/>
      <c r="W593" s="23" t="s">
        <v>1005</v>
      </c>
    </row>
    <row r="594" spans="1:23" x14ac:dyDescent="0.25">
      <c r="A594" s="31">
        <v>45983.541481481479</v>
      </c>
      <c r="B594" s="32" t="str">
        <f t="shared" si="96"/>
        <v>Nov-25</v>
      </c>
      <c r="C594" s="23" t="s">
        <v>153</v>
      </c>
      <c r="D594" s="23" t="s">
        <v>369</v>
      </c>
      <c r="E594" s="39">
        <v>45536</v>
      </c>
      <c r="F594" s="32">
        <f>IFERROR(DATEDIF(Table1[[#This Row],[MPG Ope Date]],Table1[[#This Row],[L]],"M"),"")</f>
        <v>14</v>
      </c>
      <c r="G594" s="25">
        <v>10130070</v>
      </c>
      <c r="H594" s="23" t="s">
        <v>301</v>
      </c>
      <c r="I594" s="23" t="s">
        <v>333</v>
      </c>
      <c r="J594" s="23">
        <v>9971083605</v>
      </c>
      <c r="K594" s="23" t="s">
        <v>69</v>
      </c>
      <c r="L594" s="23">
        <v>309809</v>
      </c>
      <c r="M594" s="23" t="s">
        <v>264</v>
      </c>
      <c r="N594" s="23" t="s">
        <v>265</v>
      </c>
      <c r="O594" s="32" t="s">
        <v>890</v>
      </c>
      <c r="P594" s="37">
        <v>45991</v>
      </c>
      <c r="Q594" s="25">
        <v>1</v>
      </c>
      <c r="R594" s="48">
        <v>790</v>
      </c>
      <c r="S594" s="34">
        <f t="shared" si="97"/>
        <v>790</v>
      </c>
      <c r="T594" s="34">
        <f t="shared" si="98"/>
        <v>142.19999999999999</v>
      </c>
      <c r="U594" s="34">
        <f t="shared" si="99"/>
        <v>932.2</v>
      </c>
      <c r="V594" s="34"/>
      <c r="W594" s="23" t="s">
        <v>1005</v>
      </c>
    </row>
    <row r="595" spans="1:23" x14ac:dyDescent="0.25">
      <c r="A595" s="31">
        <v>45981.504629629628</v>
      </c>
      <c r="B595" s="32" t="str">
        <f t="shared" si="96"/>
        <v>Nov-25</v>
      </c>
      <c r="C595" s="23" t="s">
        <v>153</v>
      </c>
      <c r="D595" s="23" t="s">
        <v>0</v>
      </c>
      <c r="E595" s="39" t="e">
        <v>#N/A</v>
      </c>
      <c r="F595" s="32" t="str">
        <f>IFERROR(DATEDIF(Table1[[#This Row],[MPG Ope Date]],Table1[[#This Row],[L]],"M"),"")</f>
        <v/>
      </c>
      <c r="G595" s="25">
        <v>1012</v>
      </c>
      <c r="H595" s="23" t="s">
        <v>623</v>
      </c>
      <c r="I595" s="23" t="s">
        <v>666</v>
      </c>
      <c r="J595" s="23">
        <v>9060744847</v>
      </c>
      <c r="K595" s="23" t="s">
        <v>71</v>
      </c>
      <c r="L595" s="23" t="s">
        <v>869</v>
      </c>
      <c r="M595" s="23" t="s">
        <v>141</v>
      </c>
      <c r="N595" s="23" t="s">
        <v>142</v>
      </c>
      <c r="O595" s="32" t="s">
        <v>890</v>
      </c>
      <c r="P595" s="37">
        <v>45991</v>
      </c>
      <c r="Q595" s="25">
        <v>1</v>
      </c>
      <c r="R595" s="48">
        <v>900</v>
      </c>
      <c r="S595" s="34">
        <f t="shared" si="97"/>
        <v>900</v>
      </c>
      <c r="T595" s="34">
        <f t="shared" si="98"/>
        <v>162</v>
      </c>
      <c r="U595" s="34">
        <f t="shared" si="99"/>
        <v>1062</v>
      </c>
      <c r="V595" s="34"/>
      <c r="W595" s="23" t="e">
        <v>#N/A</v>
      </c>
    </row>
    <row r="596" spans="1:23" x14ac:dyDescent="0.25">
      <c r="A596" s="31">
        <v>45981.658726851849</v>
      </c>
      <c r="B596" s="32" t="str">
        <f t="shared" si="96"/>
        <v>Nov-25</v>
      </c>
      <c r="C596" s="23" t="s">
        <v>153</v>
      </c>
      <c r="D596" s="23" t="s">
        <v>369</v>
      </c>
      <c r="E596" s="39">
        <v>44729</v>
      </c>
      <c r="F596" s="32">
        <f>IFERROR(DATEDIF(Table1[[#This Row],[MPG Ope Date]],Table1[[#This Row],[L]],"M"),"")</f>
        <v>41</v>
      </c>
      <c r="G596" s="25">
        <v>10120029</v>
      </c>
      <c r="H596" s="23" t="s">
        <v>9</v>
      </c>
      <c r="I596" s="23" t="s">
        <v>43</v>
      </c>
      <c r="J596" s="23">
        <v>9304265355</v>
      </c>
      <c r="K596" s="23" t="s">
        <v>68</v>
      </c>
      <c r="L596" s="23" t="s">
        <v>870</v>
      </c>
      <c r="M596" s="23" t="s">
        <v>885</v>
      </c>
      <c r="N596" s="23" t="s">
        <v>887</v>
      </c>
      <c r="O596" s="32" t="s">
        <v>890</v>
      </c>
      <c r="P596" s="37">
        <v>45991</v>
      </c>
      <c r="Q596" s="25">
        <v>1</v>
      </c>
      <c r="R596" s="48">
        <v>550</v>
      </c>
      <c r="S596" s="34">
        <f t="shared" si="97"/>
        <v>550</v>
      </c>
      <c r="T596" s="34">
        <f t="shared" si="98"/>
        <v>99</v>
      </c>
      <c r="U596" s="34">
        <f t="shared" si="99"/>
        <v>649</v>
      </c>
      <c r="V596" s="34"/>
      <c r="W596" s="23" t="s">
        <v>1005</v>
      </c>
    </row>
    <row r="597" spans="1:23" x14ac:dyDescent="0.25">
      <c r="A597" s="31">
        <v>45980.650821759256</v>
      </c>
      <c r="B597" s="32" t="str">
        <f t="shared" si="96"/>
        <v>Nov-25</v>
      </c>
      <c r="C597" s="23" t="s">
        <v>153</v>
      </c>
      <c r="D597" s="23" t="s">
        <v>369</v>
      </c>
      <c r="E597" s="39" t="e">
        <v>#N/A</v>
      </c>
      <c r="F597" s="32" t="str">
        <f>IFERROR(DATEDIF(Table1[[#This Row],[MPG Ope Date]],Table1[[#This Row],[L]],"M"),"")</f>
        <v/>
      </c>
      <c r="G597" s="26">
        <v>10030053</v>
      </c>
      <c r="H597" s="50" t="s">
        <v>527</v>
      </c>
      <c r="I597" s="23" t="s">
        <v>484</v>
      </c>
      <c r="J597" s="23">
        <v>9204350523</v>
      </c>
      <c r="K597" s="23" t="s">
        <v>68</v>
      </c>
      <c r="L597" s="23" t="s">
        <v>871</v>
      </c>
      <c r="M597" s="23" t="s">
        <v>133</v>
      </c>
      <c r="N597" s="23" t="s">
        <v>134</v>
      </c>
      <c r="O597" s="32" t="s">
        <v>890</v>
      </c>
      <c r="P597" s="37">
        <v>45991</v>
      </c>
      <c r="Q597" s="25">
        <v>1</v>
      </c>
      <c r="R597" s="48">
        <v>2080</v>
      </c>
      <c r="S597" s="34">
        <f t="shared" si="97"/>
        <v>2080</v>
      </c>
      <c r="T597" s="34">
        <f t="shared" si="98"/>
        <v>374.4</v>
      </c>
      <c r="U597" s="34">
        <f t="shared" si="99"/>
        <v>2454.4</v>
      </c>
      <c r="V597" s="34"/>
      <c r="W597" s="23" t="s">
        <v>1005</v>
      </c>
    </row>
    <row r="598" spans="1:23" x14ac:dyDescent="0.25">
      <c r="A598" s="31">
        <v>45979.688090277778</v>
      </c>
      <c r="B598" s="32" t="str">
        <f t="shared" si="96"/>
        <v>Nov-25</v>
      </c>
      <c r="C598" s="23" t="s">
        <v>153</v>
      </c>
      <c r="D598" s="23" t="s">
        <v>369</v>
      </c>
      <c r="E598" s="39" t="e">
        <v>#N/A</v>
      </c>
      <c r="F598" s="32" t="str">
        <f>IFERROR(DATEDIF(Table1[[#This Row],[MPG Ope Date]],Table1[[#This Row],[L]],"M"),"")</f>
        <v/>
      </c>
      <c r="G598" s="24">
        <v>10140032</v>
      </c>
      <c r="H598" s="50" t="s">
        <v>185</v>
      </c>
      <c r="I598" s="23" t="s">
        <v>221</v>
      </c>
      <c r="J598" s="23">
        <v>8651691707</v>
      </c>
      <c r="K598" s="23" t="s">
        <v>71</v>
      </c>
      <c r="L598" s="23" t="s">
        <v>872</v>
      </c>
      <c r="M598" s="23" t="s">
        <v>129</v>
      </c>
      <c r="N598" s="23" t="s">
        <v>130</v>
      </c>
      <c r="O598" s="32" t="s">
        <v>890</v>
      </c>
      <c r="P598" s="37">
        <v>45991</v>
      </c>
      <c r="Q598" s="25">
        <v>1</v>
      </c>
      <c r="R598" s="48">
        <v>1750</v>
      </c>
      <c r="S598" s="34">
        <f t="shared" si="97"/>
        <v>1750</v>
      </c>
      <c r="T598" s="34">
        <f t="shared" si="98"/>
        <v>315</v>
      </c>
      <c r="U598" s="34">
        <f t="shared" si="99"/>
        <v>2065</v>
      </c>
      <c r="V598" s="34"/>
      <c r="W598" s="23" t="s">
        <v>1005</v>
      </c>
    </row>
    <row r="599" spans="1:23" x14ac:dyDescent="0.25">
      <c r="A599" s="31">
        <v>45978.717581018522</v>
      </c>
      <c r="B599" s="32" t="str">
        <f t="shared" si="96"/>
        <v>Nov-25</v>
      </c>
      <c r="C599" s="23" t="s">
        <v>153</v>
      </c>
      <c r="D599" s="23" t="s">
        <v>369</v>
      </c>
      <c r="E599" s="39">
        <v>44942</v>
      </c>
      <c r="F599" s="32">
        <f>IFERROR(DATEDIF(Table1[[#This Row],[MPG Ope Date]],Table1[[#This Row],[L]],"M"),"")</f>
        <v>34</v>
      </c>
      <c r="G599" s="25">
        <v>10120034</v>
      </c>
      <c r="H599" s="23" t="s">
        <v>839</v>
      </c>
      <c r="I599" s="23" t="s">
        <v>853</v>
      </c>
      <c r="J599" s="23">
        <v>9934519974</v>
      </c>
      <c r="K599" s="23" t="s">
        <v>69</v>
      </c>
      <c r="L599" s="23">
        <v>276141</v>
      </c>
      <c r="M599" s="23" t="s">
        <v>121</v>
      </c>
      <c r="N599" s="23" t="s">
        <v>122</v>
      </c>
      <c r="O599" s="32" t="s">
        <v>890</v>
      </c>
      <c r="P599" s="37">
        <v>45991</v>
      </c>
      <c r="Q599" s="25">
        <v>1</v>
      </c>
      <c r="R599" s="48">
        <v>70</v>
      </c>
      <c r="S599" s="34">
        <f t="shared" si="97"/>
        <v>70</v>
      </c>
      <c r="T599" s="34">
        <f t="shared" si="98"/>
        <v>12.6</v>
      </c>
      <c r="U599" s="34">
        <f t="shared" si="99"/>
        <v>82.6</v>
      </c>
      <c r="V599" s="34"/>
      <c r="W599" s="23" t="s">
        <v>1005</v>
      </c>
    </row>
    <row r="600" spans="1:23" x14ac:dyDescent="0.25">
      <c r="A600" s="31">
        <v>45976.682268518518</v>
      </c>
      <c r="B600" s="32" t="str">
        <f t="shared" si="96"/>
        <v>Nov-25</v>
      </c>
      <c r="C600" s="23" t="s">
        <v>153</v>
      </c>
      <c r="D600" s="23" t="s">
        <v>369</v>
      </c>
      <c r="E600" s="39">
        <v>45745</v>
      </c>
      <c r="F600" s="32">
        <f>IFERROR(DATEDIF(Table1[[#This Row],[MPG Ope Date]],Table1[[#This Row],[L]],"M"),"")</f>
        <v>7</v>
      </c>
      <c r="G600" s="25">
        <v>10080088</v>
      </c>
      <c r="H600" s="23" t="s">
        <v>840</v>
      </c>
      <c r="I600" s="23" t="s">
        <v>854</v>
      </c>
      <c r="J600" s="23">
        <v>7295979378</v>
      </c>
      <c r="K600" s="23" t="s">
        <v>69</v>
      </c>
      <c r="L600" s="23">
        <v>368631</v>
      </c>
      <c r="M600" s="23" t="s">
        <v>127</v>
      </c>
      <c r="N600" s="23" t="s">
        <v>128</v>
      </c>
      <c r="O600" s="32" t="s">
        <v>890</v>
      </c>
      <c r="P600" s="37">
        <v>45991</v>
      </c>
      <c r="Q600" s="25">
        <v>1</v>
      </c>
      <c r="R600" s="48">
        <v>44</v>
      </c>
      <c r="S600" s="34">
        <f t="shared" si="97"/>
        <v>44</v>
      </c>
      <c r="T600" s="34">
        <f t="shared" si="98"/>
        <v>7.92</v>
      </c>
      <c r="U600" s="34">
        <f t="shared" si="99"/>
        <v>51.92</v>
      </c>
      <c r="V600" s="34"/>
      <c r="W600" s="23" t="s">
        <v>1005</v>
      </c>
    </row>
    <row r="601" spans="1:23" x14ac:dyDescent="0.25">
      <c r="A601" s="31">
        <v>45976.687650462962</v>
      </c>
      <c r="B601" s="32" t="str">
        <f t="shared" si="96"/>
        <v>Nov-25</v>
      </c>
      <c r="C601" s="23" t="s">
        <v>153</v>
      </c>
      <c r="D601" s="23" t="s">
        <v>369</v>
      </c>
      <c r="E601" s="39" t="e">
        <v>#N/A</v>
      </c>
      <c r="F601" s="32" t="str">
        <f>IFERROR(DATEDIF(Table1[[#This Row],[MPG Ope Date]],Table1[[#This Row],[L]],"M"),"")</f>
        <v/>
      </c>
      <c r="G601" s="25">
        <v>10060121</v>
      </c>
      <c r="H601" s="50" t="s">
        <v>841</v>
      </c>
      <c r="I601" s="23" t="s">
        <v>325</v>
      </c>
      <c r="J601" s="23">
        <v>7004934761</v>
      </c>
      <c r="K601" s="23" t="s">
        <v>68</v>
      </c>
      <c r="L601" s="23" t="s">
        <v>873</v>
      </c>
      <c r="M601" s="23" t="s">
        <v>137</v>
      </c>
      <c r="N601" s="23" t="s">
        <v>138</v>
      </c>
      <c r="O601" s="32" t="s">
        <v>890</v>
      </c>
      <c r="P601" s="37">
        <v>45991</v>
      </c>
      <c r="Q601" s="25">
        <v>1</v>
      </c>
      <c r="R601" s="48">
        <v>2800</v>
      </c>
      <c r="S601" s="34">
        <f t="shared" si="97"/>
        <v>2800</v>
      </c>
      <c r="T601" s="34">
        <f t="shared" si="98"/>
        <v>504</v>
      </c>
      <c r="U601" s="34">
        <f t="shared" si="99"/>
        <v>3304</v>
      </c>
      <c r="V601" s="34"/>
      <c r="W601" s="23" t="s">
        <v>1005</v>
      </c>
    </row>
    <row r="602" spans="1:23" x14ac:dyDescent="0.25">
      <c r="A602" s="31">
        <v>45976.683622685188</v>
      </c>
      <c r="B602" s="32" t="str">
        <f t="shared" si="96"/>
        <v>Nov-25</v>
      </c>
      <c r="C602" s="23" t="s">
        <v>153</v>
      </c>
      <c r="D602" s="23" t="s">
        <v>369</v>
      </c>
      <c r="E602" s="39">
        <v>45745</v>
      </c>
      <c r="F602" s="32">
        <f>IFERROR(DATEDIF(Table1[[#This Row],[MPG Ope Date]],Table1[[#This Row],[L]],"M"),"")</f>
        <v>7</v>
      </c>
      <c r="G602" s="25">
        <v>10080087</v>
      </c>
      <c r="H602" s="23" t="s">
        <v>553</v>
      </c>
      <c r="I602" s="23" t="s">
        <v>510</v>
      </c>
      <c r="J602" s="23">
        <v>9473190261</v>
      </c>
      <c r="K602" s="23" t="s">
        <v>69</v>
      </c>
      <c r="L602" s="23">
        <v>368630</v>
      </c>
      <c r="M602" s="23" t="s">
        <v>117</v>
      </c>
      <c r="N602" s="23" t="s">
        <v>118</v>
      </c>
      <c r="O602" s="32" t="s">
        <v>890</v>
      </c>
      <c r="P602" s="37">
        <v>45991</v>
      </c>
      <c r="Q602" s="25">
        <v>1</v>
      </c>
      <c r="R602" s="48">
        <v>770</v>
      </c>
      <c r="S602" s="34">
        <f t="shared" si="97"/>
        <v>770</v>
      </c>
      <c r="T602" s="34">
        <f t="shared" si="98"/>
        <v>138.6</v>
      </c>
      <c r="U602" s="34">
        <f t="shared" si="99"/>
        <v>908.6</v>
      </c>
      <c r="V602" s="34"/>
      <c r="W602" s="23" t="s">
        <v>1005</v>
      </c>
    </row>
    <row r="603" spans="1:23" x14ac:dyDescent="0.25">
      <c r="A603" s="31">
        <v>45976.683622685188</v>
      </c>
      <c r="B603" s="32" t="str">
        <f t="shared" si="96"/>
        <v>Nov-25</v>
      </c>
      <c r="C603" s="23" t="s">
        <v>153</v>
      </c>
      <c r="D603" s="23" t="s">
        <v>369</v>
      </c>
      <c r="E603" s="39">
        <v>45745</v>
      </c>
      <c r="F603" s="32">
        <f>IFERROR(DATEDIF(Table1[[#This Row],[MPG Ope Date]],Table1[[#This Row],[L]],"M"),"")</f>
        <v>7</v>
      </c>
      <c r="G603" s="25">
        <v>10080087</v>
      </c>
      <c r="H603" s="23" t="s">
        <v>553</v>
      </c>
      <c r="I603" s="23" t="s">
        <v>510</v>
      </c>
      <c r="J603" s="23">
        <v>9473190261</v>
      </c>
      <c r="K603" s="23" t="s">
        <v>69</v>
      </c>
      <c r="L603" s="23">
        <v>368630</v>
      </c>
      <c r="M603" s="23" t="s">
        <v>127</v>
      </c>
      <c r="N603" s="23" t="s">
        <v>128</v>
      </c>
      <c r="O603" s="32" t="s">
        <v>890</v>
      </c>
      <c r="P603" s="37">
        <v>45991</v>
      </c>
      <c r="Q603" s="25">
        <v>1</v>
      </c>
      <c r="R603" s="48">
        <v>44</v>
      </c>
      <c r="S603" s="34">
        <f t="shared" si="97"/>
        <v>44</v>
      </c>
      <c r="T603" s="34">
        <f t="shared" si="98"/>
        <v>7.92</v>
      </c>
      <c r="U603" s="34">
        <f t="shared" si="99"/>
        <v>51.92</v>
      </c>
      <c r="V603" s="34"/>
      <c r="W603" s="23" t="s">
        <v>1005</v>
      </c>
    </row>
    <row r="604" spans="1:23" x14ac:dyDescent="0.25">
      <c r="A604" s="31">
        <v>45976.683622685188</v>
      </c>
      <c r="B604" s="32" t="str">
        <f t="shared" si="96"/>
        <v>Nov-25</v>
      </c>
      <c r="C604" s="23" t="s">
        <v>153</v>
      </c>
      <c r="D604" s="23" t="s">
        <v>369</v>
      </c>
      <c r="E604" s="39">
        <v>45745</v>
      </c>
      <c r="F604" s="32">
        <f>IFERROR(DATEDIF(Table1[[#This Row],[MPG Ope Date]],Table1[[#This Row],[L]],"M"),"")</f>
        <v>7</v>
      </c>
      <c r="G604" s="25">
        <v>10080087</v>
      </c>
      <c r="H604" s="23" t="s">
        <v>553</v>
      </c>
      <c r="I604" s="23" t="s">
        <v>510</v>
      </c>
      <c r="J604" s="23">
        <v>9473190261</v>
      </c>
      <c r="K604" s="23" t="s">
        <v>69</v>
      </c>
      <c r="L604" s="23">
        <v>368630</v>
      </c>
      <c r="M604" s="23" t="s">
        <v>127</v>
      </c>
      <c r="N604" s="23" t="s">
        <v>128</v>
      </c>
      <c r="O604" s="32" t="s">
        <v>890</v>
      </c>
      <c r="P604" s="37">
        <v>45991</v>
      </c>
      <c r="Q604" s="25">
        <v>1</v>
      </c>
      <c r="R604" s="48">
        <v>44</v>
      </c>
      <c r="S604" s="34">
        <f t="shared" si="97"/>
        <v>44</v>
      </c>
      <c r="T604" s="34">
        <f t="shared" si="98"/>
        <v>7.92</v>
      </c>
      <c r="U604" s="34">
        <f t="shared" si="99"/>
        <v>51.92</v>
      </c>
      <c r="V604" s="34"/>
      <c r="W604" s="23" t="s">
        <v>1005</v>
      </c>
    </row>
    <row r="605" spans="1:23" x14ac:dyDescent="0.25">
      <c r="A605" s="31">
        <v>45974.601666666669</v>
      </c>
      <c r="B605" s="32" t="str">
        <f t="shared" si="96"/>
        <v>Nov-25</v>
      </c>
      <c r="C605" s="23" t="s">
        <v>153</v>
      </c>
      <c r="D605" s="23" t="s">
        <v>369</v>
      </c>
      <c r="E605" s="39">
        <v>44984</v>
      </c>
      <c r="F605" s="32">
        <f>IFERROR(DATEDIF(Table1[[#This Row],[MPG Ope Date]],Table1[[#This Row],[L]],"M"),"")</f>
        <v>32</v>
      </c>
      <c r="G605" s="25">
        <v>10140043</v>
      </c>
      <c r="H605" s="23" t="s">
        <v>842</v>
      </c>
      <c r="I605" s="23" t="s">
        <v>855</v>
      </c>
      <c r="J605" s="23">
        <v>9771144520</v>
      </c>
      <c r="K605" s="23" t="s">
        <v>68</v>
      </c>
      <c r="L605" s="23" t="s">
        <v>874</v>
      </c>
      <c r="M605" s="23" t="s">
        <v>139</v>
      </c>
      <c r="N605" s="23" t="s">
        <v>140</v>
      </c>
      <c r="O605" s="32" t="s">
        <v>890</v>
      </c>
      <c r="P605" s="37">
        <v>45991</v>
      </c>
      <c r="Q605" s="25">
        <v>1</v>
      </c>
      <c r="R605" s="48">
        <v>1266</v>
      </c>
      <c r="S605" s="34">
        <f t="shared" si="97"/>
        <v>1266</v>
      </c>
      <c r="T605" s="34">
        <f t="shared" si="98"/>
        <v>227.88</v>
      </c>
      <c r="U605" s="34">
        <f t="shared" si="99"/>
        <v>1493.88</v>
      </c>
      <c r="V605" s="34"/>
      <c r="W605" s="23" t="s">
        <v>1005</v>
      </c>
    </row>
    <row r="606" spans="1:23" x14ac:dyDescent="0.25">
      <c r="A606" s="31">
        <v>45973.668807870374</v>
      </c>
      <c r="B606" s="32" t="str">
        <f t="shared" si="96"/>
        <v>Nov-25</v>
      </c>
      <c r="C606" s="23" t="s">
        <v>153</v>
      </c>
      <c r="D606" s="23" t="s">
        <v>369</v>
      </c>
      <c r="E606" s="39">
        <v>42979</v>
      </c>
      <c r="F606" s="32">
        <f>IFERROR(DATEDIF(Table1[[#This Row],[MPG Ope Date]],Table1[[#This Row],[L]],"M"),"")</f>
        <v>98</v>
      </c>
      <c r="G606" s="25">
        <v>10090004</v>
      </c>
      <c r="H606" s="23" t="s">
        <v>758</v>
      </c>
      <c r="I606" s="23" t="s">
        <v>785</v>
      </c>
      <c r="J606" s="23">
        <v>9113476504</v>
      </c>
      <c r="K606" s="23" t="s">
        <v>68</v>
      </c>
      <c r="L606" s="23" t="s">
        <v>875</v>
      </c>
      <c r="M606" s="23" t="s">
        <v>123</v>
      </c>
      <c r="N606" s="23" t="s">
        <v>124</v>
      </c>
      <c r="O606" s="32" t="s">
        <v>890</v>
      </c>
      <c r="P606" s="37">
        <v>45991</v>
      </c>
      <c r="Q606" s="25">
        <v>1</v>
      </c>
      <c r="R606" s="48">
        <v>350</v>
      </c>
      <c r="S606" s="34">
        <f t="shared" si="97"/>
        <v>350</v>
      </c>
      <c r="T606" s="34">
        <f t="shared" si="98"/>
        <v>63</v>
      </c>
      <c r="U606" s="34">
        <f t="shared" si="99"/>
        <v>413</v>
      </c>
      <c r="V606" s="34"/>
      <c r="W606" s="23" t="s">
        <v>1005</v>
      </c>
    </row>
    <row r="607" spans="1:23" x14ac:dyDescent="0.25">
      <c r="A607" s="31">
        <v>45971.442314814813</v>
      </c>
      <c r="B607" s="32" t="str">
        <f t="shared" si="96"/>
        <v>Nov-25</v>
      </c>
      <c r="C607" s="23" t="s">
        <v>153</v>
      </c>
      <c r="D607" s="23" t="s">
        <v>369</v>
      </c>
      <c r="E607" s="39">
        <v>44162</v>
      </c>
      <c r="F607" s="32">
        <f>IFERROR(DATEDIF(Table1[[#This Row],[MPG Ope Date]],Table1[[#This Row],[L]],"M"),"")</f>
        <v>59</v>
      </c>
      <c r="G607" s="25">
        <v>10120018</v>
      </c>
      <c r="H607" s="23" t="s">
        <v>843</v>
      </c>
      <c r="I607" s="23" t="s">
        <v>856</v>
      </c>
      <c r="J607" s="23">
        <v>7004875082</v>
      </c>
      <c r="K607" s="23" t="s">
        <v>68</v>
      </c>
      <c r="L607" s="23" t="s">
        <v>876</v>
      </c>
      <c r="M607" s="23" t="s">
        <v>111</v>
      </c>
      <c r="N607" s="23" t="s">
        <v>112</v>
      </c>
      <c r="O607" s="32" t="s">
        <v>890</v>
      </c>
      <c r="P607" s="37">
        <v>45991</v>
      </c>
      <c r="Q607" s="25">
        <v>1</v>
      </c>
      <c r="R607" s="48">
        <v>360</v>
      </c>
      <c r="S607" s="34">
        <f t="shared" si="97"/>
        <v>360</v>
      </c>
      <c r="T607" s="34">
        <f t="shared" si="98"/>
        <v>64.8</v>
      </c>
      <c r="U607" s="34">
        <f t="shared" si="99"/>
        <v>424.8</v>
      </c>
      <c r="V607" s="34"/>
      <c r="W607" s="23" t="s">
        <v>1005</v>
      </c>
    </row>
    <row r="608" spans="1:23" x14ac:dyDescent="0.25">
      <c r="A608" s="31">
        <v>45971.442314814813</v>
      </c>
      <c r="B608" s="32" t="str">
        <f t="shared" si="96"/>
        <v>Nov-25</v>
      </c>
      <c r="C608" s="23" t="s">
        <v>153</v>
      </c>
      <c r="D608" s="23" t="s">
        <v>369</v>
      </c>
      <c r="E608" s="39">
        <v>44162</v>
      </c>
      <c r="F608" s="32">
        <f>IFERROR(DATEDIF(Table1[[#This Row],[MPG Ope Date]],Table1[[#This Row],[L]],"M"),"")</f>
        <v>59</v>
      </c>
      <c r="G608" s="25">
        <v>10120018</v>
      </c>
      <c r="H608" s="23" t="s">
        <v>843</v>
      </c>
      <c r="I608" s="23" t="s">
        <v>856</v>
      </c>
      <c r="J608" s="23">
        <v>7004875082</v>
      </c>
      <c r="K608" s="23" t="s">
        <v>68</v>
      </c>
      <c r="L608" s="23" t="s">
        <v>876</v>
      </c>
      <c r="M608" s="23" t="s">
        <v>135</v>
      </c>
      <c r="N608" s="23" t="s">
        <v>136</v>
      </c>
      <c r="O608" s="32" t="s">
        <v>890</v>
      </c>
      <c r="P608" s="37">
        <v>45991</v>
      </c>
      <c r="Q608" s="25">
        <v>1</v>
      </c>
      <c r="R608" s="48">
        <v>825</v>
      </c>
      <c r="S608" s="34">
        <f t="shared" si="97"/>
        <v>825</v>
      </c>
      <c r="T608" s="34">
        <f t="shared" si="98"/>
        <v>148.5</v>
      </c>
      <c r="U608" s="34">
        <f t="shared" si="99"/>
        <v>973.5</v>
      </c>
      <c r="V608" s="34"/>
      <c r="W608" s="23" t="s">
        <v>1005</v>
      </c>
    </row>
    <row r="609" spans="1:23" x14ac:dyDescent="0.25">
      <c r="A609" s="31">
        <v>45971.7030787037</v>
      </c>
      <c r="B609" s="32" t="str">
        <f t="shared" si="96"/>
        <v>Nov-25</v>
      </c>
      <c r="C609" s="23" t="s">
        <v>153</v>
      </c>
      <c r="D609" s="23" t="s">
        <v>0</v>
      </c>
      <c r="E609" s="39" t="e">
        <v>#N/A</v>
      </c>
      <c r="F609" s="32" t="str">
        <f>IFERROR(DATEDIF(Table1[[#This Row],[MPG Ope Date]],Table1[[#This Row],[L]],"M"),"")</f>
        <v/>
      </c>
      <c r="G609" s="36">
        <v>1001</v>
      </c>
      <c r="H609" s="23" t="s">
        <v>25</v>
      </c>
      <c r="I609" s="23" t="s">
        <v>59</v>
      </c>
      <c r="J609" s="23">
        <v>9354051773</v>
      </c>
      <c r="K609" s="23" t="s">
        <v>68</v>
      </c>
      <c r="L609" s="23" t="s">
        <v>596</v>
      </c>
      <c r="M609" s="23" t="s">
        <v>133</v>
      </c>
      <c r="N609" s="23" t="s">
        <v>134</v>
      </c>
      <c r="O609" s="32" t="s">
        <v>890</v>
      </c>
      <c r="P609" s="37">
        <v>45991</v>
      </c>
      <c r="Q609" s="25">
        <v>1</v>
      </c>
      <c r="R609" s="48">
        <v>2080</v>
      </c>
      <c r="S609" s="34">
        <f t="shared" si="97"/>
        <v>2080</v>
      </c>
      <c r="T609" s="34">
        <f t="shared" si="98"/>
        <v>374.4</v>
      </c>
      <c r="U609" s="34">
        <f t="shared" si="99"/>
        <v>2454.4</v>
      </c>
      <c r="V609" s="34"/>
      <c r="W609" s="23" t="e">
        <v>#N/A</v>
      </c>
    </row>
    <row r="610" spans="1:23" x14ac:dyDescent="0.25">
      <c r="A610" s="31">
        <v>45971.681458333333</v>
      </c>
      <c r="B610" s="32" t="str">
        <f t="shared" si="96"/>
        <v>Nov-25</v>
      </c>
      <c r="C610" s="23" t="s">
        <v>153</v>
      </c>
      <c r="D610" s="23" t="s">
        <v>369</v>
      </c>
      <c r="E610" s="39">
        <v>44943</v>
      </c>
      <c r="F610" s="32">
        <f>IFERROR(DATEDIF(Table1[[#This Row],[MPG Ope Date]],Table1[[#This Row],[L]],"M"),"")</f>
        <v>33</v>
      </c>
      <c r="G610" s="25">
        <v>10120035</v>
      </c>
      <c r="H610" s="23" t="s">
        <v>294</v>
      </c>
      <c r="I610" s="23" t="s">
        <v>326</v>
      </c>
      <c r="J610" s="23">
        <v>7549794524</v>
      </c>
      <c r="K610" s="23" t="s">
        <v>68</v>
      </c>
      <c r="L610" s="23" t="s">
        <v>877</v>
      </c>
      <c r="M610" s="23" t="s">
        <v>111</v>
      </c>
      <c r="N610" s="23" t="s">
        <v>112</v>
      </c>
      <c r="O610" s="32" t="s">
        <v>890</v>
      </c>
      <c r="P610" s="37">
        <v>45991</v>
      </c>
      <c r="Q610" s="25">
        <v>1</v>
      </c>
      <c r="R610" s="48">
        <v>360</v>
      </c>
      <c r="S610" s="34">
        <f t="shared" si="97"/>
        <v>360</v>
      </c>
      <c r="T610" s="34">
        <f t="shared" si="98"/>
        <v>64.8</v>
      </c>
      <c r="U610" s="34">
        <f t="shared" si="99"/>
        <v>424.8</v>
      </c>
      <c r="V610" s="34"/>
      <c r="W610" s="23" t="s">
        <v>1005</v>
      </c>
    </row>
    <row r="611" spans="1:23" x14ac:dyDescent="0.25">
      <c r="A611" s="31">
        <v>45971.682789351849</v>
      </c>
      <c r="B611" s="32" t="str">
        <f t="shared" si="96"/>
        <v>Nov-25</v>
      </c>
      <c r="C611" s="23" t="s">
        <v>153</v>
      </c>
      <c r="D611" s="23" t="s">
        <v>0</v>
      </c>
      <c r="E611" s="39" t="e">
        <v>#N/A</v>
      </c>
      <c r="F611" s="32" t="str">
        <f>IFERROR(DATEDIF(Table1[[#This Row],[MPG Ope Date]],Table1[[#This Row],[L]],"M"),"")</f>
        <v/>
      </c>
      <c r="G611" s="25">
        <v>1012</v>
      </c>
      <c r="H611" s="23" t="s">
        <v>623</v>
      </c>
      <c r="I611" s="23" t="s">
        <v>666</v>
      </c>
      <c r="J611" s="23">
        <v>9060744847</v>
      </c>
      <c r="K611" s="23" t="s">
        <v>70</v>
      </c>
      <c r="L611" s="23" t="s">
        <v>878</v>
      </c>
      <c r="M611" s="23" t="s">
        <v>149</v>
      </c>
      <c r="N611" s="23" t="s">
        <v>150</v>
      </c>
      <c r="O611" s="32" t="s">
        <v>890</v>
      </c>
      <c r="P611" s="37">
        <v>45991</v>
      </c>
      <c r="Q611" s="25">
        <v>1</v>
      </c>
      <c r="R611" s="48">
        <v>925</v>
      </c>
      <c r="S611" s="34">
        <f t="shared" si="97"/>
        <v>925</v>
      </c>
      <c r="T611" s="34">
        <f t="shared" si="98"/>
        <v>166.5</v>
      </c>
      <c r="U611" s="34">
        <f t="shared" si="99"/>
        <v>1091.5</v>
      </c>
      <c r="V611" s="34"/>
      <c r="W611" s="23" t="e">
        <v>#N/A</v>
      </c>
    </row>
    <row r="612" spans="1:23" x14ac:dyDescent="0.25">
      <c r="A612" s="31">
        <v>45969.567662037036</v>
      </c>
      <c r="B612" s="32" t="str">
        <f t="shared" si="96"/>
        <v>Nov-25</v>
      </c>
      <c r="C612" s="23" t="s">
        <v>153</v>
      </c>
      <c r="D612" s="23" t="s">
        <v>369</v>
      </c>
      <c r="E612" s="39" t="e">
        <v>#N/A</v>
      </c>
      <c r="F612" s="32" t="str">
        <f>IFERROR(DATEDIF(Table1[[#This Row],[MPG Ope Date]],Table1[[#This Row],[L]],"M"),"")</f>
        <v/>
      </c>
      <c r="G612" s="26">
        <v>10090047</v>
      </c>
      <c r="H612" s="50" t="s">
        <v>844</v>
      </c>
      <c r="I612" s="23" t="s">
        <v>857</v>
      </c>
      <c r="J612" s="23">
        <v>8825331739</v>
      </c>
      <c r="K612" s="23" t="s">
        <v>68</v>
      </c>
      <c r="L612" s="23" t="s">
        <v>879</v>
      </c>
      <c r="M612" s="23" t="s">
        <v>133</v>
      </c>
      <c r="N612" s="23" t="s">
        <v>134</v>
      </c>
      <c r="O612" s="32" t="s">
        <v>890</v>
      </c>
      <c r="P612" s="37">
        <v>45991</v>
      </c>
      <c r="Q612" s="25">
        <v>1</v>
      </c>
      <c r="R612" s="48">
        <v>2080</v>
      </c>
      <c r="S612" s="34">
        <f t="shared" si="97"/>
        <v>2080</v>
      </c>
      <c r="T612" s="34">
        <f t="shared" si="98"/>
        <v>374.4</v>
      </c>
      <c r="U612" s="34">
        <f t="shared" si="99"/>
        <v>2454.4</v>
      </c>
      <c r="V612" s="34"/>
      <c r="W612" s="23" t="s">
        <v>1005</v>
      </c>
    </row>
    <row r="613" spans="1:23" x14ac:dyDescent="0.25">
      <c r="A613" s="31">
        <v>45969.60423611111</v>
      </c>
      <c r="B613" s="32" t="str">
        <f t="shared" si="96"/>
        <v>Nov-25</v>
      </c>
      <c r="C613" s="23" t="s">
        <v>153</v>
      </c>
      <c r="D613" s="23" t="s">
        <v>369</v>
      </c>
      <c r="E613" s="39" t="e">
        <v>#N/A</v>
      </c>
      <c r="F613" s="32" t="str">
        <f>IFERROR(DATEDIF(Table1[[#This Row],[MPG Ope Date]],Table1[[#This Row],[L]],"M"),"")</f>
        <v/>
      </c>
      <c r="G613" s="25">
        <v>10130015</v>
      </c>
      <c r="H613" s="50" t="s">
        <v>845</v>
      </c>
      <c r="I613" s="23" t="s">
        <v>858</v>
      </c>
      <c r="J613" s="23">
        <v>7739872833</v>
      </c>
      <c r="K613" s="23" t="s">
        <v>68</v>
      </c>
      <c r="L613" s="23" t="s">
        <v>880</v>
      </c>
      <c r="M613" s="23" t="s">
        <v>111</v>
      </c>
      <c r="N613" s="23" t="s">
        <v>112</v>
      </c>
      <c r="O613" s="32" t="s">
        <v>890</v>
      </c>
      <c r="P613" s="37">
        <v>45991</v>
      </c>
      <c r="Q613" s="25">
        <v>1</v>
      </c>
      <c r="R613" s="48">
        <v>360</v>
      </c>
      <c r="S613" s="34">
        <f t="shared" si="97"/>
        <v>360</v>
      </c>
      <c r="T613" s="34">
        <f t="shared" si="98"/>
        <v>64.8</v>
      </c>
      <c r="U613" s="34">
        <f t="shared" si="99"/>
        <v>424.8</v>
      </c>
      <c r="V613" s="34"/>
      <c r="W613" s="23" t="s">
        <v>1005</v>
      </c>
    </row>
    <row r="614" spans="1:23" x14ac:dyDescent="0.25">
      <c r="A614" s="31">
        <v>45967.623356481483</v>
      </c>
      <c r="B614" s="32" t="str">
        <f t="shared" si="96"/>
        <v>Nov-25</v>
      </c>
      <c r="C614" s="23" t="s">
        <v>152</v>
      </c>
      <c r="D614" s="23" t="s">
        <v>369</v>
      </c>
      <c r="E614" s="39" t="e">
        <v>#N/A</v>
      </c>
      <c r="F614" s="32" t="str">
        <f>IFERROR(DATEDIF(Table1[[#This Row],[MPG Ope Date]],Table1[[#This Row],[L]],"M"),"")</f>
        <v/>
      </c>
      <c r="G614" s="25">
        <v>20090014</v>
      </c>
      <c r="H614" s="23" t="s">
        <v>631</v>
      </c>
      <c r="I614" s="23" t="s">
        <v>674</v>
      </c>
      <c r="J614" s="23">
        <v>7667809258</v>
      </c>
      <c r="K614" s="23" t="s">
        <v>68</v>
      </c>
      <c r="L614" s="23" t="s">
        <v>716</v>
      </c>
      <c r="M614" s="23" t="s">
        <v>886</v>
      </c>
      <c r="N614" s="23" t="s">
        <v>888</v>
      </c>
      <c r="O614" s="32" t="s">
        <v>889</v>
      </c>
      <c r="P614" s="37">
        <v>45991</v>
      </c>
      <c r="Q614" s="25">
        <v>1</v>
      </c>
      <c r="R614" s="48">
        <v>625</v>
      </c>
      <c r="S614" s="34">
        <f t="shared" si="97"/>
        <v>625</v>
      </c>
      <c r="T614" s="34">
        <f t="shared" si="98"/>
        <v>112.5</v>
      </c>
      <c r="U614" s="34">
        <f t="shared" si="99"/>
        <v>737.5</v>
      </c>
      <c r="V614" s="34"/>
      <c r="W614" s="23" t="e">
        <v>#N/A</v>
      </c>
    </row>
    <row r="615" spans="1:23" x14ac:dyDescent="0.25">
      <c r="A615" s="31">
        <v>45966.668217592596</v>
      </c>
      <c r="B615" s="32" t="str">
        <f t="shared" si="96"/>
        <v>Nov-25</v>
      </c>
      <c r="C615" s="23" t="s">
        <v>153</v>
      </c>
      <c r="D615" s="23" t="s">
        <v>369</v>
      </c>
      <c r="E615" s="39">
        <v>45323</v>
      </c>
      <c r="F615" s="32">
        <f>IFERROR(DATEDIF(Table1[[#This Row],[MPG Ope Date]],Table1[[#This Row],[L]],"M"),"")</f>
        <v>21</v>
      </c>
      <c r="G615" s="25">
        <v>10030066</v>
      </c>
      <c r="H615" s="23" t="s">
        <v>1013</v>
      </c>
      <c r="I615" s="23" t="s">
        <v>859</v>
      </c>
      <c r="J615" s="23">
        <v>9128754517</v>
      </c>
      <c r="K615" s="23" t="s">
        <v>69</v>
      </c>
      <c r="L615" s="23">
        <v>391603</v>
      </c>
      <c r="M615" s="23" t="s">
        <v>615</v>
      </c>
      <c r="N615" s="23" t="s">
        <v>616</v>
      </c>
      <c r="O615" s="32" t="s">
        <v>890</v>
      </c>
      <c r="P615" s="37">
        <v>45991</v>
      </c>
      <c r="Q615" s="25">
        <v>1</v>
      </c>
      <c r="R615" s="48">
        <v>120</v>
      </c>
      <c r="S615" s="34">
        <f t="shared" si="97"/>
        <v>120</v>
      </c>
      <c r="T615" s="34">
        <f t="shared" si="98"/>
        <v>21.599999999999998</v>
      </c>
      <c r="U615" s="34">
        <f t="shared" si="99"/>
        <v>141.6</v>
      </c>
      <c r="V615" s="34"/>
      <c r="W615" s="23" t="s">
        <v>1005</v>
      </c>
    </row>
    <row r="616" spans="1:23" x14ac:dyDescent="0.25">
      <c r="A616" s="31">
        <v>45966.694849537038</v>
      </c>
      <c r="B616" s="32" t="str">
        <f t="shared" si="96"/>
        <v>Nov-25</v>
      </c>
      <c r="C616" s="23" t="s">
        <v>153</v>
      </c>
      <c r="D616" s="23" t="s">
        <v>369</v>
      </c>
      <c r="E616" s="39">
        <v>45869</v>
      </c>
      <c r="F616" s="32">
        <f>IFERROR(DATEDIF(Table1[[#This Row],[MPG Ope Date]],Table1[[#This Row],[L]],"M"),"")</f>
        <v>3</v>
      </c>
      <c r="G616" s="25">
        <v>10110164</v>
      </c>
      <c r="H616" s="23" t="s">
        <v>846</v>
      </c>
      <c r="I616" s="23" t="s">
        <v>860</v>
      </c>
      <c r="J616" s="23">
        <v>7283027574</v>
      </c>
      <c r="K616" s="23" t="s">
        <v>70</v>
      </c>
      <c r="L616" s="23" t="s">
        <v>881</v>
      </c>
      <c r="M616" s="23" t="s">
        <v>123</v>
      </c>
      <c r="N616" s="23" t="s">
        <v>124</v>
      </c>
      <c r="O616" s="32" t="s">
        <v>890</v>
      </c>
      <c r="P616" s="37">
        <v>45991</v>
      </c>
      <c r="Q616" s="25">
        <v>1</v>
      </c>
      <c r="R616" s="48">
        <v>350</v>
      </c>
      <c r="S616" s="34">
        <f t="shared" si="97"/>
        <v>350</v>
      </c>
      <c r="T616" s="34">
        <f t="shared" si="98"/>
        <v>63</v>
      </c>
      <c r="U616" s="34">
        <f t="shared" si="99"/>
        <v>413</v>
      </c>
      <c r="V616" s="34"/>
      <c r="W616" s="23" t="s">
        <v>1005</v>
      </c>
    </row>
    <row r="617" spans="1:23" x14ac:dyDescent="0.25">
      <c r="A617" s="31">
        <v>45966.62159722222</v>
      </c>
      <c r="B617" s="32" t="str">
        <f t="shared" si="96"/>
        <v>Nov-25</v>
      </c>
      <c r="C617" s="23" t="s">
        <v>153</v>
      </c>
      <c r="D617" s="23" t="s">
        <v>369</v>
      </c>
      <c r="E617" s="39">
        <v>45535</v>
      </c>
      <c r="F617" s="32">
        <f>IFERROR(DATEDIF(Table1[[#This Row],[MPG Ope Date]],Table1[[#This Row],[L]],"M"),"")</f>
        <v>14</v>
      </c>
      <c r="G617" s="25">
        <v>10140119</v>
      </c>
      <c r="H617" s="23" t="s">
        <v>847</v>
      </c>
      <c r="I617" s="23" t="s">
        <v>861</v>
      </c>
      <c r="J617" s="23">
        <v>7004559738</v>
      </c>
      <c r="K617" s="23" t="s">
        <v>69</v>
      </c>
      <c r="L617" s="23">
        <v>399065</v>
      </c>
      <c r="M617" s="23" t="s">
        <v>121</v>
      </c>
      <c r="N617" s="23" t="s">
        <v>122</v>
      </c>
      <c r="O617" s="32" t="s">
        <v>890</v>
      </c>
      <c r="P617" s="37">
        <v>45991</v>
      </c>
      <c r="Q617" s="25">
        <v>1</v>
      </c>
      <c r="R617" s="48">
        <v>70</v>
      </c>
      <c r="S617" s="34">
        <f t="shared" si="97"/>
        <v>70</v>
      </c>
      <c r="T617" s="34">
        <f t="shared" si="98"/>
        <v>12.6</v>
      </c>
      <c r="U617" s="34">
        <f t="shared" si="99"/>
        <v>82.6</v>
      </c>
      <c r="V617" s="34"/>
      <c r="W617" s="23" t="s">
        <v>1005</v>
      </c>
    </row>
    <row r="618" spans="1:23" x14ac:dyDescent="0.25">
      <c r="A618" s="31">
        <v>45966.696192129632</v>
      </c>
      <c r="B618" s="32" t="str">
        <f t="shared" si="96"/>
        <v>Nov-25</v>
      </c>
      <c r="C618" s="23" t="s">
        <v>153</v>
      </c>
      <c r="D618" s="23" t="s">
        <v>369</v>
      </c>
      <c r="E618" s="39">
        <v>45631</v>
      </c>
      <c r="F618" s="32">
        <f>IFERROR(DATEDIF(Table1[[#This Row],[MPG Ope Date]],Table1[[#This Row],[L]],"M"),"")</f>
        <v>11</v>
      </c>
      <c r="G618" s="25">
        <v>10110094</v>
      </c>
      <c r="H618" s="23" t="s">
        <v>627</v>
      </c>
      <c r="I618" s="23" t="s">
        <v>670</v>
      </c>
      <c r="J618" s="23">
        <v>7549729151</v>
      </c>
      <c r="K618" s="23" t="s">
        <v>70</v>
      </c>
      <c r="L618" s="23" t="s">
        <v>882</v>
      </c>
      <c r="M618" s="23" t="s">
        <v>123</v>
      </c>
      <c r="N618" s="23" t="s">
        <v>124</v>
      </c>
      <c r="O618" s="32" t="s">
        <v>890</v>
      </c>
      <c r="P618" s="37">
        <v>45991</v>
      </c>
      <c r="Q618" s="25">
        <v>1</v>
      </c>
      <c r="R618" s="48">
        <v>350</v>
      </c>
      <c r="S618" s="34">
        <f t="shared" si="97"/>
        <v>350</v>
      </c>
      <c r="T618" s="34">
        <f t="shared" si="98"/>
        <v>63</v>
      </c>
      <c r="U618" s="34">
        <f t="shared" si="99"/>
        <v>413</v>
      </c>
      <c r="V618" s="34"/>
      <c r="W618" s="23" t="s">
        <v>1005</v>
      </c>
    </row>
    <row r="619" spans="1:23" x14ac:dyDescent="0.25">
      <c r="A619" s="31">
        <v>45965.417233796295</v>
      </c>
      <c r="B619" s="32" t="str">
        <f t="shared" si="96"/>
        <v>Nov-25</v>
      </c>
      <c r="C619" s="23" t="s">
        <v>153</v>
      </c>
      <c r="D619" s="23" t="s">
        <v>369</v>
      </c>
      <c r="E619" s="39">
        <v>44779</v>
      </c>
      <c r="F619" s="32">
        <f>IFERROR(DATEDIF(Table1[[#This Row],[MPG Ope Date]],Table1[[#This Row],[L]],"M"),"")</f>
        <v>38</v>
      </c>
      <c r="G619" s="25">
        <v>10020023</v>
      </c>
      <c r="H619" s="23" t="s">
        <v>635</v>
      </c>
      <c r="I619" s="23" t="s">
        <v>678</v>
      </c>
      <c r="J619" s="23">
        <v>7979912299</v>
      </c>
      <c r="K619" s="23" t="s">
        <v>68</v>
      </c>
      <c r="L619" s="23" t="s">
        <v>719</v>
      </c>
      <c r="M619" s="23" t="s">
        <v>260</v>
      </c>
      <c r="N619" s="23" t="s">
        <v>261</v>
      </c>
      <c r="O619" s="32" t="s">
        <v>890</v>
      </c>
      <c r="P619" s="37">
        <v>45991</v>
      </c>
      <c r="Q619" s="25">
        <v>1</v>
      </c>
      <c r="R619" s="48">
        <v>2080</v>
      </c>
      <c r="S619" s="34">
        <f t="shared" si="97"/>
        <v>2080</v>
      </c>
      <c r="T619" s="34">
        <f t="shared" si="98"/>
        <v>374.4</v>
      </c>
      <c r="U619" s="34">
        <f t="shared" si="99"/>
        <v>2454.4</v>
      </c>
      <c r="V619" s="34"/>
      <c r="W619" s="23" t="s">
        <v>1005</v>
      </c>
    </row>
    <row r="620" spans="1:23" x14ac:dyDescent="0.25">
      <c r="A620" s="31">
        <v>45964.718356481484</v>
      </c>
      <c r="B620" s="32" t="str">
        <f t="shared" si="96"/>
        <v>Nov-25</v>
      </c>
      <c r="C620" s="23" t="s">
        <v>153</v>
      </c>
      <c r="D620" s="23" t="s">
        <v>369</v>
      </c>
      <c r="E620" s="39" t="e">
        <v>#N/A</v>
      </c>
      <c r="F620" s="32" t="str">
        <f>IFERROR(DATEDIF(Table1[[#This Row],[MPG Ope Date]],Table1[[#This Row],[L]],"M"),"")</f>
        <v/>
      </c>
      <c r="G620" s="27">
        <v>10110049</v>
      </c>
      <c r="H620" s="23" t="s">
        <v>1002</v>
      </c>
      <c r="I620" s="23" t="s">
        <v>1003</v>
      </c>
      <c r="J620" s="23">
        <v>9631135565</v>
      </c>
      <c r="K620" s="23" t="s">
        <v>70</v>
      </c>
      <c r="L620" s="23" t="s">
        <v>883</v>
      </c>
      <c r="M620" s="23" t="s">
        <v>123</v>
      </c>
      <c r="N620" s="23" t="s">
        <v>124</v>
      </c>
      <c r="O620" s="32" t="s">
        <v>890</v>
      </c>
      <c r="P620" s="37">
        <v>45991</v>
      </c>
      <c r="Q620" s="25">
        <v>1</v>
      </c>
      <c r="R620" s="48">
        <v>350</v>
      </c>
      <c r="S620" s="34">
        <f t="shared" si="97"/>
        <v>350</v>
      </c>
      <c r="T620" s="34">
        <f t="shared" si="98"/>
        <v>63</v>
      </c>
      <c r="U620" s="34">
        <f t="shared" si="99"/>
        <v>413</v>
      </c>
      <c r="V620" s="34"/>
      <c r="W620" s="23" t="s">
        <v>1006</v>
      </c>
    </row>
    <row r="621" spans="1:23" x14ac:dyDescent="0.25">
      <c r="A621" s="31">
        <v>45962</v>
      </c>
      <c r="B621" s="32" t="str">
        <f t="shared" si="96"/>
        <v>Nov-25</v>
      </c>
      <c r="C621" s="23" t="s">
        <v>153</v>
      </c>
      <c r="D621" s="23" t="s">
        <v>369</v>
      </c>
      <c r="E621" s="39">
        <v>45770</v>
      </c>
      <c r="F621" s="32">
        <f>IFERROR(DATEDIF(Table1[[#This Row],[MPG Ope Date]],Table1[[#This Row],[L]],"M"),"")</f>
        <v>6</v>
      </c>
      <c r="G621" s="38">
        <v>10070063</v>
      </c>
      <c r="H621" s="23" t="s">
        <v>193</v>
      </c>
      <c r="I621" s="23" t="s">
        <v>229</v>
      </c>
      <c r="J621" s="23">
        <v>8051888251</v>
      </c>
      <c r="K621" s="23" t="s">
        <v>70</v>
      </c>
      <c r="L621" s="23" t="s">
        <v>884</v>
      </c>
      <c r="M621" s="23" t="s">
        <v>123</v>
      </c>
      <c r="N621" s="23" t="s">
        <v>124</v>
      </c>
      <c r="O621" s="32" t="s">
        <v>890</v>
      </c>
      <c r="P621" s="37">
        <v>45991</v>
      </c>
      <c r="Q621" s="25">
        <v>1</v>
      </c>
      <c r="R621" s="48">
        <v>350</v>
      </c>
      <c r="S621" s="34">
        <f t="shared" si="97"/>
        <v>350</v>
      </c>
      <c r="T621" s="34">
        <f t="shared" si="98"/>
        <v>63</v>
      </c>
      <c r="U621" s="34">
        <f t="shared" si="99"/>
        <v>413</v>
      </c>
      <c r="V621" s="34"/>
      <c r="W621" s="23" t="s">
        <v>1005</v>
      </c>
    </row>
    <row r="622" spans="1:23" x14ac:dyDescent="0.25">
      <c r="A622" s="31">
        <v>46022.413969907408</v>
      </c>
      <c r="B622" s="32" t="str">
        <f>TEXT(A622,"mmm-yy")</f>
        <v>Dec-25</v>
      </c>
      <c r="C622" s="23" t="s">
        <v>153</v>
      </c>
      <c r="D622" s="23" t="s">
        <v>369</v>
      </c>
      <c r="E622" s="39">
        <v>44915</v>
      </c>
      <c r="F622" s="32">
        <f>IFERROR(DATEDIF(Table1[[#This Row],[MPG Ope Date]],Table1[[#This Row],[L]],"M"),"")</f>
        <v>36</v>
      </c>
      <c r="G622" s="25">
        <v>10130044</v>
      </c>
      <c r="H622" s="41" t="s">
        <v>29</v>
      </c>
      <c r="I622" s="41" t="s">
        <v>63</v>
      </c>
      <c r="J622" s="41">
        <v>7765934465</v>
      </c>
      <c r="K622" s="41" t="s">
        <v>68</v>
      </c>
      <c r="L622" s="41" t="s">
        <v>956</v>
      </c>
      <c r="M622" s="41" t="s">
        <v>137</v>
      </c>
      <c r="N622" s="41" t="s">
        <v>138</v>
      </c>
      <c r="O622" s="32"/>
      <c r="P622" s="37"/>
      <c r="Q622" s="46">
        <v>1</v>
      </c>
      <c r="R622" s="44">
        <v>2800</v>
      </c>
      <c r="S622" s="34">
        <f>+Q622*R622</f>
        <v>2800</v>
      </c>
      <c r="T622" s="34">
        <f>+S622*0.18</f>
        <v>504</v>
      </c>
      <c r="U622" s="34">
        <f>+S622+T622</f>
        <v>3304</v>
      </c>
      <c r="V622" s="34"/>
      <c r="W622" s="23" t="s">
        <v>1005</v>
      </c>
    </row>
    <row r="623" spans="1:23" x14ac:dyDescent="0.25">
      <c r="A623" s="31">
        <v>46022.650729166664</v>
      </c>
      <c r="B623" s="32" t="str">
        <f t="shared" ref="B623:B654" si="100">TEXT(A623,"mmm-yy")</f>
        <v>Dec-25</v>
      </c>
      <c r="C623" s="23" t="s">
        <v>153</v>
      </c>
      <c r="D623" s="23" t="s">
        <v>369</v>
      </c>
      <c r="E623" s="39">
        <v>45698</v>
      </c>
      <c r="F623" s="32">
        <f>IFERROR(DATEDIF(Table1[[#This Row],[MPG Ope Date]],Table1[[#This Row],[L]],"M"),"")</f>
        <v>10</v>
      </c>
      <c r="G623" s="25">
        <v>10130091</v>
      </c>
      <c r="H623" s="41" t="s">
        <v>897</v>
      </c>
      <c r="I623" s="41" t="s">
        <v>927</v>
      </c>
      <c r="J623" s="41">
        <v>9801495461</v>
      </c>
      <c r="K623" s="41" t="s">
        <v>69</v>
      </c>
      <c r="L623" s="41" t="s">
        <v>957</v>
      </c>
      <c r="M623" s="41" t="s">
        <v>117</v>
      </c>
      <c r="N623" s="41" t="s">
        <v>118</v>
      </c>
      <c r="O623" s="32"/>
      <c r="P623" s="37"/>
      <c r="Q623" s="46">
        <v>1</v>
      </c>
      <c r="R623" s="44">
        <v>770</v>
      </c>
      <c r="S623" s="34">
        <f t="shared" ref="S623:S654" si="101">+Q623*R623</f>
        <v>770</v>
      </c>
      <c r="T623" s="34">
        <f t="shared" ref="T623:T654" si="102">+S623*0.18</f>
        <v>138.6</v>
      </c>
      <c r="U623" s="34">
        <f t="shared" ref="U623:U654" si="103">+S623+T623</f>
        <v>908.6</v>
      </c>
      <c r="V623" s="34"/>
      <c r="W623" s="23" t="s">
        <v>1005</v>
      </c>
    </row>
    <row r="624" spans="1:23" x14ac:dyDescent="0.25">
      <c r="A624" s="31">
        <v>46020.778229166666</v>
      </c>
      <c r="B624" s="32" t="str">
        <f t="shared" si="100"/>
        <v>Dec-25</v>
      </c>
      <c r="C624" s="23" t="s">
        <v>153</v>
      </c>
      <c r="D624" s="23" t="s">
        <v>369</v>
      </c>
      <c r="E624" s="39">
        <v>44453</v>
      </c>
      <c r="F624" s="32">
        <f>IFERROR(DATEDIF(Table1[[#This Row],[MPG Ope Date]],Table1[[#This Row],[L]],"M"),"")</f>
        <v>51</v>
      </c>
      <c r="G624" s="25">
        <v>10120025</v>
      </c>
      <c r="H624" s="41" t="s">
        <v>171</v>
      </c>
      <c r="I624" s="41" t="s">
        <v>208</v>
      </c>
      <c r="J624" s="41">
        <v>7667270854</v>
      </c>
      <c r="K624" s="41" t="s">
        <v>68</v>
      </c>
      <c r="L624" s="41" t="s">
        <v>247</v>
      </c>
      <c r="M624" s="41" t="s">
        <v>258</v>
      </c>
      <c r="N624" s="41" t="s">
        <v>259</v>
      </c>
      <c r="O624" s="32"/>
      <c r="P624" s="37"/>
      <c r="Q624" s="46">
        <v>1</v>
      </c>
      <c r="R624" s="44">
        <v>788</v>
      </c>
      <c r="S624" s="34">
        <f t="shared" si="101"/>
        <v>788</v>
      </c>
      <c r="T624" s="34">
        <f t="shared" si="102"/>
        <v>141.84</v>
      </c>
      <c r="U624" s="34">
        <f t="shared" si="103"/>
        <v>929.84</v>
      </c>
      <c r="V624" s="34"/>
      <c r="W624" s="23" t="s">
        <v>1005</v>
      </c>
    </row>
    <row r="625" spans="1:23" x14ac:dyDescent="0.25">
      <c r="A625" s="31">
        <v>46020.778229166666</v>
      </c>
      <c r="B625" s="32" t="str">
        <f t="shared" si="100"/>
        <v>Dec-25</v>
      </c>
      <c r="C625" s="23" t="s">
        <v>153</v>
      </c>
      <c r="D625" s="23" t="s">
        <v>369</v>
      </c>
      <c r="E625" s="39">
        <v>44453</v>
      </c>
      <c r="F625" s="32">
        <f>IFERROR(DATEDIF(Table1[[#This Row],[MPG Ope Date]],Table1[[#This Row],[L]],"M"),"")</f>
        <v>51</v>
      </c>
      <c r="G625" s="25">
        <v>10120025</v>
      </c>
      <c r="H625" s="41" t="s">
        <v>171</v>
      </c>
      <c r="I625" s="41" t="s">
        <v>208</v>
      </c>
      <c r="J625" s="41">
        <v>7667270854</v>
      </c>
      <c r="K625" s="41" t="s">
        <v>68</v>
      </c>
      <c r="L625" s="41" t="s">
        <v>247</v>
      </c>
      <c r="M625" s="41" t="s">
        <v>260</v>
      </c>
      <c r="N625" s="41" t="s">
        <v>261</v>
      </c>
      <c r="O625" s="32"/>
      <c r="P625" s="37"/>
      <c r="Q625" s="46">
        <v>1</v>
      </c>
      <c r="R625" s="44">
        <v>2080</v>
      </c>
      <c r="S625" s="34">
        <f t="shared" si="101"/>
        <v>2080</v>
      </c>
      <c r="T625" s="34">
        <f t="shared" si="102"/>
        <v>374.4</v>
      </c>
      <c r="U625" s="34">
        <f t="shared" si="103"/>
        <v>2454.4</v>
      </c>
      <c r="V625" s="34"/>
      <c r="W625" s="23" t="s">
        <v>1005</v>
      </c>
    </row>
    <row r="626" spans="1:23" x14ac:dyDescent="0.25">
      <c r="A626" s="31">
        <v>46020.644930555558</v>
      </c>
      <c r="B626" s="32" t="str">
        <f t="shared" si="100"/>
        <v>Dec-25</v>
      </c>
      <c r="C626" s="23" t="s">
        <v>153</v>
      </c>
      <c r="D626" s="23" t="s">
        <v>369</v>
      </c>
      <c r="E626" s="39">
        <v>44665</v>
      </c>
      <c r="F626" s="32">
        <f>IFERROR(DATEDIF(Table1[[#This Row],[MPG Ope Date]],Table1[[#This Row],[L]],"M"),"")</f>
        <v>44</v>
      </c>
      <c r="G626" s="25">
        <v>10140008</v>
      </c>
      <c r="H626" s="41" t="s">
        <v>898</v>
      </c>
      <c r="I626" s="41" t="s">
        <v>928</v>
      </c>
      <c r="J626" s="41">
        <v>7654831161</v>
      </c>
      <c r="K626" s="41" t="s">
        <v>69</v>
      </c>
      <c r="L626" s="41">
        <v>359884</v>
      </c>
      <c r="M626" s="41" t="s">
        <v>121</v>
      </c>
      <c r="N626" s="41" t="s">
        <v>122</v>
      </c>
      <c r="O626" s="32"/>
      <c r="P626" s="37"/>
      <c r="Q626" s="46">
        <v>1</v>
      </c>
      <c r="R626" s="44">
        <v>70</v>
      </c>
      <c r="S626" s="34">
        <f t="shared" si="101"/>
        <v>70</v>
      </c>
      <c r="T626" s="34">
        <f t="shared" si="102"/>
        <v>12.6</v>
      </c>
      <c r="U626" s="34">
        <f t="shared" si="103"/>
        <v>82.6</v>
      </c>
      <c r="V626" s="34"/>
      <c r="W626" s="23" t="s">
        <v>1005</v>
      </c>
    </row>
    <row r="627" spans="1:23" x14ac:dyDescent="0.25">
      <c r="A627" s="31">
        <v>46016.673518518517</v>
      </c>
      <c r="B627" s="32" t="str">
        <f t="shared" si="100"/>
        <v>Dec-25</v>
      </c>
      <c r="C627" s="23" t="s">
        <v>153</v>
      </c>
      <c r="D627" s="23" t="s">
        <v>369</v>
      </c>
      <c r="E627" s="39">
        <v>44958</v>
      </c>
      <c r="F627" s="32">
        <f>IFERROR(DATEDIF(Table1[[#This Row],[MPG Ope Date]],Table1[[#This Row],[L]],"M"),"")</f>
        <v>34</v>
      </c>
      <c r="G627" s="25">
        <v>10060029</v>
      </c>
      <c r="H627" s="41" t="s">
        <v>899</v>
      </c>
      <c r="I627" s="41" t="s">
        <v>929</v>
      </c>
      <c r="J627" s="41">
        <v>9771640116</v>
      </c>
      <c r="K627" s="41" t="s">
        <v>71</v>
      </c>
      <c r="L627" s="41" t="s">
        <v>958</v>
      </c>
      <c r="M627" s="41" t="s">
        <v>141</v>
      </c>
      <c r="N627" s="41" t="s">
        <v>142</v>
      </c>
      <c r="O627" s="32"/>
      <c r="P627" s="37"/>
      <c r="Q627" s="46">
        <v>1</v>
      </c>
      <c r="R627" s="44">
        <v>900</v>
      </c>
      <c r="S627" s="34">
        <f t="shared" si="101"/>
        <v>900</v>
      </c>
      <c r="T627" s="34">
        <f t="shared" si="102"/>
        <v>162</v>
      </c>
      <c r="U627" s="34">
        <f t="shared" si="103"/>
        <v>1062</v>
      </c>
      <c r="V627" s="34"/>
      <c r="W627" s="23" t="s">
        <v>1005</v>
      </c>
    </row>
    <row r="628" spans="1:23" x14ac:dyDescent="0.25">
      <c r="A628" s="31">
        <v>46014.697858796295</v>
      </c>
      <c r="B628" s="32" t="str">
        <f t="shared" si="100"/>
        <v>Dec-25</v>
      </c>
      <c r="C628" s="23" t="s">
        <v>153</v>
      </c>
      <c r="D628" s="23" t="s">
        <v>369</v>
      </c>
      <c r="E628" s="39">
        <v>44866</v>
      </c>
      <c r="F628" s="32">
        <f>IFERROR(DATEDIF(Table1[[#This Row],[MPG Ope Date]],Table1[[#This Row],[L]],"M"),"")</f>
        <v>37</v>
      </c>
      <c r="G628" s="25">
        <v>10020026</v>
      </c>
      <c r="H628" s="41" t="s">
        <v>559</v>
      </c>
      <c r="I628" s="41" t="s">
        <v>516</v>
      </c>
      <c r="J628" s="41">
        <v>6202734219</v>
      </c>
      <c r="K628" s="41" t="s">
        <v>68</v>
      </c>
      <c r="L628" s="41" t="s">
        <v>608</v>
      </c>
      <c r="M628" s="41" t="s">
        <v>111</v>
      </c>
      <c r="N628" s="41" t="s">
        <v>112</v>
      </c>
      <c r="O628" s="32"/>
      <c r="P628" s="37"/>
      <c r="Q628" s="46">
        <v>1</v>
      </c>
      <c r="R628" s="44">
        <v>360</v>
      </c>
      <c r="S628" s="34">
        <f t="shared" si="101"/>
        <v>360</v>
      </c>
      <c r="T628" s="34">
        <f t="shared" si="102"/>
        <v>64.8</v>
      </c>
      <c r="U628" s="34">
        <f t="shared" si="103"/>
        <v>424.8</v>
      </c>
      <c r="V628" s="34"/>
      <c r="W628" s="23" t="s">
        <v>1005</v>
      </c>
    </row>
    <row r="629" spans="1:23" x14ac:dyDescent="0.25">
      <c r="A629" s="31">
        <v>46014.697858796295</v>
      </c>
      <c r="B629" s="32" t="str">
        <f t="shared" si="100"/>
        <v>Dec-25</v>
      </c>
      <c r="C629" s="23" t="s">
        <v>153</v>
      </c>
      <c r="D629" s="23" t="s">
        <v>369</v>
      </c>
      <c r="E629" s="39">
        <v>44866</v>
      </c>
      <c r="F629" s="32">
        <f>IFERROR(DATEDIF(Table1[[#This Row],[MPG Ope Date]],Table1[[#This Row],[L]],"M"),"")</f>
        <v>37</v>
      </c>
      <c r="G629" s="25">
        <v>10020026</v>
      </c>
      <c r="H629" s="41" t="s">
        <v>559</v>
      </c>
      <c r="I629" s="41" t="s">
        <v>516</v>
      </c>
      <c r="J629" s="41">
        <v>6202734219</v>
      </c>
      <c r="K629" s="41" t="s">
        <v>68</v>
      </c>
      <c r="L629" s="41" t="s">
        <v>608</v>
      </c>
      <c r="M629" s="41" t="s">
        <v>260</v>
      </c>
      <c r="N629" s="41" t="s">
        <v>261</v>
      </c>
      <c r="O629" s="32"/>
      <c r="P629" s="37"/>
      <c r="Q629" s="46">
        <v>1</v>
      </c>
      <c r="R629" s="44">
        <v>2080</v>
      </c>
      <c r="S629" s="34">
        <f t="shared" si="101"/>
        <v>2080</v>
      </c>
      <c r="T629" s="34">
        <f t="shared" si="102"/>
        <v>374.4</v>
      </c>
      <c r="U629" s="34">
        <f t="shared" si="103"/>
        <v>2454.4</v>
      </c>
      <c r="V629" s="34"/>
      <c r="W629" s="23" t="s">
        <v>1005</v>
      </c>
    </row>
    <row r="630" spans="1:23" x14ac:dyDescent="0.25">
      <c r="A630" s="31">
        <v>46014.69804398148</v>
      </c>
      <c r="B630" s="32" t="str">
        <f t="shared" si="100"/>
        <v>Dec-25</v>
      </c>
      <c r="C630" s="23" t="s">
        <v>153</v>
      </c>
      <c r="D630" s="23" t="s">
        <v>369</v>
      </c>
      <c r="E630" s="39">
        <v>44866</v>
      </c>
      <c r="F630" s="32">
        <f>IFERROR(DATEDIF(Table1[[#This Row],[MPG Ope Date]],Table1[[#This Row],[L]],"M"),"")</f>
        <v>37</v>
      </c>
      <c r="G630" s="25">
        <v>10020026</v>
      </c>
      <c r="H630" s="41" t="s">
        <v>559</v>
      </c>
      <c r="I630" s="41" t="s">
        <v>516</v>
      </c>
      <c r="J630" s="41">
        <v>6202734219</v>
      </c>
      <c r="K630" s="41" t="s">
        <v>71</v>
      </c>
      <c r="L630" s="41" t="s">
        <v>959</v>
      </c>
      <c r="M630" s="41" t="s">
        <v>129</v>
      </c>
      <c r="N630" s="41" t="s">
        <v>130</v>
      </c>
      <c r="O630" s="32"/>
      <c r="P630" s="37"/>
      <c r="Q630" s="46">
        <v>1</v>
      </c>
      <c r="R630" s="44">
        <v>1750</v>
      </c>
      <c r="S630" s="34">
        <f t="shared" si="101"/>
        <v>1750</v>
      </c>
      <c r="T630" s="34">
        <f t="shared" si="102"/>
        <v>315</v>
      </c>
      <c r="U630" s="34">
        <f t="shared" si="103"/>
        <v>2065</v>
      </c>
      <c r="V630" s="34"/>
      <c r="W630" s="23" t="s">
        <v>1005</v>
      </c>
    </row>
    <row r="631" spans="1:23" x14ac:dyDescent="0.25">
      <c r="A631" s="31">
        <v>46014.768900462965</v>
      </c>
      <c r="B631" s="32" t="str">
        <f t="shared" si="100"/>
        <v>Dec-25</v>
      </c>
      <c r="C631" s="23" t="s">
        <v>153</v>
      </c>
      <c r="D631" s="23" t="s">
        <v>0</v>
      </c>
      <c r="E631" s="39" t="e">
        <v>#N/A</v>
      </c>
      <c r="F631" s="32" t="str">
        <f>IFERROR(DATEDIF(Table1[[#This Row],[MPG Ope Date]],Table1[[#This Row],[L]],"M"),"")</f>
        <v/>
      </c>
      <c r="G631" s="36">
        <v>1011</v>
      </c>
      <c r="H631" s="41" t="s">
        <v>900</v>
      </c>
      <c r="I631" s="41" t="s">
        <v>930</v>
      </c>
      <c r="J631" s="41">
        <v>6205489399</v>
      </c>
      <c r="K631" s="41" t="s">
        <v>72</v>
      </c>
      <c r="L631" s="41" t="s">
        <v>960</v>
      </c>
      <c r="M631" s="41" t="s">
        <v>133</v>
      </c>
      <c r="N631" s="41" t="s">
        <v>134</v>
      </c>
      <c r="O631" s="32"/>
      <c r="P631" s="37"/>
      <c r="Q631" s="46">
        <v>1</v>
      </c>
      <c r="R631" s="44">
        <v>2080</v>
      </c>
      <c r="S631" s="34">
        <f t="shared" si="101"/>
        <v>2080</v>
      </c>
      <c r="T631" s="34">
        <f t="shared" si="102"/>
        <v>374.4</v>
      </c>
      <c r="U631" s="34">
        <f t="shared" si="103"/>
        <v>2454.4</v>
      </c>
      <c r="V631" s="34"/>
      <c r="W631" s="23" t="e">
        <v>#N/A</v>
      </c>
    </row>
    <row r="632" spans="1:23" x14ac:dyDescent="0.25">
      <c r="A632" s="31">
        <v>46014.700729166667</v>
      </c>
      <c r="B632" s="32" t="str">
        <f t="shared" si="100"/>
        <v>Dec-25</v>
      </c>
      <c r="C632" s="23" t="s">
        <v>153</v>
      </c>
      <c r="D632" s="23" t="s">
        <v>369</v>
      </c>
      <c r="E632" s="39" t="e">
        <v>#N/A</v>
      </c>
      <c r="F632" s="32" t="str">
        <f>IFERROR(DATEDIF(Table1[[#This Row],[MPG Ope Date]],Table1[[#This Row],[L]],"M"),"")</f>
        <v/>
      </c>
      <c r="G632" s="26">
        <v>10020025</v>
      </c>
      <c r="H632" s="49" t="s">
        <v>901</v>
      </c>
      <c r="I632" s="49" t="s">
        <v>931</v>
      </c>
      <c r="J632" s="49">
        <v>8298525819</v>
      </c>
      <c r="K632" s="41" t="s">
        <v>70</v>
      </c>
      <c r="L632" s="41" t="s">
        <v>961</v>
      </c>
      <c r="M632" s="41" t="s">
        <v>131</v>
      </c>
      <c r="N632" s="41" t="s">
        <v>132</v>
      </c>
      <c r="O632" s="32"/>
      <c r="P632" s="37"/>
      <c r="Q632" s="46">
        <v>1</v>
      </c>
      <c r="R632" s="44">
        <v>2800</v>
      </c>
      <c r="S632" s="34">
        <f t="shared" si="101"/>
        <v>2800</v>
      </c>
      <c r="T632" s="34">
        <f t="shared" si="102"/>
        <v>504</v>
      </c>
      <c r="U632" s="34">
        <f t="shared" si="103"/>
        <v>3304</v>
      </c>
      <c r="V632" s="34"/>
      <c r="W632" s="23" t="s">
        <v>1005</v>
      </c>
    </row>
    <row r="633" spans="1:23" x14ac:dyDescent="0.25">
      <c r="A633" s="31">
        <v>46014.756967592592</v>
      </c>
      <c r="B633" s="32" t="str">
        <f t="shared" si="100"/>
        <v>Dec-25</v>
      </c>
      <c r="C633" s="23" t="s">
        <v>153</v>
      </c>
      <c r="D633" s="23" t="s">
        <v>369</v>
      </c>
      <c r="E633" s="39" t="e">
        <v>#N/A</v>
      </c>
      <c r="F633" s="32" t="str">
        <f>IFERROR(DATEDIF(Table1[[#This Row],[MPG Ope Date]],Table1[[#This Row],[L]],"M"),"")</f>
        <v/>
      </c>
      <c r="G633" s="26">
        <v>10110146</v>
      </c>
      <c r="H633" s="52" t="s">
        <v>1012</v>
      </c>
      <c r="I633" s="41" t="s">
        <v>932</v>
      </c>
      <c r="J633" s="41">
        <v>9570412085</v>
      </c>
      <c r="K633" s="41" t="s">
        <v>69</v>
      </c>
      <c r="L633" s="41">
        <v>362945</v>
      </c>
      <c r="M633" s="41" t="s">
        <v>121</v>
      </c>
      <c r="N633" s="41" t="s">
        <v>122</v>
      </c>
      <c r="O633" s="32"/>
      <c r="P633" s="37"/>
      <c r="Q633" s="46">
        <v>1</v>
      </c>
      <c r="R633" s="44">
        <v>70</v>
      </c>
      <c r="S633" s="34">
        <f t="shared" si="101"/>
        <v>70</v>
      </c>
      <c r="T633" s="34">
        <f t="shared" si="102"/>
        <v>12.6</v>
      </c>
      <c r="U633" s="34">
        <f t="shared" si="103"/>
        <v>82.6</v>
      </c>
      <c r="V633" s="34"/>
      <c r="W633" s="23" t="s">
        <v>1005</v>
      </c>
    </row>
    <row r="634" spans="1:23" x14ac:dyDescent="0.25">
      <c r="A634" s="31">
        <v>46014.756967592592</v>
      </c>
      <c r="B634" s="32" t="str">
        <f t="shared" si="100"/>
        <v>Dec-25</v>
      </c>
      <c r="C634" s="23" t="s">
        <v>153</v>
      </c>
      <c r="D634" s="23" t="s">
        <v>369</v>
      </c>
      <c r="E634" s="39" t="e">
        <v>#N/A</v>
      </c>
      <c r="F634" s="32" t="str">
        <f>IFERROR(DATEDIF(Table1[[#This Row],[MPG Ope Date]],Table1[[#This Row],[L]],"M"),"")</f>
        <v/>
      </c>
      <c r="G634" s="26">
        <v>10110146</v>
      </c>
      <c r="H634" s="49" t="s">
        <v>1012</v>
      </c>
      <c r="I634" s="41" t="s">
        <v>932</v>
      </c>
      <c r="J634" s="41">
        <v>9570412085</v>
      </c>
      <c r="K634" s="41" t="s">
        <v>69</v>
      </c>
      <c r="L634" s="41">
        <v>362945</v>
      </c>
      <c r="M634" s="41" t="s">
        <v>121</v>
      </c>
      <c r="N634" s="41" t="s">
        <v>122</v>
      </c>
      <c r="O634" s="32"/>
      <c r="P634" s="37"/>
      <c r="Q634" s="46">
        <v>1</v>
      </c>
      <c r="R634" s="44">
        <v>70</v>
      </c>
      <c r="S634" s="34">
        <f t="shared" si="101"/>
        <v>70</v>
      </c>
      <c r="T634" s="34">
        <f t="shared" si="102"/>
        <v>12.6</v>
      </c>
      <c r="U634" s="34">
        <f t="shared" si="103"/>
        <v>82.6</v>
      </c>
      <c r="V634" s="34"/>
      <c r="W634" s="23" t="s">
        <v>1005</v>
      </c>
    </row>
    <row r="635" spans="1:23" x14ac:dyDescent="0.25">
      <c r="A635" s="31">
        <v>46013.583136574074</v>
      </c>
      <c r="B635" s="32" t="str">
        <f t="shared" si="100"/>
        <v>Dec-25</v>
      </c>
      <c r="C635" s="23" t="s">
        <v>153</v>
      </c>
      <c r="D635" s="23" t="s">
        <v>369</v>
      </c>
      <c r="E635" s="39">
        <v>43622</v>
      </c>
      <c r="F635" s="32">
        <f>IFERROR(DATEDIF(Table1[[#This Row],[MPG Ope Date]],Table1[[#This Row],[L]],"M"),"")</f>
        <v>78</v>
      </c>
      <c r="G635" s="25">
        <v>10120001</v>
      </c>
      <c r="H635" s="41" t="s">
        <v>632</v>
      </c>
      <c r="I635" s="41" t="s">
        <v>675</v>
      </c>
      <c r="J635" s="41">
        <v>7545865422</v>
      </c>
      <c r="K635" s="41" t="s">
        <v>68</v>
      </c>
      <c r="L635" s="41" t="s">
        <v>717</v>
      </c>
      <c r="M635" s="41" t="s">
        <v>260</v>
      </c>
      <c r="N635" s="41" t="s">
        <v>261</v>
      </c>
      <c r="O635" s="32"/>
      <c r="P635" s="37"/>
      <c r="Q635" s="46">
        <v>1</v>
      </c>
      <c r="R635" s="44">
        <v>2080</v>
      </c>
      <c r="S635" s="34">
        <f t="shared" si="101"/>
        <v>2080</v>
      </c>
      <c r="T635" s="34">
        <f t="shared" si="102"/>
        <v>374.4</v>
      </c>
      <c r="U635" s="34">
        <f t="shared" si="103"/>
        <v>2454.4</v>
      </c>
      <c r="V635" s="34"/>
      <c r="W635" s="23" t="s">
        <v>1005</v>
      </c>
    </row>
    <row r="636" spans="1:23" x14ac:dyDescent="0.25">
      <c r="A636" s="31">
        <v>46011.662268518521</v>
      </c>
      <c r="B636" s="32" t="str">
        <f t="shared" si="100"/>
        <v>Dec-25</v>
      </c>
      <c r="C636" s="23" t="s">
        <v>153</v>
      </c>
      <c r="D636" s="23" t="s">
        <v>369</v>
      </c>
      <c r="E636" s="39">
        <v>42979</v>
      </c>
      <c r="F636" s="32">
        <f>IFERROR(DATEDIF(Table1[[#This Row],[MPG Ope Date]],Table1[[#This Row],[L]],"M"),"")</f>
        <v>99</v>
      </c>
      <c r="G636" s="25">
        <v>10400001</v>
      </c>
      <c r="H636" s="41" t="s">
        <v>186</v>
      </c>
      <c r="I636" s="41" t="s">
        <v>222</v>
      </c>
      <c r="J636" s="41">
        <v>6299652936</v>
      </c>
      <c r="K636" s="41" t="s">
        <v>68</v>
      </c>
      <c r="L636" s="41" t="s">
        <v>248</v>
      </c>
      <c r="M636" s="41" t="s">
        <v>139</v>
      </c>
      <c r="N636" s="41" t="s">
        <v>140</v>
      </c>
      <c r="O636" s="32"/>
      <c r="P636" s="37"/>
      <c r="Q636" s="46">
        <v>1</v>
      </c>
      <c r="R636" s="44">
        <v>1266</v>
      </c>
      <c r="S636" s="34">
        <f t="shared" si="101"/>
        <v>1266</v>
      </c>
      <c r="T636" s="34">
        <f t="shared" si="102"/>
        <v>227.88</v>
      </c>
      <c r="U636" s="34">
        <f t="shared" si="103"/>
        <v>1493.88</v>
      </c>
      <c r="V636" s="34"/>
      <c r="W636" s="23" t="s">
        <v>1005</v>
      </c>
    </row>
    <row r="637" spans="1:23" x14ac:dyDescent="0.25">
      <c r="A637" s="31">
        <v>46011.662268518521</v>
      </c>
      <c r="B637" s="32" t="str">
        <f t="shared" si="100"/>
        <v>Dec-25</v>
      </c>
      <c r="C637" s="23" t="s">
        <v>153</v>
      </c>
      <c r="D637" s="23" t="s">
        <v>369</v>
      </c>
      <c r="E637" s="39">
        <v>42979</v>
      </c>
      <c r="F637" s="32">
        <f>IFERROR(DATEDIF(Table1[[#This Row],[MPG Ope Date]],Table1[[#This Row],[L]],"M"),"")</f>
        <v>99</v>
      </c>
      <c r="G637" s="25">
        <v>10400001</v>
      </c>
      <c r="H637" s="41" t="s">
        <v>186</v>
      </c>
      <c r="I637" s="41" t="s">
        <v>222</v>
      </c>
      <c r="J637" s="41">
        <v>6299652936</v>
      </c>
      <c r="K637" s="41" t="s">
        <v>68</v>
      </c>
      <c r="L637" s="41" t="s">
        <v>248</v>
      </c>
      <c r="M637" s="41" t="s">
        <v>135</v>
      </c>
      <c r="N637" s="41" t="s">
        <v>136</v>
      </c>
      <c r="O637" s="32"/>
      <c r="P637" s="37"/>
      <c r="Q637" s="46">
        <v>1</v>
      </c>
      <c r="R637" s="44">
        <v>825</v>
      </c>
      <c r="S637" s="34">
        <f t="shared" si="101"/>
        <v>825</v>
      </c>
      <c r="T637" s="34">
        <f t="shared" si="102"/>
        <v>148.5</v>
      </c>
      <c r="U637" s="34">
        <f t="shared" si="103"/>
        <v>973.5</v>
      </c>
      <c r="V637" s="34"/>
      <c r="W637" s="23" t="s">
        <v>1005</v>
      </c>
    </row>
    <row r="638" spans="1:23" x14ac:dyDescent="0.25">
      <c r="A638" s="31">
        <v>46011.837696759256</v>
      </c>
      <c r="B638" s="32" t="str">
        <f t="shared" si="100"/>
        <v>Dec-25</v>
      </c>
      <c r="C638" s="23" t="s">
        <v>153</v>
      </c>
      <c r="D638" s="23" t="s">
        <v>369</v>
      </c>
      <c r="E638" s="39" t="e">
        <v>#N/A</v>
      </c>
      <c r="F638" s="32" t="str">
        <f>IFERROR(DATEDIF(Table1[[#This Row],[MPG Ope Date]],Table1[[#This Row],[L]],"M"),"")</f>
        <v/>
      </c>
      <c r="G638" s="26">
        <v>10100004</v>
      </c>
      <c r="H638" s="49" t="s">
        <v>902</v>
      </c>
      <c r="I638" s="41" t="s">
        <v>933</v>
      </c>
      <c r="J638" s="41">
        <v>9508950984</v>
      </c>
      <c r="K638" s="41" t="s">
        <v>69</v>
      </c>
      <c r="L638" s="41">
        <v>364751</v>
      </c>
      <c r="M638" s="41" t="s">
        <v>988</v>
      </c>
      <c r="N638" s="41" t="s">
        <v>989</v>
      </c>
      <c r="O638" s="32"/>
      <c r="P638" s="37"/>
      <c r="Q638" s="46">
        <v>1</v>
      </c>
      <c r="R638" s="44">
        <v>120</v>
      </c>
      <c r="S638" s="34">
        <f t="shared" si="101"/>
        <v>120</v>
      </c>
      <c r="T638" s="34">
        <f t="shared" si="102"/>
        <v>21.599999999999998</v>
      </c>
      <c r="U638" s="34">
        <f t="shared" si="103"/>
        <v>141.6</v>
      </c>
      <c r="V638" s="34"/>
      <c r="W638" s="23" t="s">
        <v>1007</v>
      </c>
    </row>
    <row r="639" spans="1:23" x14ac:dyDescent="0.25">
      <c r="A639" s="31">
        <v>46011.841365740744</v>
      </c>
      <c r="B639" s="32" t="str">
        <f t="shared" si="100"/>
        <v>Dec-25</v>
      </c>
      <c r="C639" s="23" t="s">
        <v>153</v>
      </c>
      <c r="D639" s="23" t="s">
        <v>0</v>
      </c>
      <c r="E639" s="39" t="e">
        <v>#N/A</v>
      </c>
      <c r="F639" s="32" t="str">
        <f>IFERROR(DATEDIF(Table1[[#This Row],[MPG Ope Date]],Table1[[#This Row],[L]],"M"),"")</f>
        <v/>
      </c>
      <c r="G639" s="27">
        <v>1007</v>
      </c>
      <c r="H639" s="40" t="s">
        <v>417</v>
      </c>
      <c r="I639" s="41" t="s">
        <v>441</v>
      </c>
      <c r="J639" s="41">
        <v>9631676073</v>
      </c>
      <c r="K639" s="41" t="s">
        <v>69</v>
      </c>
      <c r="L639" s="41">
        <v>387787</v>
      </c>
      <c r="M639" s="41" t="s">
        <v>988</v>
      </c>
      <c r="N639" s="41" t="s">
        <v>989</v>
      </c>
      <c r="O639" s="32"/>
      <c r="P639" s="37"/>
      <c r="Q639" s="46">
        <v>1</v>
      </c>
      <c r="R639" s="44">
        <v>120</v>
      </c>
      <c r="S639" s="34">
        <f t="shared" si="101"/>
        <v>120</v>
      </c>
      <c r="T639" s="34">
        <f t="shared" si="102"/>
        <v>21.599999999999998</v>
      </c>
      <c r="U639" s="34">
        <f t="shared" si="103"/>
        <v>141.6</v>
      </c>
      <c r="V639" s="34"/>
      <c r="W639" s="23" t="e">
        <v>#N/A</v>
      </c>
    </row>
    <row r="640" spans="1:23" x14ac:dyDescent="0.25">
      <c r="A640" s="31">
        <v>46011.841365740744</v>
      </c>
      <c r="B640" s="32" t="str">
        <f t="shared" si="100"/>
        <v>Dec-25</v>
      </c>
      <c r="C640" s="23" t="s">
        <v>153</v>
      </c>
      <c r="D640" s="23" t="s">
        <v>0</v>
      </c>
      <c r="E640" s="39" t="e">
        <v>#N/A</v>
      </c>
      <c r="F640" s="32" t="str">
        <f>IFERROR(DATEDIF(Table1[[#This Row],[MPG Ope Date]],Table1[[#This Row],[L]],"M"),"")</f>
        <v/>
      </c>
      <c r="G640" s="27">
        <v>1007</v>
      </c>
      <c r="H640" s="40" t="s">
        <v>417</v>
      </c>
      <c r="I640" s="41" t="s">
        <v>441</v>
      </c>
      <c r="J640" s="41">
        <v>9631676073</v>
      </c>
      <c r="K640" s="41" t="s">
        <v>69</v>
      </c>
      <c r="L640" s="41">
        <v>387787</v>
      </c>
      <c r="M640" s="41" t="s">
        <v>615</v>
      </c>
      <c r="N640" s="41" t="s">
        <v>616</v>
      </c>
      <c r="O640" s="32"/>
      <c r="P640" s="37"/>
      <c r="Q640" s="46">
        <v>1</v>
      </c>
      <c r="R640" s="44">
        <v>120</v>
      </c>
      <c r="S640" s="34">
        <f t="shared" si="101"/>
        <v>120</v>
      </c>
      <c r="T640" s="34">
        <f t="shared" si="102"/>
        <v>21.599999999999998</v>
      </c>
      <c r="U640" s="34">
        <f t="shared" si="103"/>
        <v>141.6</v>
      </c>
      <c r="V640" s="34"/>
      <c r="W640" s="23" t="e">
        <v>#N/A</v>
      </c>
    </row>
    <row r="641" spans="1:23" x14ac:dyDescent="0.25">
      <c r="A641" s="31">
        <v>46011.841365740744</v>
      </c>
      <c r="B641" s="32" t="str">
        <f t="shared" si="100"/>
        <v>Dec-25</v>
      </c>
      <c r="C641" s="23" t="s">
        <v>153</v>
      </c>
      <c r="D641" s="23" t="s">
        <v>0</v>
      </c>
      <c r="E641" s="39" t="e">
        <v>#N/A</v>
      </c>
      <c r="F641" s="32" t="str">
        <f>IFERROR(DATEDIF(Table1[[#This Row],[MPG Ope Date]],Table1[[#This Row],[L]],"M"),"")</f>
        <v/>
      </c>
      <c r="G641" s="27">
        <v>1007</v>
      </c>
      <c r="H641" s="40" t="s">
        <v>417</v>
      </c>
      <c r="I641" s="41" t="s">
        <v>441</v>
      </c>
      <c r="J641" s="41">
        <v>9631676073</v>
      </c>
      <c r="K641" s="41" t="s">
        <v>69</v>
      </c>
      <c r="L641" s="41">
        <v>387787</v>
      </c>
      <c r="M641" s="41" t="s">
        <v>262</v>
      </c>
      <c r="N641" s="41" t="s">
        <v>263</v>
      </c>
      <c r="O641" s="32"/>
      <c r="P641" s="37"/>
      <c r="Q641" s="46">
        <v>1</v>
      </c>
      <c r="R641" s="44">
        <v>140</v>
      </c>
      <c r="S641" s="34">
        <f t="shared" si="101"/>
        <v>140</v>
      </c>
      <c r="T641" s="34">
        <f t="shared" si="102"/>
        <v>25.2</v>
      </c>
      <c r="U641" s="34">
        <f t="shared" si="103"/>
        <v>165.2</v>
      </c>
      <c r="V641" s="34"/>
      <c r="W641" s="23" t="e">
        <v>#N/A</v>
      </c>
    </row>
    <row r="642" spans="1:23" x14ac:dyDescent="0.25">
      <c r="A642" s="31">
        <v>46011.698182870372</v>
      </c>
      <c r="B642" s="32" t="str">
        <f t="shared" si="100"/>
        <v>Dec-25</v>
      </c>
      <c r="C642" s="23" t="s">
        <v>152</v>
      </c>
      <c r="D642" s="23" t="s">
        <v>369</v>
      </c>
      <c r="E642" s="39" t="e">
        <v>#N/A</v>
      </c>
      <c r="F642" s="32" t="str">
        <f>IFERROR(DATEDIF(Table1[[#This Row],[MPG Ope Date]],Table1[[#This Row],[L]],"M"),"")</f>
        <v/>
      </c>
      <c r="G642" s="25">
        <v>20020004</v>
      </c>
      <c r="H642" s="41" t="s">
        <v>903</v>
      </c>
      <c r="I642" s="41" t="s">
        <v>934</v>
      </c>
      <c r="J642" s="41">
        <v>6206527757</v>
      </c>
      <c r="K642" s="41" t="s">
        <v>69</v>
      </c>
      <c r="L642" s="41">
        <v>380982</v>
      </c>
      <c r="M642" s="41" t="s">
        <v>115</v>
      </c>
      <c r="N642" s="41" t="s">
        <v>116</v>
      </c>
      <c r="O642" s="32"/>
      <c r="P642" s="37"/>
      <c r="Q642" s="46">
        <v>1</v>
      </c>
      <c r="R642" s="44">
        <v>8000</v>
      </c>
      <c r="S642" s="34">
        <f t="shared" si="101"/>
        <v>8000</v>
      </c>
      <c r="T642" s="34">
        <f t="shared" si="102"/>
        <v>1440</v>
      </c>
      <c r="U642" s="34">
        <f t="shared" si="103"/>
        <v>9440</v>
      </c>
      <c r="V642" s="34"/>
      <c r="W642" s="23" t="e">
        <v>#N/A</v>
      </c>
    </row>
    <row r="643" spans="1:23" x14ac:dyDescent="0.25">
      <c r="A643" s="31">
        <v>46011.665925925925</v>
      </c>
      <c r="B643" s="32" t="str">
        <f t="shared" si="100"/>
        <v>Dec-25</v>
      </c>
      <c r="C643" s="23" t="s">
        <v>153</v>
      </c>
      <c r="D643" s="23" t="s">
        <v>369</v>
      </c>
      <c r="E643" s="39">
        <v>45524</v>
      </c>
      <c r="F643" s="32">
        <f>IFERROR(DATEDIF(Table1[[#This Row],[MPG Ope Date]],Table1[[#This Row],[L]],"M"),"")</f>
        <v>16</v>
      </c>
      <c r="G643" s="25">
        <v>10030062</v>
      </c>
      <c r="H643" s="41" t="s">
        <v>644</v>
      </c>
      <c r="I643" s="41" t="s">
        <v>685</v>
      </c>
      <c r="J643" s="41">
        <v>6200446459</v>
      </c>
      <c r="K643" s="41" t="s">
        <v>69</v>
      </c>
      <c r="L643" s="41">
        <v>387342</v>
      </c>
      <c r="M643" s="41" t="s">
        <v>119</v>
      </c>
      <c r="N643" s="41" t="s">
        <v>120</v>
      </c>
      <c r="O643" s="32"/>
      <c r="P643" s="37"/>
      <c r="Q643" s="46">
        <v>1</v>
      </c>
      <c r="R643" s="44">
        <v>84</v>
      </c>
      <c r="S643" s="34">
        <f t="shared" si="101"/>
        <v>84</v>
      </c>
      <c r="T643" s="34">
        <f t="shared" si="102"/>
        <v>15.12</v>
      </c>
      <c r="U643" s="34">
        <f t="shared" si="103"/>
        <v>99.12</v>
      </c>
      <c r="V643" s="34"/>
      <c r="W643" s="23" t="s">
        <v>1006</v>
      </c>
    </row>
    <row r="644" spans="1:23" x14ac:dyDescent="0.25">
      <c r="A644" s="31">
        <v>46011.665925925925</v>
      </c>
      <c r="B644" s="32" t="str">
        <f t="shared" si="100"/>
        <v>Dec-25</v>
      </c>
      <c r="C644" s="23" t="s">
        <v>153</v>
      </c>
      <c r="D644" s="23" t="s">
        <v>369</v>
      </c>
      <c r="E644" s="39">
        <v>45524</v>
      </c>
      <c r="F644" s="32">
        <f>IFERROR(DATEDIF(Table1[[#This Row],[MPG Ope Date]],Table1[[#This Row],[L]],"M"),"")</f>
        <v>16</v>
      </c>
      <c r="G644" s="25">
        <v>10030062</v>
      </c>
      <c r="H644" s="41" t="s">
        <v>644</v>
      </c>
      <c r="I644" s="41" t="s">
        <v>685</v>
      </c>
      <c r="J644" s="41">
        <v>6200446459</v>
      </c>
      <c r="K644" s="41" t="s">
        <v>69</v>
      </c>
      <c r="L644" s="41">
        <v>387342</v>
      </c>
      <c r="M644" s="41" t="s">
        <v>117</v>
      </c>
      <c r="N644" s="41" t="s">
        <v>118</v>
      </c>
      <c r="O644" s="32"/>
      <c r="P644" s="37"/>
      <c r="Q644" s="46">
        <v>1</v>
      </c>
      <c r="R644" s="44">
        <v>770</v>
      </c>
      <c r="S644" s="34">
        <f t="shared" si="101"/>
        <v>770</v>
      </c>
      <c r="T644" s="34">
        <f t="shared" si="102"/>
        <v>138.6</v>
      </c>
      <c r="U644" s="34">
        <f t="shared" si="103"/>
        <v>908.6</v>
      </c>
      <c r="V644" s="34"/>
      <c r="W644" s="23" t="s">
        <v>1006</v>
      </c>
    </row>
    <row r="645" spans="1:23" x14ac:dyDescent="0.25">
      <c r="A645" s="31">
        <v>46011.664467592593</v>
      </c>
      <c r="B645" s="32" t="str">
        <f t="shared" si="100"/>
        <v>Dec-25</v>
      </c>
      <c r="C645" s="23" t="s">
        <v>153</v>
      </c>
      <c r="D645" s="23" t="s">
        <v>369</v>
      </c>
      <c r="E645" s="39">
        <v>45631</v>
      </c>
      <c r="F645" s="32">
        <f>IFERROR(DATEDIF(Table1[[#This Row],[MPG Ope Date]],Table1[[#This Row],[L]],"M"),"")</f>
        <v>12</v>
      </c>
      <c r="G645" s="25">
        <v>10030066</v>
      </c>
      <c r="H645" s="41" t="s">
        <v>904</v>
      </c>
      <c r="I645" s="41" t="s">
        <v>935</v>
      </c>
      <c r="J645" s="41">
        <v>7091136803</v>
      </c>
      <c r="K645" s="41" t="s">
        <v>69</v>
      </c>
      <c r="L645" s="41" t="s">
        <v>962</v>
      </c>
      <c r="M645" s="41" t="s">
        <v>615</v>
      </c>
      <c r="N645" s="41" t="s">
        <v>616</v>
      </c>
      <c r="O645" s="32"/>
      <c r="P645" s="37"/>
      <c r="Q645" s="46">
        <v>1</v>
      </c>
      <c r="R645" s="44">
        <v>120</v>
      </c>
      <c r="S645" s="34">
        <f t="shared" si="101"/>
        <v>120</v>
      </c>
      <c r="T645" s="34">
        <f t="shared" si="102"/>
        <v>21.599999999999998</v>
      </c>
      <c r="U645" s="34">
        <f t="shared" si="103"/>
        <v>141.6</v>
      </c>
      <c r="V645" s="34"/>
      <c r="W645" s="23" t="s">
        <v>1005</v>
      </c>
    </row>
    <row r="646" spans="1:23" x14ac:dyDescent="0.25">
      <c r="A646" s="31">
        <v>46011.664467592593</v>
      </c>
      <c r="B646" s="32" t="str">
        <f t="shared" si="100"/>
        <v>Dec-25</v>
      </c>
      <c r="C646" s="23" t="s">
        <v>153</v>
      </c>
      <c r="D646" s="23" t="s">
        <v>369</v>
      </c>
      <c r="E646" s="39">
        <v>45631</v>
      </c>
      <c r="F646" s="32">
        <f>IFERROR(DATEDIF(Table1[[#This Row],[MPG Ope Date]],Table1[[#This Row],[L]],"M"),"")</f>
        <v>12</v>
      </c>
      <c r="G646" s="25">
        <v>10030066</v>
      </c>
      <c r="H646" s="41" t="s">
        <v>904</v>
      </c>
      <c r="I646" s="41" t="s">
        <v>935</v>
      </c>
      <c r="J646" s="41">
        <v>7091136803</v>
      </c>
      <c r="K646" s="41" t="s">
        <v>69</v>
      </c>
      <c r="L646" s="41" t="s">
        <v>962</v>
      </c>
      <c r="M646" s="41" t="s">
        <v>988</v>
      </c>
      <c r="N646" s="41" t="s">
        <v>989</v>
      </c>
      <c r="O646" s="32"/>
      <c r="P646" s="37"/>
      <c r="Q646" s="46">
        <v>1</v>
      </c>
      <c r="R646" s="44">
        <v>120</v>
      </c>
      <c r="S646" s="34">
        <f t="shared" si="101"/>
        <v>120</v>
      </c>
      <c r="T646" s="34">
        <f t="shared" si="102"/>
        <v>21.599999999999998</v>
      </c>
      <c r="U646" s="34">
        <f t="shared" si="103"/>
        <v>141.6</v>
      </c>
      <c r="V646" s="34"/>
      <c r="W646" s="23" t="s">
        <v>1005</v>
      </c>
    </row>
    <row r="647" spans="1:23" x14ac:dyDescent="0.25">
      <c r="A647" s="31">
        <v>46011.664467592593</v>
      </c>
      <c r="B647" s="32" t="str">
        <f t="shared" si="100"/>
        <v>Dec-25</v>
      </c>
      <c r="C647" s="23" t="s">
        <v>153</v>
      </c>
      <c r="D647" s="23" t="s">
        <v>369</v>
      </c>
      <c r="E647" s="39">
        <v>45631</v>
      </c>
      <c r="F647" s="32">
        <f>IFERROR(DATEDIF(Table1[[#This Row],[MPG Ope Date]],Table1[[#This Row],[L]],"M"),"")</f>
        <v>12</v>
      </c>
      <c r="G647" s="25">
        <v>10030066</v>
      </c>
      <c r="H647" s="41" t="s">
        <v>904</v>
      </c>
      <c r="I647" s="41" t="s">
        <v>935</v>
      </c>
      <c r="J647" s="41">
        <v>7091136803</v>
      </c>
      <c r="K647" s="41" t="s">
        <v>69</v>
      </c>
      <c r="L647" s="41" t="s">
        <v>962</v>
      </c>
      <c r="M647" s="41" t="s">
        <v>262</v>
      </c>
      <c r="N647" s="41" t="s">
        <v>263</v>
      </c>
      <c r="O647" s="32"/>
      <c r="P647" s="37"/>
      <c r="Q647" s="46">
        <v>1</v>
      </c>
      <c r="R647" s="44">
        <v>140</v>
      </c>
      <c r="S647" s="34">
        <f t="shared" si="101"/>
        <v>140</v>
      </c>
      <c r="T647" s="34">
        <f t="shared" si="102"/>
        <v>25.2</v>
      </c>
      <c r="U647" s="34">
        <f t="shared" si="103"/>
        <v>165.2</v>
      </c>
      <c r="V647" s="34"/>
      <c r="W647" s="23" t="s">
        <v>1005</v>
      </c>
    </row>
    <row r="648" spans="1:23" x14ac:dyDescent="0.25">
      <c r="A648" s="31">
        <v>46011.638229166667</v>
      </c>
      <c r="B648" s="32" t="str">
        <f t="shared" si="100"/>
        <v>Dec-25</v>
      </c>
      <c r="C648" s="23" t="s">
        <v>153</v>
      </c>
      <c r="D648" s="23" t="s">
        <v>369</v>
      </c>
      <c r="E648" s="39">
        <v>45009</v>
      </c>
      <c r="F648" s="32">
        <f>IFERROR(DATEDIF(Table1[[#This Row],[MPG Ope Date]],Table1[[#This Row],[L]],"M"),"")</f>
        <v>32</v>
      </c>
      <c r="G648" s="25">
        <v>10090033</v>
      </c>
      <c r="H648" s="41" t="s">
        <v>905</v>
      </c>
      <c r="I648" s="41" t="s">
        <v>936</v>
      </c>
      <c r="J648" s="41">
        <v>7250181967</v>
      </c>
      <c r="K648" s="41" t="s">
        <v>70</v>
      </c>
      <c r="L648" s="41" t="s">
        <v>963</v>
      </c>
      <c r="M648" s="41" t="s">
        <v>123</v>
      </c>
      <c r="N648" s="41" t="s">
        <v>124</v>
      </c>
      <c r="O648" s="32"/>
      <c r="P648" s="37"/>
      <c r="Q648" s="46">
        <v>1</v>
      </c>
      <c r="R648" s="44">
        <v>350</v>
      </c>
      <c r="S648" s="34">
        <f t="shared" si="101"/>
        <v>350</v>
      </c>
      <c r="T648" s="34">
        <f t="shared" si="102"/>
        <v>63</v>
      </c>
      <c r="U648" s="34">
        <f t="shared" si="103"/>
        <v>413</v>
      </c>
      <c r="V648" s="34"/>
      <c r="W648" s="23" t="s">
        <v>1005</v>
      </c>
    </row>
    <row r="649" spans="1:23" x14ac:dyDescent="0.25">
      <c r="A649" s="31">
        <v>46010.657685185186</v>
      </c>
      <c r="B649" s="32" t="str">
        <f t="shared" si="100"/>
        <v>Dec-25</v>
      </c>
      <c r="C649" s="23" t="s">
        <v>153</v>
      </c>
      <c r="D649" s="23" t="s">
        <v>369</v>
      </c>
      <c r="E649" s="39">
        <v>45590</v>
      </c>
      <c r="F649" s="32">
        <f>IFERROR(DATEDIF(Table1[[#This Row],[MPG Ope Date]],Table1[[#This Row],[L]],"M"),"")</f>
        <v>13</v>
      </c>
      <c r="G649" s="25">
        <v>10140129</v>
      </c>
      <c r="H649" s="41" t="s">
        <v>280</v>
      </c>
      <c r="I649" s="41" t="s">
        <v>312</v>
      </c>
      <c r="J649" s="41">
        <v>9931327599</v>
      </c>
      <c r="K649" s="41" t="s">
        <v>70</v>
      </c>
      <c r="L649" s="41" t="s">
        <v>964</v>
      </c>
      <c r="M649" s="41" t="s">
        <v>123</v>
      </c>
      <c r="N649" s="41" t="s">
        <v>124</v>
      </c>
      <c r="O649" s="32"/>
      <c r="P649" s="37"/>
      <c r="Q649" s="46">
        <v>1</v>
      </c>
      <c r="R649" s="44">
        <v>350</v>
      </c>
      <c r="S649" s="34">
        <f t="shared" si="101"/>
        <v>350</v>
      </c>
      <c r="T649" s="34">
        <f t="shared" si="102"/>
        <v>63</v>
      </c>
      <c r="U649" s="34">
        <f t="shared" si="103"/>
        <v>413</v>
      </c>
      <c r="V649" s="34"/>
      <c r="W649" s="23" t="s">
        <v>1005</v>
      </c>
    </row>
    <row r="650" spans="1:23" x14ac:dyDescent="0.25">
      <c r="A650" s="31">
        <v>46010.710138888891</v>
      </c>
      <c r="B650" s="32" t="str">
        <f t="shared" si="100"/>
        <v>Dec-25</v>
      </c>
      <c r="C650" s="23" t="s">
        <v>153</v>
      </c>
      <c r="D650" s="23" t="s">
        <v>369</v>
      </c>
      <c r="E650" s="39">
        <v>45009</v>
      </c>
      <c r="F650" s="32">
        <f>IFERROR(DATEDIF(Table1[[#This Row],[MPG Ope Date]],Table1[[#This Row],[L]],"M"),"")</f>
        <v>32</v>
      </c>
      <c r="G650" s="25">
        <v>10020042</v>
      </c>
      <c r="H650" s="41" t="s">
        <v>170</v>
      </c>
      <c r="I650" s="41" t="s">
        <v>207</v>
      </c>
      <c r="J650" s="41">
        <v>9661990974</v>
      </c>
      <c r="K650" s="41" t="s">
        <v>68</v>
      </c>
      <c r="L650" s="41" t="s">
        <v>965</v>
      </c>
      <c r="M650" s="41" t="s">
        <v>113</v>
      </c>
      <c r="N650" s="41" t="s">
        <v>114</v>
      </c>
      <c r="O650" s="32"/>
      <c r="P650" s="37"/>
      <c r="Q650" s="46">
        <v>1</v>
      </c>
      <c r="R650" s="44">
        <v>225</v>
      </c>
      <c r="S650" s="34">
        <f t="shared" si="101"/>
        <v>225</v>
      </c>
      <c r="T650" s="34">
        <f t="shared" si="102"/>
        <v>40.5</v>
      </c>
      <c r="U650" s="34">
        <f t="shared" si="103"/>
        <v>265.5</v>
      </c>
      <c r="V650" s="34"/>
      <c r="W650" s="23" t="s">
        <v>1005</v>
      </c>
    </row>
    <row r="651" spans="1:23" x14ac:dyDescent="0.25">
      <c r="A651" s="31">
        <v>46010.710138888891</v>
      </c>
      <c r="B651" s="32" t="str">
        <f t="shared" si="100"/>
        <v>Dec-25</v>
      </c>
      <c r="C651" s="23" t="s">
        <v>153</v>
      </c>
      <c r="D651" s="23" t="s">
        <v>369</v>
      </c>
      <c r="E651" s="39">
        <v>45009</v>
      </c>
      <c r="F651" s="32">
        <f>IFERROR(DATEDIF(Table1[[#This Row],[MPG Ope Date]],Table1[[#This Row],[L]],"M"),"")</f>
        <v>32</v>
      </c>
      <c r="G651" s="25">
        <v>10020042</v>
      </c>
      <c r="H651" s="41" t="s">
        <v>170</v>
      </c>
      <c r="I651" s="41" t="s">
        <v>207</v>
      </c>
      <c r="J651" s="41">
        <v>9661990974</v>
      </c>
      <c r="K651" s="41" t="s">
        <v>68</v>
      </c>
      <c r="L651" s="41" t="s">
        <v>965</v>
      </c>
      <c r="M651" s="41" t="s">
        <v>133</v>
      </c>
      <c r="N651" s="41" t="s">
        <v>134</v>
      </c>
      <c r="O651" s="32"/>
      <c r="P651" s="37"/>
      <c r="Q651" s="46">
        <v>1</v>
      </c>
      <c r="R651" s="44">
        <v>2080</v>
      </c>
      <c r="S651" s="34">
        <f t="shared" si="101"/>
        <v>2080</v>
      </c>
      <c r="T651" s="34">
        <f t="shared" si="102"/>
        <v>374.4</v>
      </c>
      <c r="U651" s="34">
        <f t="shared" si="103"/>
        <v>2454.4</v>
      </c>
      <c r="V651" s="34"/>
      <c r="W651" s="23" t="s">
        <v>1005</v>
      </c>
    </row>
    <row r="652" spans="1:23" x14ac:dyDescent="0.25">
      <c r="A652" s="31">
        <v>46009.719074074077</v>
      </c>
      <c r="B652" s="32" t="str">
        <f t="shared" si="100"/>
        <v>Dec-25</v>
      </c>
      <c r="C652" s="23" t="s">
        <v>153</v>
      </c>
      <c r="D652" s="23" t="s">
        <v>369</v>
      </c>
      <c r="E652" s="39">
        <v>45853</v>
      </c>
      <c r="F652" s="32">
        <f>IFERROR(DATEDIF(Table1[[#This Row],[MPG Ope Date]],Table1[[#This Row],[L]],"M"),"")</f>
        <v>5</v>
      </c>
      <c r="G652" s="25">
        <v>10060109</v>
      </c>
      <c r="H652" s="41" t="s">
        <v>906</v>
      </c>
      <c r="I652" s="41" t="s">
        <v>937</v>
      </c>
      <c r="J652" s="41">
        <v>9798613295</v>
      </c>
      <c r="K652" s="41" t="s">
        <v>68</v>
      </c>
      <c r="L652" s="41" t="s">
        <v>966</v>
      </c>
      <c r="M652" s="41" t="s">
        <v>111</v>
      </c>
      <c r="N652" s="41" t="s">
        <v>112</v>
      </c>
      <c r="O652" s="32"/>
      <c r="P652" s="37"/>
      <c r="Q652" s="46">
        <v>1</v>
      </c>
      <c r="R652" s="44">
        <v>360</v>
      </c>
      <c r="S652" s="34">
        <f t="shared" si="101"/>
        <v>360</v>
      </c>
      <c r="T652" s="34">
        <f t="shared" si="102"/>
        <v>64.8</v>
      </c>
      <c r="U652" s="34">
        <f t="shared" si="103"/>
        <v>424.8</v>
      </c>
      <c r="V652" s="34"/>
      <c r="W652" s="23" t="s">
        <v>1005</v>
      </c>
    </row>
    <row r="653" spans="1:23" x14ac:dyDescent="0.25">
      <c r="A653" s="31">
        <v>46009.524976851855</v>
      </c>
      <c r="B653" s="32" t="str">
        <f t="shared" si="100"/>
        <v>Dec-25</v>
      </c>
      <c r="C653" s="23" t="s">
        <v>153</v>
      </c>
      <c r="D653" s="23" t="s">
        <v>369</v>
      </c>
      <c r="E653" s="39">
        <v>45264</v>
      </c>
      <c r="F653" s="32">
        <f>IFERROR(DATEDIF(Table1[[#This Row],[MPG Ope Date]],Table1[[#This Row],[L]],"M"),"")</f>
        <v>24</v>
      </c>
      <c r="G653" s="25">
        <v>10080048</v>
      </c>
      <c r="H653" s="41" t="s">
        <v>907</v>
      </c>
      <c r="I653" s="41" t="s">
        <v>938</v>
      </c>
      <c r="J653" s="41">
        <v>9590157880</v>
      </c>
      <c r="K653" s="41" t="s">
        <v>69</v>
      </c>
      <c r="L653" s="41">
        <v>382419</v>
      </c>
      <c r="M653" s="41" t="s">
        <v>254</v>
      </c>
      <c r="N653" s="41" t="s">
        <v>255</v>
      </c>
      <c r="O653" s="32"/>
      <c r="P653" s="37"/>
      <c r="Q653" s="46">
        <v>1</v>
      </c>
      <c r="R653" s="44">
        <v>2000</v>
      </c>
      <c r="S653" s="34">
        <f t="shared" si="101"/>
        <v>2000</v>
      </c>
      <c r="T653" s="34">
        <f t="shared" si="102"/>
        <v>360</v>
      </c>
      <c r="U653" s="34">
        <f t="shared" si="103"/>
        <v>2360</v>
      </c>
      <c r="V653" s="34"/>
      <c r="W653" s="23" t="s">
        <v>1005</v>
      </c>
    </row>
    <row r="654" spans="1:23" x14ac:dyDescent="0.25">
      <c r="A654" s="31">
        <v>46009.672118055554</v>
      </c>
      <c r="B654" s="32" t="str">
        <f t="shared" si="100"/>
        <v>Dec-25</v>
      </c>
      <c r="C654" s="23" t="s">
        <v>153</v>
      </c>
      <c r="D654" s="23" t="s">
        <v>369</v>
      </c>
      <c r="E654" s="39" t="e">
        <v>#N/A</v>
      </c>
      <c r="F654" s="32" t="str">
        <f>IFERROR(DATEDIF(Table1[[#This Row],[MPG Ope Date]],Table1[[#This Row],[L]],"M"),"")</f>
        <v/>
      </c>
      <c r="G654" s="26">
        <v>10030026</v>
      </c>
      <c r="H654" s="49" t="s">
        <v>908</v>
      </c>
      <c r="I654" s="41" t="s">
        <v>939</v>
      </c>
      <c r="J654" s="41">
        <v>8651499099</v>
      </c>
      <c r="K654" s="41" t="s">
        <v>69</v>
      </c>
      <c r="L654" s="41">
        <v>210840</v>
      </c>
      <c r="M654" s="41" t="s">
        <v>988</v>
      </c>
      <c r="N654" s="41" t="s">
        <v>989</v>
      </c>
      <c r="O654" s="32"/>
      <c r="P654" s="37"/>
      <c r="Q654" s="46">
        <v>1</v>
      </c>
      <c r="R654" s="44">
        <v>120</v>
      </c>
      <c r="S654" s="34">
        <f t="shared" si="101"/>
        <v>120</v>
      </c>
      <c r="T654" s="34">
        <f t="shared" si="102"/>
        <v>21.599999999999998</v>
      </c>
      <c r="U654" s="34">
        <f t="shared" si="103"/>
        <v>141.6</v>
      </c>
      <c r="V654" s="34"/>
      <c r="W654" s="23" t="s">
        <v>1005</v>
      </c>
    </row>
    <row r="655" spans="1:23" x14ac:dyDescent="0.25">
      <c r="A655" s="31">
        <v>46009.672118055554</v>
      </c>
      <c r="B655" s="32" t="str">
        <f t="shared" ref="B655:B686" si="104">TEXT(A655,"mmm-yy")</f>
        <v>Dec-25</v>
      </c>
      <c r="C655" s="23" t="s">
        <v>153</v>
      </c>
      <c r="D655" s="23" t="s">
        <v>369</v>
      </c>
      <c r="E655" s="39" t="e">
        <v>#N/A</v>
      </c>
      <c r="F655" s="32" t="str">
        <f>IFERROR(DATEDIF(Table1[[#This Row],[MPG Ope Date]],Table1[[#This Row],[L]],"M"),"")</f>
        <v/>
      </c>
      <c r="G655" s="26">
        <v>10030026</v>
      </c>
      <c r="H655" s="49" t="s">
        <v>908</v>
      </c>
      <c r="I655" s="41" t="s">
        <v>939</v>
      </c>
      <c r="J655" s="41">
        <v>8651499099</v>
      </c>
      <c r="K655" s="41" t="s">
        <v>69</v>
      </c>
      <c r="L655" s="41">
        <v>210840</v>
      </c>
      <c r="M655" s="41" t="s">
        <v>119</v>
      </c>
      <c r="N655" s="41" t="s">
        <v>120</v>
      </c>
      <c r="O655" s="32"/>
      <c r="P655" s="37"/>
      <c r="Q655" s="46">
        <v>1</v>
      </c>
      <c r="R655" s="44">
        <v>84</v>
      </c>
      <c r="S655" s="34">
        <f t="shared" ref="S655:S686" si="105">+Q655*R655</f>
        <v>84</v>
      </c>
      <c r="T655" s="34">
        <f t="shared" ref="T655:T686" si="106">+S655*0.18</f>
        <v>15.12</v>
      </c>
      <c r="U655" s="34">
        <f t="shared" ref="U655:U686" si="107">+S655+T655</f>
        <v>99.12</v>
      </c>
      <c r="V655" s="34"/>
      <c r="W655" s="23" t="s">
        <v>1005</v>
      </c>
    </row>
    <row r="656" spans="1:23" x14ac:dyDescent="0.25">
      <c r="A656" s="31">
        <v>46008.683842592596</v>
      </c>
      <c r="B656" s="32" t="str">
        <f t="shared" si="104"/>
        <v>Dec-25</v>
      </c>
      <c r="C656" s="23" t="s">
        <v>153</v>
      </c>
      <c r="D656" s="23" t="s">
        <v>369</v>
      </c>
      <c r="E656" s="39">
        <v>42979</v>
      </c>
      <c r="F656" s="32">
        <f>IFERROR(DATEDIF(Table1[[#This Row],[MPG Ope Date]],Table1[[#This Row],[L]],"M"),"")</f>
        <v>99</v>
      </c>
      <c r="G656" s="25">
        <v>10360001</v>
      </c>
      <c r="H656" s="41" t="s">
        <v>656</v>
      </c>
      <c r="I656" s="41" t="s">
        <v>698</v>
      </c>
      <c r="J656" s="41">
        <v>6204394263</v>
      </c>
      <c r="K656" s="41" t="s">
        <v>68</v>
      </c>
      <c r="L656" s="41" t="s">
        <v>734</v>
      </c>
      <c r="M656" s="41" t="s">
        <v>111</v>
      </c>
      <c r="N656" s="41" t="s">
        <v>112</v>
      </c>
      <c r="O656" s="32"/>
      <c r="P656" s="37"/>
      <c r="Q656" s="46">
        <v>1</v>
      </c>
      <c r="R656" s="44">
        <v>360</v>
      </c>
      <c r="S656" s="34">
        <f t="shared" si="105"/>
        <v>360</v>
      </c>
      <c r="T656" s="34">
        <f t="shared" si="106"/>
        <v>64.8</v>
      </c>
      <c r="U656" s="34">
        <f t="shared" si="107"/>
        <v>424.8</v>
      </c>
      <c r="V656" s="34"/>
      <c r="W656" s="23" t="s">
        <v>1005</v>
      </c>
    </row>
    <row r="657" spans="1:23" x14ac:dyDescent="0.25">
      <c r="A657" s="31">
        <v>46008.683842592596</v>
      </c>
      <c r="B657" s="32" t="str">
        <f t="shared" si="104"/>
        <v>Dec-25</v>
      </c>
      <c r="C657" s="23" t="s">
        <v>153</v>
      </c>
      <c r="D657" s="23" t="s">
        <v>369</v>
      </c>
      <c r="E657" s="39">
        <v>42979</v>
      </c>
      <c r="F657" s="32">
        <f>IFERROR(DATEDIF(Table1[[#This Row],[MPG Ope Date]],Table1[[#This Row],[L]],"M"),"")</f>
        <v>99</v>
      </c>
      <c r="G657" s="25">
        <v>10360001</v>
      </c>
      <c r="H657" s="41" t="s">
        <v>656</v>
      </c>
      <c r="I657" s="41" t="s">
        <v>698</v>
      </c>
      <c r="J657" s="41">
        <v>6204394263</v>
      </c>
      <c r="K657" s="41" t="s">
        <v>68</v>
      </c>
      <c r="L657" s="41" t="s">
        <v>734</v>
      </c>
      <c r="M657" s="41" t="s">
        <v>885</v>
      </c>
      <c r="N657" s="41" t="s">
        <v>887</v>
      </c>
      <c r="O657" s="32"/>
      <c r="P657" s="37"/>
      <c r="Q657" s="46">
        <v>1</v>
      </c>
      <c r="R657" s="44">
        <v>550</v>
      </c>
      <c r="S657" s="34">
        <f t="shared" si="105"/>
        <v>550</v>
      </c>
      <c r="T657" s="34">
        <f t="shared" si="106"/>
        <v>99</v>
      </c>
      <c r="U657" s="34">
        <f t="shared" si="107"/>
        <v>649</v>
      </c>
      <c r="V657" s="34"/>
      <c r="W657" s="23" t="s">
        <v>1005</v>
      </c>
    </row>
    <row r="658" spans="1:23" x14ac:dyDescent="0.25">
      <c r="A658" s="31">
        <v>46008.548356481479</v>
      </c>
      <c r="B658" s="32" t="str">
        <f t="shared" si="104"/>
        <v>Dec-25</v>
      </c>
      <c r="C658" s="23" t="s">
        <v>153</v>
      </c>
      <c r="D658" s="23" t="s">
        <v>369</v>
      </c>
      <c r="E658" s="39">
        <v>45687</v>
      </c>
      <c r="F658" s="32">
        <f>IFERROR(DATEDIF(Table1[[#This Row],[MPG Ope Date]],Table1[[#This Row],[L]],"M"),"")</f>
        <v>10</v>
      </c>
      <c r="G658" s="25">
        <v>10140159</v>
      </c>
      <c r="H658" s="41" t="s">
        <v>909</v>
      </c>
      <c r="I658" s="41" t="s">
        <v>940</v>
      </c>
      <c r="J658" s="41">
        <v>9931256142</v>
      </c>
      <c r="K658" s="41" t="s">
        <v>69</v>
      </c>
      <c r="L658" s="41">
        <v>360243</v>
      </c>
      <c r="M658" s="41" t="s">
        <v>145</v>
      </c>
      <c r="N658" s="41" t="s">
        <v>146</v>
      </c>
      <c r="O658" s="32"/>
      <c r="P658" s="37"/>
      <c r="Q658" s="46">
        <v>1</v>
      </c>
      <c r="R658" s="44">
        <v>49</v>
      </c>
      <c r="S658" s="34">
        <f t="shared" si="105"/>
        <v>49</v>
      </c>
      <c r="T658" s="34">
        <f t="shared" si="106"/>
        <v>8.82</v>
      </c>
      <c r="U658" s="34">
        <f t="shared" si="107"/>
        <v>57.82</v>
      </c>
      <c r="V658" s="34"/>
      <c r="W658" s="23" t="s">
        <v>1005</v>
      </c>
    </row>
    <row r="659" spans="1:23" x14ac:dyDescent="0.25">
      <c r="A659" s="31">
        <v>46008.635451388887</v>
      </c>
      <c r="B659" s="32" t="str">
        <f t="shared" si="104"/>
        <v>Dec-25</v>
      </c>
      <c r="C659" s="23" t="s">
        <v>152</v>
      </c>
      <c r="D659" s="23" t="s">
        <v>369</v>
      </c>
      <c r="E659" s="39" t="e">
        <v>#N/A</v>
      </c>
      <c r="F659" s="32" t="str">
        <f>IFERROR(DATEDIF(Table1[[#This Row],[MPG Ope Date]],Table1[[#This Row],[L]],"M"),"")</f>
        <v/>
      </c>
      <c r="G659" s="25">
        <v>20010042</v>
      </c>
      <c r="H659" s="41" t="s">
        <v>555</v>
      </c>
      <c r="I659" s="41" t="s">
        <v>512</v>
      </c>
      <c r="J659" s="41">
        <v>7561962180</v>
      </c>
      <c r="K659" s="41" t="s">
        <v>70</v>
      </c>
      <c r="L659" s="41" t="s">
        <v>967</v>
      </c>
      <c r="M659" s="41" t="s">
        <v>131</v>
      </c>
      <c r="N659" s="41" t="s">
        <v>132</v>
      </c>
      <c r="O659" s="32"/>
      <c r="P659" s="37"/>
      <c r="Q659" s="46">
        <v>1</v>
      </c>
      <c r="R659" s="44">
        <v>2800</v>
      </c>
      <c r="S659" s="34">
        <f t="shared" si="105"/>
        <v>2800</v>
      </c>
      <c r="T659" s="34">
        <f t="shared" si="106"/>
        <v>504</v>
      </c>
      <c r="U659" s="34">
        <f t="shared" si="107"/>
        <v>3304</v>
      </c>
      <c r="V659" s="34"/>
      <c r="W659" s="23" t="e">
        <v>#N/A</v>
      </c>
    </row>
    <row r="660" spans="1:23" x14ac:dyDescent="0.25">
      <c r="A660" s="31">
        <v>46008.633599537039</v>
      </c>
      <c r="B660" s="32" t="str">
        <f t="shared" si="104"/>
        <v>Dec-25</v>
      </c>
      <c r="C660" s="23" t="s">
        <v>152</v>
      </c>
      <c r="D660" s="23" t="s">
        <v>0</v>
      </c>
      <c r="E660" s="39" t="e">
        <v>#N/A</v>
      </c>
      <c r="F660" s="32" t="str">
        <f>IFERROR(DATEDIF(Table1[[#This Row],[MPG Ope Date]],Table1[[#This Row],[L]],"M"),"")</f>
        <v/>
      </c>
      <c r="G660" s="25">
        <v>2001</v>
      </c>
      <c r="H660" s="41" t="s">
        <v>22</v>
      </c>
      <c r="I660" s="41" t="s">
        <v>56</v>
      </c>
      <c r="J660" s="41">
        <v>8210761749</v>
      </c>
      <c r="K660" s="41" t="s">
        <v>70</v>
      </c>
      <c r="L660" s="41" t="s">
        <v>95</v>
      </c>
      <c r="M660" s="41" t="s">
        <v>131</v>
      </c>
      <c r="N660" s="41" t="s">
        <v>132</v>
      </c>
      <c r="O660" s="32"/>
      <c r="P660" s="37"/>
      <c r="Q660" s="46">
        <v>1</v>
      </c>
      <c r="R660" s="44">
        <v>2800</v>
      </c>
      <c r="S660" s="34">
        <f t="shared" si="105"/>
        <v>2800</v>
      </c>
      <c r="T660" s="34">
        <f t="shared" si="106"/>
        <v>504</v>
      </c>
      <c r="U660" s="34">
        <f t="shared" si="107"/>
        <v>3304</v>
      </c>
      <c r="V660" s="34"/>
      <c r="W660" s="23" t="e">
        <v>#N/A</v>
      </c>
    </row>
    <row r="661" spans="1:23" x14ac:dyDescent="0.25">
      <c r="A661" s="31">
        <v>46007.647430555553</v>
      </c>
      <c r="B661" s="32" t="str">
        <f t="shared" si="104"/>
        <v>Dec-25</v>
      </c>
      <c r="C661" s="23" t="s">
        <v>153</v>
      </c>
      <c r="D661" s="23" t="s">
        <v>369</v>
      </c>
      <c r="E661" s="39">
        <v>45661</v>
      </c>
      <c r="F661" s="32">
        <f>IFERROR(DATEDIF(Table1[[#This Row],[MPG Ope Date]],Table1[[#This Row],[L]],"M"),"")</f>
        <v>11</v>
      </c>
      <c r="G661" s="25">
        <v>10100056</v>
      </c>
      <c r="H661" s="41" t="s">
        <v>910</v>
      </c>
      <c r="I661" s="41" t="s">
        <v>941</v>
      </c>
      <c r="J661" s="41">
        <v>6204674632</v>
      </c>
      <c r="K661" s="41" t="s">
        <v>69</v>
      </c>
      <c r="L661" s="41">
        <v>385964</v>
      </c>
      <c r="M661" s="41" t="s">
        <v>117</v>
      </c>
      <c r="N661" s="41" t="s">
        <v>118</v>
      </c>
      <c r="O661" s="32"/>
      <c r="P661" s="37"/>
      <c r="Q661" s="46">
        <v>1</v>
      </c>
      <c r="R661" s="44">
        <v>770</v>
      </c>
      <c r="S661" s="34">
        <f t="shared" si="105"/>
        <v>770</v>
      </c>
      <c r="T661" s="34">
        <f t="shared" si="106"/>
        <v>138.6</v>
      </c>
      <c r="U661" s="34">
        <f t="shared" si="107"/>
        <v>908.6</v>
      </c>
      <c r="V661" s="34"/>
      <c r="W661" s="23" t="s">
        <v>1005</v>
      </c>
    </row>
    <row r="662" spans="1:23" x14ac:dyDescent="0.25">
      <c r="A662" s="31">
        <v>46007.647430555553</v>
      </c>
      <c r="B662" s="32" t="str">
        <f t="shared" si="104"/>
        <v>Dec-25</v>
      </c>
      <c r="C662" s="23" t="s">
        <v>153</v>
      </c>
      <c r="D662" s="23" t="s">
        <v>369</v>
      </c>
      <c r="E662" s="39">
        <v>45661</v>
      </c>
      <c r="F662" s="32">
        <f>IFERROR(DATEDIF(Table1[[#This Row],[MPG Ope Date]],Table1[[#This Row],[L]],"M"),"")</f>
        <v>11</v>
      </c>
      <c r="G662" s="25">
        <v>10100056</v>
      </c>
      <c r="H662" s="41" t="s">
        <v>910</v>
      </c>
      <c r="I662" s="41" t="s">
        <v>941</v>
      </c>
      <c r="J662" s="41">
        <v>6204674632</v>
      </c>
      <c r="K662" s="41" t="s">
        <v>69</v>
      </c>
      <c r="L662" s="41">
        <v>385964</v>
      </c>
      <c r="M662" s="41" t="s">
        <v>360</v>
      </c>
      <c r="N662" s="41" t="s">
        <v>361</v>
      </c>
      <c r="O662" s="32"/>
      <c r="P662" s="37"/>
      <c r="Q662" s="46">
        <v>1</v>
      </c>
      <c r="R662" s="44">
        <v>44</v>
      </c>
      <c r="S662" s="34">
        <f t="shared" si="105"/>
        <v>44</v>
      </c>
      <c r="T662" s="34">
        <f t="shared" si="106"/>
        <v>7.92</v>
      </c>
      <c r="U662" s="34">
        <f t="shared" si="107"/>
        <v>51.92</v>
      </c>
      <c r="V662" s="34"/>
      <c r="W662" s="23" t="s">
        <v>1005</v>
      </c>
    </row>
    <row r="663" spans="1:23" x14ac:dyDescent="0.25">
      <c r="A663" s="31">
        <v>46007.647430555553</v>
      </c>
      <c r="B663" s="32" t="str">
        <f t="shared" si="104"/>
        <v>Dec-25</v>
      </c>
      <c r="C663" s="23" t="s">
        <v>153</v>
      </c>
      <c r="D663" s="23" t="s">
        <v>369</v>
      </c>
      <c r="E663" s="39">
        <v>45661</v>
      </c>
      <c r="F663" s="32">
        <f>IFERROR(DATEDIF(Table1[[#This Row],[MPG Ope Date]],Table1[[#This Row],[L]],"M"),"")</f>
        <v>11</v>
      </c>
      <c r="G663" s="25">
        <v>10100056</v>
      </c>
      <c r="H663" s="41" t="s">
        <v>910</v>
      </c>
      <c r="I663" s="41" t="s">
        <v>941</v>
      </c>
      <c r="J663" s="41">
        <v>6204674632</v>
      </c>
      <c r="K663" s="41" t="s">
        <v>69</v>
      </c>
      <c r="L663" s="41">
        <v>385964</v>
      </c>
      <c r="M663" s="41" t="s">
        <v>360</v>
      </c>
      <c r="N663" s="41" t="s">
        <v>361</v>
      </c>
      <c r="O663" s="32"/>
      <c r="P663" s="37"/>
      <c r="Q663" s="46">
        <v>1</v>
      </c>
      <c r="R663" s="44">
        <v>44</v>
      </c>
      <c r="S663" s="34">
        <f t="shared" si="105"/>
        <v>44</v>
      </c>
      <c r="T663" s="34">
        <f t="shared" si="106"/>
        <v>7.92</v>
      </c>
      <c r="U663" s="34">
        <f t="shared" si="107"/>
        <v>51.92</v>
      </c>
      <c r="V663" s="34"/>
      <c r="W663" s="23" t="s">
        <v>1005</v>
      </c>
    </row>
    <row r="664" spans="1:23" x14ac:dyDescent="0.25">
      <c r="A664" s="31">
        <v>46007.647731481484</v>
      </c>
      <c r="B664" s="32" t="str">
        <f t="shared" si="104"/>
        <v>Dec-25</v>
      </c>
      <c r="C664" s="23" t="s">
        <v>153</v>
      </c>
      <c r="D664" s="23" t="s">
        <v>369</v>
      </c>
      <c r="E664" s="39">
        <v>45661</v>
      </c>
      <c r="F664" s="32">
        <f>IFERROR(DATEDIF(Table1[[#This Row],[MPG Ope Date]],Table1[[#This Row],[L]],"M"),"")</f>
        <v>11</v>
      </c>
      <c r="G664" s="25">
        <v>10100056</v>
      </c>
      <c r="H664" s="41" t="s">
        <v>910</v>
      </c>
      <c r="I664" s="41" t="s">
        <v>941</v>
      </c>
      <c r="J664" s="41">
        <v>6204674632</v>
      </c>
      <c r="K664" s="41" t="s">
        <v>68</v>
      </c>
      <c r="L664" s="41" t="s">
        <v>968</v>
      </c>
      <c r="M664" s="41" t="s">
        <v>111</v>
      </c>
      <c r="N664" s="41" t="s">
        <v>112</v>
      </c>
      <c r="O664" s="32"/>
      <c r="P664" s="37"/>
      <c r="Q664" s="46">
        <v>1</v>
      </c>
      <c r="R664" s="44">
        <v>360</v>
      </c>
      <c r="S664" s="34">
        <f t="shared" si="105"/>
        <v>360</v>
      </c>
      <c r="T664" s="34">
        <f t="shared" si="106"/>
        <v>64.8</v>
      </c>
      <c r="U664" s="34">
        <f t="shared" si="107"/>
        <v>424.8</v>
      </c>
      <c r="V664" s="34"/>
      <c r="W664" s="23" t="s">
        <v>1005</v>
      </c>
    </row>
    <row r="665" spans="1:23" x14ac:dyDescent="0.25">
      <c r="A665" s="31">
        <v>46007.519571759258</v>
      </c>
      <c r="B665" s="32" t="str">
        <f t="shared" si="104"/>
        <v>Dec-25</v>
      </c>
      <c r="C665" s="23" t="s">
        <v>153</v>
      </c>
      <c r="D665" s="23" t="s">
        <v>369</v>
      </c>
      <c r="E665" s="39">
        <v>45681</v>
      </c>
      <c r="F665" s="32">
        <f>IFERROR(DATEDIF(Table1[[#This Row],[MPG Ope Date]],Table1[[#This Row],[L]],"M"),"")</f>
        <v>10</v>
      </c>
      <c r="G665" s="25">
        <v>10070048</v>
      </c>
      <c r="H665" s="41" t="s">
        <v>20</v>
      </c>
      <c r="I665" s="41" t="s">
        <v>54</v>
      </c>
      <c r="J665" s="41">
        <v>8084852614</v>
      </c>
      <c r="K665" s="41" t="s">
        <v>68</v>
      </c>
      <c r="L665" s="41" t="s">
        <v>809</v>
      </c>
      <c r="M665" s="41" t="s">
        <v>113</v>
      </c>
      <c r="N665" s="41" t="s">
        <v>114</v>
      </c>
      <c r="O665" s="32"/>
      <c r="P665" s="37"/>
      <c r="Q665" s="46">
        <v>1</v>
      </c>
      <c r="R665" s="44">
        <v>225</v>
      </c>
      <c r="S665" s="34">
        <f t="shared" si="105"/>
        <v>225</v>
      </c>
      <c r="T665" s="34">
        <f t="shared" si="106"/>
        <v>40.5</v>
      </c>
      <c r="U665" s="34">
        <f t="shared" si="107"/>
        <v>265.5</v>
      </c>
      <c r="V665" s="34"/>
      <c r="W665" s="23" t="s">
        <v>1005</v>
      </c>
    </row>
    <row r="666" spans="1:23" x14ac:dyDescent="0.25">
      <c r="A666" s="31">
        <v>46007.519328703704</v>
      </c>
      <c r="B666" s="32" t="str">
        <f t="shared" si="104"/>
        <v>Dec-25</v>
      </c>
      <c r="C666" s="23" t="s">
        <v>153</v>
      </c>
      <c r="D666" s="23" t="s">
        <v>369</v>
      </c>
      <c r="E666" s="39">
        <v>45681</v>
      </c>
      <c r="F666" s="32">
        <f>IFERROR(DATEDIF(Table1[[#This Row],[MPG Ope Date]],Table1[[#This Row],[L]],"M"),"")</f>
        <v>10</v>
      </c>
      <c r="G666" s="25">
        <v>10070048</v>
      </c>
      <c r="H666" s="41" t="s">
        <v>20</v>
      </c>
      <c r="I666" s="41" t="s">
        <v>54</v>
      </c>
      <c r="J666" s="41">
        <v>8084852614</v>
      </c>
      <c r="K666" s="41" t="s">
        <v>69</v>
      </c>
      <c r="L666" s="41">
        <v>2346391</v>
      </c>
      <c r="M666" s="41" t="s">
        <v>262</v>
      </c>
      <c r="N666" s="41" t="s">
        <v>263</v>
      </c>
      <c r="O666" s="32"/>
      <c r="P666" s="37"/>
      <c r="Q666" s="46">
        <v>1</v>
      </c>
      <c r="R666" s="44">
        <v>140</v>
      </c>
      <c r="S666" s="34">
        <f t="shared" si="105"/>
        <v>140</v>
      </c>
      <c r="T666" s="34">
        <f t="shared" si="106"/>
        <v>25.2</v>
      </c>
      <c r="U666" s="34">
        <f t="shared" si="107"/>
        <v>165.2</v>
      </c>
      <c r="V666" s="34"/>
      <c r="W666" s="23" t="s">
        <v>1005</v>
      </c>
    </row>
    <row r="667" spans="1:23" x14ac:dyDescent="0.25">
      <c r="A667" s="31">
        <v>46007.519328703704</v>
      </c>
      <c r="B667" s="32" t="str">
        <f t="shared" si="104"/>
        <v>Dec-25</v>
      </c>
      <c r="C667" s="23" t="s">
        <v>153</v>
      </c>
      <c r="D667" s="23" t="s">
        <v>369</v>
      </c>
      <c r="E667" s="39">
        <v>45681</v>
      </c>
      <c r="F667" s="32">
        <f>IFERROR(DATEDIF(Table1[[#This Row],[MPG Ope Date]],Table1[[#This Row],[L]],"M"),"")</f>
        <v>10</v>
      </c>
      <c r="G667" s="25">
        <v>10070048</v>
      </c>
      <c r="H667" s="41" t="s">
        <v>20</v>
      </c>
      <c r="I667" s="41" t="s">
        <v>54</v>
      </c>
      <c r="J667" s="41">
        <v>8084852614</v>
      </c>
      <c r="K667" s="41" t="s">
        <v>69</v>
      </c>
      <c r="L667" s="41">
        <v>2346391</v>
      </c>
      <c r="M667" s="41" t="s">
        <v>615</v>
      </c>
      <c r="N667" s="41" t="s">
        <v>616</v>
      </c>
      <c r="O667" s="32"/>
      <c r="P667" s="37"/>
      <c r="Q667" s="46">
        <v>1</v>
      </c>
      <c r="R667" s="44">
        <v>120</v>
      </c>
      <c r="S667" s="34">
        <f t="shared" si="105"/>
        <v>120</v>
      </c>
      <c r="T667" s="34">
        <f t="shared" si="106"/>
        <v>21.599999999999998</v>
      </c>
      <c r="U667" s="34">
        <f t="shared" si="107"/>
        <v>141.6</v>
      </c>
      <c r="V667" s="34"/>
      <c r="W667" s="23" t="s">
        <v>1005</v>
      </c>
    </row>
    <row r="668" spans="1:23" x14ac:dyDescent="0.25">
      <c r="A668" s="31">
        <v>46007.519328703704</v>
      </c>
      <c r="B668" s="32" t="str">
        <f t="shared" si="104"/>
        <v>Dec-25</v>
      </c>
      <c r="C668" s="23" t="s">
        <v>153</v>
      </c>
      <c r="D668" s="23" t="s">
        <v>369</v>
      </c>
      <c r="E668" s="39">
        <v>45681</v>
      </c>
      <c r="F668" s="32">
        <f>IFERROR(DATEDIF(Table1[[#This Row],[MPG Ope Date]],Table1[[#This Row],[L]],"M"),"")</f>
        <v>10</v>
      </c>
      <c r="G668" s="25">
        <v>10070048</v>
      </c>
      <c r="H668" s="41" t="s">
        <v>20</v>
      </c>
      <c r="I668" s="41" t="s">
        <v>54</v>
      </c>
      <c r="J668" s="41">
        <v>8084852614</v>
      </c>
      <c r="K668" s="41" t="s">
        <v>69</v>
      </c>
      <c r="L668" s="41">
        <v>2346391</v>
      </c>
      <c r="M668" s="41" t="s">
        <v>264</v>
      </c>
      <c r="N668" s="41" t="s">
        <v>265</v>
      </c>
      <c r="O668" s="32"/>
      <c r="P668" s="37"/>
      <c r="Q668" s="46">
        <v>1</v>
      </c>
      <c r="R668" s="44">
        <v>790</v>
      </c>
      <c r="S668" s="34">
        <f t="shared" si="105"/>
        <v>790</v>
      </c>
      <c r="T668" s="34">
        <f t="shared" si="106"/>
        <v>142.19999999999999</v>
      </c>
      <c r="U668" s="34">
        <f t="shared" si="107"/>
        <v>932.2</v>
      </c>
      <c r="V668" s="34"/>
      <c r="W668" s="23" t="s">
        <v>1005</v>
      </c>
    </row>
    <row r="669" spans="1:23" x14ac:dyDescent="0.25">
      <c r="A669" s="31">
        <v>46007.531944444447</v>
      </c>
      <c r="B669" s="32" t="str">
        <f t="shared" si="104"/>
        <v>Dec-25</v>
      </c>
      <c r="C669" s="23" t="s">
        <v>153</v>
      </c>
      <c r="D669" s="23" t="s">
        <v>0</v>
      </c>
      <c r="E669" s="39" t="e">
        <v>#N/A</v>
      </c>
      <c r="F669" s="32" t="str">
        <f>IFERROR(DATEDIF(Table1[[#This Row],[MPG Ope Date]],Table1[[#This Row],[L]],"M"),"")</f>
        <v/>
      </c>
      <c r="G669" s="25">
        <v>1003</v>
      </c>
      <c r="H669" s="41" t="s">
        <v>911</v>
      </c>
      <c r="I669" s="41" t="s">
        <v>942</v>
      </c>
      <c r="J669" s="41">
        <v>6201859567</v>
      </c>
      <c r="K669" s="41" t="s">
        <v>69</v>
      </c>
      <c r="L669" s="41">
        <v>183572</v>
      </c>
      <c r="M669" s="41" t="s">
        <v>988</v>
      </c>
      <c r="N669" s="41" t="s">
        <v>989</v>
      </c>
      <c r="O669" s="32"/>
      <c r="P669" s="37"/>
      <c r="Q669" s="46">
        <v>1</v>
      </c>
      <c r="R669" s="44">
        <v>120</v>
      </c>
      <c r="S669" s="34">
        <f t="shared" si="105"/>
        <v>120</v>
      </c>
      <c r="T669" s="34">
        <f t="shared" si="106"/>
        <v>21.599999999999998</v>
      </c>
      <c r="U669" s="34">
        <f t="shared" si="107"/>
        <v>141.6</v>
      </c>
      <c r="V669" s="34"/>
      <c r="W669" s="23" t="e">
        <v>#N/A</v>
      </c>
    </row>
    <row r="670" spans="1:23" x14ac:dyDescent="0.25">
      <c r="A670" s="31">
        <v>46007.531944444447</v>
      </c>
      <c r="B670" s="32" t="str">
        <f t="shared" si="104"/>
        <v>Dec-25</v>
      </c>
      <c r="C670" s="23" t="s">
        <v>153</v>
      </c>
      <c r="D670" s="23" t="s">
        <v>0</v>
      </c>
      <c r="E670" s="39" t="e">
        <v>#N/A</v>
      </c>
      <c r="F670" s="32" t="str">
        <f>IFERROR(DATEDIF(Table1[[#This Row],[MPG Ope Date]],Table1[[#This Row],[L]],"M"),"")</f>
        <v/>
      </c>
      <c r="G670" s="25">
        <v>1003</v>
      </c>
      <c r="H670" s="41" t="s">
        <v>911</v>
      </c>
      <c r="I670" s="41" t="s">
        <v>942</v>
      </c>
      <c r="J670" s="41">
        <v>6201859567</v>
      </c>
      <c r="K670" s="41" t="s">
        <v>69</v>
      </c>
      <c r="L670" s="41">
        <v>183572</v>
      </c>
      <c r="M670" s="41" t="s">
        <v>121</v>
      </c>
      <c r="N670" s="41" t="s">
        <v>122</v>
      </c>
      <c r="O670" s="32"/>
      <c r="P670" s="37"/>
      <c r="Q670" s="46">
        <v>1</v>
      </c>
      <c r="R670" s="44">
        <v>70</v>
      </c>
      <c r="S670" s="34">
        <f t="shared" si="105"/>
        <v>70</v>
      </c>
      <c r="T670" s="34">
        <f t="shared" si="106"/>
        <v>12.6</v>
      </c>
      <c r="U670" s="34">
        <f t="shared" si="107"/>
        <v>82.6</v>
      </c>
      <c r="V670" s="34"/>
      <c r="W670" s="23" t="e">
        <v>#N/A</v>
      </c>
    </row>
    <row r="671" spans="1:23" x14ac:dyDescent="0.25">
      <c r="A671" s="31">
        <v>46007.531944444447</v>
      </c>
      <c r="B671" s="32" t="str">
        <f t="shared" si="104"/>
        <v>Dec-25</v>
      </c>
      <c r="C671" s="23" t="s">
        <v>153</v>
      </c>
      <c r="D671" s="23" t="s">
        <v>0</v>
      </c>
      <c r="E671" s="39" t="e">
        <v>#N/A</v>
      </c>
      <c r="F671" s="32" t="str">
        <f>IFERROR(DATEDIF(Table1[[#This Row],[MPG Ope Date]],Table1[[#This Row],[L]],"M"),"")</f>
        <v/>
      </c>
      <c r="G671" s="25">
        <v>1003</v>
      </c>
      <c r="H671" s="41" t="s">
        <v>911</v>
      </c>
      <c r="I671" s="41" t="s">
        <v>942</v>
      </c>
      <c r="J671" s="41">
        <v>6201859567</v>
      </c>
      <c r="K671" s="41" t="s">
        <v>69</v>
      </c>
      <c r="L671" s="41">
        <v>183572</v>
      </c>
      <c r="M671" s="41" t="s">
        <v>121</v>
      </c>
      <c r="N671" s="41" t="s">
        <v>122</v>
      </c>
      <c r="O671" s="32"/>
      <c r="P671" s="37"/>
      <c r="Q671" s="46">
        <v>1</v>
      </c>
      <c r="R671" s="44">
        <v>70</v>
      </c>
      <c r="S671" s="34">
        <f t="shared" si="105"/>
        <v>70</v>
      </c>
      <c r="T671" s="34">
        <f t="shared" si="106"/>
        <v>12.6</v>
      </c>
      <c r="U671" s="34">
        <f t="shared" si="107"/>
        <v>82.6</v>
      </c>
      <c r="V671" s="34"/>
      <c r="W671" s="23" t="e">
        <v>#N/A</v>
      </c>
    </row>
    <row r="672" spans="1:23" x14ac:dyDescent="0.25">
      <c r="A672" s="31">
        <v>46007.667349537034</v>
      </c>
      <c r="B672" s="32" t="str">
        <f t="shared" si="104"/>
        <v>Dec-25</v>
      </c>
      <c r="C672" s="23" t="s">
        <v>153</v>
      </c>
      <c r="D672" s="23" t="s">
        <v>369</v>
      </c>
      <c r="E672" s="39">
        <v>45869</v>
      </c>
      <c r="F672" s="32">
        <f>IFERROR(DATEDIF(Table1[[#This Row],[MPG Ope Date]],Table1[[#This Row],[L]],"M"),"")</f>
        <v>4</v>
      </c>
      <c r="G672" s="25">
        <v>10020079</v>
      </c>
      <c r="H672" s="41" t="s">
        <v>912</v>
      </c>
      <c r="I672" s="41" t="s">
        <v>441</v>
      </c>
      <c r="J672" s="41">
        <v>9113404461</v>
      </c>
      <c r="K672" s="41" t="s">
        <v>70</v>
      </c>
      <c r="L672" s="41" t="s">
        <v>344</v>
      </c>
      <c r="M672" s="41" t="s">
        <v>266</v>
      </c>
      <c r="N672" s="41" t="s">
        <v>267</v>
      </c>
      <c r="O672" s="32"/>
      <c r="P672" s="37"/>
      <c r="Q672" s="46">
        <v>1</v>
      </c>
      <c r="R672" s="44">
        <v>780</v>
      </c>
      <c r="S672" s="34">
        <f t="shared" si="105"/>
        <v>780</v>
      </c>
      <c r="T672" s="34">
        <f t="shared" si="106"/>
        <v>140.4</v>
      </c>
      <c r="U672" s="34">
        <f t="shared" si="107"/>
        <v>920.4</v>
      </c>
      <c r="V672" s="34"/>
      <c r="W672" s="23" t="s">
        <v>1005</v>
      </c>
    </row>
    <row r="673" spans="1:23" x14ac:dyDescent="0.25">
      <c r="A673" s="31">
        <v>46007.670706018522</v>
      </c>
      <c r="B673" s="32" t="str">
        <f t="shared" si="104"/>
        <v>Dec-25</v>
      </c>
      <c r="C673" s="23" t="s">
        <v>153</v>
      </c>
      <c r="D673" s="23" t="s">
        <v>369</v>
      </c>
      <c r="E673" s="39" t="e">
        <v>#N/A</v>
      </c>
      <c r="F673" s="32" t="str">
        <f>IFERROR(DATEDIF(Table1[[#This Row],[MPG Ope Date]],Table1[[#This Row],[L]],"M"),"")</f>
        <v/>
      </c>
      <c r="G673" s="25">
        <v>10010076</v>
      </c>
      <c r="H673" s="49" t="s">
        <v>284</v>
      </c>
      <c r="I673" s="41" t="s">
        <v>316</v>
      </c>
      <c r="J673" s="41">
        <v>7808020360</v>
      </c>
      <c r="K673" s="41" t="s">
        <v>68</v>
      </c>
      <c r="L673" s="41" t="s">
        <v>707</v>
      </c>
      <c r="M673" s="41" t="s">
        <v>135</v>
      </c>
      <c r="N673" s="41" t="s">
        <v>136</v>
      </c>
      <c r="O673" s="32"/>
      <c r="P673" s="37"/>
      <c r="Q673" s="46">
        <v>1</v>
      </c>
      <c r="R673" s="44">
        <v>825</v>
      </c>
      <c r="S673" s="34">
        <f t="shared" si="105"/>
        <v>825</v>
      </c>
      <c r="T673" s="34">
        <f t="shared" si="106"/>
        <v>148.5</v>
      </c>
      <c r="U673" s="34">
        <f t="shared" si="107"/>
        <v>973.5</v>
      </c>
      <c r="V673" s="34"/>
      <c r="W673" s="23" t="s">
        <v>1005</v>
      </c>
    </row>
    <row r="674" spans="1:23" x14ac:dyDescent="0.25">
      <c r="A674" s="31">
        <v>46006.609375</v>
      </c>
      <c r="B674" s="32" t="str">
        <f t="shared" si="104"/>
        <v>Dec-25</v>
      </c>
      <c r="C674" s="23" t="s">
        <v>153</v>
      </c>
      <c r="D674" s="23" t="s">
        <v>369</v>
      </c>
      <c r="E674" s="39">
        <v>44835</v>
      </c>
      <c r="F674" s="32">
        <f>IFERROR(DATEDIF(Table1[[#This Row],[MPG Ope Date]],Table1[[#This Row],[L]],"M"),"")</f>
        <v>38</v>
      </c>
      <c r="G674" s="25">
        <v>10120031</v>
      </c>
      <c r="H674" s="41" t="s">
        <v>415</v>
      </c>
      <c r="I674" s="41" t="s">
        <v>439</v>
      </c>
      <c r="J674" s="41">
        <v>9955935034</v>
      </c>
      <c r="K674" s="41" t="s">
        <v>68</v>
      </c>
      <c r="L674" s="41" t="s">
        <v>969</v>
      </c>
      <c r="M674" s="41" t="s">
        <v>111</v>
      </c>
      <c r="N674" s="41" t="s">
        <v>112</v>
      </c>
      <c r="O674" s="32"/>
      <c r="P674" s="37"/>
      <c r="Q674" s="46">
        <v>1</v>
      </c>
      <c r="R674" s="44">
        <v>360</v>
      </c>
      <c r="S674" s="34">
        <f t="shared" si="105"/>
        <v>360</v>
      </c>
      <c r="T674" s="34">
        <f t="shared" si="106"/>
        <v>64.8</v>
      </c>
      <c r="U674" s="34">
        <f t="shared" si="107"/>
        <v>424.8</v>
      </c>
      <c r="V674" s="34"/>
      <c r="W674" s="23" t="s">
        <v>1005</v>
      </c>
    </row>
    <row r="675" spans="1:23" x14ac:dyDescent="0.25">
      <c r="A675" s="31">
        <v>46006.685150462959</v>
      </c>
      <c r="B675" s="32" t="str">
        <f t="shared" si="104"/>
        <v>Dec-25</v>
      </c>
      <c r="C675" s="23" t="s">
        <v>153</v>
      </c>
      <c r="D675" s="23" t="s">
        <v>369</v>
      </c>
      <c r="E675" s="39">
        <v>45590</v>
      </c>
      <c r="F675" s="32">
        <f>IFERROR(DATEDIF(Table1[[#This Row],[MPG Ope Date]],Table1[[#This Row],[L]],"M"),"")</f>
        <v>13</v>
      </c>
      <c r="G675" s="25">
        <v>10140120</v>
      </c>
      <c r="H675" s="41" t="s">
        <v>913</v>
      </c>
      <c r="I675" s="41" t="s">
        <v>943</v>
      </c>
      <c r="J675" s="41">
        <v>7004788241</v>
      </c>
      <c r="K675" s="41" t="s">
        <v>68</v>
      </c>
      <c r="L675" s="41" t="s">
        <v>970</v>
      </c>
      <c r="M675" s="41" t="s">
        <v>139</v>
      </c>
      <c r="N675" s="41" t="s">
        <v>140</v>
      </c>
      <c r="O675" s="32"/>
      <c r="P675" s="37"/>
      <c r="Q675" s="46">
        <v>1</v>
      </c>
      <c r="R675" s="44">
        <v>1266</v>
      </c>
      <c r="S675" s="34">
        <f t="shared" si="105"/>
        <v>1266</v>
      </c>
      <c r="T675" s="34">
        <f t="shared" si="106"/>
        <v>227.88</v>
      </c>
      <c r="U675" s="34">
        <f t="shared" si="107"/>
        <v>1493.88</v>
      </c>
      <c r="V675" s="34"/>
      <c r="W675" s="23" t="s">
        <v>1005</v>
      </c>
    </row>
    <row r="676" spans="1:23" x14ac:dyDescent="0.25">
      <c r="A676" s="31">
        <v>46006.615532407406</v>
      </c>
      <c r="B676" s="32" t="str">
        <f t="shared" si="104"/>
        <v>Dec-25</v>
      </c>
      <c r="C676" s="23" t="s">
        <v>153</v>
      </c>
      <c r="D676" s="23" t="s">
        <v>0</v>
      </c>
      <c r="E676" s="39" t="e">
        <v>#N/A</v>
      </c>
      <c r="F676" s="32" t="str">
        <f>IFERROR(DATEDIF(Table1[[#This Row],[MPG Ope Date]],Table1[[#This Row],[L]],"M"),"")</f>
        <v/>
      </c>
      <c r="G676" s="25">
        <v>1012</v>
      </c>
      <c r="H676" s="41" t="s">
        <v>623</v>
      </c>
      <c r="I676" s="41" t="s">
        <v>666</v>
      </c>
      <c r="J676" s="41">
        <v>9060744847</v>
      </c>
      <c r="K676" s="41" t="s">
        <v>68</v>
      </c>
      <c r="L676" s="41" t="s">
        <v>729</v>
      </c>
      <c r="M676" s="41" t="s">
        <v>113</v>
      </c>
      <c r="N676" s="41" t="s">
        <v>114</v>
      </c>
      <c r="O676" s="32"/>
      <c r="P676" s="37"/>
      <c r="Q676" s="46">
        <v>1</v>
      </c>
      <c r="R676" s="44">
        <v>225</v>
      </c>
      <c r="S676" s="34">
        <f t="shared" si="105"/>
        <v>225</v>
      </c>
      <c r="T676" s="34">
        <f t="shared" si="106"/>
        <v>40.5</v>
      </c>
      <c r="U676" s="34">
        <f t="shared" si="107"/>
        <v>265.5</v>
      </c>
      <c r="V676" s="34"/>
      <c r="W676" s="23" t="e">
        <v>#N/A</v>
      </c>
    </row>
    <row r="677" spans="1:23" x14ac:dyDescent="0.25">
      <c r="A677" s="31">
        <v>46004.680092592593</v>
      </c>
      <c r="B677" s="32" t="str">
        <f t="shared" si="104"/>
        <v>Dec-25</v>
      </c>
      <c r="C677" s="23" t="s">
        <v>153</v>
      </c>
      <c r="D677" s="23" t="s">
        <v>369</v>
      </c>
      <c r="E677" s="39">
        <v>45590</v>
      </c>
      <c r="F677" s="32">
        <f>IFERROR(DATEDIF(Table1[[#This Row],[MPG Ope Date]],Table1[[#This Row],[L]],"M"),"")</f>
        <v>13</v>
      </c>
      <c r="G677" s="25">
        <v>10140131</v>
      </c>
      <c r="H677" s="41" t="s">
        <v>413</v>
      </c>
      <c r="I677" s="41" t="s">
        <v>437</v>
      </c>
      <c r="J677" s="41">
        <v>6202993543</v>
      </c>
      <c r="K677" s="41" t="s">
        <v>71</v>
      </c>
      <c r="L677" s="41" t="s">
        <v>971</v>
      </c>
      <c r="M677" s="41" t="s">
        <v>141</v>
      </c>
      <c r="N677" s="41" t="s">
        <v>142</v>
      </c>
      <c r="O677" s="32"/>
      <c r="P677" s="37"/>
      <c r="Q677" s="46">
        <v>1</v>
      </c>
      <c r="R677" s="44">
        <v>900</v>
      </c>
      <c r="S677" s="34">
        <f t="shared" si="105"/>
        <v>900</v>
      </c>
      <c r="T677" s="34">
        <f t="shared" si="106"/>
        <v>162</v>
      </c>
      <c r="U677" s="34">
        <f t="shared" si="107"/>
        <v>1062</v>
      </c>
      <c r="V677" s="34"/>
      <c r="W677" s="23" t="s">
        <v>1005</v>
      </c>
    </row>
    <row r="678" spans="1:23" x14ac:dyDescent="0.25">
      <c r="A678" s="31">
        <v>46004.65929398148</v>
      </c>
      <c r="B678" s="32" t="str">
        <f t="shared" si="104"/>
        <v>Dec-25</v>
      </c>
      <c r="C678" s="23" t="s">
        <v>153</v>
      </c>
      <c r="D678" s="23" t="s">
        <v>369</v>
      </c>
      <c r="E678" s="39">
        <v>44915</v>
      </c>
      <c r="F678" s="32">
        <f>IFERROR(DATEDIF(Table1[[#This Row],[MPG Ope Date]],Table1[[#This Row],[L]],"M"),"")</f>
        <v>35</v>
      </c>
      <c r="G678" s="25">
        <v>10130044</v>
      </c>
      <c r="H678" s="41" t="s">
        <v>29</v>
      </c>
      <c r="I678" s="41" t="s">
        <v>63</v>
      </c>
      <c r="J678" s="41">
        <v>7765934465</v>
      </c>
      <c r="K678" s="41" t="s">
        <v>69</v>
      </c>
      <c r="L678" s="41">
        <v>378760</v>
      </c>
      <c r="M678" s="41" t="s">
        <v>475</v>
      </c>
      <c r="N678" s="41" t="s">
        <v>476</v>
      </c>
      <c r="O678" s="32"/>
      <c r="P678" s="37"/>
      <c r="Q678" s="46">
        <v>1</v>
      </c>
      <c r="R678" s="44">
        <v>125</v>
      </c>
      <c r="S678" s="34">
        <f t="shared" si="105"/>
        <v>125</v>
      </c>
      <c r="T678" s="34">
        <f t="shared" si="106"/>
        <v>22.5</v>
      </c>
      <c r="U678" s="34">
        <f t="shared" si="107"/>
        <v>147.5</v>
      </c>
      <c r="V678" s="34"/>
      <c r="W678" s="23" t="s">
        <v>1005</v>
      </c>
    </row>
    <row r="679" spans="1:23" x14ac:dyDescent="0.25">
      <c r="A679" s="31">
        <v>46004.65929398148</v>
      </c>
      <c r="B679" s="32" t="str">
        <f t="shared" si="104"/>
        <v>Dec-25</v>
      </c>
      <c r="C679" s="23" t="s">
        <v>153</v>
      </c>
      <c r="D679" s="23" t="s">
        <v>369</v>
      </c>
      <c r="E679" s="39">
        <v>44915</v>
      </c>
      <c r="F679" s="32">
        <f>IFERROR(DATEDIF(Table1[[#This Row],[MPG Ope Date]],Table1[[#This Row],[L]],"M"),"")</f>
        <v>35</v>
      </c>
      <c r="G679" s="25">
        <v>10130044</v>
      </c>
      <c r="H679" s="41" t="s">
        <v>29</v>
      </c>
      <c r="I679" s="41" t="s">
        <v>63</v>
      </c>
      <c r="J679" s="41">
        <v>7765934465</v>
      </c>
      <c r="K679" s="41" t="s">
        <v>69</v>
      </c>
      <c r="L679" s="41">
        <v>378760</v>
      </c>
      <c r="M679" s="41" t="s">
        <v>475</v>
      </c>
      <c r="N679" s="41" t="s">
        <v>476</v>
      </c>
      <c r="O679" s="32"/>
      <c r="P679" s="37"/>
      <c r="Q679" s="46">
        <v>1</v>
      </c>
      <c r="R679" s="44">
        <v>125</v>
      </c>
      <c r="S679" s="34">
        <f t="shared" si="105"/>
        <v>125</v>
      </c>
      <c r="T679" s="34">
        <f t="shared" si="106"/>
        <v>22.5</v>
      </c>
      <c r="U679" s="34">
        <f t="shared" si="107"/>
        <v>147.5</v>
      </c>
      <c r="V679" s="34"/>
      <c r="W679" s="23" t="s">
        <v>1005</v>
      </c>
    </row>
    <row r="680" spans="1:23" x14ac:dyDescent="0.25">
      <c r="A680" s="31">
        <v>46004.725937499999</v>
      </c>
      <c r="B680" s="32" t="str">
        <f t="shared" si="104"/>
        <v>Dec-25</v>
      </c>
      <c r="C680" s="23" t="s">
        <v>153</v>
      </c>
      <c r="D680" s="23" t="s">
        <v>369</v>
      </c>
      <c r="E680" s="39" t="e">
        <v>#N/A</v>
      </c>
      <c r="F680" s="32" t="str">
        <f>IFERROR(DATEDIF(Table1[[#This Row],[MPG Ope Date]],Table1[[#This Row],[L]],"M"),"")</f>
        <v/>
      </c>
      <c r="G680" s="26">
        <v>10480001</v>
      </c>
      <c r="H680" s="49" t="s">
        <v>914</v>
      </c>
      <c r="I680" s="41" t="s">
        <v>944</v>
      </c>
      <c r="J680" s="41">
        <v>9801450809</v>
      </c>
      <c r="K680" s="41" t="s">
        <v>68</v>
      </c>
      <c r="L680" s="41" t="s">
        <v>972</v>
      </c>
      <c r="M680" s="41" t="s">
        <v>133</v>
      </c>
      <c r="N680" s="41" t="s">
        <v>134</v>
      </c>
      <c r="O680" s="32"/>
      <c r="P680" s="37"/>
      <c r="Q680" s="46">
        <v>1</v>
      </c>
      <c r="R680" s="44">
        <v>2080</v>
      </c>
      <c r="S680" s="34">
        <f t="shared" si="105"/>
        <v>2080</v>
      </c>
      <c r="T680" s="34">
        <f t="shared" si="106"/>
        <v>374.4</v>
      </c>
      <c r="U680" s="34">
        <f t="shared" si="107"/>
        <v>2454.4</v>
      </c>
      <c r="V680" s="34"/>
      <c r="W680" s="23" t="s">
        <v>1005</v>
      </c>
    </row>
    <row r="681" spans="1:23" x14ac:dyDescent="0.25">
      <c r="A681" s="31">
        <v>46004.567662037036</v>
      </c>
      <c r="B681" s="32" t="str">
        <f t="shared" si="104"/>
        <v>Dec-25</v>
      </c>
      <c r="C681" s="23" t="s">
        <v>153</v>
      </c>
      <c r="D681" s="23" t="s">
        <v>369</v>
      </c>
      <c r="E681" s="39" t="e">
        <v>#N/A</v>
      </c>
      <c r="F681" s="32" t="str">
        <f>IFERROR(DATEDIF(Table1[[#This Row],[MPG Ope Date]],Table1[[#This Row],[L]],"M"),"")</f>
        <v/>
      </c>
      <c r="G681" s="24">
        <v>10140032</v>
      </c>
      <c r="H681" s="49" t="s">
        <v>185</v>
      </c>
      <c r="I681" s="41" t="s">
        <v>221</v>
      </c>
      <c r="J681" s="41">
        <v>8651691707</v>
      </c>
      <c r="K681" s="41" t="s">
        <v>68</v>
      </c>
      <c r="L681" s="41" t="s">
        <v>973</v>
      </c>
      <c r="M681" s="41" t="s">
        <v>139</v>
      </c>
      <c r="N681" s="41" t="s">
        <v>140</v>
      </c>
      <c r="O681" s="32"/>
      <c r="P681" s="37"/>
      <c r="Q681" s="46">
        <v>1</v>
      </c>
      <c r="R681" s="44">
        <v>1266</v>
      </c>
      <c r="S681" s="34">
        <f t="shared" si="105"/>
        <v>1266</v>
      </c>
      <c r="T681" s="34">
        <f t="shared" si="106"/>
        <v>227.88</v>
      </c>
      <c r="U681" s="34">
        <f t="shared" si="107"/>
        <v>1493.88</v>
      </c>
      <c r="V681" s="34"/>
      <c r="W681" s="23" t="s">
        <v>1005</v>
      </c>
    </row>
    <row r="682" spans="1:23" x14ac:dyDescent="0.25">
      <c r="A682" s="31">
        <v>46003.666770833333</v>
      </c>
      <c r="B682" s="32" t="str">
        <f t="shared" si="104"/>
        <v>Dec-25</v>
      </c>
      <c r="C682" s="23" t="s">
        <v>153</v>
      </c>
      <c r="D682" s="23" t="s">
        <v>369</v>
      </c>
      <c r="E682" s="39">
        <v>45939</v>
      </c>
      <c r="F682" s="32">
        <f>IFERROR(DATEDIF(Table1[[#This Row],[MPG Ope Date]],Table1[[#This Row],[L]],"M"),"")</f>
        <v>2</v>
      </c>
      <c r="G682" s="25">
        <v>10120114</v>
      </c>
      <c r="H682" s="41" t="s">
        <v>763</v>
      </c>
      <c r="I682" s="41" t="s">
        <v>790</v>
      </c>
      <c r="J682" s="41">
        <v>9631389655</v>
      </c>
      <c r="K682" s="41" t="s">
        <v>68</v>
      </c>
      <c r="L682" s="41" t="s">
        <v>974</v>
      </c>
      <c r="M682" s="41" t="s">
        <v>111</v>
      </c>
      <c r="N682" s="41" t="s">
        <v>112</v>
      </c>
      <c r="O682" s="32"/>
      <c r="P682" s="37"/>
      <c r="Q682" s="46">
        <v>1</v>
      </c>
      <c r="R682" s="44">
        <v>360</v>
      </c>
      <c r="S682" s="34">
        <f t="shared" si="105"/>
        <v>360</v>
      </c>
      <c r="T682" s="34">
        <f t="shared" si="106"/>
        <v>64.8</v>
      </c>
      <c r="U682" s="34">
        <f t="shared" si="107"/>
        <v>424.8</v>
      </c>
      <c r="V682" s="34"/>
      <c r="W682" s="23" t="s">
        <v>1005</v>
      </c>
    </row>
    <row r="683" spans="1:23" x14ac:dyDescent="0.25">
      <c r="A683" s="31">
        <v>46003.487187500003</v>
      </c>
      <c r="B683" s="32" t="str">
        <f t="shared" si="104"/>
        <v>Dec-25</v>
      </c>
      <c r="C683" s="23" t="s">
        <v>153</v>
      </c>
      <c r="D683" s="23" t="s">
        <v>369</v>
      </c>
      <c r="E683" s="39">
        <v>45666</v>
      </c>
      <c r="F683" s="32">
        <f>IFERROR(DATEDIF(Table1[[#This Row],[MPG Ope Date]],Table1[[#This Row],[L]],"M"),"")</f>
        <v>11</v>
      </c>
      <c r="G683" s="25">
        <v>10120094</v>
      </c>
      <c r="H683" s="41" t="s">
        <v>187</v>
      </c>
      <c r="I683" s="41" t="s">
        <v>223</v>
      </c>
      <c r="J683" s="41">
        <v>9939074043</v>
      </c>
      <c r="K683" s="41" t="s">
        <v>68</v>
      </c>
      <c r="L683" s="41" t="s">
        <v>101</v>
      </c>
      <c r="M683" s="41" t="s">
        <v>113</v>
      </c>
      <c r="N683" s="41" t="s">
        <v>114</v>
      </c>
      <c r="O683" s="32"/>
      <c r="P683" s="37"/>
      <c r="Q683" s="46">
        <v>1</v>
      </c>
      <c r="R683" s="44">
        <v>225</v>
      </c>
      <c r="S683" s="34">
        <f t="shared" si="105"/>
        <v>225</v>
      </c>
      <c r="T683" s="34">
        <f t="shared" si="106"/>
        <v>40.5</v>
      </c>
      <c r="U683" s="34">
        <f t="shared" si="107"/>
        <v>265.5</v>
      </c>
      <c r="V683" s="34"/>
      <c r="W683" s="23" t="s">
        <v>1005</v>
      </c>
    </row>
    <row r="684" spans="1:23" x14ac:dyDescent="0.25">
      <c r="A684" s="31">
        <v>46003.669490740744</v>
      </c>
      <c r="B684" s="32" t="str">
        <f t="shared" si="104"/>
        <v>Dec-25</v>
      </c>
      <c r="C684" s="23" t="s">
        <v>153</v>
      </c>
      <c r="D684" s="23" t="s">
        <v>369</v>
      </c>
      <c r="E684" s="39">
        <v>45798</v>
      </c>
      <c r="F684" s="32">
        <f>IFERROR(DATEDIF(Table1[[#This Row],[MPG Ope Date]],Table1[[#This Row],[L]],"M"),"")</f>
        <v>6</v>
      </c>
      <c r="G684" s="25">
        <v>10120107</v>
      </c>
      <c r="H684" s="41" t="s">
        <v>915</v>
      </c>
      <c r="I684" s="41" t="s">
        <v>945</v>
      </c>
      <c r="J684" s="41">
        <v>7079704525</v>
      </c>
      <c r="K684" s="41" t="s">
        <v>69</v>
      </c>
      <c r="L684" s="41">
        <v>399048</v>
      </c>
      <c r="M684" s="41" t="s">
        <v>145</v>
      </c>
      <c r="N684" s="41" t="s">
        <v>146</v>
      </c>
      <c r="O684" s="32"/>
      <c r="P684" s="37"/>
      <c r="Q684" s="46">
        <v>1</v>
      </c>
      <c r="R684" s="44">
        <v>49</v>
      </c>
      <c r="S684" s="34">
        <f t="shared" si="105"/>
        <v>49</v>
      </c>
      <c r="T684" s="34">
        <f t="shared" si="106"/>
        <v>8.82</v>
      </c>
      <c r="U684" s="34">
        <f t="shared" si="107"/>
        <v>57.82</v>
      </c>
      <c r="V684" s="34"/>
      <c r="W684" s="23" t="s">
        <v>1005</v>
      </c>
    </row>
    <row r="685" spans="1:23" x14ac:dyDescent="0.25">
      <c r="A685" s="31">
        <v>46003.669490740744</v>
      </c>
      <c r="B685" s="32" t="str">
        <f t="shared" si="104"/>
        <v>Dec-25</v>
      </c>
      <c r="C685" s="23" t="s">
        <v>153</v>
      </c>
      <c r="D685" s="23" t="s">
        <v>369</v>
      </c>
      <c r="E685" s="39">
        <v>45798</v>
      </c>
      <c r="F685" s="32">
        <f>IFERROR(DATEDIF(Table1[[#This Row],[MPG Ope Date]],Table1[[#This Row],[L]],"M"),"")</f>
        <v>6</v>
      </c>
      <c r="G685" s="25">
        <v>10120107</v>
      </c>
      <c r="H685" s="41" t="s">
        <v>915</v>
      </c>
      <c r="I685" s="41" t="s">
        <v>945</v>
      </c>
      <c r="J685" s="41">
        <v>7079704525</v>
      </c>
      <c r="K685" s="41" t="s">
        <v>69</v>
      </c>
      <c r="L685" s="41">
        <v>399048</v>
      </c>
      <c r="M685" s="41" t="s">
        <v>475</v>
      </c>
      <c r="N685" s="41" t="s">
        <v>476</v>
      </c>
      <c r="O685" s="32"/>
      <c r="P685" s="37"/>
      <c r="Q685" s="46">
        <v>1</v>
      </c>
      <c r="R685" s="44">
        <v>125</v>
      </c>
      <c r="S685" s="34">
        <f t="shared" si="105"/>
        <v>125</v>
      </c>
      <c r="T685" s="34">
        <f t="shared" si="106"/>
        <v>22.5</v>
      </c>
      <c r="U685" s="34">
        <f t="shared" si="107"/>
        <v>147.5</v>
      </c>
      <c r="V685" s="34"/>
      <c r="W685" s="23" t="s">
        <v>1005</v>
      </c>
    </row>
    <row r="686" spans="1:23" x14ac:dyDescent="0.25">
      <c r="A686" s="31">
        <v>46003.669490740744</v>
      </c>
      <c r="B686" s="32" t="str">
        <f t="shared" si="104"/>
        <v>Dec-25</v>
      </c>
      <c r="C686" s="23" t="s">
        <v>153</v>
      </c>
      <c r="D686" s="23" t="s">
        <v>369</v>
      </c>
      <c r="E686" s="39">
        <v>45798</v>
      </c>
      <c r="F686" s="32">
        <f>IFERROR(DATEDIF(Table1[[#This Row],[MPG Ope Date]],Table1[[#This Row],[L]],"M"),"")</f>
        <v>6</v>
      </c>
      <c r="G686" s="25">
        <v>10120107</v>
      </c>
      <c r="H686" s="41" t="s">
        <v>915</v>
      </c>
      <c r="I686" s="41" t="s">
        <v>945</v>
      </c>
      <c r="J686" s="41">
        <v>7079704525</v>
      </c>
      <c r="K686" s="41" t="s">
        <v>69</v>
      </c>
      <c r="L686" s="41">
        <v>399048</v>
      </c>
      <c r="M686" s="41" t="s">
        <v>475</v>
      </c>
      <c r="N686" s="41" t="s">
        <v>476</v>
      </c>
      <c r="O686" s="32"/>
      <c r="P686" s="37"/>
      <c r="Q686" s="46">
        <v>1</v>
      </c>
      <c r="R686" s="44">
        <v>125</v>
      </c>
      <c r="S686" s="34">
        <f t="shared" si="105"/>
        <v>125</v>
      </c>
      <c r="T686" s="34">
        <f t="shared" si="106"/>
        <v>22.5</v>
      </c>
      <c r="U686" s="34">
        <f t="shared" si="107"/>
        <v>147.5</v>
      </c>
      <c r="V686" s="34"/>
      <c r="W686" s="23" t="s">
        <v>1005</v>
      </c>
    </row>
    <row r="687" spans="1:23" x14ac:dyDescent="0.25">
      <c r="A687" s="31">
        <v>46003.695254629631</v>
      </c>
      <c r="B687" s="32" t="str">
        <f t="shared" ref="B687:B718" si="108">TEXT(A687,"mmm-yy")</f>
        <v>Dec-25</v>
      </c>
      <c r="C687" s="23" t="s">
        <v>153</v>
      </c>
      <c r="D687" s="23" t="s">
        <v>369</v>
      </c>
      <c r="E687" s="39">
        <v>45268</v>
      </c>
      <c r="F687" s="32">
        <f>IFERROR(DATEDIF(Table1[[#This Row],[MPG Ope Date]],Table1[[#This Row],[L]],"M"),"")</f>
        <v>24</v>
      </c>
      <c r="G687" s="25">
        <v>10020059</v>
      </c>
      <c r="H687" s="41" t="s">
        <v>916</v>
      </c>
      <c r="I687" s="41" t="s">
        <v>946</v>
      </c>
      <c r="J687" s="41">
        <v>9135466492</v>
      </c>
      <c r="K687" s="41" t="s">
        <v>68</v>
      </c>
      <c r="L687" s="41" t="s">
        <v>975</v>
      </c>
      <c r="M687" s="41" t="s">
        <v>139</v>
      </c>
      <c r="N687" s="41" t="s">
        <v>140</v>
      </c>
      <c r="O687" s="32"/>
      <c r="P687" s="37"/>
      <c r="Q687" s="46">
        <v>1</v>
      </c>
      <c r="R687" s="44">
        <v>1266</v>
      </c>
      <c r="S687" s="34">
        <f t="shared" ref="S687:S718" si="109">+Q687*R687</f>
        <v>1266</v>
      </c>
      <c r="T687" s="34">
        <f t="shared" ref="T687:T718" si="110">+S687*0.18</f>
        <v>227.88</v>
      </c>
      <c r="U687" s="34">
        <f t="shared" ref="U687:U718" si="111">+S687+T687</f>
        <v>1493.88</v>
      </c>
      <c r="V687" s="34"/>
      <c r="W687" s="23" t="s">
        <v>1005</v>
      </c>
    </row>
    <row r="688" spans="1:23" x14ac:dyDescent="0.25">
      <c r="A688" s="31">
        <v>46002.651134259257</v>
      </c>
      <c r="B688" s="32" t="str">
        <f t="shared" si="108"/>
        <v>Dec-25</v>
      </c>
      <c r="C688" s="23" t="s">
        <v>153</v>
      </c>
      <c r="D688" s="23" t="s">
        <v>369</v>
      </c>
      <c r="E688" s="39">
        <v>45016</v>
      </c>
      <c r="F688" s="32">
        <f>IFERROR(DATEDIF(Table1[[#This Row],[MPG Ope Date]],Table1[[#This Row],[L]],"M"),"")</f>
        <v>32</v>
      </c>
      <c r="G688" s="25">
        <v>10510004</v>
      </c>
      <c r="H688" s="41" t="s">
        <v>772</v>
      </c>
      <c r="I688" s="41" t="s">
        <v>799</v>
      </c>
      <c r="J688" s="41">
        <v>8651032442</v>
      </c>
      <c r="K688" s="41" t="s">
        <v>69</v>
      </c>
      <c r="L688" s="41">
        <v>358573</v>
      </c>
      <c r="M688" s="41" t="s">
        <v>475</v>
      </c>
      <c r="N688" s="41" t="s">
        <v>476</v>
      </c>
      <c r="O688" s="32"/>
      <c r="P688" s="37"/>
      <c r="Q688" s="46">
        <v>1</v>
      </c>
      <c r="R688" s="44">
        <v>125</v>
      </c>
      <c r="S688" s="34">
        <f t="shared" si="109"/>
        <v>125</v>
      </c>
      <c r="T688" s="34">
        <f t="shared" si="110"/>
        <v>22.5</v>
      </c>
      <c r="U688" s="34">
        <f t="shared" si="111"/>
        <v>147.5</v>
      </c>
      <c r="V688" s="34"/>
      <c r="W688" s="23" t="s">
        <v>1005</v>
      </c>
    </row>
    <row r="689" spans="1:23" x14ac:dyDescent="0.25">
      <c r="A689" s="31">
        <v>46002.651134259257</v>
      </c>
      <c r="B689" s="32" t="str">
        <f t="shared" si="108"/>
        <v>Dec-25</v>
      </c>
      <c r="C689" s="23" t="s">
        <v>153</v>
      </c>
      <c r="D689" s="23" t="s">
        <v>369</v>
      </c>
      <c r="E689" s="39">
        <v>45016</v>
      </c>
      <c r="F689" s="32">
        <f>IFERROR(DATEDIF(Table1[[#This Row],[MPG Ope Date]],Table1[[#This Row],[L]],"M"),"")</f>
        <v>32</v>
      </c>
      <c r="G689" s="25">
        <v>10510004</v>
      </c>
      <c r="H689" s="41" t="s">
        <v>772</v>
      </c>
      <c r="I689" s="41" t="s">
        <v>799</v>
      </c>
      <c r="J689" s="41">
        <v>8651032442</v>
      </c>
      <c r="K689" s="41" t="s">
        <v>69</v>
      </c>
      <c r="L689" s="41">
        <v>358573</v>
      </c>
      <c r="M689" s="41" t="s">
        <v>475</v>
      </c>
      <c r="N689" s="41" t="s">
        <v>476</v>
      </c>
      <c r="O689" s="32"/>
      <c r="P689" s="37"/>
      <c r="Q689" s="46">
        <v>1</v>
      </c>
      <c r="R689" s="44">
        <v>125</v>
      </c>
      <c r="S689" s="34">
        <f t="shared" si="109"/>
        <v>125</v>
      </c>
      <c r="T689" s="34">
        <f t="shared" si="110"/>
        <v>22.5</v>
      </c>
      <c r="U689" s="34">
        <f t="shared" si="111"/>
        <v>147.5</v>
      </c>
      <c r="V689" s="34"/>
      <c r="W689" s="23" t="s">
        <v>1005</v>
      </c>
    </row>
    <row r="690" spans="1:23" x14ac:dyDescent="0.25">
      <c r="A690" s="31">
        <v>46002.581423611111</v>
      </c>
      <c r="B690" s="32" t="str">
        <f t="shared" si="108"/>
        <v>Dec-25</v>
      </c>
      <c r="C690" s="23" t="s">
        <v>153</v>
      </c>
      <c r="D690" s="23" t="s">
        <v>369</v>
      </c>
      <c r="E690" s="39">
        <v>44750</v>
      </c>
      <c r="F690" s="32">
        <f>IFERROR(DATEDIF(Table1[[#This Row],[MPG Ope Date]],Table1[[#This Row],[L]],"M"),"")</f>
        <v>41</v>
      </c>
      <c r="G690" s="25">
        <v>10110019</v>
      </c>
      <c r="H690" s="41" t="s">
        <v>917</v>
      </c>
      <c r="I690" s="41" t="s">
        <v>947</v>
      </c>
      <c r="J690" s="41">
        <v>7903495537</v>
      </c>
      <c r="K690" s="41" t="s">
        <v>70</v>
      </c>
      <c r="L690" s="41" t="s">
        <v>976</v>
      </c>
      <c r="M690" s="41" t="s">
        <v>131</v>
      </c>
      <c r="N690" s="41" t="s">
        <v>132</v>
      </c>
      <c r="O690" s="32"/>
      <c r="P690" s="37"/>
      <c r="Q690" s="46">
        <v>1</v>
      </c>
      <c r="R690" s="44">
        <v>2800</v>
      </c>
      <c r="S690" s="34">
        <f t="shared" si="109"/>
        <v>2800</v>
      </c>
      <c r="T690" s="34">
        <f t="shared" si="110"/>
        <v>504</v>
      </c>
      <c r="U690" s="34">
        <f t="shared" si="111"/>
        <v>3304</v>
      </c>
      <c r="V690" s="34"/>
      <c r="W690" s="23" t="s">
        <v>1005</v>
      </c>
    </row>
    <row r="691" spans="1:23" x14ac:dyDescent="0.25">
      <c r="A691" s="31">
        <v>46002.560034722221</v>
      </c>
      <c r="B691" s="32" t="str">
        <f t="shared" si="108"/>
        <v>Dec-25</v>
      </c>
      <c r="C691" s="23" t="s">
        <v>152</v>
      </c>
      <c r="D691" s="23" t="s">
        <v>369</v>
      </c>
      <c r="E691" s="39" t="e">
        <v>#N/A</v>
      </c>
      <c r="F691" s="32" t="str">
        <f>IFERROR(DATEDIF(Table1[[#This Row],[MPG Ope Date]],Table1[[#This Row],[L]],"M"),"")</f>
        <v/>
      </c>
      <c r="G691" s="25">
        <v>20010009</v>
      </c>
      <c r="H691" s="41" t="s">
        <v>918</v>
      </c>
      <c r="I691" s="41" t="s">
        <v>948</v>
      </c>
      <c r="J691" s="41">
        <v>8252963106</v>
      </c>
      <c r="K691" s="41" t="s">
        <v>68</v>
      </c>
      <c r="L691" s="41" t="s">
        <v>977</v>
      </c>
      <c r="M691" s="41" t="s">
        <v>139</v>
      </c>
      <c r="N691" s="41" t="s">
        <v>140</v>
      </c>
      <c r="O691" s="32"/>
      <c r="P691" s="37"/>
      <c r="Q691" s="46">
        <v>1</v>
      </c>
      <c r="R691" s="44">
        <v>1266</v>
      </c>
      <c r="S691" s="34">
        <f t="shared" si="109"/>
        <v>1266</v>
      </c>
      <c r="T691" s="34">
        <f t="shared" si="110"/>
        <v>227.88</v>
      </c>
      <c r="U691" s="34">
        <f t="shared" si="111"/>
        <v>1493.88</v>
      </c>
      <c r="V691" s="34"/>
      <c r="W691" s="23" t="e">
        <v>#N/A</v>
      </c>
    </row>
    <row r="692" spans="1:23" x14ac:dyDescent="0.25">
      <c r="A692" s="31">
        <v>46002.560543981483</v>
      </c>
      <c r="B692" s="32" t="str">
        <f t="shared" si="108"/>
        <v>Dec-25</v>
      </c>
      <c r="C692" s="23" t="s">
        <v>152</v>
      </c>
      <c r="D692" s="23" t="s">
        <v>369</v>
      </c>
      <c r="E692" s="39" t="e">
        <v>#N/A</v>
      </c>
      <c r="F692" s="32" t="str">
        <f>IFERROR(DATEDIF(Table1[[#This Row],[MPG Ope Date]],Table1[[#This Row],[L]],"M"),"")</f>
        <v/>
      </c>
      <c r="G692" s="25">
        <v>20010009</v>
      </c>
      <c r="H692" s="41" t="s">
        <v>918</v>
      </c>
      <c r="I692" s="41" t="s">
        <v>948</v>
      </c>
      <c r="J692" s="41">
        <v>8252963106</v>
      </c>
      <c r="K692" s="41" t="s">
        <v>70</v>
      </c>
      <c r="L692" s="41" t="s">
        <v>978</v>
      </c>
      <c r="M692" s="41" t="s">
        <v>123</v>
      </c>
      <c r="N692" s="41" t="s">
        <v>124</v>
      </c>
      <c r="O692" s="32"/>
      <c r="P692" s="37"/>
      <c r="Q692" s="46">
        <v>1</v>
      </c>
      <c r="R692" s="44">
        <v>350</v>
      </c>
      <c r="S692" s="34">
        <f t="shared" si="109"/>
        <v>350</v>
      </c>
      <c r="T692" s="34">
        <f t="shared" si="110"/>
        <v>63</v>
      </c>
      <c r="U692" s="34">
        <f t="shared" si="111"/>
        <v>413</v>
      </c>
      <c r="V692" s="34"/>
      <c r="W692" s="23" t="e">
        <v>#N/A</v>
      </c>
    </row>
    <row r="693" spans="1:23" x14ac:dyDescent="0.25">
      <c r="A693" s="31">
        <v>46002.652465277781</v>
      </c>
      <c r="B693" s="32" t="str">
        <f t="shared" si="108"/>
        <v>Dec-25</v>
      </c>
      <c r="C693" s="23" t="s">
        <v>153</v>
      </c>
      <c r="D693" s="23" t="s">
        <v>369</v>
      </c>
      <c r="E693" s="39">
        <v>44664</v>
      </c>
      <c r="F693" s="32">
        <f>IFERROR(DATEDIF(Table1[[#This Row],[MPG Ope Date]],Table1[[#This Row],[L]],"M"),"")</f>
        <v>43</v>
      </c>
      <c r="G693" s="25">
        <v>10140007</v>
      </c>
      <c r="H693" s="41" t="s">
        <v>919</v>
      </c>
      <c r="I693" s="41" t="s">
        <v>949</v>
      </c>
      <c r="J693" s="41">
        <v>8651703765</v>
      </c>
      <c r="K693" s="41" t="s">
        <v>68</v>
      </c>
      <c r="L693" s="41" t="s">
        <v>979</v>
      </c>
      <c r="M693" s="41" t="s">
        <v>139</v>
      </c>
      <c r="N693" s="41" t="s">
        <v>140</v>
      </c>
      <c r="O693" s="32"/>
      <c r="P693" s="37"/>
      <c r="Q693" s="46">
        <v>1</v>
      </c>
      <c r="R693" s="44">
        <v>1266</v>
      </c>
      <c r="S693" s="34">
        <f t="shared" si="109"/>
        <v>1266</v>
      </c>
      <c r="T693" s="34">
        <f t="shared" si="110"/>
        <v>227.88</v>
      </c>
      <c r="U693" s="34">
        <f t="shared" si="111"/>
        <v>1493.88</v>
      </c>
      <c r="V693" s="34"/>
      <c r="W693" s="23" t="s">
        <v>1005</v>
      </c>
    </row>
    <row r="694" spans="1:23" x14ac:dyDescent="0.25">
      <c r="A694" s="31">
        <v>46002.705775462964</v>
      </c>
      <c r="B694" s="32" t="str">
        <f t="shared" si="108"/>
        <v>Dec-25</v>
      </c>
      <c r="C694" s="23" t="s">
        <v>153</v>
      </c>
      <c r="D694" s="23" t="s">
        <v>369</v>
      </c>
      <c r="E694" s="39">
        <v>45661</v>
      </c>
      <c r="F694" s="32">
        <f>IFERROR(DATEDIF(Table1[[#This Row],[MPG Ope Date]],Table1[[#This Row],[L]],"M"),"")</f>
        <v>11</v>
      </c>
      <c r="G694" s="25">
        <v>10100056</v>
      </c>
      <c r="H694" s="41" t="s">
        <v>910</v>
      </c>
      <c r="I694" s="41" t="s">
        <v>941</v>
      </c>
      <c r="J694" s="41">
        <v>6204674632</v>
      </c>
      <c r="K694" s="41" t="s">
        <v>69</v>
      </c>
      <c r="L694" s="41">
        <v>385964</v>
      </c>
      <c r="M694" s="41" t="s">
        <v>119</v>
      </c>
      <c r="N694" s="41" t="s">
        <v>120</v>
      </c>
      <c r="O694" s="32"/>
      <c r="P694" s="37"/>
      <c r="Q694" s="46">
        <v>1</v>
      </c>
      <c r="R694" s="44">
        <v>84</v>
      </c>
      <c r="S694" s="34">
        <f t="shared" si="109"/>
        <v>84</v>
      </c>
      <c r="T694" s="34">
        <f t="shared" si="110"/>
        <v>15.12</v>
      </c>
      <c r="U694" s="34">
        <f t="shared" si="111"/>
        <v>99.12</v>
      </c>
      <c r="V694" s="34"/>
      <c r="W694" s="23" t="s">
        <v>1005</v>
      </c>
    </row>
    <row r="695" spans="1:23" x14ac:dyDescent="0.25">
      <c r="A695" s="31">
        <v>46001.579687500001</v>
      </c>
      <c r="B695" s="32" t="str">
        <f t="shared" si="108"/>
        <v>Dec-25</v>
      </c>
      <c r="C695" s="23" t="s">
        <v>153</v>
      </c>
      <c r="D695" s="23" t="s">
        <v>369</v>
      </c>
      <c r="E695" s="39">
        <v>45012</v>
      </c>
      <c r="F695" s="32">
        <f>IFERROR(DATEDIF(Table1[[#This Row],[MPG Ope Date]],Table1[[#This Row],[L]],"M"),"")</f>
        <v>32</v>
      </c>
      <c r="G695" s="25">
        <v>10020043</v>
      </c>
      <c r="H695" s="41" t="s">
        <v>920</v>
      </c>
      <c r="I695" s="41" t="s">
        <v>433</v>
      </c>
      <c r="J695" s="41">
        <v>8340283114</v>
      </c>
      <c r="K695" s="41" t="s">
        <v>69</v>
      </c>
      <c r="L695" s="41">
        <v>387783</v>
      </c>
      <c r="M695" s="41" t="s">
        <v>121</v>
      </c>
      <c r="N695" s="41" t="s">
        <v>122</v>
      </c>
      <c r="O695" s="32"/>
      <c r="P695" s="37"/>
      <c r="Q695" s="46">
        <v>1</v>
      </c>
      <c r="R695" s="44">
        <v>70</v>
      </c>
      <c r="S695" s="34">
        <f t="shared" si="109"/>
        <v>70</v>
      </c>
      <c r="T695" s="34">
        <f t="shared" si="110"/>
        <v>12.6</v>
      </c>
      <c r="U695" s="34">
        <f t="shared" si="111"/>
        <v>82.6</v>
      </c>
      <c r="V695" s="34"/>
      <c r="W695" s="23" t="s">
        <v>1005</v>
      </c>
    </row>
    <row r="696" spans="1:23" x14ac:dyDescent="0.25">
      <c r="A696" s="31">
        <v>46001.579687500001</v>
      </c>
      <c r="B696" s="32" t="str">
        <f t="shared" si="108"/>
        <v>Dec-25</v>
      </c>
      <c r="C696" s="23" t="s">
        <v>153</v>
      </c>
      <c r="D696" s="23" t="s">
        <v>369</v>
      </c>
      <c r="E696" s="39">
        <v>45012</v>
      </c>
      <c r="F696" s="32">
        <f>IFERROR(DATEDIF(Table1[[#This Row],[MPG Ope Date]],Table1[[#This Row],[L]],"M"),"")</f>
        <v>32</v>
      </c>
      <c r="G696" s="25">
        <v>10020043</v>
      </c>
      <c r="H696" s="41" t="s">
        <v>920</v>
      </c>
      <c r="I696" s="41" t="s">
        <v>433</v>
      </c>
      <c r="J696" s="41">
        <v>8340283114</v>
      </c>
      <c r="K696" s="41" t="s">
        <v>69</v>
      </c>
      <c r="L696" s="41">
        <v>387783</v>
      </c>
      <c r="M696" s="41" t="s">
        <v>121</v>
      </c>
      <c r="N696" s="41" t="s">
        <v>122</v>
      </c>
      <c r="O696" s="32"/>
      <c r="P696" s="37"/>
      <c r="Q696" s="46">
        <v>1</v>
      </c>
      <c r="R696" s="44">
        <v>70</v>
      </c>
      <c r="S696" s="34">
        <f t="shared" si="109"/>
        <v>70</v>
      </c>
      <c r="T696" s="34">
        <f t="shared" si="110"/>
        <v>12.6</v>
      </c>
      <c r="U696" s="34">
        <f t="shared" si="111"/>
        <v>82.6</v>
      </c>
      <c r="V696" s="34"/>
      <c r="W696" s="23" t="s">
        <v>1005</v>
      </c>
    </row>
    <row r="697" spans="1:23" x14ac:dyDescent="0.25">
      <c r="A697" s="31">
        <v>46001.612500000003</v>
      </c>
      <c r="B697" s="32" t="str">
        <f t="shared" si="108"/>
        <v>Dec-25</v>
      </c>
      <c r="C697" s="23" t="s">
        <v>153</v>
      </c>
      <c r="D697" s="23" t="s">
        <v>0</v>
      </c>
      <c r="E697" s="39" t="e">
        <v>#N/A</v>
      </c>
      <c r="F697" s="32" t="str">
        <f>IFERROR(DATEDIF(Table1[[#This Row],[MPG Ope Date]],Table1[[#This Row],[L]],"M"),"")</f>
        <v/>
      </c>
      <c r="G697" s="25">
        <v>1003</v>
      </c>
      <c r="H697" s="41" t="s">
        <v>911</v>
      </c>
      <c r="I697" s="41" t="s">
        <v>942</v>
      </c>
      <c r="J697" s="41">
        <v>6201859567</v>
      </c>
      <c r="K697" s="41" t="s">
        <v>69</v>
      </c>
      <c r="L697" s="41">
        <v>183572</v>
      </c>
      <c r="M697" s="41" t="s">
        <v>620</v>
      </c>
      <c r="N697" s="41" t="s">
        <v>621</v>
      </c>
      <c r="O697" s="32"/>
      <c r="P697" s="37"/>
      <c r="Q697" s="46">
        <v>1</v>
      </c>
      <c r="R697" s="44">
        <v>62</v>
      </c>
      <c r="S697" s="34">
        <f t="shared" si="109"/>
        <v>62</v>
      </c>
      <c r="T697" s="34">
        <f t="shared" si="110"/>
        <v>11.16</v>
      </c>
      <c r="U697" s="34">
        <f t="shared" si="111"/>
        <v>73.16</v>
      </c>
      <c r="V697" s="34"/>
      <c r="W697" s="23" t="e">
        <v>#N/A</v>
      </c>
    </row>
    <row r="698" spans="1:23" x14ac:dyDescent="0.25">
      <c r="A698" s="31">
        <v>46000.556944444441</v>
      </c>
      <c r="B698" s="32" t="str">
        <f t="shared" si="108"/>
        <v>Dec-25</v>
      </c>
      <c r="C698" s="23" t="s">
        <v>153</v>
      </c>
      <c r="D698" s="23" t="s">
        <v>369</v>
      </c>
      <c r="E698" s="39">
        <v>44256</v>
      </c>
      <c r="F698" s="32">
        <f>IFERROR(DATEDIF(Table1[[#This Row],[MPG Ope Date]],Table1[[#This Row],[L]],"M"),"")</f>
        <v>57</v>
      </c>
      <c r="G698" s="25">
        <v>10130016</v>
      </c>
      <c r="H698" s="41" t="s">
        <v>765</v>
      </c>
      <c r="I698" s="41" t="s">
        <v>792</v>
      </c>
      <c r="J698" s="41">
        <v>7654339470</v>
      </c>
      <c r="K698" s="41" t="s">
        <v>69</v>
      </c>
      <c r="L698" s="41">
        <v>312377</v>
      </c>
      <c r="M698" s="41" t="s">
        <v>262</v>
      </c>
      <c r="N698" s="41" t="s">
        <v>263</v>
      </c>
      <c r="O698" s="32"/>
      <c r="P698" s="37"/>
      <c r="Q698" s="46">
        <v>1</v>
      </c>
      <c r="R698" s="44">
        <v>140</v>
      </c>
      <c r="S698" s="34">
        <f t="shared" si="109"/>
        <v>140</v>
      </c>
      <c r="T698" s="34">
        <f t="shared" si="110"/>
        <v>25.2</v>
      </c>
      <c r="U698" s="34">
        <f t="shared" si="111"/>
        <v>165.2</v>
      </c>
      <c r="V698" s="34"/>
      <c r="W698" s="23" t="s">
        <v>1005</v>
      </c>
    </row>
    <row r="699" spans="1:23" x14ac:dyDescent="0.25">
      <c r="A699" s="31">
        <v>46000.556944444441</v>
      </c>
      <c r="B699" s="32" t="str">
        <f t="shared" si="108"/>
        <v>Dec-25</v>
      </c>
      <c r="C699" s="23" t="s">
        <v>153</v>
      </c>
      <c r="D699" s="23" t="s">
        <v>369</v>
      </c>
      <c r="E699" s="39">
        <v>44256</v>
      </c>
      <c r="F699" s="32">
        <f>IFERROR(DATEDIF(Table1[[#This Row],[MPG Ope Date]],Table1[[#This Row],[L]],"M"),"")</f>
        <v>57</v>
      </c>
      <c r="G699" s="25">
        <v>10130016</v>
      </c>
      <c r="H699" s="41" t="s">
        <v>765</v>
      </c>
      <c r="I699" s="41" t="s">
        <v>792</v>
      </c>
      <c r="J699" s="41">
        <v>7654339470</v>
      </c>
      <c r="K699" s="41" t="s">
        <v>69</v>
      </c>
      <c r="L699" s="41">
        <v>312377</v>
      </c>
      <c r="M699" s="41" t="s">
        <v>145</v>
      </c>
      <c r="N699" s="41" t="s">
        <v>146</v>
      </c>
      <c r="O699" s="32"/>
      <c r="P699" s="37"/>
      <c r="Q699" s="46">
        <v>1</v>
      </c>
      <c r="R699" s="44">
        <v>49</v>
      </c>
      <c r="S699" s="34">
        <f t="shared" si="109"/>
        <v>49</v>
      </c>
      <c r="T699" s="34">
        <f t="shared" si="110"/>
        <v>8.82</v>
      </c>
      <c r="U699" s="34">
        <f t="shared" si="111"/>
        <v>57.82</v>
      </c>
      <c r="V699" s="34"/>
      <c r="W699" s="23" t="s">
        <v>1005</v>
      </c>
    </row>
    <row r="700" spans="1:23" x14ac:dyDescent="0.25">
      <c r="A700" s="31">
        <v>46000.556944444441</v>
      </c>
      <c r="B700" s="32" t="str">
        <f t="shared" si="108"/>
        <v>Dec-25</v>
      </c>
      <c r="C700" s="23" t="s">
        <v>153</v>
      </c>
      <c r="D700" s="23" t="s">
        <v>369</v>
      </c>
      <c r="E700" s="39">
        <v>44256</v>
      </c>
      <c r="F700" s="32">
        <f>IFERROR(DATEDIF(Table1[[#This Row],[MPG Ope Date]],Table1[[#This Row],[L]],"M"),"")</f>
        <v>57</v>
      </c>
      <c r="G700" s="25">
        <v>10130016</v>
      </c>
      <c r="H700" s="41" t="s">
        <v>765</v>
      </c>
      <c r="I700" s="41" t="s">
        <v>792</v>
      </c>
      <c r="J700" s="41">
        <v>7654339470</v>
      </c>
      <c r="K700" s="41" t="s">
        <v>69</v>
      </c>
      <c r="L700" s="41">
        <v>312377</v>
      </c>
      <c r="M700" s="41" t="s">
        <v>121</v>
      </c>
      <c r="N700" s="41" t="s">
        <v>122</v>
      </c>
      <c r="O700" s="32"/>
      <c r="P700" s="37"/>
      <c r="Q700" s="46">
        <v>1</v>
      </c>
      <c r="R700" s="44">
        <v>70</v>
      </c>
      <c r="S700" s="34">
        <f t="shared" si="109"/>
        <v>70</v>
      </c>
      <c r="T700" s="34">
        <f t="shared" si="110"/>
        <v>12.6</v>
      </c>
      <c r="U700" s="34">
        <f t="shared" si="111"/>
        <v>82.6</v>
      </c>
      <c r="V700" s="34"/>
      <c r="W700" s="23" t="s">
        <v>1005</v>
      </c>
    </row>
    <row r="701" spans="1:23" x14ac:dyDescent="0.25">
      <c r="A701" s="31">
        <v>46000.557118055556</v>
      </c>
      <c r="B701" s="32" t="str">
        <f t="shared" si="108"/>
        <v>Dec-25</v>
      </c>
      <c r="C701" s="23" t="s">
        <v>153</v>
      </c>
      <c r="D701" s="23" t="s">
        <v>369</v>
      </c>
      <c r="E701" s="39">
        <v>44256</v>
      </c>
      <c r="F701" s="32">
        <f>IFERROR(DATEDIF(Table1[[#This Row],[MPG Ope Date]],Table1[[#This Row],[L]],"M"),"")</f>
        <v>57</v>
      </c>
      <c r="G701" s="25">
        <v>10130016</v>
      </c>
      <c r="H701" s="41" t="s">
        <v>765</v>
      </c>
      <c r="I701" s="41" t="s">
        <v>792</v>
      </c>
      <c r="J701" s="41">
        <v>7654339470</v>
      </c>
      <c r="K701" s="41" t="s">
        <v>68</v>
      </c>
      <c r="L701" s="41" t="s">
        <v>822</v>
      </c>
      <c r="M701" s="41" t="s">
        <v>111</v>
      </c>
      <c r="N701" s="41" t="s">
        <v>112</v>
      </c>
      <c r="O701" s="32"/>
      <c r="P701" s="37"/>
      <c r="Q701" s="46">
        <v>1</v>
      </c>
      <c r="R701" s="44">
        <v>360</v>
      </c>
      <c r="S701" s="34">
        <f t="shared" si="109"/>
        <v>360</v>
      </c>
      <c r="T701" s="34">
        <f t="shared" si="110"/>
        <v>64.8</v>
      </c>
      <c r="U701" s="34">
        <f t="shared" si="111"/>
        <v>424.8</v>
      </c>
      <c r="V701" s="34"/>
      <c r="W701" s="23" t="s">
        <v>1005</v>
      </c>
    </row>
    <row r="702" spans="1:23" x14ac:dyDescent="0.25">
      <c r="A702" s="31">
        <v>46000.660092592596</v>
      </c>
      <c r="B702" s="32" t="str">
        <f t="shared" si="108"/>
        <v>Dec-25</v>
      </c>
      <c r="C702" s="23" t="s">
        <v>153</v>
      </c>
      <c r="D702" s="23" t="s">
        <v>0</v>
      </c>
      <c r="E702" s="39" t="e">
        <v>#N/A</v>
      </c>
      <c r="F702" s="32" t="str">
        <f>IFERROR(DATEDIF(Table1[[#This Row],[MPG Ope Date]],Table1[[#This Row],[L]],"M"),"")</f>
        <v/>
      </c>
      <c r="G702" s="36">
        <v>1013</v>
      </c>
      <c r="H702" s="41" t="s">
        <v>637</v>
      </c>
      <c r="I702" s="41" t="s">
        <v>308</v>
      </c>
      <c r="J702" s="41">
        <v>8969914657</v>
      </c>
      <c r="K702" s="41" t="s">
        <v>70</v>
      </c>
      <c r="L702" s="41" t="s">
        <v>721</v>
      </c>
      <c r="M702" s="41" t="s">
        <v>123</v>
      </c>
      <c r="N702" s="41" t="s">
        <v>124</v>
      </c>
      <c r="O702" s="32"/>
      <c r="P702" s="37"/>
      <c r="Q702" s="46">
        <v>1</v>
      </c>
      <c r="R702" s="44">
        <v>350</v>
      </c>
      <c r="S702" s="34">
        <f t="shared" si="109"/>
        <v>350</v>
      </c>
      <c r="T702" s="34">
        <f t="shared" si="110"/>
        <v>63</v>
      </c>
      <c r="U702" s="34">
        <f t="shared" si="111"/>
        <v>413</v>
      </c>
      <c r="V702" s="34"/>
      <c r="W702" s="23" t="e">
        <v>#N/A</v>
      </c>
    </row>
    <row r="703" spans="1:23" x14ac:dyDescent="0.25">
      <c r="A703" s="31">
        <v>46000.549178240741</v>
      </c>
      <c r="B703" s="32" t="str">
        <f t="shared" si="108"/>
        <v>Dec-25</v>
      </c>
      <c r="C703" s="23" t="s">
        <v>152</v>
      </c>
      <c r="D703" s="23" t="s">
        <v>369</v>
      </c>
      <c r="E703" s="39" t="e">
        <v>#N/A</v>
      </c>
      <c r="F703" s="32" t="str">
        <f>IFERROR(DATEDIF(Table1[[#This Row],[MPG Ope Date]],Table1[[#This Row],[L]],"M"),"")</f>
        <v/>
      </c>
      <c r="G703" s="25">
        <v>20010009</v>
      </c>
      <c r="H703" s="41" t="s">
        <v>918</v>
      </c>
      <c r="I703" s="41" t="s">
        <v>948</v>
      </c>
      <c r="J703" s="41">
        <v>8252963106</v>
      </c>
      <c r="K703" s="41" t="s">
        <v>70</v>
      </c>
      <c r="L703" s="41" t="s">
        <v>978</v>
      </c>
      <c r="M703" s="41" t="s">
        <v>266</v>
      </c>
      <c r="N703" s="41" t="s">
        <v>267</v>
      </c>
      <c r="O703" s="32"/>
      <c r="P703" s="37"/>
      <c r="Q703" s="46">
        <v>1</v>
      </c>
      <c r="R703" s="44">
        <v>780</v>
      </c>
      <c r="S703" s="34">
        <f t="shared" si="109"/>
        <v>780</v>
      </c>
      <c r="T703" s="34">
        <f t="shared" si="110"/>
        <v>140.4</v>
      </c>
      <c r="U703" s="34">
        <f t="shared" si="111"/>
        <v>920.4</v>
      </c>
      <c r="V703" s="34"/>
      <c r="W703" s="23" t="e">
        <v>#N/A</v>
      </c>
    </row>
    <row r="704" spans="1:23" x14ac:dyDescent="0.25">
      <c r="A704" s="31">
        <v>46000.549178240741</v>
      </c>
      <c r="B704" s="32" t="str">
        <f t="shared" si="108"/>
        <v>Dec-25</v>
      </c>
      <c r="C704" s="23" t="s">
        <v>152</v>
      </c>
      <c r="D704" s="23" t="s">
        <v>369</v>
      </c>
      <c r="E704" s="39" t="e">
        <v>#N/A</v>
      </c>
      <c r="F704" s="32" t="str">
        <f>IFERROR(DATEDIF(Table1[[#This Row],[MPG Ope Date]],Table1[[#This Row],[L]],"M"),"")</f>
        <v/>
      </c>
      <c r="G704" s="25">
        <v>20010009</v>
      </c>
      <c r="H704" s="41" t="s">
        <v>918</v>
      </c>
      <c r="I704" s="41" t="s">
        <v>948</v>
      </c>
      <c r="J704" s="41">
        <v>8252963106</v>
      </c>
      <c r="K704" s="41" t="s">
        <v>70</v>
      </c>
      <c r="L704" s="41" t="s">
        <v>978</v>
      </c>
      <c r="M704" s="41" t="s">
        <v>266</v>
      </c>
      <c r="N704" s="41" t="s">
        <v>267</v>
      </c>
      <c r="O704" s="32"/>
      <c r="P704" s="37"/>
      <c r="Q704" s="46">
        <v>1</v>
      </c>
      <c r="R704" s="44">
        <v>780</v>
      </c>
      <c r="S704" s="34">
        <f t="shared" si="109"/>
        <v>780</v>
      </c>
      <c r="T704" s="34">
        <f t="shared" si="110"/>
        <v>140.4</v>
      </c>
      <c r="U704" s="34">
        <f t="shared" si="111"/>
        <v>920.4</v>
      </c>
      <c r="V704" s="34"/>
      <c r="W704" s="23" t="e">
        <v>#N/A</v>
      </c>
    </row>
    <row r="705" spans="1:23" x14ac:dyDescent="0.25">
      <c r="A705" s="31">
        <v>46000.54991898148</v>
      </c>
      <c r="B705" s="32" t="str">
        <f t="shared" si="108"/>
        <v>Dec-25</v>
      </c>
      <c r="C705" s="23" t="s">
        <v>152</v>
      </c>
      <c r="D705" s="23" t="s">
        <v>369</v>
      </c>
      <c r="E705" s="39" t="e">
        <v>#N/A</v>
      </c>
      <c r="F705" s="32" t="str">
        <f>IFERROR(DATEDIF(Table1[[#This Row],[MPG Ope Date]],Table1[[#This Row],[L]],"M"),"")</f>
        <v/>
      </c>
      <c r="G705" s="25">
        <v>20010009</v>
      </c>
      <c r="H705" s="41" t="s">
        <v>918</v>
      </c>
      <c r="I705" s="41" t="s">
        <v>948</v>
      </c>
      <c r="J705" s="41">
        <v>8252963106</v>
      </c>
      <c r="K705" s="41" t="s">
        <v>68</v>
      </c>
      <c r="L705" s="41" t="s">
        <v>977</v>
      </c>
      <c r="M705" s="41" t="s">
        <v>133</v>
      </c>
      <c r="N705" s="41" t="s">
        <v>134</v>
      </c>
      <c r="O705" s="32"/>
      <c r="P705" s="37"/>
      <c r="Q705" s="46">
        <v>1</v>
      </c>
      <c r="R705" s="44">
        <v>2080</v>
      </c>
      <c r="S705" s="34">
        <f t="shared" si="109"/>
        <v>2080</v>
      </c>
      <c r="T705" s="34">
        <f t="shared" si="110"/>
        <v>374.4</v>
      </c>
      <c r="U705" s="34">
        <f t="shared" si="111"/>
        <v>2454.4</v>
      </c>
      <c r="V705" s="34"/>
      <c r="W705" s="23" t="e">
        <v>#N/A</v>
      </c>
    </row>
    <row r="706" spans="1:23" x14ac:dyDescent="0.25">
      <c r="A706" s="31">
        <v>45999.655300925922</v>
      </c>
      <c r="B706" s="32" t="str">
        <f t="shared" si="108"/>
        <v>Dec-25</v>
      </c>
      <c r="C706" s="23" t="s">
        <v>153</v>
      </c>
      <c r="D706" s="23" t="s">
        <v>369</v>
      </c>
      <c r="E706" s="39">
        <v>45049</v>
      </c>
      <c r="F706" s="32">
        <f>IFERROR(DATEDIF(Table1[[#This Row],[MPG Ope Date]],Table1[[#This Row],[L]],"M"),"")</f>
        <v>31</v>
      </c>
      <c r="G706" s="25">
        <v>10060032</v>
      </c>
      <c r="H706" s="41" t="s">
        <v>745</v>
      </c>
      <c r="I706" s="41" t="s">
        <v>774</v>
      </c>
      <c r="J706" s="41">
        <v>8051647327</v>
      </c>
      <c r="K706" s="41" t="s">
        <v>69</v>
      </c>
      <c r="L706" s="41">
        <v>378198</v>
      </c>
      <c r="M706" s="41" t="s">
        <v>475</v>
      </c>
      <c r="N706" s="41" t="s">
        <v>476</v>
      </c>
      <c r="O706" s="32"/>
      <c r="P706" s="37"/>
      <c r="Q706" s="46">
        <v>1</v>
      </c>
      <c r="R706" s="44">
        <v>125</v>
      </c>
      <c r="S706" s="34">
        <f t="shared" si="109"/>
        <v>125</v>
      </c>
      <c r="T706" s="34">
        <f t="shared" si="110"/>
        <v>22.5</v>
      </c>
      <c r="U706" s="34">
        <f t="shared" si="111"/>
        <v>147.5</v>
      </c>
      <c r="V706" s="34"/>
      <c r="W706" s="23" t="s">
        <v>1005</v>
      </c>
    </row>
    <row r="707" spans="1:23" x14ac:dyDescent="0.25">
      <c r="A707" s="31">
        <v>45999.655300925922</v>
      </c>
      <c r="B707" s="32" t="str">
        <f t="shared" si="108"/>
        <v>Dec-25</v>
      </c>
      <c r="C707" s="23" t="s">
        <v>153</v>
      </c>
      <c r="D707" s="23" t="s">
        <v>369</v>
      </c>
      <c r="E707" s="39">
        <v>45049</v>
      </c>
      <c r="F707" s="32">
        <f>IFERROR(DATEDIF(Table1[[#This Row],[MPG Ope Date]],Table1[[#This Row],[L]],"M"),"")</f>
        <v>31</v>
      </c>
      <c r="G707" s="25">
        <v>10060032</v>
      </c>
      <c r="H707" s="41" t="s">
        <v>745</v>
      </c>
      <c r="I707" s="41" t="s">
        <v>774</v>
      </c>
      <c r="J707" s="41">
        <v>8051647327</v>
      </c>
      <c r="K707" s="41" t="s">
        <v>69</v>
      </c>
      <c r="L707" s="41">
        <v>378198</v>
      </c>
      <c r="M707" s="41" t="s">
        <v>475</v>
      </c>
      <c r="N707" s="41" t="s">
        <v>476</v>
      </c>
      <c r="O707" s="32"/>
      <c r="P707" s="37"/>
      <c r="Q707" s="46">
        <v>1</v>
      </c>
      <c r="R707" s="44">
        <v>125</v>
      </c>
      <c r="S707" s="34">
        <f t="shared" si="109"/>
        <v>125</v>
      </c>
      <c r="T707" s="34">
        <f t="shared" si="110"/>
        <v>22.5</v>
      </c>
      <c r="U707" s="34">
        <f t="shared" si="111"/>
        <v>147.5</v>
      </c>
      <c r="V707" s="34"/>
      <c r="W707" s="23" t="s">
        <v>1005</v>
      </c>
    </row>
    <row r="708" spans="1:23" x14ac:dyDescent="0.25">
      <c r="A708" s="31">
        <v>45999.655300925922</v>
      </c>
      <c r="B708" s="32" t="str">
        <f t="shared" si="108"/>
        <v>Dec-25</v>
      </c>
      <c r="C708" s="23" t="s">
        <v>153</v>
      </c>
      <c r="D708" s="23" t="s">
        <v>369</v>
      </c>
      <c r="E708" s="39">
        <v>45049</v>
      </c>
      <c r="F708" s="32">
        <f>IFERROR(DATEDIF(Table1[[#This Row],[MPG Ope Date]],Table1[[#This Row],[L]],"M"),"")</f>
        <v>31</v>
      </c>
      <c r="G708" s="25">
        <v>10060032</v>
      </c>
      <c r="H708" s="41" t="s">
        <v>745</v>
      </c>
      <c r="I708" s="41" t="s">
        <v>774</v>
      </c>
      <c r="J708" s="41">
        <v>8051647327</v>
      </c>
      <c r="K708" s="41" t="s">
        <v>69</v>
      </c>
      <c r="L708" s="41">
        <v>378198</v>
      </c>
      <c r="M708" s="41" t="s">
        <v>121</v>
      </c>
      <c r="N708" s="41" t="s">
        <v>122</v>
      </c>
      <c r="O708" s="32"/>
      <c r="P708" s="37"/>
      <c r="Q708" s="46">
        <v>1</v>
      </c>
      <c r="R708" s="44">
        <v>70</v>
      </c>
      <c r="S708" s="34">
        <f t="shared" si="109"/>
        <v>70</v>
      </c>
      <c r="T708" s="34">
        <f t="shared" si="110"/>
        <v>12.6</v>
      </c>
      <c r="U708" s="34">
        <f t="shared" si="111"/>
        <v>82.6</v>
      </c>
      <c r="V708" s="34"/>
      <c r="W708" s="23" t="s">
        <v>1005</v>
      </c>
    </row>
    <row r="709" spans="1:23" x14ac:dyDescent="0.25">
      <c r="A709" s="31">
        <v>45999.655300925922</v>
      </c>
      <c r="B709" s="32" t="str">
        <f t="shared" si="108"/>
        <v>Dec-25</v>
      </c>
      <c r="C709" s="23" t="s">
        <v>153</v>
      </c>
      <c r="D709" s="23" t="s">
        <v>369</v>
      </c>
      <c r="E709" s="39">
        <v>45049</v>
      </c>
      <c r="F709" s="32">
        <f>IFERROR(DATEDIF(Table1[[#This Row],[MPG Ope Date]],Table1[[#This Row],[L]],"M"),"")</f>
        <v>31</v>
      </c>
      <c r="G709" s="25">
        <v>10060032</v>
      </c>
      <c r="H709" s="41" t="s">
        <v>745</v>
      </c>
      <c r="I709" s="41" t="s">
        <v>774</v>
      </c>
      <c r="J709" s="41">
        <v>8051647327</v>
      </c>
      <c r="K709" s="41" t="s">
        <v>69</v>
      </c>
      <c r="L709" s="41">
        <v>378198</v>
      </c>
      <c r="M709" s="41" t="s">
        <v>121</v>
      </c>
      <c r="N709" s="41" t="s">
        <v>122</v>
      </c>
      <c r="O709" s="32"/>
      <c r="P709" s="37"/>
      <c r="Q709" s="46">
        <v>1</v>
      </c>
      <c r="R709" s="44">
        <v>70</v>
      </c>
      <c r="S709" s="34">
        <f t="shared" si="109"/>
        <v>70</v>
      </c>
      <c r="T709" s="34">
        <f t="shared" si="110"/>
        <v>12.6</v>
      </c>
      <c r="U709" s="34">
        <f t="shared" si="111"/>
        <v>82.6</v>
      </c>
      <c r="V709" s="34"/>
      <c r="W709" s="23" t="s">
        <v>1005</v>
      </c>
    </row>
    <row r="710" spans="1:23" x14ac:dyDescent="0.25">
      <c r="A710" s="31">
        <v>45999.650949074072</v>
      </c>
      <c r="B710" s="32" t="str">
        <f t="shared" si="108"/>
        <v>Dec-25</v>
      </c>
      <c r="C710" s="23" t="s">
        <v>153</v>
      </c>
      <c r="D710" s="23" t="s">
        <v>369</v>
      </c>
      <c r="E710" s="39">
        <v>44866</v>
      </c>
      <c r="F710" s="32">
        <f>IFERROR(DATEDIF(Table1[[#This Row],[MPG Ope Date]],Table1[[#This Row],[L]],"M"),"")</f>
        <v>37</v>
      </c>
      <c r="G710" s="25">
        <v>10060025</v>
      </c>
      <c r="H710" s="41" t="s">
        <v>420</v>
      </c>
      <c r="I710" s="41" t="s">
        <v>444</v>
      </c>
      <c r="J710" s="41">
        <v>8789633532</v>
      </c>
      <c r="K710" s="41" t="s">
        <v>68</v>
      </c>
      <c r="L710" s="41" t="s">
        <v>980</v>
      </c>
      <c r="M710" s="41" t="s">
        <v>111</v>
      </c>
      <c r="N710" s="41" t="s">
        <v>112</v>
      </c>
      <c r="O710" s="32"/>
      <c r="P710" s="37"/>
      <c r="Q710" s="46">
        <v>1</v>
      </c>
      <c r="R710" s="44">
        <v>360</v>
      </c>
      <c r="S710" s="34">
        <f t="shared" si="109"/>
        <v>360</v>
      </c>
      <c r="T710" s="34">
        <f t="shared" si="110"/>
        <v>64.8</v>
      </c>
      <c r="U710" s="34">
        <f t="shared" si="111"/>
        <v>424.8</v>
      </c>
      <c r="V710" s="34"/>
      <c r="W710" s="23" t="s">
        <v>1005</v>
      </c>
    </row>
    <row r="711" spans="1:23" x14ac:dyDescent="0.25">
      <c r="A711" s="31">
        <v>45997.622743055559</v>
      </c>
      <c r="B711" s="32" t="str">
        <f t="shared" si="108"/>
        <v>Dec-25</v>
      </c>
      <c r="C711" s="23" t="s">
        <v>153</v>
      </c>
      <c r="D711" s="23" t="s">
        <v>369</v>
      </c>
      <c r="E711" s="39">
        <v>44982</v>
      </c>
      <c r="F711" s="32">
        <f>IFERROR(DATEDIF(Table1[[#This Row],[MPG Ope Date]],Table1[[#This Row],[L]],"M"),"")</f>
        <v>33</v>
      </c>
      <c r="G711" s="25">
        <v>10130026</v>
      </c>
      <c r="H711" s="41" t="s">
        <v>192</v>
      </c>
      <c r="I711" s="41" t="s">
        <v>228</v>
      </c>
      <c r="J711" s="41">
        <v>9518257138</v>
      </c>
      <c r="K711" s="41" t="s">
        <v>69</v>
      </c>
      <c r="L711" s="41">
        <v>277217</v>
      </c>
      <c r="M711" s="41" t="s">
        <v>121</v>
      </c>
      <c r="N711" s="41" t="s">
        <v>122</v>
      </c>
      <c r="O711" s="32"/>
      <c r="P711" s="37"/>
      <c r="Q711" s="46">
        <v>1</v>
      </c>
      <c r="R711" s="44">
        <v>70</v>
      </c>
      <c r="S711" s="34">
        <f t="shared" si="109"/>
        <v>70</v>
      </c>
      <c r="T711" s="34">
        <f t="shared" si="110"/>
        <v>12.6</v>
      </c>
      <c r="U711" s="34">
        <f t="shared" si="111"/>
        <v>82.6</v>
      </c>
      <c r="V711" s="34"/>
      <c r="W711" s="23" t="s">
        <v>1005</v>
      </c>
    </row>
    <row r="712" spans="1:23" x14ac:dyDescent="0.25">
      <c r="A712" s="31">
        <v>45997.622743055559</v>
      </c>
      <c r="B712" s="32" t="str">
        <f t="shared" si="108"/>
        <v>Dec-25</v>
      </c>
      <c r="C712" s="23" t="s">
        <v>153</v>
      </c>
      <c r="D712" s="23" t="s">
        <v>369</v>
      </c>
      <c r="E712" s="39">
        <v>44982</v>
      </c>
      <c r="F712" s="32">
        <f>IFERROR(DATEDIF(Table1[[#This Row],[MPG Ope Date]],Table1[[#This Row],[L]],"M"),"")</f>
        <v>33</v>
      </c>
      <c r="G712" s="25">
        <v>10130026</v>
      </c>
      <c r="H712" s="41" t="s">
        <v>192</v>
      </c>
      <c r="I712" s="41" t="s">
        <v>228</v>
      </c>
      <c r="J712" s="41">
        <v>9518257138</v>
      </c>
      <c r="K712" s="41" t="s">
        <v>69</v>
      </c>
      <c r="L712" s="41">
        <v>277217</v>
      </c>
      <c r="M712" s="41" t="s">
        <v>262</v>
      </c>
      <c r="N712" s="41" t="s">
        <v>263</v>
      </c>
      <c r="O712" s="32"/>
      <c r="P712" s="37"/>
      <c r="Q712" s="46">
        <v>1</v>
      </c>
      <c r="R712" s="44">
        <v>140</v>
      </c>
      <c r="S712" s="34">
        <f t="shared" si="109"/>
        <v>140</v>
      </c>
      <c r="T712" s="34">
        <f t="shared" si="110"/>
        <v>25.2</v>
      </c>
      <c r="U712" s="34">
        <f t="shared" si="111"/>
        <v>165.2</v>
      </c>
      <c r="V712" s="34"/>
      <c r="W712" s="23" t="s">
        <v>1005</v>
      </c>
    </row>
    <row r="713" spans="1:23" x14ac:dyDescent="0.25">
      <c r="A713" s="31">
        <v>45997.622743055559</v>
      </c>
      <c r="B713" s="32" t="str">
        <f t="shared" si="108"/>
        <v>Dec-25</v>
      </c>
      <c r="C713" s="23" t="s">
        <v>153</v>
      </c>
      <c r="D713" s="23" t="s">
        <v>369</v>
      </c>
      <c r="E713" s="39">
        <v>44982</v>
      </c>
      <c r="F713" s="32">
        <f>IFERROR(DATEDIF(Table1[[#This Row],[MPG Ope Date]],Table1[[#This Row],[L]],"M"),"")</f>
        <v>33</v>
      </c>
      <c r="G713" s="25">
        <v>10130026</v>
      </c>
      <c r="H713" s="41" t="s">
        <v>192</v>
      </c>
      <c r="I713" s="41" t="s">
        <v>228</v>
      </c>
      <c r="J713" s="41">
        <v>9518257138</v>
      </c>
      <c r="K713" s="41" t="s">
        <v>69</v>
      </c>
      <c r="L713" s="41">
        <v>277217</v>
      </c>
      <c r="M713" s="41" t="s">
        <v>145</v>
      </c>
      <c r="N713" s="41" t="s">
        <v>146</v>
      </c>
      <c r="O713" s="32"/>
      <c r="P713" s="37"/>
      <c r="Q713" s="46">
        <v>1</v>
      </c>
      <c r="R713" s="44">
        <v>49</v>
      </c>
      <c r="S713" s="34">
        <f t="shared" si="109"/>
        <v>49</v>
      </c>
      <c r="T713" s="34">
        <f t="shared" si="110"/>
        <v>8.82</v>
      </c>
      <c r="U713" s="34">
        <f t="shared" si="111"/>
        <v>57.82</v>
      </c>
      <c r="V713" s="34"/>
      <c r="W713" s="23" t="s">
        <v>1005</v>
      </c>
    </row>
    <row r="714" spans="1:23" x14ac:dyDescent="0.25">
      <c r="A714" s="31">
        <v>45997.487523148149</v>
      </c>
      <c r="B714" s="32" t="str">
        <f t="shared" si="108"/>
        <v>Dec-25</v>
      </c>
      <c r="C714" s="23" t="s">
        <v>153</v>
      </c>
      <c r="D714" s="23" t="s">
        <v>369</v>
      </c>
      <c r="E714" s="39">
        <v>45765</v>
      </c>
      <c r="F714" s="32">
        <f>IFERROR(DATEDIF(Table1[[#This Row],[MPG Ope Date]],Table1[[#This Row],[L]],"M"),"")</f>
        <v>7</v>
      </c>
      <c r="G714" s="25">
        <v>10130098</v>
      </c>
      <c r="H714" s="41" t="s">
        <v>921</v>
      </c>
      <c r="I714" s="41" t="s">
        <v>950</v>
      </c>
      <c r="J714" s="41">
        <v>9182488109</v>
      </c>
      <c r="K714" s="41" t="s">
        <v>70</v>
      </c>
      <c r="L714" s="41" t="s">
        <v>981</v>
      </c>
      <c r="M714" s="41" t="s">
        <v>131</v>
      </c>
      <c r="N714" s="41" t="s">
        <v>132</v>
      </c>
      <c r="O714" s="32"/>
      <c r="P714" s="37"/>
      <c r="Q714" s="46">
        <v>1</v>
      </c>
      <c r="R714" s="44">
        <v>2800</v>
      </c>
      <c r="S714" s="34">
        <f t="shared" si="109"/>
        <v>2800</v>
      </c>
      <c r="T714" s="34">
        <f t="shared" si="110"/>
        <v>504</v>
      </c>
      <c r="U714" s="34">
        <f t="shared" si="111"/>
        <v>3304</v>
      </c>
      <c r="V714" s="34"/>
      <c r="W714" s="23" t="s">
        <v>1005</v>
      </c>
    </row>
    <row r="715" spans="1:23" x14ac:dyDescent="0.25">
      <c r="A715" s="31">
        <v>45996.499768518515</v>
      </c>
      <c r="B715" s="32" t="str">
        <f t="shared" si="108"/>
        <v>Dec-25</v>
      </c>
      <c r="C715" s="23" t="s">
        <v>153</v>
      </c>
      <c r="D715" s="23" t="s">
        <v>0</v>
      </c>
      <c r="E715" s="39" t="e">
        <v>#N/A</v>
      </c>
      <c r="F715" s="32" t="str">
        <f>IFERROR(DATEDIF(Table1[[#This Row],[MPG Ope Date]],Table1[[#This Row],[L]],"M"),"")</f>
        <v/>
      </c>
      <c r="G715" s="25">
        <v>1054</v>
      </c>
      <c r="H715" s="41" t="s">
        <v>922</v>
      </c>
      <c r="I715" s="41" t="s">
        <v>951</v>
      </c>
      <c r="J715" s="41">
        <v>9155273222</v>
      </c>
      <c r="K715" s="41" t="s">
        <v>70</v>
      </c>
      <c r="L715" s="41" t="s">
        <v>982</v>
      </c>
      <c r="M715" s="41" t="s">
        <v>131</v>
      </c>
      <c r="N715" s="41" t="s">
        <v>132</v>
      </c>
      <c r="O715" s="32"/>
      <c r="P715" s="37"/>
      <c r="Q715" s="46">
        <v>1</v>
      </c>
      <c r="R715" s="44">
        <v>2800</v>
      </c>
      <c r="S715" s="34">
        <f t="shared" si="109"/>
        <v>2800</v>
      </c>
      <c r="T715" s="34">
        <f t="shared" si="110"/>
        <v>504</v>
      </c>
      <c r="U715" s="34">
        <f t="shared" si="111"/>
        <v>3304</v>
      </c>
      <c r="V715" s="34"/>
      <c r="W715" s="23" t="e">
        <v>#N/A</v>
      </c>
    </row>
    <row r="716" spans="1:23" x14ac:dyDescent="0.25">
      <c r="A716" s="31">
        <v>45996.670231481483</v>
      </c>
      <c r="B716" s="32" t="str">
        <f t="shared" si="108"/>
        <v>Dec-25</v>
      </c>
      <c r="C716" s="23" t="s">
        <v>153</v>
      </c>
      <c r="D716" s="23" t="s">
        <v>369</v>
      </c>
      <c r="E716" s="39">
        <v>45562</v>
      </c>
      <c r="F716" s="32">
        <f>IFERROR(DATEDIF(Table1[[#This Row],[MPG Ope Date]],Table1[[#This Row],[L]],"M"),"")</f>
        <v>14</v>
      </c>
      <c r="G716" s="25">
        <v>10100049</v>
      </c>
      <c r="H716" s="41" t="s">
        <v>923</v>
      </c>
      <c r="I716" s="41" t="s">
        <v>952</v>
      </c>
      <c r="J716" s="41">
        <v>9142069647</v>
      </c>
      <c r="K716" s="41" t="s">
        <v>71</v>
      </c>
      <c r="L716" s="41" t="s">
        <v>983</v>
      </c>
      <c r="M716" s="41" t="s">
        <v>141</v>
      </c>
      <c r="N716" s="41" t="s">
        <v>142</v>
      </c>
      <c r="O716" s="32"/>
      <c r="P716" s="37"/>
      <c r="Q716" s="46">
        <v>1</v>
      </c>
      <c r="R716" s="44">
        <v>900</v>
      </c>
      <c r="S716" s="34">
        <f t="shared" si="109"/>
        <v>900</v>
      </c>
      <c r="T716" s="34">
        <f t="shared" si="110"/>
        <v>162</v>
      </c>
      <c r="U716" s="34">
        <f t="shared" si="111"/>
        <v>1062</v>
      </c>
      <c r="V716" s="34"/>
      <c r="W716" s="23" t="s">
        <v>1005</v>
      </c>
    </row>
    <row r="717" spans="1:23" x14ac:dyDescent="0.25">
      <c r="A717" s="31">
        <v>45996.673611111109</v>
      </c>
      <c r="B717" s="32" t="str">
        <f t="shared" si="108"/>
        <v>Dec-25</v>
      </c>
      <c r="C717" s="23" t="s">
        <v>153</v>
      </c>
      <c r="D717" s="23" t="s">
        <v>369</v>
      </c>
      <c r="E717" s="39" t="e">
        <v>#N/A</v>
      </c>
      <c r="F717" s="32" t="str">
        <f>IFERROR(DATEDIF(Table1[[#This Row],[MPG Ope Date]],Table1[[#This Row],[L]],"M"),"")</f>
        <v/>
      </c>
      <c r="G717" s="26">
        <v>10030051</v>
      </c>
      <c r="H717" s="49" t="s">
        <v>756</v>
      </c>
      <c r="I717" s="41" t="s">
        <v>325</v>
      </c>
      <c r="J717" s="41">
        <v>7301951783</v>
      </c>
      <c r="K717" s="41" t="s">
        <v>69</v>
      </c>
      <c r="L717" s="41">
        <v>2352097</v>
      </c>
      <c r="M717" s="41" t="s">
        <v>615</v>
      </c>
      <c r="N717" s="41" t="s">
        <v>616</v>
      </c>
      <c r="O717" s="32"/>
      <c r="P717" s="37"/>
      <c r="Q717" s="46">
        <v>1</v>
      </c>
      <c r="R717" s="44">
        <v>120</v>
      </c>
      <c r="S717" s="34">
        <f t="shared" si="109"/>
        <v>120</v>
      </c>
      <c r="T717" s="34">
        <f t="shared" si="110"/>
        <v>21.599999999999998</v>
      </c>
      <c r="U717" s="34">
        <f t="shared" si="111"/>
        <v>141.6</v>
      </c>
      <c r="V717" s="34"/>
      <c r="W717" s="23" t="s">
        <v>1005</v>
      </c>
    </row>
    <row r="718" spans="1:23" x14ac:dyDescent="0.25">
      <c r="A718" s="31">
        <v>45996.673611111109</v>
      </c>
      <c r="B718" s="32" t="str">
        <f t="shared" si="108"/>
        <v>Dec-25</v>
      </c>
      <c r="C718" s="23" t="s">
        <v>153</v>
      </c>
      <c r="D718" s="23" t="s">
        <v>369</v>
      </c>
      <c r="E718" s="39" t="e">
        <v>#N/A</v>
      </c>
      <c r="F718" s="32" t="str">
        <f>IFERROR(DATEDIF(Table1[[#This Row],[MPG Ope Date]],Table1[[#This Row],[L]],"M"),"")</f>
        <v/>
      </c>
      <c r="G718" s="26">
        <v>10030051</v>
      </c>
      <c r="H718" s="49" t="s">
        <v>756</v>
      </c>
      <c r="I718" s="41" t="s">
        <v>325</v>
      </c>
      <c r="J718" s="41">
        <v>7301951783</v>
      </c>
      <c r="K718" s="41" t="s">
        <v>69</v>
      </c>
      <c r="L718" s="41">
        <v>2352097</v>
      </c>
      <c r="M718" s="41" t="s">
        <v>119</v>
      </c>
      <c r="N718" s="41" t="s">
        <v>120</v>
      </c>
      <c r="O718" s="32"/>
      <c r="P718" s="37"/>
      <c r="Q718" s="46">
        <v>1</v>
      </c>
      <c r="R718" s="44">
        <v>84</v>
      </c>
      <c r="S718" s="34">
        <f t="shared" si="109"/>
        <v>84</v>
      </c>
      <c r="T718" s="34">
        <f t="shared" si="110"/>
        <v>15.12</v>
      </c>
      <c r="U718" s="34">
        <f t="shared" si="111"/>
        <v>99.12</v>
      </c>
      <c r="V718" s="34"/>
      <c r="W718" s="23" t="s">
        <v>1005</v>
      </c>
    </row>
    <row r="719" spans="1:23" x14ac:dyDescent="0.25">
      <c r="A719" s="31">
        <v>45995.670393518521</v>
      </c>
      <c r="B719" s="32" t="str">
        <f t="shared" ref="B719:B739" si="112">TEXT(A719,"mmm-yy")</f>
        <v>Dec-25</v>
      </c>
      <c r="C719" s="23" t="s">
        <v>153</v>
      </c>
      <c r="D719" s="23" t="s">
        <v>369</v>
      </c>
      <c r="E719" s="39">
        <v>45550</v>
      </c>
      <c r="F719" s="32">
        <f>IFERROR(DATEDIF(Table1[[#This Row],[MPG Ope Date]],Table1[[#This Row],[L]],"M"),"")</f>
        <v>14</v>
      </c>
      <c r="G719" s="25">
        <v>10060069</v>
      </c>
      <c r="H719" s="41" t="s">
        <v>924</v>
      </c>
      <c r="I719" s="41" t="s">
        <v>953</v>
      </c>
      <c r="J719" s="41">
        <v>7061077270</v>
      </c>
      <c r="K719" s="41" t="s">
        <v>68</v>
      </c>
      <c r="L719" s="41" t="s">
        <v>984</v>
      </c>
      <c r="M719" s="41" t="s">
        <v>133</v>
      </c>
      <c r="N719" s="41" t="s">
        <v>134</v>
      </c>
      <c r="O719" s="32"/>
      <c r="P719" s="37"/>
      <c r="Q719" s="46">
        <v>1</v>
      </c>
      <c r="R719" s="44">
        <v>2080</v>
      </c>
      <c r="S719" s="34">
        <f t="shared" ref="S719:S739" si="113">+Q719*R719</f>
        <v>2080</v>
      </c>
      <c r="T719" s="34">
        <f t="shared" ref="T719:T739" si="114">+S719*0.18</f>
        <v>374.4</v>
      </c>
      <c r="U719" s="34">
        <f t="shared" ref="U719:U739" si="115">+S719+T719</f>
        <v>2454.4</v>
      </c>
      <c r="V719" s="34"/>
      <c r="W719" s="23" t="s">
        <v>1005</v>
      </c>
    </row>
    <row r="720" spans="1:23" x14ac:dyDescent="0.25">
      <c r="A720" s="31">
        <v>45994.691388888888</v>
      </c>
      <c r="B720" s="32" t="str">
        <f t="shared" si="112"/>
        <v>Dec-25</v>
      </c>
      <c r="C720" s="23" t="s">
        <v>153</v>
      </c>
      <c r="D720" s="23" t="s">
        <v>369</v>
      </c>
      <c r="E720" s="39">
        <v>45686</v>
      </c>
      <c r="F720" s="32">
        <f>IFERROR(DATEDIF(Table1[[#This Row],[MPG Ope Date]],Table1[[#This Row],[L]],"M"),"")</f>
        <v>10</v>
      </c>
      <c r="G720" s="25">
        <v>10090059</v>
      </c>
      <c r="H720" s="41" t="s">
        <v>925</v>
      </c>
      <c r="I720" s="41" t="s">
        <v>954</v>
      </c>
      <c r="J720" s="41">
        <v>9344340511</v>
      </c>
      <c r="K720" s="41" t="s">
        <v>71</v>
      </c>
      <c r="L720" s="41" t="s">
        <v>985</v>
      </c>
      <c r="M720" s="41" t="s">
        <v>141</v>
      </c>
      <c r="N720" s="41" t="s">
        <v>142</v>
      </c>
      <c r="O720" s="32"/>
      <c r="P720" s="37"/>
      <c r="Q720" s="46">
        <v>1</v>
      </c>
      <c r="R720" s="44">
        <v>900</v>
      </c>
      <c r="S720" s="34">
        <f t="shared" si="113"/>
        <v>900</v>
      </c>
      <c r="T720" s="34">
        <f t="shared" si="114"/>
        <v>162</v>
      </c>
      <c r="U720" s="34">
        <f t="shared" si="115"/>
        <v>1062</v>
      </c>
      <c r="V720" s="34"/>
      <c r="W720" s="23" t="s">
        <v>1005</v>
      </c>
    </row>
    <row r="721" spans="1:23" x14ac:dyDescent="0.25">
      <c r="A721" s="31">
        <v>45994.737870370373</v>
      </c>
      <c r="B721" s="32" t="str">
        <f t="shared" si="112"/>
        <v>Dec-25</v>
      </c>
      <c r="C721" s="23" t="s">
        <v>153</v>
      </c>
      <c r="D721" s="23" t="s">
        <v>369</v>
      </c>
      <c r="E721" s="39" t="e">
        <v>#N/A</v>
      </c>
      <c r="F721" s="32" t="str">
        <f>IFERROR(DATEDIF(Table1[[#This Row],[MPG Ope Date]],Table1[[#This Row],[L]],"M"),"")</f>
        <v/>
      </c>
      <c r="G721" s="26">
        <v>10100004</v>
      </c>
      <c r="H721" s="49" t="s">
        <v>902</v>
      </c>
      <c r="I721" s="41" t="s">
        <v>933</v>
      </c>
      <c r="J721" s="41">
        <v>9508950984</v>
      </c>
      <c r="K721" s="41" t="s">
        <v>70</v>
      </c>
      <c r="L721" s="41" t="s">
        <v>986</v>
      </c>
      <c r="M721" s="41" t="s">
        <v>266</v>
      </c>
      <c r="N721" s="41" t="s">
        <v>267</v>
      </c>
      <c r="O721" s="32"/>
      <c r="P721" s="37"/>
      <c r="Q721" s="46">
        <v>1</v>
      </c>
      <c r="R721" s="44">
        <v>780</v>
      </c>
      <c r="S721" s="34">
        <f t="shared" si="113"/>
        <v>780</v>
      </c>
      <c r="T721" s="34">
        <f t="shared" si="114"/>
        <v>140.4</v>
      </c>
      <c r="U721" s="34">
        <f t="shared" si="115"/>
        <v>920.4</v>
      </c>
      <c r="V721" s="34"/>
      <c r="W721" s="23" t="s">
        <v>1007</v>
      </c>
    </row>
    <row r="722" spans="1:23" x14ac:dyDescent="0.25">
      <c r="A722" s="31">
        <v>45994.738067129627</v>
      </c>
      <c r="B722" s="32" t="str">
        <f t="shared" si="112"/>
        <v>Dec-25</v>
      </c>
      <c r="C722" s="23" t="s">
        <v>153</v>
      </c>
      <c r="D722" s="23" t="s">
        <v>369</v>
      </c>
      <c r="E722" s="39" t="e">
        <v>#N/A</v>
      </c>
      <c r="F722" s="32" t="str">
        <f>IFERROR(DATEDIF(Table1[[#This Row],[MPG Ope Date]],Table1[[#This Row],[L]],"M"),"")</f>
        <v/>
      </c>
      <c r="G722" s="26">
        <v>10100004</v>
      </c>
      <c r="H722" s="49" t="s">
        <v>902</v>
      </c>
      <c r="I722" s="41" t="s">
        <v>933</v>
      </c>
      <c r="J722" s="41">
        <v>9508950984</v>
      </c>
      <c r="K722" s="41" t="s">
        <v>69</v>
      </c>
      <c r="L722" s="41">
        <v>364751</v>
      </c>
      <c r="M722" s="41" t="s">
        <v>119</v>
      </c>
      <c r="N722" s="41" t="s">
        <v>120</v>
      </c>
      <c r="O722" s="32"/>
      <c r="P722" s="37"/>
      <c r="Q722" s="46">
        <v>1</v>
      </c>
      <c r="R722" s="44">
        <v>84</v>
      </c>
      <c r="S722" s="34">
        <f t="shared" si="113"/>
        <v>84</v>
      </c>
      <c r="T722" s="34">
        <f t="shared" si="114"/>
        <v>15.12</v>
      </c>
      <c r="U722" s="34">
        <f t="shared" si="115"/>
        <v>99.12</v>
      </c>
      <c r="V722" s="34"/>
      <c r="W722" s="23" t="s">
        <v>1007</v>
      </c>
    </row>
    <row r="723" spans="1:23" x14ac:dyDescent="0.25">
      <c r="A723" s="31">
        <v>45994.693136574075</v>
      </c>
      <c r="B723" s="32" t="str">
        <f t="shared" si="112"/>
        <v>Dec-25</v>
      </c>
      <c r="C723" s="23" t="s">
        <v>153</v>
      </c>
      <c r="D723" s="23" t="s">
        <v>369</v>
      </c>
      <c r="E723" s="39">
        <v>45796</v>
      </c>
      <c r="F723" s="32">
        <f>IFERROR(DATEDIF(Table1[[#This Row],[MPG Ope Date]],Table1[[#This Row],[L]],"M"),"")</f>
        <v>6</v>
      </c>
      <c r="G723" s="25">
        <v>10090065</v>
      </c>
      <c r="H723" s="41" t="s">
        <v>654</v>
      </c>
      <c r="I723" s="41" t="s">
        <v>696</v>
      </c>
      <c r="J723" s="41">
        <v>9709965750</v>
      </c>
      <c r="K723" s="41" t="s">
        <v>70</v>
      </c>
      <c r="L723" s="41" t="s">
        <v>732</v>
      </c>
      <c r="M723" s="41" t="s">
        <v>123</v>
      </c>
      <c r="N723" s="41" t="s">
        <v>124</v>
      </c>
      <c r="O723" s="32"/>
      <c r="P723" s="37"/>
      <c r="Q723" s="46">
        <v>1</v>
      </c>
      <c r="R723" s="44">
        <v>350</v>
      </c>
      <c r="S723" s="34">
        <f t="shared" si="113"/>
        <v>350</v>
      </c>
      <c r="T723" s="34">
        <f t="shared" si="114"/>
        <v>63</v>
      </c>
      <c r="U723" s="34">
        <f t="shared" si="115"/>
        <v>413</v>
      </c>
      <c r="V723" s="34"/>
      <c r="W723" s="23" t="s">
        <v>1005</v>
      </c>
    </row>
    <row r="724" spans="1:23" x14ac:dyDescent="0.25">
      <c r="A724" s="31">
        <v>45993.666504629633</v>
      </c>
      <c r="B724" s="32" t="str">
        <f t="shared" si="112"/>
        <v>Dec-25</v>
      </c>
      <c r="C724" s="23" t="s">
        <v>153</v>
      </c>
      <c r="D724" s="23" t="s">
        <v>369</v>
      </c>
      <c r="E724" s="39">
        <v>43936</v>
      </c>
      <c r="F724" s="32">
        <f>IFERROR(DATEDIF(Table1[[#This Row],[MPG Ope Date]],Table1[[#This Row],[L]],"M"),"")</f>
        <v>67</v>
      </c>
      <c r="G724" s="25">
        <v>10120014</v>
      </c>
      <c r="H724" s="41" t="s">
        <v>190</v>
      </c>
      <c r="I724" s="41" t="s">
        <v>226</v>
      </c>
      <c r="J724" s="41">
        <v>8340595380</v>
      </c>
      <c r="K724" s="41" t="s">
        <v>69</v>
      </c>
      <c r="L724" s="41">
        <v>310523</v>
      </c>
      <c r="M724" s="41" t="s">
        <v>121</v>
      </c>
      <c r="N724" s="41" t="s">
        <v>122</v>
      </c>
      <c r="O724" s="32"/>
      <c r="P724" s="37"/>
      <c r="Q724" s="46">
        <v>1</v>
      </c>
      <c r="R724" s="44">
        <v>70</v>
      </c>
      <c r="S724" s="34">
        <f t="shared" si="113"/>
        <v>70</v>
      </c>
      <c r="T724" s="34">
        <f t="shared" si="114"/>
        <v>12.6</v>
      </c>
      <c r="U724" s="34">
        <f t="shared" si="115"/>
        <v>82.6</v>
      </c>
      <c r="V724" s="34"/>
      <c r="W724" s="23" t="s">
        <v>1005</v>
      </c>
    </row>
    <row r="725" spans="1:23" x14ac:dyDescent="0.25">
      <c r="A725" s="31">
        <v>45993.666504629633</v>
      </c>
      <c r="B725" s="32" t="str">
        <f t="shared" si="112"/>
        <v>Dec-25</v>
      </c>
      <c r="C725" s="23" t="s">
        <v>153</v>
      </c>
      <c r="D725" s="23" t="s">
        <v>369</v>
      </c>
      <c r="E725" s="39">
        <v>43936</v>
      </c>
      <c r="F725" s="32">
        <f>IFERROR(DATEDIF(Table1[[#This Row],[MPG Ope Date]],Table1[[#This Row],[L]],"M"),"")</f>
        <v>67</v>
      </c>
      <c r="G725" s="25">
        <v>10120014</v>
      </c>
      <c r="H725" s="41" t="s">
        <v>190</v>
      </c>
      <c r="I725" s="41" t="s">
        <v>226</v>
      </c>
      <c r="J725" s="41">
        <v>8340595380</v>
      </c>
      <c r="K725" s="41" t="s">
        <v>69</v>
      </c>
      <c r="L725" s="41">
        <v>310523</v>
      </c>
      <c r="M725" s="41" t="s">
        <v>121</v>
      </c>
      <c r="N725" s="41" t="s">
        <v>122</v>
      </c>
      <c r="O725" s="32"/>
      <c r="P725" s="37"/>
      <c r="Q725" s="46">
        <v>1</v>
      </c>
      <c r="R725" s="44">
        <v>70</v>
      </c>
      <c r="S725" s="34">
        <f t="shared" si="113"/>
        <v>70</v>
      </c>
      <c r="T725" s="34">
        <f t="shared" si="114"/>
        <v>12.6</v>
      </c>
      <c r="U725" s="34">
        <f t="shared" si="115"/>
        <v>82.6</v>
      </c>
      <c r="V725" s="34"/>
      <c r="W725" s="23" t="s">
        <v>1005</v>
      </c>
    </row>
    <row r="726" spans="1:23" x14ac:dyDescent="0.25">
      <c r="A726" s="31">
        <v>45993.665011574078</v>
      </c>
      <c r="B726" s="32" t="str">
        <f t="shared" si="112"/>
        <v>Dec-25</v>
      </c>
      <c r="C726" s="23" t="s">
        <v>153</v>
      </c>
      <c r="D726" s="23" t="s">
        <v>0</v>
      </c>
      <c r="E726" s="39" t="e">
        <v>#N/A</v>
      </c>
      <c r="F726" s="32" t="str">
        <f>IFERROR(DATEDIF(Table1[[#This Row],[MPG Ope Date]],Table1[[#This Row],[L]],"M"),"")</f>
        <v/>
      </c>
      <c r="G726" s="25">
        <v>1012</v>
      </c>
      <c r="H726" s="41" t="s">
        <v>623</v>
      </c>
      <c r="I726" s="41" t="s">
        <v>666</v>
      </c>
      <c r="J726" s="41">
        <v>9060744847</v>
      </c>
      <c r="K726" s="41" t="s">
        <v>69</v>
      </c>
      <c r="L726" s="41">
        <v>2346394</v>
      </c>
      <c r="M726" s="41" t="s">
        <v>121</v>
      </c>
      <c r="N726" s="41" t="s">
        <v>122</v>
      </c>
      <c r="O726" s="32"/>
      <c r="P726" s="37"/>
      <c r="Q726" s="46">
        <v>1</v>
      </c>
      <c r="R726" s="44">
        <v>70</v>
      </c>
      <c r="S726" s="34">
        <f t="shared" si="113"/>
        <v>70</v>
      </c>
      <c r="T726" s="34">
        <f t="shared" si="114"/>
        <v>12.6</v>
      </c>
      <c r="U726" s="34">
        <f t="shared" si="115"/>
        <v>82.6</v>
      </c>
      <c r="V726" s="34"/>
      <c r="W726" s="23" t="e">
        <v>#N/A</v>
      </c>
    </row>
    <row r="727" spans="1:23" x14ac:dyDescent="0.25">
      <c r="A727" s="31">
        <v>45993.665011574078</v>
      </c>
      <c r="B727" s="32" t="str">
        <f t="shared" si="112"/>
        <v>Dec-25</v>
      </c>
      <c r="C727" s="23" t="s">
        <v>153</v>
      </c>
      <c r="D727" s="23" t="s">
        <v>0</v>
      </c>
      <c r="E727" s="39" t="e">
        <v>#N/A</v>
      </c>
      <c r="F727" s="32" t="str">
        <f>IFERROR(DATEDIF(Table1[[#This Row],[MPG Ope Date]],Table1[[#This Row],[L]],"M"),"")</f>
        <v/>
      </c>
      <c r="G727" s="25">
        <v>1012</v>
      </c>
      <c r="H727" s="41" t="s">
        <v>623</v>
      </c>
      <c r="I727" s="41" t="s">
        <v>666</v>
      </c>
      <c r="J727" s="41">
        <v>9060744847</v>
      </c>
      <c r="K727" s="41" t="s">
        <v>69</v>
      </c>
      <c r="L727" s="41">
        <v>2346394</v>
      </c>
      <c r="M727" s="41" t="s">
        <v>119</v>
      </c>
      <c r="N727" s="41" t="s">
        <v>120</v>
      </c>
      <c r="O727" s="32"/>
      <c r="P727" s="37"/>
      <c r="Q727" s="46">
        <v>1</v>
      </c>
      <c r="R727" s="44">
        <v>84</v>
      </c>
      <c r="S727" s="34">
        <f t="shared" si="113"/>
        <v>84</v>
      </c>
      <c r="T727" s="34">
        <f t="shared" si="114"/>
        <v>15.12</v>
      </c>
      <c r="U727" s="34">
        <f t="shared" si="115"/>
        <v>99.12</v>
      </c>
      <c r="V727" s="34"/>
      <c r="W727" s="23" t="e">
        <v>#N/A</v>
      </c>
    </row>
    <row r="728" spans="1:23" x14ac:dyDescent="0.25">
      <c r="A728" s="31">
        <v>45993.665011574078</v>
      </c>
      <c r="B728" s="32" t="str">
        <f t="shared" si="112"/>
        <v>Dec-25</v>
      </c>
      <c r="C728" s="23" t="s">
        <v>153</v>
      </c>
      <c r="D728" s="23" t="s">
        <v>0</v>
      </c>
      <c r="E728" s="39" t="e">
        <v>#N/A</v>
      </c>
      <c r="F728" s="32" t="str">
        <f>IFERROR(DATEDIF(Table1[[#This Row],[MPG Ope Date]],Table1[[#This Row],[L]],"M"),"")</f>
        <v/>
      </c>
      <c r="G728" s="25">
        <v>1012</v>
      </c>
      <c r="H728" s="41" t="s">
        <v>623</v>
      </c>
      <c r="I728" s="41" t="s">
        <v>666</v>
      </c>
      <c r="J728" s="41">
        <v>9060744847</v>
      </c>
      <c r="K728" s="41" t="s">
        <v>69</v>
      </c>
      <c r="L728" s="41">
        <v>2346394</v>
      </c>
      <c r="M728" s="41" t="s">
        <v>145</v>
      </c>
      <c r="N728" s="41" t="s">
        <v>146</v>
      </c>
      <c r="O728" s="32"/>
      <c r="P728" s="37"/>
      <c r="Q728" s="46">
        <v>1</v>
      </c>
      <c r="R728" s="44">
        <v>49</v>
      </c>
      <c r="S728" s="34">
        <f t="shared" si="113"/>
        <v>49</v>
      </c>
      <c r="T728" s="34">
        <f t="shared" si="114"/>
        <v>8.82</v>
      </c>
      <c r="U728" s="34">
        <f t="shared" si="115"/>
        <v>57.82</v>
      </c>
      <c r="V728" s="34"/>
      <c r="W728" s="23" t="e">
        <v>#N/A</v>
      </c>
    </row>
    <row r="729" spans="1:23" x14ac:dyDescent="0.25">
      <c r="A729" s="31">
        <v>45993.641493055555</v>
      </c>
      <c r="B729" s="32" t="str">
        <f t="shared" si="112"/>
        <v>Dec-25</v>
      </c>
      <c r="C729" s="23" t="s">
        <v>152</v>
      </c>
      <c r="D729" s="23" t="s">
        <v>369</v>
      </c>
      <c r="E729" s="39" t="e">
        <v>#N/A</v>
      </c>
      <c r="F729" s="32" t="str">
        <f>IFERROR(DATEDIF(Table1[[#This Row],[MPG Ope Date]],Table1[[#This Row],[L]],"M"),"")</f>
        <v/>
      </c>
      <c r="G729" s="25">
        <v>20010017</v>
      </c>
      <c r="H729" s="41" t="s">
        <v>377</v>
      </c>
      <c r="I729" s="41" t="s">
        <v>386</v>
      </c>
      <c r="J729" s="41">
        <v>8709453609</v>
      </c>
      <c r="K729" s="41" t="s">
        <v>69</v>
      </c>
      <c r="L729" s="41">
        <v>390572</v>
      </c>
      <c r="M729" s="41" t="s">
        <v>127</v>
      </c>
      <c r="N729" s="41" t="s">
        <v>128</v>
      </c>
      <c r="O729" s="32"/>
      <c r="P729" s="37"/>
      <c r="Q729" s="46">
        <v>1</v>
      </c>
      <c r="R729" s="44">
        <v>44</v>
      </c>
      <c r="S729" s="34">
        <f t="shared" si="113"/>
        <v>44</v>
      </c>
      <c r="T729" s="34">
        <f t="shared" si="114"/>
        <v>7.92</v>
      </c>
      <c r="U729" s="34">
        <f t="shared" si="115"/>
        <v>51.92</v>
      </c>
      <c r="V729" s="34"/>
      <c r="W729" s="23" t="e">
        <v>#N/A</v>
      </c>
    </row>
    <row r="730" spans="1:23" x14ac:dyDescent="0.25">
      <c r="A730" s="31">
        <v>45993.65084490741</v>
      </c>
      <c r="B730" s="32" t="str">
        <f t="shared" si="112"/>
        <v>Dec-25</v>
      </c>
      <c r="C730" s="23" t="s">
        <v>153</v>
      </c>
      <c r="D730" s="23" t="s">
        <v>369</v>
      </c>
      <c r="E730" s="39" t="e">
        <v>#N/A</v>
      </c>
      <c r="F730" s="32" t="str">
        <f>IFERROR(DATEDIF(Table1[[#This Row],[MPG Ope Date]],Table1[[#This Row],[L]],"M"),"")</f>
        <v/>
      </c>
      <c r="G730" s="26">
        <v>10030038</v>
      </c>
      <c r="H730" s="49" t="s">
        <v>565</v>
      </c>
      <c r="I730" s="41" t="s">
        <v>522</v>
      </c>
      <c r="J730" s="41">
        <v>6200792161</v>
      </c>
      <c r="K730" s="41" t="s">
        <v>70</v>
      </c>
      <c r="L730" s="41" t="s">
        <v>813</v>
      </c>
      <c r="M730" s="41" t="s">
        <v>990</v>
      </c>
      <c r="N730" s="41" t="s">
        <v>991</v>
      </c>
      <c r="O730" s="32"/>
      <c r="P730" s="37"/>
      <c r="Q730" s="46">
        <v>1</v>
      </c>
      <c r="R730" s="44">
        <v>925</v>
      </c>
      <c r="S730" s="34">
        <f t="shared" si="113"/>
        <v>925</v>
      </c>
      <c r="T730" s="34">
        <f t="shared" si="114"/>
        <v>166.5</v>
      </c>
      <c r="U730" s="34">
        <f t="shared" si="115"/>
        <v>1091.5</v>
      </c>
      <c r="V730" s="34"/>
      <c r="W730" s="23" t="s">
        <v>1005</v>
      </c>
    </row>
    <row r="731" spans="1:23" x14ac:dyDescent="0.25">
      <c r="A731" s="31">
        <v>45993.789849537039</v>
      </c>
      <c r="B731" s="32" t="str">
        <f t="shared" si="112"/>
        <v>Dec-25</v>
      </c>
      <c r="C731" s="23" t="s">
        <v>153</v>
      </c>
      <c r="D731" s="23" t="s">
        <v>369</v>
      </c>
      <c r="E731" s="39">
        <v>45012</v>
      </c>
      <c r="F731" s="32">
        <f>IFERROR(DATEDIF(Table1[[#This Row],[MPG Ope Date]],Table1[[#This Row],[L]],"M"),"")</f>
        <v>32</v>
      </c>
      <c r="G731" s="25">
        <v>10020043</v>
      </c>
      <c r="H731" s="41" t="s">
        <v>920</v>
      </c>
      <c r="I731" s="41" t="s">
        <v>433</v>
      </c>
      <c r="J731" s="41">
        <v>8340283114</v>
      </c>
      <c r="K731" s="41" t="s">
        <v>69</v>
      </c>
      <c r="L731" s="41">
        <v>387783</v>
      </c>
      <c r="M731" s="41" t="s">
        <v>121</v>
      </c>
      <c r="N731" s="41" t="s">
        <v>122</v>
      </c>
      <c r="O731" s="32"/>
      <c r="P731" s="37"/>
      <c r="Q731" s="46">
        <v>1</v>
      </c>
      <c r="R731" s="44">
        <v>70</v>
      </c>
      <c r="S731" s="34">
        <f t="shared" si="113"/>
        <v>70</v>
      </c>
      <c r="T731" s="34">
        <f t="shared" si="114"/>
        <v>12.6</v>
      </c>
      <c r="U731" s="34">
        <f t="shared" si="115"/>
        <v>82.6</v>
      </c>
      <c r="V731" s="34"/>
      <c r="W731" s="23" t="s">
        <v>1005</v>
      </c>
    </row>
    <row r="732" spans="1:23" x14ac:dyDescent="0.25">
      <c r="A732" s="31">
        <v>45993.789849537039</v>
      </c>
      <c r="B732" s="32" t="str">
        <f t="shared" si="112"/>
        <v>Dec-25</v>
      </c>
      <c r="C732" s="23" t="s">
        <v>153</v>
      </c>
      <c r="D732" s="23" t="s">
        <v>369</v>
      </c>
      <c r="E732" s="39">
        <v>45012</v>
      </c>
      <c r="F732" s="32">
        <f>IFERROR(DATEDIF(Table1[[#This Row],[MPG Ope Date]],Table1[[#This Row],[L]],"M"),"")</f>
        <v>32</v>
      </c>
      <c r="G732" s="25">
        <v>10020043</v>
      </c>
      <c r="H732" s="41" t="s">
        <v>920</v>
      </c>
      <c r="I732" s="41" t="s">
        <v>433</v>
      </c>
      <c r="J732" s="41">
        <v>8340283114</v>
      </c>
      <c r="K732" s="41" t="s">
        <v>69</v>
      </c>
      <c r="L732" s="41">
        <v>387783</v>
      </c>
      <c r="M732" s="41" t="s">
        <v>121</v>
      </c>
      <c r="N732" s="41" t="s">
        <v>122</v>
      </c>
      <c r="O732" s="32"/>
      <c r="P732" s="37"/>
      <c r="Q732" s="46">
        <v>1</v>
      </c>
      <c r="R732" s="44">
        <v>70</v>
      </c>
      <c r="S732" s="34">
        <f t="shared" si="113"/>
        <v>70</v>
      </c>
      <c r="T732" s="34">
        <f t="shared" si="114"/>
        <v>12.6</v>
      </c>
      <c r="U732" s="34">
        <f t="shared" si="115"/>
        <v>82.6</v>
      </c>
      <c r="V732" s="34"/>
      <c r="W732" s="23" t="s">
        <v>1005</v>
      </c>
    </row>
    <row r="733" spans="1:23" x14ac:dyDescent="0.25">
      <c r="A733" s="31">
        <v>45992.643784722219</v>
      </c>
      <c r="B733" s="32" t="str">
        <f t="shared" si="112"/>
        <v>Dec-25</v>
      </c>
      <c r="C733" s="23" t="s">
        <v>153</v>
      </c>
      <c r="D733" s="23" t="s">
        <v>369</v>
      </c>
      <c r="E733" s="39">
        <v>44729</v>
      </c>
      <c r="F733" s="32">
        <f>IFERROR(DATEDIF(Table1[[#This Row],[MPG Ope Date]],Table1[[#This Row],[L]],"M"),"")</f>
        <v>41</v>
      </c>
      <c r="G733" s="25">
        <v>10120029</v>
      </c>
      <c r="H733" s="41" t="s">
        <v>9</v>
      </c>
      <c r="I733" s="41" t="s">
        <v>43</v>
      </c>
      <c r="J733" s="41">
        <v>9304265355</v>
      </c>
      <c r="K733" s="41" t="s">
        <v>68</v>
      </c>
      <c r="L733" s="41" t="s">
        <v>870</v>
      </c>
      <c r="M733" s="41" t="s">
        <v>133</v>
      </c>
      <c r="N733" s="41" t="s">
        <v>134</v>
      </c>
      <c r="O733" s="32"/>
      <c r="P733" s="37"/>
      <c r="Q733" s="46">
        <v>1</v>
      </c>
      <c r="R733" s="44">
        <v>2080</v>
      </c>
      <c r="S733" s="34">
        <f t="shared" si="113"/>
        <v>2080</v>
      </c>
      <c r="T733" s="34">
        <f t="shared" si="114"/>
        <v>374.4</v>
      </c>
      <c r="U733" s="34">
        <f t="shared" si="115"/>
        <v>2454.4</v>
      </c>
      <c r="V733" s="34"/>
      <c r="W733" s="23" t="s">
        <v>1005</v>
      </c>
    </row>
    <row r="734" spans="1:23" x14ac:dyDescent="0.25">
      <c r="A734" s="31">
        <v>45992.64402777778</v>
      </c>
      <c r="B734" s="32" t="str">
        <f t="shared" si="112"/>
        <v>Dec-25</v>
      </c>
      <c r="C734" s="23" t="s">
        <v>153</v>
      </c>
      <c r="D734" s="23" t="s">
        <v>369</v>
      </c>
      <c r="E734" s="39">
        <v>44729</v>
      </c>
      <c r="F734" s="32">
        <f>IFERROR(DATEDIF(Table1[[#This Row],[MPG Ope Date]],Table1[[#This Row],[L]],"M"),"")</f>
        <v>41</v>
      </c>
      <c r="G734" s="25">
        <v>10120029</v>
      </c>
      <c r="H734" s="41" t="s">
        <v>9</v>
      </c>
      <c r="I734" s="41" t="s">
        <v>43</v>
      </c>
      <c r="J734" s="41">
        <v>9304265355</v>
      </c>
      <c r="K734" s="41" t="s">
        <v>71</v>
      </c>
      <c r="L734" s="41" t="s">
        <v>80</v>
      </c>
      <c r="M734" s="41" t="s">
        <v>129</v>
      </c>
      <c r="N734" s="41" t="s">
        <v>130</v>
      </c>
      <c r="O734" s="32"/>
      <c r="P734" s="37"/>
      <c r="Q734" s="46">
        <v>1</v>
      </c>
      <c r="R734" s="44">
        <v>1750</v>
      </c>
      <c r="S734" s="34">
        <f t="shared" si="113"/>
        <v>1750</v>
      </c>
      <c r="T734" s="34">
        <f t="shared" si="114"/>
        <v>315</v>
      </c>
      <c r="U734" s="34">
        <f t="shared" si="115"/>
        <v>2065</v>
      </c>
      <c r="V734" s="34"/>
      <c r="W734" s="23" t="s">
        <v>1005</v>
      </c>
    </row>
    <row r="735" spans="1:23" x14ac:dyDescent="0.25">
      <c r="A735" s="31">
        <v>45992.64402777778</v>
      </c>
      <c r="B735" s="32" t="str">
        <f t="shared" si="112"/>
        <v>Dec-25</v>
      </c>
      <c r="C735" s="23" t="s">
        <v>153</v>
      </c>
      <c r="D735" s="23" t="s">
        <v>369</v>
      </c>
      <c r="E735" s="39">
        <v>44729</v>
      </c>
      <c r="F735" s="32">
        <f>IFERROR(DATEDIF(Table1[[#This Row],[MPG Ope Date]],Table1[[#This Row],[L]],"M"),"")</f>
        <v>41</v>
      </c>
      <c r="G735" s="25">
        <v>10120029</v>
      </c>
      <c r="H735" s="41" t="s">
        <v>9</v>
      </c>
      <c r="I735" s="41" t="s">
        <v>43</v>
      </c>
      <c r="J735" s="41">
        <v>9304265355</v>
      </c>
      <c r="K735" s="41" t="s">
        <v>71</v>
      </c>
      <c r="L735" s="41" t="s">
        <v>80</v>
      </c>
      <c r="M735" s="41" t="s">
        <v>141</v>
      </c>
      <c r="N735" s="41" t="s">
        <v>142</v>
      </c>
      <c r="O735" s="32"/>
      <c r="P735" s="37"/>
      <c r="Q735" s="46">
        <v>1</v>
      </c>
      <c r="R735" s="44">
        <v>900</v>
      </c>
      <c r="S735" s="34">
        <f t="shared" si="113"/>
        <v>900</v>
      </c>
      <c r="T735" s="34">
        <f t="shared" si="114"/>
        <v>162</v>
      </c>
      <c r="U735" s="34">
        <f t="shared" si="115"/>
        <v>1062</v>
      </c>
      <c r="V735" s="34"/>
      <c r="W735" s="23" t="s">
        <v>1005</v>
      </c>
    </row>
    <row r="736" spans="1:23" x14ac:dyDescent="0.25">
      <c r="A736" s="31">
        <v>45992.642858796295</v>
      </c>
      <c r="B736" s="32" t="str">
        <f t="shared" si="112"/>
        <v>Dec-25</v>
      </c>
      <c r="C736" s="23" t="s">
        <v>153</v>
      </c>
      <c r="D736" s="23" t="s">
        <v>369</v>
      </c>
      <c r="E736" s="39">
        <v>45631</v>
      </c>
      <c r="F736" s="32">
        <f>IFERROR(DATEDIF(Table1[[#This Row],[MPG Ope Date]],Table1[[#This Row],[L]],"M"),"")</f>
        <v>11</v>
      </c>
      <c r="G736" s="25">
        <v>10060074</v>
      </c>
      <c r="H736" s="41" t="s">
        <v>293</v>
      </c>
      <c r="I736" s="41" t="s">
        <v>325</v>
      </c>
      <c r="J736" s="41">
        <v>6206967505</v>
      </c>
      <c r="K736" s="41" t="s">
        <v>69</v>
      </c>
      <c r="L736" s="41">
        <v>382421</v>
      </c>
      <c r="M736" s="41" t="s">
        <v>475</v>
      </c>
      <c r="N736" s="41" t="s">
        <v>476</v>
      </c>
      <c r="O736" s="32"/>
      <c r="P736" s="37"/>
      <c r="Q736" s="46">
        <v>1</v>
      </c>
      <c r="R736" s="44">
        <v>125</v>
      </c>
      <c r="S736" s="34">
        <f t="shared" si="113"/>
        <v>125</v>
      </c>
      <c r="T736" s="34">
        <f t="shared" si="114"/>
        <v>22.5</v>
      </c>
      <c r="U736" s="34">
        <f t="shared" si="115"/>
        <v>147.5</v>
      </c>
      <c r="V736" s="34"/>
      <c r="W736" s="23" t="s">
        <v>1005</v>
      </c>
    </row>
    <row r="737" spans="1:23" x14ac:dyDescent="0.25">
      <c r="A737" s="31">
        <v>45992.642858796295</v>
      </c>
      <c r="B737" s="32" t="str">
        <f t="shared" si="112"/>
        <v>Dec-25</v>
      </c>
      <c r="C737" s="23" t="s">
        <v>153</v>
      </c>
      <c r="D737" s="23" t="s">
        <v>369</v>
      </c>
      <c r="E737" s="39">
        <v>45631</v>
      </c>
      <c r="F737" s="32">
        <f>IFERROR(DATEDIF(Table1[[#This Row],[MPG Ope Date]],Table1[[#This Row],[L]],"M"),"")</f>
        <v>11</v>
      </c>
      <c r="G737" s="25">
        <v>10060074</v>
      </c>
      <c r="H737" s="41" t="s">
        <v>293</v>
      </c>
      <c r="I737" s="41" t="s">
        <v>325</v>
      </c>
      <c r="J737" s="41">
        <v>6206967505</v>
      </c>
      <c r="K737" s="41" t="s">
        <v>69</v>
      </c>
      <c r="L737" s="41">
        <v>382421</v>
      </c>
      <c r="M737" s="41" t="s">
        <v>143</v>
      </c>
      <c r="N737" s="41" t="s">
        <v>144</v>
      </c>
      <c r="O737" s="32"/>
      <c r="P737" s="37"/>
      <c r="Q737" s="46">
        <v>1</v>
      </c>
      <c r="R737" s="44">
        <v>125</v>
      </c>
      <c r="S737" s="34">
        <f t="shared" si="113"/>
        <v>125</v>
      </c>
      <c r="T737" s="34">
        <f t="shared" si="114"/>
        <v>22.5</v>
      </c>
      <c r="U737" s="34">
        <f t="shared" si="115"/>
        <v>147.5</v>
      </c>
      <c r="V737" s="34"/>
      <c r="W737" s="23" t="s">
        <v>1005</v>
      </c>
    </row>
    <row r="738" spans="1:23" x14ac:dyDescent="0.25">
      <c r="A738" s="31">
        <v>45992.706041666665</v>
      </c>
      <c r="B738" s="32" t="str">
        <f t="shared" si="112"/>
        <v>Dec-25</v>
      </c>
      <c r="C738" s="23" t="s">
        <v>153</v>
      </c>
      <c r="D738" s="23" t="s">
        <v>369</v>
      </c>
      <c r="E738" s="39">
        <v>45323</v>
      </c>
      <c r="F738" s="32">
        <f>IFERROR(DATEDIF(Table1[[#This Row],[MPG Ope Date]],Table1[[#This Row],[L]],"M"),"")</f>
        <v>22</v>
      </c>
      <c r="G738" s="25">
        <v>10060064</v>
      </c>
      <c r="H738" s="41" t="s">
        <v>926</v>
      </c>
      <c r="I738" s="41" t="s">
        <v>955</v>
      </c>
      <c r="J738" s="41">
        <v>7970919662</v>
      </c>
      <c r="K738" s="41" t="s">
        <v>70</v>
      </c>
      <c r="L738" s="41" t="s">
        <v>987</v>
      </c>
      <c r="M738" s="41" t="s">
        <v>266</v>
      </c>
      <c r="N738" s="41" t="s">
        <v>267</v>
      </c>
      <c r="O738" s="32"/>
      <c r="P738" s="37"/>
      <c r="Q738" s="46">
        <v>1</v>
      </c>
      <c r="R738" s="44">
        <v>780</v>
      </c>
      <c r="S738" s="34">
        <f t="shared" si="113"/>
        <v>780</v>
      </c>
      <c r="T738" s="34">
        <f t="shared" si="114"/>
        <v>140.4</v>
      </c>
      <c r="U738" s="34">
        <f t="shared" si="115"/>
        <v>920.4</v>
      </c>
      <c r="V738" s="34"/>
      <c r="W738" s="23" t="s">
        <v>1005</v>
      </c>
    </row>
    <row r="739" spans="1:23" x14ac:dyDescent="0.25">
      <c r="A739" s="31">
        <v>45992.706041666665</v>
      </c>
      <c r="B739" s="32" t="str">
        <f t="shared" si="112"/>
        <v>Dec-25</v>
      </c>
      <c r="C739" s="23" t="s">
        <v>153</v>
      </c>
      <c r="D739" s="23" t="s">
        <v>369</v>
      </c>
      <c r="E739" s="39">
        <v>45323</v>
      </c>
      <c r="F739" s="32">
        <f>IFERROR(DATEDIF(Table1[[#This Row],[MPG Ope Date]],Table1[[#This Row],[L]],"M"),"")</f>
        <v>22</v>
      </c>
      <c r="G739" s="25">
        <v>10060064</v>
      </c>
      <c r="H739" s="41" t="s">
        <v>926</v>
      </c>
      <c r="I739" s="41" t="s">
        <v>955</v>
      </c>
      <c r="J739" s="41">
        <v>7970919662</v>
      </c>
      <c r="K739" s="41" t="s">
        <v>70</v>
      </c>
      <c r="L739" s="41" t="s">
        <v>987</v>
      </c>
      <c r="M739" s="41" t="s">
        <v>266</v>
      </c>
      <c r="N739" s="41" t="s">
        <v>267</v>
      </c>
      <c r="O739" s="32"/>
      <c r="P739" s="37"/>
      <c r="Q739" s="46">
        <v>1</v>
      </c>
      <c r="R739" s="44">
        <v>780</v>
      </c>
      <c r="S739" s="34">
        <f t="shared" si="113"/>
        <v>780</v>
      </c>
      <c r="T739" s="34">
        <f t="shared" si="114"/>
        <v>140.4</v>
      </c>
      <c r="U739" s="34">
        <f t="shared" si="115"/>
        <v>920.4</v>
      </c>
      <c r="V739" s="34"/>
      <c r="W739" s="23" t="s">
        <v>1005</v>
      </c>
    </row>
  </sheetData>
  <conditionalFormatting sqref="G151">
    <cfRule type="duplicateValues" dxfId="87" priority="24"/>
  </conditionalFormatting>
  <conditionalFormatting sqref="G156">
    <cfRule type="duplicateValues" dxfId="86" priority="13"/>
    <cfRule type="duplicateValues" dxfId="85" priority="23"/>
  </conditionalFormatting>
  <conditionalFormatting sqref="G162">
    <cfRule type="duplicateValues" dxfId="84" priority="12"/>
    <cfRule type="duplicateValues" dxfId="83" priority="22"/>
  </conditionalFormatting>
  <conditionalFormatting sqref="G164">
    <cfRule type="duplicateValues" dxfId="82" priority="10"/>
    <cfRule type="duplicateValues" dxfId="81" priority="11"/>
    <cfRule type="duplicateValues" dxfId="80" priority="21"/>
  </conditionalFormatting>
  <conditionalFormatting sqref="G166">
    <cfRule type="duplicateValues" dxfId="79" priority="16"/>
  </conditionalFormatting>
  <conditionalFormatting sqref="G263">
    <cfRule type="duplicateValues" dxfId="78" priority="56"/>
  </conditionalFormatting>
  <conditionalFormatting sqref="G264">
    <cfRule type="duplicateValues" dxfId="77" priority="55"/>
  </conditionalFormatting>
  <conditionalFormatting sqref="G265">
    <cfRule type="duplicateValues" dxfId="76" priority="54"/>
  </conditionalFormatting>
  <conditionalFormatting sqref="G266">
    <cfRule type="duplicateValues" dxfId="75" priority="53"/>
  </conditionalFormatting>
  <conditionalFormatting sqref="G267">
    <cfRule type="duplicateValues" dxfId="74" priority="52"/>
  </conditionalFormatting>
  <conditionalFormatting sqref="G278">
    <cfRule type="duplicateValues" dxfId="73" priority="50"/>
  </conditionalFormatting>
  <conditionalFormatting sqref="G290">
    <cfRule type="duplicateValues" dxfId="72" priority="49"/>
  </conditionalFormatting>
  <conditionalFormatting sqref="G305">
    <cfRule type="duplicateValues" dxfId="71" priority="2"/>
  </conditionalFormatting>
  <conditionalFormatting sqref="G316">
    <cfRule type="duplicateValues" dxfId="70" priority="48"/>
  </conditionalFormatting>
  <conditionalFormatting sqref="G326">
    <cfRule type="duplicateValues" dxfId="69" priority="47"/>
  </conditionalFormatting>
  <conditionalFormatting sqref="G422">
    <cfRule type="duplicateValues" dxfId="68" priority="46"/>
  </conditionalFormatting>
  <conditionalFormatting sqref="G474">
    <cfRule type="duplicateValues" dxfId="67" priority="45"/>
  </conditionalFormatting>
  <conditionalFormatting sqref="G477">
    <cfRule type="duplicateValues" dxfId="66" priority="44"/>
  </conditionalFormatting>
  <conditionalFormatting sqref="G497">
    <cfRule type="duplicateValues" dxfId="65" priority="42"/>
  </conditionalFormatting>
  <conditionalFormatting sqref="G537">
    <cfRule type="duplicateValues" dxfId="64" priority="43"/>
  </conditionalFormatting>
  <conditionalFormatting sqref="G538">
    <cfRule type="duplicateValues" dxfId="63" priority="36"/>
  </conditionalFormatting>
  <conditionalFormatting sqref="G549">
    <cfRule type="duplicateValues" dxfId="62" priority="28"/>
  </conditionalFormatting>
  <conditionalFormatting sqref="G562">
    <cfRule type="duplicateValues" dxfId="61" priority="27"/>
  </conditionalFormatting>
  <conditionalFormatting sqref="G579">
    <cfRule type="duplicateValues" dxfId="60" priority="32"/>
  </conditionalFormatting>
  <conditionalFormatting sqref="G597">
    <cfRule type="duplicateValues" dxfId="59" priority="31"/>
  </conditionalFormatting>
  <conditionalFormatting sqref="G612">
    <cfRule type="duplicateValues" dxfId="58" priority="26"/>
  </conditionalFormatting>
  <conditionalFormatting sqref="G620">
    <cfRule type="duplicateValues" dxfId="57" priority="1"/>
  </conditionalFormatting>
  <conditionalFormatting sqref="G632">
    <cfRule type="duplicateValues" dxfId="56" priority="3"/>
  </conditionalFormatting>
  <conditionalFormatting sqref="G633">
    <cfRule type="duplicateValues" dxfId="55" priority="30"/>
  </conditionalFormatting>
  <conditionalFormatting sqref="G634">
    <cfRule type="duplicateValues" dxfId="54" priority="29"/>
  </conditionalFormatting>
  <conditionalFormatting sqref="G638">
    <cfRule type="duplicateValues" dxfId="53" priority="39"/>
  </conditionalFormatting>
  <conditionalFormatting sqref="G639">
    <cfRule type="duplicateValues" dxfId="52" priority="9"/>
    <cfRule type="duplicateValues" dxfId="51" priority="8"/>
    <cfRule type="duplicateValues" dxfId="50" priority="20"/>
  </conditionalFormatting>
  <conditionalFormatting sqref="G640">
    <cfRule type="duplicateValues" dxfId="49" priority="19"/>
    <cfRule type="duplicateValues" dxfId="48" priority="7"/>
    <cfRule type="duplicateValues" dxfId="47" priority="6"/>
  </conditionalFormatting>
  <conditionalFormatting sqref="G641">
    <cfRule type="duplicateValues" dxfId="46" priority="18"/>
    <cfRule type="duplicateValues" dxfId="45" priority="5"/>
    <cfRule type="duplicateValues" dxfId="44" priority="4"/>
  </conditionalFormatting>
  <conditionalFormatting sqref="G654">
    <cfRule type="duplicateValues" dxfId="43" priority="41"/>
  </conditionalFormatting>
  <conditionalFormatting sqref="G655">
    <cfRule type="duplicateValues" dxfId="42" priority="40"/>
  </conditionalFormatting>
  <conditionalFormatting sqref="G680">
    <cfRule type="duplicateValues" dxfId="41" priority="25"/>
  </conditionalFormatting>
  <conditionalFormatting sqref="G717">
    <cfRule type="duplicateValues" dxfId="40" priority="38"/>
  </conditionalFormatting>
  <conditionalFormatting sqref="G718">
    <cfRule type="duplicateValues" dxfId="39" priority="37"/>
  </conditionalFormatting>
  <conditionalFormatting sqref="G721">
    <cfRule type="duplicateValues" dxfId="38" priority="34"/>
  </conditionalFormatting>
  <conditionalFormatting sqref="G722">
    <cfRule type="duplicateValues" dxfId="37" priority="33"/>
  </conditionalFormatting>
  <conditionalFormatting sqref="G730">
    <cfRule type="duplicateValues" dxfId="36" priority="35"/>
  </conditionalFormatting>
  <conditionalFormatting sqref="Y492">
    <cfRule type="duplicateValues" dxfId="35" priority="14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"/>
  <sheetViews>
    <sheetView workbookViewId="0">
      <selection activeCell="A3" sqref="A3:H3"/>
    </sheetView>
  </sheetViews>
  <sheetFormatPr defaultRowHeight="15" x14ac:dyDescent="0.25"/>
  <cols>
    <col min="1" max="1" width="9" bestFit="1" customWidth="1"/>
    <col min="2" max="2" width="8.7109375" bestFit="1" customWidth="1"/>
    <col min="3" max="3" width="14.7109375" bestFit="1" customWidth="1"/>
    <col min="4" max="4" width="11" bestFit="1" customWidth="1"/>
  </cols>
  <sheetData>
    <row r="1" spans="1:8" x14ac:dyDescent="0.25">
      <c r="A1" s="9">
        <v>10020068</v>
      </c>
      <c r="B1" s="10" t="s">
        <v>996</v>
      </c>
      <c r="C1" s="11" t="s">
        <v>997</v>
      </c>
      <c r="D1" s="11">
        <v>7764900168</v>
      </c>
      <c r="E1" s="11" t="s">
        <v>68</v>
      </c>
      <c r="F1" s="15" t="s">
        <v>461</v>
      </c>
    </row>
    <row r="2" spans="1:8" x14ac:dyDescent="0.25">
      <c r="A2" s="12">
        <v>10020068</v>
      </c>
      <c r="B2" s="13" t="s">
        <v>996</v>
      </c>
      <c r="C2" s="14" t="s">
        <v>997</v>
      </c>
      <c r="D2" s="14">
        <v>7764900168</v>
      </c>
      <c r="E2" s="14" t="s">
        <v>68</v>
      </c>
      <c r="F2" s="16" t="s">
        <v>461</v>
      </c>
    </row>
    <row r="3" spans="1:8" x14ac:dyDescent="0.25">
      <c r="A3" s="17">
        <v>9752</v>
      </c>
      <c r="B3" s="18" t="s">
        <v>660</v>
      </c>
      <c r="C3" s="19" t="s">
        <v>702</v>
      </c>
      <c r="D3" s="19">
        <v>9123172928</v>
      </c>
      <c r="E3" s="19" t="s">
        <v>69</v>
      </c>
      <c r="F3" s="19">
        <v>277221</v>
      </c>
      <c r="G3" s="19" t="s">
        <v>119</v>
      </c>
      <c r="H3" s="20" t="s">
        <v>120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CD32A-B988-4145-8E9D-35A71B906C84}">
  <dimension ref="A1:F626"/>
  <sheetViews>
    <sheetView topLeftCell="A592" workbookViewId="0">
      <selection sqref="A1:F626"/>
    </sheetView>
  </sheetViews>
  <sheetFormatPr defaultRowHeight="15" x14ac:dyDescent="0.25"/>
  <cols>
    <col min="5" max="5" width="10" bestFit="1" customWidth="1"/>
  </cols>
  <sheetData>
    <row r="1" spans="1:6" x14ac:dyDescent="0.25">
      <c r="A1" s="53" t="s">
        <v>1021</v>
      </c>
      <c r="B1" s="53" t="s">
        <v>154</v>
      </c>
      <c r="C1" s="54" t="s">
        <v>1018</v>
      </c>
      <c r="D1" s="54" t="s">
        <v>1019</v>
      </c>
      <c r="E1" s="54" t="s">
        <v>110</v>
      </c>
      <c r="F1" s="54" t="s">
        <v>1018</v>
      </c>
    </row>
    <row r="2" spans="1:6" x14ac:dyDescent="0.25">
      <c r="A2" t="str">
        <f>CONCATENATE(B2,C2)</f>
        <v>100101020002</v>
      </c>
      <c r="B2" s="24">
        <v>10010102</v>
      </c>
      <c r="C2" s="36" t="s">
        <v>1020</v>
      </c>
      <c r="D2" s="25">
        <f>IFERROR(VLOOKUP(B2,'[1]MPG Payment'!$C$3:$F$915,4,0),0)</f>
        <v>0</v>
      </c>
      <c r="E2" s="55">
        <v>413</v>
      </c>
      <c r="F2" s="23">
        <f>IFERROR(VLOOKUP(B2,'[1]Farmer Payment Calc'!$E$2:$J$5780,6,0),0)</f>
        <v>0</v>
      </c>
    </row>
    <row r="3" spans="1:6" x14ac:dyDescent="0.25">
      <c r="A3" t="str">
        <f t="shared" ref="A3:A66" si="0">CONCATENATE(B3,C3)</f>
        <v>100300300002</v>
      </c>
      <c r="B3" s="24">
        <v>10030030</v>
      </c>
      <c r="C3" s="36" t="s">
        <v>1020</v>
      </c>
      <c r="D3" s="25">
        <f>IFERROR(VLOOKUP(B3,'[1]MPG Payment'!$C$3:$F$915,4,0),0)</f>
        <v>0</v>
      </c>
      <c r="E3" s="55">
        <v>908.6</v>
      </c>
      <c r="F3" s="23">
        <f>IFERROR(VLOOKUP(B3,'[1]Farmer Payment Calc'!$E$2:$J$5780,6,0),0)</f>
        <v>0</v>
      </c>
    </row>
    <row r="4" spans="1:6" x14ac:dyDescent="0.25">
      <c r="A4" t="str">
        <f t="shared" si="0"/>
        <v>100900230002</v>
      </c>
      <c r="B4" s="25">
        <v>10090023</v>
      </c>
      <c r="C4" s="36" t="s">
        <v>1020</v>
      </c>
      <c r="D4" s="25">
        <f>IFERROR(VLOOKUP(B4,'[1]MPG Payment'!$C$3:$F$915,4,0),0)</f>
        <v>0</v>
      </c>
      <c r="E4" s="55">
        <v>51.92</v>
      </c>
      <c r="F4" s="23">
        <f>IFERROR(VLOOKUP(B4,'[1]Farmer Payment Calc'!$E$2:$J$5780,6,0),0)</f>
        <v>0</v>
      </c>
    </row>
    <row r="5" spans="1:6" x14ac:dyDescent="0.25">
      <c r="A5" t="str">
        <f t="shared" si="0"/>
        <v>100900230002</v>
      </c>
      <c r="B5" s="25">
        <v>10090023</v>
      </c>
      <c r="C5" s="36" t="s">
        <v>1020</v>
      </c>
      <c r="D5" s="25">
        <f>IFERROR(VLOOKUP(B5,'[1]MPG Payment'!$C$3:$F$915,4,0),0)</f>
        <v>0</v>
      </c>
      <c r="E5" s="55">
        <v>51.92</v>
      </c>
      <c r="F5" s="23">
        <f>IFERROR(VLOOKUP(B5,'[1]Farmer Payment Calc'!$E$2:$J$5780,6,0),0)</f>
        <v>0</v>
      </c>
    </row>
    <row r="6" spans="1:6" x14ac:dyDescent="0.25">
      <c r="A6" t="str">
        <f t="shared" si="0"/>
        <v>100600730002</v>
      </c>
      <c r="B6" s="24">
        <v>10060073</v>
      </c>
      <c r="C6" s="36" t="s">
        <v>1020</v>
      </c>
      <c r="D6" s="25">
        <f>IFERROR(VLOOKUP(B6,'[1]MPG Payment'!$C$3:$F$915,4,0),0)</f>
        <v>0</v>
      </c>
      <c r="E6" s="55">
        <v>413</v>
      </c>
      <c r="F6" s="23">
        <f>IFERROR(VLOOKUP(B6,'[1]Farmer Payment Calc'!$E$2:$J$5780,6,0),0)</f>
        <v>0</v>
      </c>
    </row>
    <row r="7" spans="1:6" x14ac:dyDescent="0.25">
      <c r="A7" t="str">
        <f t="shared" si="0"/>
        <v>100101000002</v>
      </c>
      <c r="B7" s="24">
        <v>10010100</v>
      </c>
      <c r="C7" s="36" t="s">
        <v>1020</v>
      </c>
      <c r="D7" s="25">
        <f>IFERROR(VLOOKUP(B7,'[1]MPG Payment'!$C$3:$F$915,4,0),0)</f>
        <v>0</v>
      </c>
      <c r="E7" s="55">
        <v>2065</v>
      </c>
      <c r="F7" s="23">
        <f>IFERROR(VLOOKUP(B7,'[1]Farmer Payment Calc'!$E$2:$J$5780,6,0),0)</f>
        <v>0</v>
      </c>
    </row>
    <row r="8" spans="1:6" x14ac:dyDescent="0.25">
      <c r="A8" t="str">
        <f t="shared" si="0"/>
        <v>100900390002</v>
      </c>
      <c r="B8" s="25">
        <v>10090039</v>
      </c>
      <c r="C8" s="36" t="s">
        <v>1020</v>
      </c>
      <c r="D8" s="25">
        <f>IFERROR(VLOOKUP(B8,'[1]MPG Payment'!$C$3:$F$915,4,0),0)</f>
        <v>0</v>
      </c>
      <c r="E8" s="55">
        <v>2454.4</v>
      </c>
      <c r="F8" s="23">
        <f>IFERROR(VLOOKUP(B8,'[1]Farmer Payment Calc'!$E$2:$J$5780,6,0),0)</f>
        <v>0</v>
      </c>
    </row>
    <row r="9" spans="1:6" x14ac:dyDescent="0.25">
      <c r="A9" t="str">
        <f t="shared" si="0"/>
        <v>100101000002</v>
      </c>
      <c r="B9" s="24">
        <v>10010100</v>
      </c>
      <c r="C9" s="36" t="s">
        <v>1020</v>
      </c>
      <c r="D9" s="25">
        <f>IFERROR(VLOOKUP(B9,'[1]MPG Payment'!$C$3:$F$915,4,0),0)</f>
        <v>0</v>
      </c>
      <c r="E9" s="55">
        <v>413</v>
      </c>
      <c r="F9" s="23">
        <f>IFERROR(VLOOKUP(B9,'[1]Farmer Payment Calc'!$E$2:$J$5780,6,0),0)</f>
        <v>0</v>
      </c>
    </row>
    <row r="10" spans="1:6" x14ac:dyDescent="0.25">
      <c r="A10" t="str">
        <f t="shared" si="0"/>
        <v>100900390002</v>
      </c>
      <c r="B10" s="25">
        <v>10090039</v>
      </c>
      <c r="C10" s="36" t="s">
        <v>1020</v>
      </c>
      <c r="D10" s="25">
        <f>IFERROR(VLOOKUP(B10,'[1]MPG Payment'!$C$3:$F$915,4,0),0)</f>
        <v>0</v>
      </c>
      <c r="E10" s="55">
        <v>3304</v>
      </c>
      <c r="F10" s="23">
        <f>IFERROR(VLOOKUP(B10,'[1]Farmer Payment Calc'!$E$2:$J$5780,6,0),0)</f>
        <v>0</v>
      </c>
    </row>
    <row r="11" spans="1:6" x14ac:dyDescent="0.25">
      <c r="A11" t="str">
        <f t="shared" si="0"/>
        <v>100900390002</v>
      </c>
      <c r="B11" s="25">
        <v>10090039</v>
      </c>
      <c r="C11" s="36" t="s">
        <v>1020</v>
      </c>
      <c r="D11" s="25">
        <f>IFERROR(VLOOKUP(B11,'[1]MPG Payment'!$C$3:$F$915,4,0),0)</f>
        <v>0</v>
      </c>
      <c r="E11" s="55">
        <v>265.5</v>
      </c>
      <c r="F11" s="23">
        <f>IFERROR(VLOOKUP(B11,'[1]Farmer Payment Calc'!$E$2:$J$5780,6,0),0)</f>
        <v>0</v>
      </c>
    </row>
    <row r="12" spans="1:6" x14ac:dyDescent="0.25">
      <c r="A12" t="str">
        <f t="shared" si="0"/>
        <v>101300960002</v>
      </c>
      <c r="B12" s="24">
        <v>10130096</v>
      </c>
      <c r="C12" s="36" t="s">
        <v>1020</v>
      </c>
      <c r="D12" s="25">
        <f>IFERROR(VLOOKUP(B12,'[1]MPG Payment'!$C$3:$F$915,4,0),0)</f>
        <v>0</v>
      </c>
      <c r="E12" s="55">
        <v>99.12</v>
      </c>
      <c r="F12" s="23">
        <f>IFERROR(VLOOKUP(B12,'[1]Farmer Payment Calc'!$E$2:$J$5780,6,0),0)</f>
        <v>0</v>
      </c>
    </row>
    <row r="13" spans="1:6" x14ac:dyDescent="0.25">
      <c r="A13" t="str">
        <f t="shared" si="0"/>
        <v>101300960002</v>
      </c>
      <c r="B13" s="24">
        <v>10130096</v>
      </c>
      <c r="C13" s="36" t="s">
        <v>1020</v>
      </c>
      <c r="D13" s="25">
        <f>IFERROR(VLOOKUP(B13,'[1]MPG Payment'!$C$3:$F$915,4,0),0)</f>
        <v>0</v>
      </c>
      <c r="E13" s="55">
        <v>82.6</v>
      </c>
      <c r="F13" s="23">
        <f>IFERROR(VLOOKUP(B13,'[1]Farmer Payment Calc'!$E$2:$J$5780,6,0),0)</f>
        <v>0</v>
      </c>
    </row>
    <row r="14" spans="1:6" x14ac:dyDescent="0.25">
      <c r="A14" t="str">
        <f t="shared" si="0"/>
        <v>100600340002</v>
      </c>
      <c r="B14" s="25">
        <v>10060034</v>
      </c>
      <c r="C14" s="36" t="s">
        <v>1020</v>
      </c>
      <c r="D14" s="25">
        <f>IFERROR(VLOOKUP(B14,'[1]MPG Payment'!$C$3:$F$915,4,0),0)</f>
        <v>0</v>
      </c>
      <c r="E14" s="55">
        <v>413</v>
      </c>
      <c r="F14" s="23">
        <f>IFERROR(VLOOKUP(B14,'[1]Farmer Payment Calc'!$E$2:$J$5780,6,0),0)</f>
        <v>0</v>
      </c>
    </row>
    <row r="15" spans="1:6" x14ac:dyDescent="0.25">
      <c r="A15" t="str">
        <f t="shared" si="0"/>
        <v>100600340002</v>
      </c>
      <c r="B15" s="25">
        <v>10060034</v>
      </c>
      <c r="C15" s="36" t="s">
        <v>1020</v>
      </c>
      <c r="D15" s="25">
        <f>IFERROR(VLOOKUP(B15,'[1]MPG Payment'!$C$3:$F$915,4,0),0)</f>
        <v>0</v>
      </c>
      <c r="E15" s="55">
        <v>2454.4</v>
      </c>
      <c r="F15" s="23">
        <f>IFERROR(VLOOKUP(B15,'[1]Farmer Payment Calc'!$E$2:$J$5780,6,0),0)</f>
        <v>0</v>
      </c>
    </row>
    <row r="16" spans="1:6" x14ac:dyDescent="0.25">
      <c r="A16" t="str">
        <f t="shared" si="0"/>
        <v>100100710002</v>
      </c>
      <c r="B16" s="25">
        <v>10010071</v>
      </c>
      <c r="C16" s="36" t="s">
        <v>1020</v>
      </c>
      <c r="D16" s="25">
        <f>IFERROR(VLOOKUP(B16,'[1]MPG Payment'!$C$3:$F$915,4,0),0)</f>
        <v>0</v>
      </c>
      <c r="E16" s="55">
        <v>51.92</v>
      </c>
      <c r="F16" s="23">
        <f>IFERROR(VLOOKUP(B16,'[1]Farmer Payment Calc'!$E$2:$J$5780,6,0),0)</f>
        <v>0</v>
      </c>
    </row>
    <row r="17" spans="1:6" x14ac:dyDescent="0.25">
      <c r="A17" t="str">
        <f t="shared" si="0"/>
        <v>100100710002</v>
      </c>
      <c r="B17" s="25">
        <v>10010071</v>
      </c>
      <c r="C17" s="36" t="s">
        <v>1020</v>
      </c>
      <c r="D17" s="25">
        <f>IFERROR(VLOOKUP(B17,'[1]MPG Payment'!$C$3:$F$915,4,0),0)</f>
        <v>0</v>
      </c>
      <c r="E17" s="55">
        <v>51.92</v>
      </c>
      <c r="F17" s="23">
        <f>IFERROR(VLOOKUP(B17,'[1]Farmer Payment Calc'!$E$2:$J$5780,6,0),0)</f>
        <v>0</v>
      </c>
    </row>
    <row r="18" spans="1:6" x14ac:dyDescent="0.25">
      <c r="A18" t="str">
        <f t="shared" si="0"/>
        <v>100900300002</v>
      </c>
      <c r="B18" s="25">
        <v>10090030</v>
      </c>
      <c r="C18" s="36" t="s">
        <v>1020</v>
      </c>
      <c r="D18" s="25">
        <f>IFERROR(VLOOKUP(B18,'[1]MPG Payment'!$C$3:$F$915,4,0),0)</f>
        <v>0</v>
      </c>
      <c r="E18" s="55">
        <v>908.6</v>
      </c>
      <c r="F18" s="23">
        <f>IFERROR(VLOOKUP(B18,'[1]Farmer Payment Calc'!$E$2:$J$5780,6,0),0)</f>
        <v>0</v>
      </c>
    </row>
    <row r="19" spans="1:6" x14ac:dyDescent="0.25">
      <c r="A19" t="str">
        <f t="shared" si="0"/>
        <v>101300130002</v>
      </c>
      <c r="B19" s="24">
        <v>10130013</v>
      </c>
      <c r="C19" s="36" t="s">
        <v>1020</v>
      </c>
      <c r="D19" s="25">
        <f>IFERROR(VLOOKUP(B19,'[1]MPG Payment'!$C$3:$F$915,4,0),0)</f>
        <v>0</v>
      </c>
      <c r="E19" s="55">
        <v>424.8</v>
      </c>
      <c r="F19" s="23">
        <f>IFERROR(VLOOKUP(B19,'[1]Farmer Payment Calc'!$E$2:$J$5780,6,0),0)</f>
        <v>0</v>
      </c>
    </row>
    <row r="20" spans="1:6" x14ac:dyDescent="0.25">
      <c r="A20" t="str">
        <f t="shared" si="0"/>
        <v>101300130002</v>
      </c>
      <c r="B20" s="24">
        <v>10130013</v>
      </c>
      <c r="C20" s="36" t="s">
        <v>1020</v>
      </c>
      <c r="D20" s="25">
        <f>IFERROR(VLOOKUP(B20,'[1]MPG Payment'!$C$3:$F$915,4,0),0)</f>
        <v>0</v>
      </c>
      <c r="E20" s="55">
        <v>265.5</v>
      </c>
      <c r="F20" s="23">
        <f>IFERROR(VLOOKUP(B20,'[1]Farmer Payment Calc'!$E$2:$J$5780,6,0),0)</f>
        <v>0</v>
      </c>
    </row>
    <row r="21" spans="1:6" x14ac:dyDescent="0.25">
      <c r="A21" t="str">
        <f t="shared" si="0"/>
        <v>100900570002</v>
      </c>
      <c r="B21" s="24">
        <v>10090057</v>
      </c>
      <c r="C21" s="36" t="s">
        <v>1020</v>
      </c>
      <c r="D21" s="25">
        <f>IFERROR(VLOOKUP(B21,'[1]MPG Payment'!$C$3:$F$915,4,0),0)</f>
        <v>0</v>
      </c>
      <c r="E21" s="55">
        <v>2360</v>
      </c>
      <c r="F21" s="23">
        <f>IFERROR(VLOOKUP(B21,'[1]Farmer Payment Calc'!$E$2:$J$5780,6,0),0)</f>
        <v>0</v>
      </c>
    </row>
    <row r="22" spans="1:6" x14ac:dyDescent="0.25">
      <c r="A22" t="str">
        <f t="shared" si="0"/>
        <v>101300070002</v>
      </c>
      <c r="B22" s="25">
        <v>10130007</v>
      </c>
      <c r="C22" s="36" t="s">
        <v>1020</v>
      </c>
      <c r="D22" s="25">
        <f>IFERROR(VLOOKUP(B22,'[1]MPG Payment'!$C$3:$F$915,4,0),0)</f>
        <v>0</v>
      </c>
      <c r="E22" s="55">
        <v>413</v>
      </c>
      <c r="F22" s="23">
        <f>IFERROR(VLOOKUP(B22,'[1]Farmer Payment Calc'!$E$2:$J$5780,6,0),0)</f>
        <v>0</v>
      </c>
    </row>
    <row r="23" spans="1:6" x14ac:dyDescent="0.25">
      <c r="A23" t="str">
        <f t="shared" si="0"/>
        <v>100300300002</v>
      </c>
      <c r="B23" s="24">
        <v>10030030</v>
      </c>
      <c r="C23" s="36" t="s">
        <v>1020</v>
      </c>
      <c r="D23" s="25">
        <f>IFERROR(VLOOKUP(B23,'[1]MPG Payment'!$C$3:$F$915,4,0),0)</f>
        <v>0</v>
      </c>
      <c r="E23" s="55">
        <v>932.2</v>
      </c>
      <c r="F23" s="23">
        <f>IFERROR(VLOOKUP(B23,'[1]Farmer Payment Calc'!$E$2:$J$5780,6,0),0)</f>
        <v>0</v>
      </c>
    </row>
    <row r="24" spans="1:6" x14ac:dyDescent="0.25">
      <c r="A24" t="str">
        <f t="shared" si="0"/>
        <v>101400100002</v>
      </c>
      <c r="B24" s="25">
        <v>10140010</v>
      </c>
      <c r="C24" s="36" t="s">
        <v>1020</v>
      </c>
      <c r="D24" s="25">
        <f>IFERROR(VLOOKUP(B24,'[1]MPG Payment'!$C$3:$F$915,4,0),0)</f>
        <v>0</v>
      </c>
      <c r="E24" s="55">
        <v>920.4</v>
      </c>
      <c r="F24" s="23">
        <f>IFERROR(VLOOKUP(B24,'[1]Farmer Payment Calc'!$E$2:$J$5780,6,0),0)</f>
        <v>0</v>
      </c>
    </row>
    <row r="25" spans="1:6" x14ac:dyDescent="0.25">
      <c r="A25" t="str">
        <f t="shared" si="0"/>
        <v>101400100002</v>
      </c>
      <c r="B25" s="25">
        <v>10140010</v>
      </c>
      <c r="C25" s="36" t="s">
        <v>1020</v>
      </c>
      <c r="D25" s="25">
        <f>IFERROR(VLOOKUP(B25,'[1]MPG Payment'!$C$3:$F$915,4,0),0)</f>
        <v>0</v>
      </c>
      <c r="E25" s="55">
        <v>413</v>
      </c>
      <c r="F25" s="23">
        <f>IFERROR(VLOOKUP(B25,'[1]Farmer Payment Calc'!$E$2:$J$5780,6,0),0)</f>
        <v>0</v>
      </c>
    </row>
    <row r="26" spans="1:6" x14ac:dyDescent="0.25">
      <c r="A26" t="str">
        <f t="shared" si="0"/>
        <v>200200020002</v>
      </c>
      <c r="B26" s="24">
        <v>20020002</v>
      </c>
      <c r="C26" s="36" t="s">
        <v>1020</v>
      </c>
      <c r="D26" s="25">
        <f>IFERROR(VLOOKUP(B26,'[1]MPG Payment'!$C$3:$F$915,4,0),0)</f>
        <v>0</v>
      </c>
      <c r="E26" s="55">
        <v>10030</v>
      </c>
      <c r="F26" s="23">
        <f>IFERROR(VLOOKUP(B26,'[1]Farmer Payment Calc'!$E$2:$J$5780,6,0),0)</f>
        <v>0</v>
      </c>
    </row>
    <row r="27" spans="1:6" x14ac:dyDescent="0.25">
      <c r="A27" t="str">
        <f t="shared" si="0"/>
        <v>100900300002</v>
      </c>
      <c r="B27" s="25">
        <v>10090030</v>
      </c>
      <c r="C27" s="36" t="s">
        <v>1020</v>
      </c>
      <c r="D27" s="25">
        <f>IFERROR(VLOOKUP(B27,'[1]MPG Payment'!$C$3:$F$915,4,0),0)</f>
        <v>0</v>
      </c>
      <c r="E27" s="55">
        <v>413</v>
      </c>
      <c r="F27" s="23">
        <f>IFERROR(VLOOKUP(B27,'[1]Farmer Payment Calc'!$E$2:$J$5780,6,0),0)</f>
        <v>0</v>
      </c>
    </row>
    <row r="28" spans="1:6" x14ac:dyDescent="0.25">
      <c r="A28" t="str">
        <f t="shared" si="0"/>
        <v>100200220002</v>
      </c>
      <c r="B28" s="25">
        <v>10020022</v>
      </c>
      <c r="C28" s="36" t="s">
        <v>1020</v>
      </c>
      <c r="D28" s="25">
        <f>IFERROR(VLOOKUP(B28,'[1]MPG Payment'!$C$3:$F$915,4,0),0)</f>
        <v>0</v>
      </c>
      <c r="E28" s="55">
        <v>165.2</v>
      </c>
      <c r="F28" s="23">
        <f>IFERROR(VLOOKUP(B28,'[1]Farmer Payment Calc'!$E$2:$J$5780,6,0),0)</f>
        <v>0</v>
      </c>
    </row>
    <row r="29" spans="1:6" x14ac:dyDescent="0.25">
      <c r="A29" t="str">
        <f t="shared" si="0"/>
        <v>100600360002</v>
      </c>
      <c r="B29" s="25">
        <v>10060036</v>
      </c>
      <c r="C29" s="36" t="s">
        <v>1020</v>
      </c>
      <c r="D29" s="25">
        <f>IFERROR(VLOOKUP(B29,'[1]MPG Payment'!$C$3:$F$915,4,0),0)</f>
        <v>0</v>
      </c>
      <c r="E29" s="55">
        <v>82.6</v>
      </c>
      <c r="F29" s="23">
        <f>IFERROR(VLOOKUP(B29,'[1]Farmer Payment Calc'!$E$2:$J$5780,6,0),0)</f>
        <v>0</v>
      </c>
    </row>
    <row r="30" spans="1:6" x14ac:dyDescent="0.25">
      <c r="A30" t="str">
        <f t="shared" si="0"/>
        <v>100600360002</v>
      </c>
      <c r="B30" s="25">
        <v>10060036</v>
      </c>
      <c r="C30" s="36" t="s">
        <v>1020</v>
      </c>
      <c r="D30" s="25">
        <f>IFERROR(VLOOKUP(B30,'[1]MPG Payment'!$C$3:$F$915,4,0),0)</f>
        <v>0</v>
      </c>
      <c r="E30" s="55">
        <v>82.6</v>
      </c>
      <c r="F30" s="23">
        <f>IFERROR(VLOOKUP(B30,'[1]Farmer Payment Calc'!$E$2:$J$5780,6,0),0)</f>
        <v>0</v>
      </c>
    </row>
    <row r="31" spans="1:6" x14ac:dyDescent="0.25">
      <c r="A31" t="str">
        <f t="shared" si="0"/>
        <v>101101130002</v>
      </c>
      <c r="B31" s="26">
        <v>10110113</v>
      </c>
      <c r="C31" s="36" t="s">
        <v>1020</v>
      </c>
      <c r="D31" s="25">
        <f>IFERROR(VLOOKUP(B31,'[1]MPG Payment'!$C$3:$F$915,4,0),0)</f>
        <v>0</v>
      </c>
      <c r="E31" s="55">
        <v>413</v>
      </c>
      <c r="F31" s="23">
        <f>IFERROR(VLOOKUP(B31,'[1]Farmer Payment Calc'!$E$2:$J$5780,6,0),0)</f>
        <v>0</v>
      </c>
    </row>
    <row r="32" spans="1:6" x14ac:dyDescent="0.25">
      <c r="A32" t="str">
        <f t="shared" si="0"/>
        <v>101100440002</v>
      </c>
      <c r="B32" s="25">
        <v>10110044</v>
      </c>
      <c r="C32" s="36" t="s">
        <v>1020</v>
      </c>
      <c r="D32" s="25">
        <f>IFERROR(VLOOKUP(B32,'[1]MPG Payment'!$C$3:$F$915,4,0),0)</f>
        <v>0</v>
      </c>
      <c r="E32" s="55">
        <v>2454.4</v>
      </c>
      <c r="F32" s="23">
        <f>IFERROR(VLOOKUP(B32,'[1]Farmer Payment Calc'!$E$2:$J$5780,6,0),0)</f>
        <v>0</v>
      </c>
    </row>
    <row r="33" spans="1:6" x14ac:dyDescent="0.25">
      <c r="A33" t="str">
        <f t="shared" si="0"/>
        <v>100101020002</v>
      </c>
      <c r="B33" s="24">
        <v>10010102</v>
      </c>
      <c r="C33" s="36" t="s">
        <v>1020</v>
      </c>
      <c r="D33" s="25">
        <f>IFERROR(VLOOKUP(B33,'[1]MPG Payment'!$C$3:$F$915,4,0),0)</f>
        <v>0</v>
      </c>
      <c r="E33" s="55">
        <v>413</v>
      </c>
      <c r="F33" s="23">
        <f>IFERROR(VLOOKUP(B33,'[1]Farmer Payment Calc'!$E$2:$J$5780,6,0),0)</f>
        <v>0</v>
      </c>
    </row>
    <row r="34" spans="1:6" x14ac:dyDescent="0.25">
      <c r="A34" t="str">
        <f t="shared" si="0"/>
        <v>200100020002</v>
      </c>
      <c r="B34" s="24">
        <v>20010002</v>
      </c>
      <c r="C34" s="36" t="s">
        <v>1020</v>
      </c>
      <c r="D34" s="25">
        <f>IFERROR(VLOOKUP(B34,'[1]MPG Payment'!$C$3:$F$915,4,0),0)</f>
        <v>0</v>
      </c>
      <c r="E34" s="55">
        <v>413</v>
      </c>
      <c r="F34" s="23">
        <f>IFERROR(VLOOKUP(B34,'[1]Farmer Payment Calc'!$E$2:$J$5780,6,0),0)</f>
        <v>0</v>
      </c>
    </row>
    <row r="35" spans="1:6" x14ac:dyDescent="0.25">
      <c r="A35" t="str">
        <f t="shared" si="0"/>
        <v>200200070002</v>
      </c>
      <c r="B35" s="25">
        <v>20020007</v>
      </c>
      <c r="C35" s="36" t="s">
        <v>1020</v>
      </c>
      <c r="D35" s="25">
        <f>IFERROR(VLOOKUP(B35,'[1]MPG Payment'!$C$3:$F$915,4,0),0)</f>
        <v>0</v>
      </c>
      <c r="E35" s="55">
        <v>3304</v>
      </c>
      <c r="F35" s="23">
        <f>IFERROR(VLOOKUP(B35,'[1]Farmer Payment Calc'!$E$2:$J$5780,6,0),0)</f>
        <v>0</v>
      </c>
    </row>
    <row r="36" spans="1:6" x14ac:dyDescent="0.25">
      <c r="A36" t="str">
        <f t="shared" si="0"/>
        <v>200100160002</v>
      </c>
      <c r="B36" s="25">
        <v>20010016</v>
      </c>
      <c r="C36" s="36" t="s">
        <v>1020</v>
      </c>
      <c r="D36" s="25">
        <f>IFERROR(VLOOKUP(B36,'[1]MPG Payment'!$C$3:$F$915,4,0),0)</f>
        <v>0</v>
      </c>
      <c r="E36" s="55">
        <v>413</v>
      </c>
      <c r="F36" s="23">
        <f>IFERROR(VLOOKUP(B36,'[1]Farmer Payment Calc'!$E$2:$J$5780,6,0),0)</f>
        <v>0</v>
      </c>
    </row>
    <row r="37" spans="1:6" x14ac:dyDescent="0.25">
      <c r="A37" t="str">
        <f t="shared" si="0"/>
        <v>200100410002</v>
      </c>
      <c r="B37" s="25">
        <v>20010041</v>
      </c>
      <c r="C37" s="36" t="s">
        <v>1020</v>
      </c>
      <c r="D37" s="25">
        <f>IFERROR(VLOOKUP(B37,'[1]MPG Payment'!$C$3:$F$915,4,0),0)</f>
        <v>0</v>
      </c>
      <c r="E37" s="55">
        <v>3304</v>
      </c>
      <c r="F37" s="23">
        <f>IFERROR(VLOOKUP(B37,'[1]Farmer Payment Calc'!$E$2:$J$5780,6,0),0)</f>
        <v>0</v>
      </c>
    </row>
    <row r="38" spans="1:6" x14ac:dyDescent="0.25">
      <c r="A38" t="str">
        <f t="shared" si="0"/>
        <v>200200030002</v>
      </c>
      <c r="B38" s="25">
        <v>20020003</v>
      </c>
      <c r="C38" s="36" t="s">
        <v>1020</v>
      </c>
      <c r="D38" s="25">
        <f>IFERROR(VLOOKUP(B38,'[1]MPG Payment'!$C$3:$F$915,4,0),0)</f>
        <v>0</v>
      </c>
      <c r="E38" s="55">
        <v>973.5</v>
      </c>
      <c r="F38" s="23">
        <f>IFERROR(VLOOKUP(B38,'[1]Farmer Payment Calc'!$E$2:$J$5780,6,0),0)</f>
        <v>0</v>
      </c>
    </row>
    <row r="39" spans="1:6" x14ac:dyDescent="0.25">
      <c r="A39" t="str">
        <f t="shared" si="0"/>
        <v>200200020002</v>
      </c>
      <c r="B39" s="25">
        <v>20020002</v>
      </c>
      <c r="C39" s="36" t="s">
        <v>1020</v>
      </c>
      <c r="D39" s="25">
        <f>IFERROR(VLOOKUP(B39,'[1]MPG Payment'!$C$3:$F$915,4,0),0)</f>
        <v>0</v>
      </c>
      <c r="E39" s="55">
        <v>10030</v>
      </c>
      <c r="F39" s="23">
        <f>IFERROR(VLOOKUP(B39,'[1]Farmer Payment Calc'!$E$2:$J$5780,6,0),0)</f>
        <v>0</v>
      </c>
    </row>
    <row r="40" spans="1:6" x14ac:dyDescent="0.25">
      <c r="A40" t="str">
        <f t="shared" si="0"/>
        <v>200200060002</v>
      </c>
      <c r="B40" s="25">
        <v>20020006</v>
      </c>
      <c r="C40" s="36" t="s">
        <v>1020</v>
      </c>
      <c r="D40" s="25">
        <f>IFERROR(VLOOKUP(B40,'[1]MPG Payment'!$C$3:$F$915,4,0),0)</f>
        <v>0</v>
      </c>
      <c r="E40" s="55">
        <v>10030</v>
      </c>
      <c r="F40" s="23">
        <f>IFERROR(VLOOKUP(B40,'[1]Farmer Payment Calc'!$E$2:$J$5780,6,0),0)</f>
        <v>0</v>
      </c>
    </row>
    <row r="41" spans="1:6" x14ac:dyDescent="0.25">
      <c r="A41" t="str">
        <f t="shared" si="0"/>
        <v>200300050002</v>
      </c>
      <c r="B41" s="25">
        <v>20030005</v>
      </c>
      <c r="C41" s="36" t="s">
        <v>1020</v>
      </c>
      <c r="D41" s="25">
        <f>IFERROR(VLOOKUP(B41,'[1]MPG Payment'!$C$3:$F$915,4,0),0)</f>
        <v>0</v>
      </c>
      <c r="E41" s="55">
        <v>10030</v>
      </c>
      <c r="F41" s="23">
        <f>IFERROR(VLOOKUP(B41,'[1]Farmer Payment Calc'!$E$2:$J$5780,6,0),0)</f>
        <v>0</v>
      </c>
    </row>
    <row r="42" spans="1:6" x14ac:dyDescent="0.25">
      <c r="A42" t="str">
        <f t="shared" si="0"/>
        <v>200600040002</v>
      </c>
      <c r="B42" s="25">
        <v>20060004</v>
      </c>
      <c r="C42" s="36" t="s">
        <v>1020</v>
      </c>
      <c r="D42" s="25">
        <f>IFERROR(VLOOKUP(B42,'[1]MPG Payment'!$C$3:$F$915,4,0),0)</f>
        <v>0</v>
      </c>
      <c r="E42" s="55">
        <v>2454.4</v>
      </c>
      <c r="F42" s="23">
        <f>IFERROR(VLOOKUP(B42,'[1]Farmer Payment Calc'!$E$2:$J$5780,6,0),0)</f>
        <v>0</v>
      </c>
    </row>
    <row r="43" spans="1:6" x14ac:dyDescent="0.25">
      <c r="A43" t="str">
        <f t="shared" si="0"/>
        <v>200100170002</v>
      </c>
      <c r="B43" s="25">
        <v>20010017</v>
      </c>
      <c r="C43" s="36" t="s">
        <v>1020</v>
      </c>
      <c r="D43" s="25">
        <f>IFERROR(VLOOKUP(B43,'[1]MPG Payment'!$C$3:$F$915,4,0),0)</f>
        <v>0</v>
      </c>
      <c r="E43" s="55">
        <v>413</v>
      </c>
      <c r="F43" s="23">
        <f>IFERROR(VLOOKUP(B43,'[1]Farmer Payment Calc'!$E$2:$J$5780,6,0),0)</f>
        <v>0</v>
      </c>
    </row>
    <row r="44" spans="1:6" x14ac:dyDescent="0.25">
      <c r="A44" t="str">
        <f t="shared" si="0"/>
        <v>302000280002</v>
      </c>
      <c r="B44" s="25">
        <v>30200028</v>
      </c>
      <c r="C44" s="36" t="s">
        <v>1020</v>
      </c>
      <c r="D44" s="25">
        <f>IFERROR(VLOOKUP(B44,'[1]MPG Payment'!$C$3:$F$915,4,0),0)</f>
        <v>0</v>
      </c>
      <c r="E44" s="55">
        <v>10030</v>
      </c>
      <c r="F44" s="23">
        <f>IFERROR(VLOOKUP(B44,'[1]Farmer Payment Calc'!$E$2:$J$5780,6,0),0)</f>
        <v>0</v>
      </c>
    </row>
    <row r="45" spans="1:6" x14ac:dyDescent="0.25">
      <c r="A45" t="str">
        <f t="shared" si="0"/>
        <v>100200370002</v>
      </c>
      <c r="B45" s="25">
        <v>10020037</v>
      </c>
      <c r="C45" s="36" t="s">
        <v>1020</v>
      </c>
      <c r="D45" s="25">
        <f>IFERROR(VLOOKUP(B45,'[1]MPG Payment'!$C$3:$F$915,4,0),0)</f>
        <v>0</v>
      </c>
      <c r="E45" s="55">
        <v>413</v>
      </c>
      <c r="F45" s="23">
        <f>IFERROR(VLOOKUP(B45,'[1]Farmer Payment Calc'!$E$2:$J$5780,6,0),0)</f>
        <v>0</v>
      </c>
    </row>
    <row r="46" spans="1:6" x14ac:dyDescent="0.25">
      <c r="A46" t="str">
        <f t="shared" si="0"/>
        <v>101400510002</v>
      </c>
      <c r="B46" s="25">
        <v>10140051</v>
      </c>
      <c r="C46" s="36" t="s">
        <v>1020</v>
      </c>
      <c r="D46" s="25">
        <f>IFERROR(VLOOKUP(B46,'[1]MPG Payment'!$C$3:$F$915,4,0),0)</f>
        <v>0</v>
      </c>
      <c r="E46" s="55">
        <v>413</v>
      </c>
      <c r="F46" s="23">
        <f>IFERROR(VLOOKUP(B46,'[1]Farmer Payment Calc'!$E$2:$J$5780,6,0),0)</f>
        <v>0</v>
      </c>
    </row>
    <row r="47" spans="1:6" x14ac:dyDescent="0.25">
      <c r="A47" t="str">
        <f t="shared" si="0"/>
        <v>101401680002</v>
      </c>
      <c r="B47" s="25">
        <v>10140168</v>
      </c>
      <c r="C47" s="36" t="s">
        <v>1020</v>
      </c>
      <c r="D47" s="25">
        <f>IFERROR(VLOOKUP(B47,'[1]MPG Payment'!$C$3:$F$915,4,0),0)</f>
        <v>0</v>
      </c>
      <c r="E47" s="55">
        <v>413</v>
      </c>
      <c r="F47" s="23">
        <f>IFERROR(VLOOKUP(B47,'[1]Farmer Payment Calc'!$E$2:$J$5780,6,0),0)</f>
        <v>0</v>
      </c>
    </row>
    <row r="48" spans="1:6" x14ac:dyDescent="0.25">
      <c r="A48" t="str">
        <f t="shared" si="0"/>
        <v>101401680002</v>
      </c>
      <c r="B48" s="25">
        <v>10140168</v>
      </c>
      <c r="C48" s="36" t="s">
        <v>1020</v>
      </c>
      <c r="D48" s="25">
        <f>IFERROR(VLOOKUP(B48,'[1]MPG Payment'!$C$3:$F$915,4,0),0)</f>
        <v>0</v>
      </c>
      <c r="E48" s="55">
        <v>920.4</v>
      </c>
      <c r="F48" s="23">
        <f>IFERROR(VLOOKUP(B48,'[1]Farmer Payment Calc'!$E$2:$J$5780,6,0),0)</f>
        <v>0</v>
      </c>
    </row>
    <row r="49" spans="1:6" x14ac:dyDescent="0.25">
      <c r="A49" t="str">
        <f t="shared" si="0"/>
        <v>101400100002</v>
      </c>
      <c r="B49" s="25">
        <v>10140010</v>
      </c>
      <c r="C49" s="36" t="s">
        <v>1020</v>
      </c>
      <c r="D49" s="25">
        <f>IFERROR(VLOOKUP(B49,'[1]MPG Payment'!$C$3:$F$915,4,0),0)</f>
        <v>0</v>
      </c>
      <c r="E49" s="55">
        <v>265.5</v>
      </c>
      <c r="F49" s="23">
        <f>IFERROR(VLOOKUP(B49,'[1]Farmer Payment Calc'!$E$2:$J$5780,6,0),0)</f>
        <v>0</v>
      </c>
    </row>
    <row r="50" spans="1:6" x14ac:dyDescent="0.25">
      <c r="A50" t="str">
        <f t="shared" si="0"/>
        <v>100200370002</v>
      </c>
      <c r="B50" s="25">
        <v>10020037</v>
      </c>
      <c r="C50" s="36" t="s">
        <v>1020</v>
      </c>
      <c r="D50" s="25">
        <f>IFERROR(VLOOKUP(B50,'[1]MPG Payment'!$C$3:$F$915,4,0),0)</f>
        <v>0</v>
      </c>
      <c r="E50" s="55">
        <v>82.6</v>
      </c>
      <c r="F50" s="23">
        <f>IFERROR(VLOOKUP(B50,'[1]Farmer Payment Calc'!$E$2:$J$5780,6,0),0)</f>
        <v>0</v>
      </c>
    </row>
    <row r="51" spans="1:6" x14ac:dyDescent="0.25">
      <c r="A51" t="str">
        <f t="shared" si="0"/>
        <v>100200370002</v>
      </c>
      <c r="B51" s="25">
        <v>10020037</v>
      </c>
      <c r="C51" s="36" t="s">
        <v>1020</v>
      </c>
      <c r="D51" s="25">
        <f>IFERROR(VLOOKUP(B51,'[1]MPG Payment'!$C$3:$F$915,4,0),0)</f>
        <v>0</v>
      </c>
      <c r="E51" s="55">
        <v>82.6</v>
      </c>
      <c r="F51" s="23">
        <f>IFERROR(VLOOKUP(B51,'[1]Farmer Payment Calc'!$E$2:$J$5780,6,0),0)</f>
        <v>0</v>
      </c>
    </row>
    <row r="52" spans="1:6" x14ac:dyDescent="0.25">
      <c r="A52" t="str">
        <f t="shared" si="0"/>
        <v>100200370002</v>
      </c>
      <c r="B52" s="25">
        <v>10020037</v>
      </c>
      <c r="C52" s="36" t="s">
        <v>1020</v>
      </c>
      <c r="D52" s="25">
        <f>IFERROR(VLOOKUP(B52,'[1]MPG Payment'!$C$3:$F$915,4,0),0)</f>
        <v>0</v>
      </c>
      <c r="E52" s="55">
        <v>2454.4</v>
      </c>
      <c r="F52" s="23">
        <f>IFERROR(VLOOKUP(B52,'[1]Farmer Payment Calc'!$E$2:$J$5780,6,0),0)</f>
        <v>0</v>
      </c>
    </row>
    <row r="53" spans="1:6" x14ac:dyDescent="0.25">
      <c r="A53" t="str">
        <f t="shared" si="0"/>
        <v>101200420002</v>
      </c>
      <c r="B53" s="25">
        <v>10120042</v>
      </c>
      <c r="C53" s="36" t="s">
        <v>1020</v>
      </c>
      <c r="D53" s="25">
        <f>IFERROR(VLOOKUP(B53,'[1]MPG Payment'!$C$3:$F$915,4,0),0)</f>
        <v>0</v>
      </c>
      <c r="E53" s="55">
        <v>82.6</v>
      </c>
      <c r="F53" s="23">
        <f>IFERROR(VLOOKUP(B53,'[1]Farmer Payment Calc'!$E$2:$J$5780,6,0),0)</f>
        <v>0</v>
      </c>
    </row>
    <row r="54" spans="1:6" x14ac:dyDescent="0.25">
      <c r="A54" t="str">
        <f t="shared" si="0"/>
        <v>101200420002</v>
      </c>
      <c r="B54" s="25">
        <v>10120042</v>
      </c>
      <c r="C54" s="36" t="s">
        <v>1020</v>
      </c>
      <c r="D54" s="25">
        <f>IFERROR(VLOOKUP(B54,'[1]MPG Payment'!$C$3:$F$915,4,0),0)</f>
        <v>0</v>
      </c>
      <c r="E54" s="55">
        <v>99.12</v>
      </c>
      <c r="F54" s="23">
        <f>IFERROR(VLOOKUP(B54,'[1]Farmer Payment Calc'!$E$2:$J$5780,6,0),0)</f>
        <v>0</v>
      </c>
    </row>
    <row r="55" spans="1:6" x14ac:dyDescent="0.25">
      <c r="A55" t="str">
        <f t="shared" si="0"/>
        <v>100600250002</v>
      </c>
      <c r="B55" s="25">
        <v>10060025</v>
      </c>
      <c r="C55" s="36" t="s">
        <v>1020</v>
      </c>
      <c r="D55" s="25">
        <f>IFERROR(VLOOKUP(B55,'[1]MPG Payment'!$C$3:$F$915,4,0),0)</f>
        <v>0</v>
      </c>
      <c r="E55" s="55">
        <v>5310</v>
      </c>
      <c r="F55" s="23">
        <f>IFERROR(VLOOKUP(B55,'[1]Farmer Payment Calc'!$E$2:$J$5780,6,0),0)</f>
        <v>0</v>
      </c>
    </row>
    <row r="56" spans="1:6" x14ac:dyDescent="0.25">
      <c r="A56" t="str">
        <f t="shared" si="0"/>
        <v>101401450002</v>
      </c>
      <c r="B56" s="25">
        <v>10140145</v>
      </c>
      <c r="C56" s="36" t="s">
        <v>1020</v>
      </c>
      <c r="D56" s="25">
        <f>IFERROR(VLOOKUP(B56,'[1]MPG Payment'!$C$3:$F$915,4,0),0)</f>
        <v>0</v>
      </c>
      <c r="E56" s="55">
        <v>413</v>
      </c>
      <c r="F56" s="23">
        <f>IFERROR(VLOOKUP(B56,'[1]Farmer Payment Calc'!$E$2:$J$5780,6,0),0)</f>
        <v>0</v>
      </c>
    </row>
    <row r="57" spans="1:6" x14ac:dyDescent="0.25">
      <c r="A57" t="str">
        <f t="shared" si="0"/>
        <v>200600070002</v>
      </c>
      <c r="B57" s="25">
        <v>20060007</v>
      </c>
      <c r="C57" s="36" t="s">
        <v>1020</v>
      </c>
      <c r="D57" s="25">
        <f>IFERROR(VLOOKUP(B57,'[1]MPG Payment'!$C$3:$F$915,4,0),0)</f>
        <v>0</v>
      </c>
      <c r="E57" s="55">
        <v>99.12</v>
      </c>
      <c r="F57" s="23">
        <f>IFERROR(VLOOKUP(B57,'[1]Farmer Payment Calc'!$E$2:$J$5780,6,0),0)</f>
        <v>0</v>
      </c>
    </row>
    <row r="58" spans="1:6" x14ac:dyDescent="0.25">
      <c r="A58" t="str">
        <f t="shared" si="0"/>
        <v>100300300002</v>
      </c>
      <c r="B58" s="24">
        <v>10030030</v>
      </c>
      <c r="C58" s="36" t="s">
        <v>1020</v>
      </c>
      <c r="D58" s="25">
        <f>IFERROR(VLOOKUP(B58,'[1]MPG Payment'!$C$3:$F$915,4,0),0)</f>
        <v>0</v>
      </c>
      <c r="E58" s="55">
        <v>920.4</v>
      </c>
      <c r="F58" s="23">
        <f>IFERROR(VLOOKUP(B58,'[1]Farmer Payment Calc'!$E$2:$J$5780,6,0),0)</f>
        <v>0</v>
      </c>
    </row>
    <row r="59" spans="1:6" x14ac:dyDescent="0.25">
      <c r="A59" t="str">
        <f t="shared" si="0"/>
        <v>200600040002</v>
      </c>
      <c r="B59" s="25">
        <v>20060004</v>
      </c>
      <c r="C59" s="36" t="s">
        <v>1020</v>
      </c>
      <c r="D59" s="25">
        <f>IFERROR(VLOOKUP(B59,'[1]MPG Payment'!$C$3:$F$915,4,0),0)</f>
        <v>0</v>
      </c>
      <c r="E59" s="55">
        <v>2454.4</v>
      </c>
      <c r="F59" s="23">
        <f>IFERROR(VLOOKUP(B59,'[1]Farmer Payment Calc'!$E$2:$J$5780,6,0),0)</f>
        <v>0</v>
      </c>
    </row>
    <row r="60" spans="1:6" x14ac:dyDescent="0.25">
      <c r="A60" t="str">
        <f t="shared" si="0"/>
        <v>100600360002</v>
      </c>
      <c r="B60" s="25">
        <v>10060036</v>
      </c>
      <c r="C60" s="36" t="s">
        <v>1020</v>
      </c>
      <c r="D60" s="25">
        <f>IFERROR(VLOOKUP(B60,'[1]MPG Payment'!$C$3:$F$915,4,0),0)</f>
        <v>0</v>
      </c>
      <c r="E60" s="55">
        <v>51.92</v>
      </c>
      <c r="F60" s="23">
        <f>IFERROR(VLOOKUP(B60,'[1]Farmer Payment Calc'!$E$2:$J$5780,6,0),0)</f>
        <v>0</v>
      </c>
    </row>
    <row r="61" spans="1:6" x14ac:dyDescent="0.25">
      <c r="A61" t="str">
        <f t="shared" si="0"/>
        <v>100600360002</v>
      </c>
      <c r="B61" s="25">
        <v>10060036</v>
      </c>
      <c r="C61" s="36" t="s">
        <v>1020</v>
      </c>
      <c r="D61" s="25">
        <f>IFERROR(VLOOKUP(B61,'[1]MPG Payment'!$C$3:$F$915,4,0),0)</f>
        <v>0</v>
      </c>
      <c r="E61" s="55">
        <v>51.92</v>
      </c>
      <c r="F61" s="23">
        <f>IFERROR(VLOOKUP(B61,'[1]Farmer Payment Calc'!$E$2:$J$5780,6,0),0)</f>
        <v>0</v>
      </c>
    </row>
    <row r="62" spans="1:6" x14ac:dyDescent="0.25">
      <c r="A62" t="str">
        <f t="shared" si="0"/>
        <v>101400100002</v>
      </c>
      <c r="B62" s="25">
        <v>10140010</v>
      </c>
      <c r="C62" s="36" t="s">
        <v>1020</v>
      </c>
      <c r="D62" s="25">
        <f>IFERROR(VLOOKUP(B62,'[1]MPG Payment'!$C$3:$F$915,4,0),0)</f>
        <v>0</v>
      </c>
      <c r="E62" s="55">
        <v>57.82</v>
      </c>
      <c r="F62" s="23">
        <f>IFERROR(VLOOKUP(B62,'[1]Farmer Payment Calc'!$E$2:$J$5780,6,0),0)</f>
        <v>0</v>
      </c>
    </row>
    <row r="63" spans="1:6" x14ac:dyDescent="0.25">
      <c r="A63" t="str">
        <f t="shared" si="0"/>
        <v>101400100002</v>
      </c>
      <c r="B63" s="25">
        <v>10140010</v>
      </c>
      <c r="C63" s="36" t="s">
        <v>1020</v>
      </c>
      <c r="D63" s="25">
        <f>IFERROR(VLOOKUP(B63,'[1]MPG Payment'!$C$3:$F$915,4,0),0)</f>
        <v>0</v>
      </c>
      <c r="E63" s="55">
        <v>57.82</v>
      </c>
      <c r="F63" s="23">
        <f>IFERROR(VLOOKUP(B63,'[1]Farmer Payment Calc'!$E$2:$J$5780,6,0),0)</f>
        <v>0</v>
      </c>
    </row>
    <row r="64" spans="1:6" x14ac:dyDescent="0.25">
      <c r="A64" t="str">
        <f t="shared" si="0"/>
        <v>101300070002</v>
      </c>
      <c r="B64" s="25">
        <v>10130007</v>
      </c>
      <c r="C64" s="36" t="s">
        <v>1020</v>
      </c>
      <c r="D64" s="25">
        <f>IFERROR(VLOOKUP(B64,'[1]MPG Payment'!$C$3:$F$915,4,0),0)</f>
        <v>0</v>
      </c>
      <c r="E64" s="55">
        <v>82.6</v>
      </c>
      <c r="F64" s="23">
        <f>IFERROR(VLOOKUP(B64,'[1]Farmer Payment Calc'!$E$2:$J$5780,6,0),0)</f>
        <v>0</v>
      </c>
    </row>
    <row r="65" spans="1:6" x14ac:dyDescent="0.25">
      <c r="A65" t="str">
        <f t="shared" si="0"/>
        <v>101300070002</v>
      </c>
      <c r="B65" s="25">
        <v>10130007</v>
      </c>
      <c r="C65" s="36" t="s">
        <v>1020</v>
      </c>
      <c r="D65" s="25">
        <f>IFERROR(VLOOKUP(B65,'[1]MPG Payment'!$C$3:$F$915,4,0),0)</f>
        <v>0</v>
      </c>
      <c r="E65" s="55">
        <v>51.92</v>
      </c>
      <c r="F65" s="23">
        <f>IFERROR(VLOOKUP(B65,'[1]Farmer Payment Calc'!$E$2:$J$5780,6,0),0)</f>
        <v>0</v>
      </c>
    </row>
    <row r="66" spans="1:6" x14ac:dyDescent="0.25">
      <c r="A66" t="str">
        <f t="shared" si="0"/>
        <v>101300070002</v>
      </c>
      <c r="B66" s="25">
        <v>10130007</v>
      </c>
      <c r="C66" s="36" t="s">
        <v>1020</v>
      </c>
      <c r="D66" s="25">
        <f>IFERROR(VLOOKUP(B66,'[1]MPG Payment'!$C$3:$F$915,4,0),0)</f>
        <v>0</v>
      </c>
      <c r="E66" s="55">
        <v>51.92</v>
      </c>
      <c r="F66" s="23">
        <f>IFERROR(VLOOKUP(B66,'[1]Farmer Payment Calc'!$E$2:$J$5780,6,0),0)</f>
        <v>0</v>
      </c>
    </row>
    <row r="67" spans="1:6" x14ac:dyDescent="0.25">
      <c r="A67" t="str">
        <f t="shared" ref="A67:A130" si="1">CONCATENATE(B67,C67)</f>
        <v>200800180002</v>
      </c>
      <c r="B67" s="25">
        <v>20080018</v>
      </c>
      <c r="C67" s="36" t="s">
        <v>1020</v>
      </c>
      <c r="D67" s="25">
        <f>IFERROR(VLOOKUP(B67,'[1]MPG Payment'!$C$3:$F$915,4,0),0)</f>
        <v>0</v>
      </c>
      <c r="E67" s="55">
        <v>2454.4</v>
      </c>
      <c r="F67" s="23">
        <f>IFERROR(VLOOKUP(B67,'[1]Farmer Payment Calc'!$E$2:$J$5780,6,0),0)</f>
        <v>0</v>
      </c>
    </row>
    <row r="68" spans="1:6" x14ac:dyDescent="0.25">
      <c r="A68" t="str">
        <f t="shared" si="1"/>
        <v>200700100002</v>
      </c>
      <c r="B68" s="25">
        <v>20070010</v>
      </c>
      <c r="C68" s="36" t="s">
        <v>1020</v>
      </c>
      <c r="D68" s="25">
        <f>IFERROR(VLOOKUP(B68,'[1]MPG Payment'!$C$3:$F$915,4,0),0)</f>
        <v>0</v>
      </c>
      <c r="E68" s="55">
        <v>10030</v>
      </c>
      <c r="F68" s="23">
        <f>IFERROR(VLOOKUP(B68,'[1]Farmer Payment Calc'!$E$2:$J$5780,6,0),0)</f>
        <v>0</v>
      </c>
    </row>
    <row r="69" spans="1:6" x14ac:dyDescent="0.25">
      <c r="A69" t="str">
        <f t="shared" si="1"/>
        <v>200600090002</v>
      </c>
      <c r="B69" s="25">
        <v>20060009</v>
      </c>
      <c r="C69" s="36" t="s">
        <v>1020</v>
      </c>
      <c r="D69" s="25">
        <f>IFERROR(VLOOKUP(B69,'[1]MPG Payment'!$C$3:$F$915,4,0),0)</f>
        <v>0</v>
      </c>
      <c r="E69" s="55">
        <v>413</v>
      </c>
      <c r="F69" s="23">
        <f>IFERROR(VLOOKUP(B69,'[1]Farmer Payment Calc'!$E$2:$J$5780,6,0),0)</f>
        <v>0</v>
      </c>
    </row>
    <row r="70" spans="1:6" x14ac:dyDescent="0.25">
      <c r="A70" t="str">
        <f t="shared" si="1"/>
        <v>101401450002</v>
      </c>
      <c r="B70" s="25">
        <v>10140145</v>
      </c>
      <c r="C70" s="36" t="s">
        <v>1020</v>
      </c>
      <c r="D70" s="25">
        <f>IFERROR(VLOOKUP(B70,'[1]MPG Payment'!$C$3:$F$915,4,0),0)</f>
        <v>0</v>
      </c>
      <c r="E70" s="55">
        <v>3304</v>
      </c>
      <c r="F70" s="23">
        <f>IFERROR(VLOOKUP(B70,'[1]Farmer Payment Calc'!$E$2:$J$5780,6,0),0)</f>
        <v>0</v>
      </c>
    </row>
    <row r="71" spans="1:6" x14ac:dyDescent="0.25">
      <c r="A71" t="str">
        <f t="shared" si="1"/>
        <v>200100120002</v>
      </c>
      <c r="B71" s="25">
        <v>20010012</v>
      </c>
      <c r="C71" s="36" t="s">
        <v>1020</v>
      </c>
      <c r="D71" s="25">
        <f>IFERROR(VLOOKUP(B71,'[1]MPG Payment'!$C$3:$F$915,4,0),0)</f>
        <v>0</v>
      </c>
      <c r="E71" s="55">
        <v>82.6</v>
      </c>
      <c r="F71" s="23">
        <f>IFERROR(VLOOKUP(B71,'[1]Farmer Payment Calc'!$E$2:$J$5780,6,0),0)</f>
        <v>0</v>
      </c>
    </row>
    <row r="72" spans="1:6" x14ac:dyDescent="0.25">
      <c r="A72" t="str">
        <f t="shared" si="1"/>
        <v>100801060002</v>
      </c>
      <c r="B72" s="25">
        <v>10080106</v>
      </c>
      <c r="C72" s="36" t="s">
        <v>1020</v>
      </c>
      <c r="D72" s="25">
        <f>IFERROR(VLOOKUP(B72,'[1]MPG Payment'!$C$3:$F$915,4,0),0)</f>
        <v>0</v>
      </c>
      <c r="E72" s="55">
        <v>51.92</v>
      </c>
      <c r="F72" s="23">
        <f>IFERROR(VLOOKUP(B72,'[1]Farmer Payment Calc'!$E$2:$J$5780,6,0),0)</f>
        <v>0</v>
      </c>
    </row>
    <row r="73" spans="1:6" x14ac:dyDescent="0.25">
      <c r="A73" t="str">
        <f t="shared" si="1"/>
        <v>100801060002</v>
      </c>
      <c r="B73" s="25">
        <v>10080106</v>
      </c>
      <c r="C73" s="36" t="s">
        <v>1020</v>
      </c>
      <c r="D73" s="25">
        <f>IFERROR(VLOOKUP(B73,'[1]MPG Payment'!$C$3:$F$915,4,0),0)</f>
        <v>0</v>
      </c>
      <c r="E73" s="55">
        <v>51.92</v>
      </c>
      <c r="F73" s="23">
        <f>IFERROR(VLOOKUP(B73,'[1]Farmer Payment Calc'!$E$2:$J$5780,6,0),0)</f>
        <v>0</v>
      </c>
    </row>
    <row r="74" spans="1:6" x14ac:dyDescent="0.25">
      <c r="A74" t="str">
        <f t="shared" si="1"/>
        <v>100801060002</v>
      </c>
      <c r="B74" s="25">
        <v>10080106</v>
      </c>
      <c r="C74" s="36" t="s">
        <v>1020</v>
      </c>
      <c r="D74" s="25">
        <f>IFERROR(VLOOKUP(B74,'[1]MPG Payment'!$C$3:$F$915,4,0),0)</f>
        <v>0</v>
      </c>
      <c r="E74" s="55">
        <v>99.12</v>
      </c>
      <c r="F74" s="23">
        <f>IFERROR(VLOOKUP(B74,'[1]Farmer Payment Calc'!$E$2:$J$5780,6,0),0)</f>
        <v>0</v>
      </c>
    </row>
    <row r="75" spans="1:6" x14ac:dyDescent="0.25">
      <c r="A75" t="str">
        <f t="shared" si="1"/>
        <v>100801060002</v>
      </c>
      <c r="B75" s="25">
        <v>10080106</v>
      </c>
      <c r="C75" s="36" t="s">
        <v>1020</v>
      </c>
      <c r="D75" s="25">
        <f>IFERROR(VLOOKUP(B75,'[1]MPG Payment'!$C$3:$F$915,4,0),0)</f>
        <v>0</v>
      </c>
      <c r="E75" s="55">
        <v>82.6</v>
      </c>
      <c r="F75" s="23">
        <f>IFERROR(VLOOKUP(B75,'[1]Farmer Payment Calc'!$E$2:$J$5780,6,0),0)</f>
        <v>0</v>
      </c>
    </row>
    <row r="76" spans="1:6" x14ac:dyDescent="0.25">
      <c r="A76" t="str">
        <f t="shared" si="1"/>
        <v>101200650002</v>
      </c>
      <c r="B76" s="25">
        <v>10120065</v>
      </c>
      <c r="C76" s="36" t="s">
        <v>1020</v>
      </c>
      <c r="D76" s="25">
        <f>IFERROR(VLOOKUP(B76,'[1]MPG Payment'!$C$3:$F$915,4,0),0)</f>
        <v>0</v>
      </c>
      <c r="E76" s="55">
        <v>2454.4</v>
      </c>
      <c r="F76" s="23">
        <f>IFERROR(VLOOKUP(B76,'[1]Farmer Payment Calc'!$E$2:$J$5780,6,0),0)</f>
        <v>0</v>
      </c>
    </row>
    <row r="77" spans="1:6" x14ac:dyDescent="0.25">
      <c r="A77" t="str">
        <f t="shared" si="1"/>
        <v>101300130002</v>
      </c>
      <c r="B77" s="25">
        <v>10130013</v>
      </c>
      <c r="C77" s="36" t="s">
        <v>1020</v>
      </c>
      <c r="D77" s="25">
        <f>IFERROR(VLOOKUP(B77,'[1]MPG Payment'!$C$3:$F$915,4,0),0)</f>
        <v>0</v>
      </c>
      <c r="E77" s="55">
        <v>82.6</v>
      </c>
      <c r="F77" s="23">
        <f>IFERROR(VLOOKUP(B77,'[1]Farmer Payment Calc'!$E$2:$J$5780,6,0),0)</f>
        <v>0</v>
      </c>
    </row>
    <row r="78" spans="1:6" x14ac:dyDescent="0.25">
      <c r="A78" t="str">
        <f t="shared" si="1"/>
        <v>101300130002</v>
      </c>
      <c r="B78" s="25">
        <v>10130013</v>
      </c>
      <c r="C78" s="36" t="s">
        <v>1020</v>
      </c>
      <c r="D78" s="25">
        <f>IFERROR(VLOOKUP(B78,'[1]MPG Payment'!$C$3:$F$915,4,0),0)</f>
        <v>0</v>
      </c>
      <c r="E78" s="55">
        <v>82.6</v>
      </c>
      <c r="F78" s="23">
        <f>IFERROR(VLOOKUP(B78,'[1]Farmer Payment Calc'!$E$2:$J$5780,6,0),0)</f>
        <v>0</v>
      </c>
    </row>
    <row r="79" spans="1:6" x14ac:dyDescent="0.25">
      <c r="A79" t="str">
        <f t="shared" si="1"/>
        <v>101300130002</v>
      </c>
      <c r="B79" s="25">
        <v>10130013</v>
      </c>
      <c r="C79" s="36" t="s">
        <v>1020</v>
      </c>
      <c r="D79" s="25">
        <f>IFERROR(VLOOKUP(B79,'[1]MPG Payment'!$C$3:$F$915,4,0),0)</f>
        <v>0</v>
      </c>
      <c r="E79" s="55">
        <v>99.12</v>
      </c>
      <c r="F79" s="23">
        <f>IFERROR(VLOOKUP(B79,'[1]Farmer Payment Calc'!$E$2:$J$5780,6,0),0)</f>
        <v>0</v>
      </c>
    </row>
    <row r="80" spans="1:6" x14ac:dyDescent="0.25">
      <c r="A80" t="str">
        <f t="shared" si="1"/>
        <v>200100170002</v>
      </c>
      <c r="B80" s="25">
        <v>20010017</v>
      </c>
      <c r="C80" s="36" t="s">
        <v>1020</v>
      </c>
      <c r="D80" s="25">
        <f>IFERROR(VLOOKUP(B80,'[1]MPG Payment'!$C$3:$F$915,4,0),0)</f>
        <v>0</v>
      </c>
      <c r="E80" s="55">
        <v>10030</v>
      </c>
      <c r="F80" s="23">
        <f>IFERROR(VLOOKUP(B80,'[1]Farmer Payment Calc'!$E$2:$J$5780,6,0),0)</f>
        <v>0</v>
      </c>
    </row>
    <row r="81" spans="1:6" x14ac:dyDescent="0.25">
      <c r="A81" t="str">
        <f t="shared" si="1"/>
        <v>200100420002</v>
      </c>
      <c r="B81" s="25">
        <v>20010042</v>
      </c>
      <c r="C81" s="36" t="s">
        <v>1020</v>
      </c>
      <c r="D81" s="25">
        <f>IFERROR(VLOOKUP(B81,'[1]MPG Payment'!$C$3:$F$915,4,0),0)</f>
        <v>0</v>
      </c>
      <c r="E81" s="55">
        <v>10030</v>
      </c>
      <c r="F81" s="23">
        <f>IFERROR(VLOOKUP(B81,'[1]Farmer Payment Calc'!$E$2:$J$5780,6,0),0)</f>
        <v>0</v>
      </c>
    </row>
    <row r="82" spans="1:6" x14ac:dyDescent="0.25">
      <c r="A82" t="str">
        <f t="shared" si="1"/>
        <v>200100540002</v>
      </c>
      <c r="B82" s="25">
        <v>20010054</v>
      </c>
      <c r="C82" s="36" t="s">
        <v>1020</v>
      </c>
      <c r="D82" s="25">
        <f>IFERROR(VLOOKUP(B82,'[1]MPG Payment'!$C$3:$F$915,4,0),0)</f>
        <v>0</v>
      </c>
      <c r="E82" s="55">
        <v>908.6</v>
      </c>
      <c r="F82" s="23">
        <f>IFERROR(VLOOKUP(B82,'[1]Farmer Payment Calc'!$E$2:$J$5780,6,0),0)</f>
        <v>0</v>
      </c>
    </row>
    <row r="83" spans="1:6" x14ac:dyDescent="0.25">
      <c r="A83" t="str">
        <f t="shared" si="1"/>
        <v>200100540002</v>
      </c>
      <c r="B83" s="25">
        <v>20010054</v>
      </c>
      <c r="C83" s="36" t="s">
        <v>1020</v>
      </c>
      <c r="D83" s="25">
        <f>IFERROR(VLOOKUP(B83,'[1]MPG Payment'!$C$3:$F$915,4,0),0)</f>
        <v>0</v>
      </c>
      <c r="E83" s="55">
        <v>82.6</v>
      </c>
      <c r="F83" s="23">
        <f>IFERROR(VLOOKUP(B83,'[1]Farmer Payment Calc'!$E$2:$J$5780,6,0),0)</f>
        <v>0</v>
      </c>
    </row>
    <row r="84" spans="1:6" x14ac:dyDescent="0.25">
      <c r="A84" t="str">
        <f t="shared" si="1"/>
        <v>200200030002</v>
      </c>
      <c r="B84" s="25">
        <v>20020003</v>
      </c>
      <c r="C84" s="36" t="s">
        <v>1020</v>
      </c>
      <c r="D84" s="25">
        <f>IFERROR(VLOOKUP(B84,'[1]MPG Payment'!$C$3:$F$915,4,0),0)</f>
        <v>0</v>
      </c>
      <c r="E84" s="55">
        <v>3304</v>
      </c>
      <c r="F84" s="23">
        <f>IFERROR(VLOOKUP(B84,'[1]Farmer Payment Calc'!$E$2:$J$5780,6,0),0)</f>
        <v>0</v>
      </c>
    </row>
    <row r="85" spans="1:6" x14ac:dyDescent="0.25">
      <c r="A85" t="str">
        <f t="shared" si="1"/>
        <v>200100270002</v>
      </c>
      <c r="B85" s="25">
        <v>20010027</v>
      </c>
      <c r="C85" s="36" t="s">
        <v>1020</v>
      </c>
      <c r="D85" s="25">
        <f>IFERROR(VLOOKUP(B85,'[1]MPG Payment'!$C$3:$F$915,4,0),0)</f>
        <v>0</v>
      </c>
      <c r="E85" s="55">
        <v>3304</v>
      </c>
      <c r="F85" s="23">
        <f>IFERROR(VLOOKUP(B85,'[1]Farmer Payment Calc'!$E$2:$J$5780,6,0),0)</f>
        <v>0</v>
      </c>
    </row>
    <row r="86" spans="1:6" x14ac:dyDescent="0.25">
      <c r="A86" t="str">
        <f t="shared" si="1"/>
        <v>200100230002</v>
      </c>
      <c r="B86" s="25">
        <v>20010023</v>
      </c>
      <c r="C86" s="36" t="s">
        <v>1020</v>
      </c>
      <c r="D86" s="25">
        <f>IFERROR(VLOOKUP(B86,'[1]MPG Payment'!$C$3:$F$915,4,0),0)</f>
        <v>0</v>
      </c>
      <c r="E86" s="55">
        <v>3304</v>
      </c>
      <c r="F86" s="23">
        <f>IFERROR(VLOOKUP(B86,'[1]Farmer Payment Calc'!$E$2:$J$5780,6,0),0)</f>
        <v>0</v>
      </c>
    </row>
    <row r="87" spans="1:6" x14ac:dyDescent="0.25">
      <c r="A87" t="str">
        <f t="shared" si="1"/>
        <v>101100560002</v>
      </c>
      <c r="B87" s="25">
        <v>10110056</v>
      </c>
      <c r="C87" s="36" t="s">
        <v>1020</v>
      </c>
      <c r="D87" s="25">
        <f>IFERROR(VLOOKUP(B87,'[1]MPG Payment'!$C$3:$F$915,4,0),0)</f>
        <v>0</v>
      </c>
      <c r="E87" s="55">
        <v>920.4</v>
      </c>
      <c r="F87" s="23">
        <f>IFERROR(VLOOKUP(B87,'[1]Farmer Payment Calc'!$E$2:$J$5780,6,0),0)</f>
        <v>0</v>
      </c>
    </row>
    <row r="88" spans="1:6" x14ac:dyDescent="0.25">
      <c r="A88" t="str">
        <f t="shared" si="1"/>
        <v>101100170002</v>
      </c>
      <c r="B88" s="25">
        <v>10110017</v>
      </c>
      <c r="C88" s="36" t="s">
        <v>1020</v>
      </c>
      <c r="D88" s="25">
        <f>IFERROR(VLOOKUP(B88,'[1]MPG Payment'!$C$3:$F$915,4,0),0)</f>
        <v>0</v>
      </c>
      <c r="E88" s="55">
        <v>413</v>
      </c>
      <c r="F88" s="23">
        <f>IFERROR(VLOOKUP(B88,'[1]Farmer Payment Calc'!$E$2:$J$5780,6,0),0)</f>
        <v>0</v>
      </c>
    </row>
    <row r="89" spans="1:6" x14ac:dyDescent="0.25">
      <c r="A89" t="str">
        <f t="shared" si="1"/>
        <v>200100270002</v>
      </c>
      <c r="B89" s="25">
        <v>20010027</v>
      </c>
      <c r="C89" s="36" t="s">
        <v>1020</v>
      </c>
      <c r="D89" s="25">
        <f>IFERROR(VLOOKUP(B89,'[1]MPG Payment'!$C$3:$F$915,4,0),0)</f>
        <v>0</v>
      </c>
      <c r="E89" s="55">
        <v>2454.4</v>
      </c>
      <c r="F89" s="23">
        <f>IFERROR(VLOOKUP(B89,'[1]Farmer Payment Calc'!$E$2:$J$5780,6,0),0)</f>
        <v>0</v>
      </c>
    </row>
    <row r="90" spans="1:6" x14ac:dyDescent="0.25">
      <c r="A90" t="str">
        <f t="shared" si="1"/>
        <v>200900140002</v>
      </c>
      <c r="B90" s="25">
        <v>20090014</v>
      </c>
      <c r="C90" s="36" t="s">
        <v>1020</v>
      </c>
      <c r="D90" s="25">
        <f>IFERROR(VLOOKUP(B90,'[1]MPG Payment'!$C$3:$F$915,4,0),0)</f>
        <v>0</v>
      </c>
      <c r="E90" s="55">
        <v>566.4</v>
      </c>
      <c r="F90" s="23">
        <f>IFERROR(VLOOKUP(B90,'[1]Farmer Payment Calc'!$E$2:$J$5780,6,0),0)</f>
        <v>0</v>
      </c>
    </row>
    <row r="91" spans="1:6" x14ac:dyDescent="0.25">
      <c r="A91" t="str">
        <f t="shared" si="1"/>
        <v>200400060002</v>
      </c>
      <c r="B91" s="25">
        <v>20040006</v>
      </c>
      <c r="C91" s="36" t="s">
        <v>1020</v>
      </c>
      <c r="D91" s="25">
        <f>IFERROR(VLOOKUP(B91,'[1]MPG Payment'!$C$3:$F$915,4,0),0)</f>
        <v>0</v>
      </c>
      <c r="E91" s="55">
        <v>9440</v>
      </c>
      <c r="F91" s="23">
        <f>IFERROR(VLOOKUP(B91,'[1]Farmer Payment Calc'!$E$2:$J$5780,6,0),0)</f>
        <v>0</v>
      </c>
    </row>
    <row r="92" spans="1:6" x14ac:dyDescent="0.25">
      <c r="A92" t="str">
        <f t="shared" si="1"/>
        <v>200600040002</v>
      </c>
      <c r="B92" s="25">
        <v>20060004</v>
      </c>
      <c r="C92" s="36" t="s">
        <v>1020</v>
      </c>
      <c r="D92" s="25">
        <f>IFERROR(VLOOKUP(B92,'[1]MPG Payment'!$C$3:$F$915,4,0),0)</f>
        <v>0</v>
      </c>
      <c r="E92" s="55">
        <v>2065</v>
      </c>
      <c r="F92" s="23">
        <f>IFERROR(VLOOKUP(B92,'[1]Farmer Payment Calc'!$E$2:$J$5780,6,0),0)</f>
        <v>0</v>
      </c>
    </row>
    <row r="93" spans="1:6" x14ac:dyDescent="0.25">
      <c r="A93" t="str">
        <f t="shared" si="1"/>
        <v>100300620002</v>
      </c>
      <c r="B93" s="25">
        <v>10030062</v>
      </c>
      <c r="C93" s="36" t="s">
        <v>1020</v>
      </c>
      <c r="D93" s="25">
        <f>IFERROR(VLOOKUP(B93,'[1]MPG Payment'!$C$3:$F$915,4,0),0)</f>
        <v>0</v>
      </c>
      <c r="E93" s="55">
        <v>2454.4</v>
      </c>
      <c r="F93" s="23">
        <f>IFERROR(VLOOKUP(B93,'[1]Farmer Payment Calc'!$E$2:$J$5780,6,0),0)</f>
        <v>0</v>
      </c>
    </row>
    <row r="94" spans="1:6" x14ac:dyDescent="0.25">
      <c r="A94" t="str">
        <f t="shared" si="1"/>
        <v>200900140002</v>
      </c>
      <c r="B94" s="25">
        <v>20090014</v>
      </c>
      <c r="C94" s="36" t="s">
        <v>1020</v>
      </c>
      <c r="D94" s="25">
        <f>IFERROR(VLOOKUP(B94,'[1]MPG Payment'!$C$3:$F$915,4,0),0)</f>
        <v>0</v>
      </c>
      <c r="E94" s="55">
        <v>1493.88</v>
      </c>
      <c r="F94" s="23">
        <f>IFERROR(VLOOKUP(B94,'[1]Farmer Payment Calc'!$E$2:$J$5780,6,0),0)</f>
        <v>0</v>
      </c>
    </row>
    <row r="95" spans="1:6" x14ac:dyDescent="0.25">
      <c r="A95" t="str">
        <f t="shared" si="1"/>
        <v>200200140002</v>
      </c>
      <c r="B95" s="25">
        <v>20020014</v>
      </c>
      <c r="C95" s="36" t="s">
        <v>1020</v>
      </c>
      <c r="D95" s="25">
        <f>IFERROR(VLOOKUP(B95,'[1]MPG Payment'!$C$3:$F$915,4,0),0)</f>
        <v>0</v>
      </c>
      <c r="E95" s="55">
        <v>3304</v>
      </c>
      <c r="F95" s="23">
        <f>IFERROR(VLOOKUP(B95,'[1]Farmer Payment Calc'!$E$2:$J$5780,6,0),0)</f>
        <v>0</v>
      </c>
    </row>
    <row r="96" spans="1:6" x14ac:dyDescent="0.25">
      <c r="A96" t="str">
        <f t="shared" si="1"/>
        <v>200400040002</v>
      </c>
      <c r="B96" s="25">
        <v>20040004</v>
      </c>
      <c r="C96" s="36" t="s">
        <v>1020</v>
      </c>
      <c r="D96" s="25">
        <f>IFERROR(VLOOKUP(B96,'[1]MPG Payment'!$C$3:$F$915,4,0),0)</f>
        <v>0</v>
      </c>
      <c r="E96" s="55">
        <v>99.12</v>
      </c>
      <c r="F96" s="23">
        <f>IFERROR(VLOOKUP(B96,'[1]Farmer Payment Calc'!$E$2:$J$5780,6,0),0)</f>
        <v>0</v>
      </c>
    </row>
    <row r="97" spans="1:6" x14ac:dyDescent="0.25">
      <c r="A97" t="str">
        <f t="shared" si="1"/>
        <v>200100040002</v>
      </c>
      <c r="B97" s="25">
        <v>20010004</v>
      </c>
      <c r="C97" s="36" t="s">
        <v>1020</v>
      </c>
      <c r="D97" s="25">
        <f>IFERROR(VLOOKUP(B97,'[1]MPG Payment'!$C$3:$F$915,4,0),0)</f>
        <v>0</v>
      </c>
      <c r="E97" s="55">
        <v>3304</v>
      </c>
      <c r="F97" s="23">
        <f>IFERROR(VLOOKUP(B97,'[1]Farmer Payment Calc'!$E$2:$J$5780,6,0),0)</f>
        <v>0</v>
      </c>
    </row>
    <row r="98" spans="1:6" x14ac:dyDescent="0.25">
      <c r="A98" t="str">
        <f t="shared" si="1"/>
        <v>200100230002</v>
      </c>
      <c r="B98" s="25">
        <v>20010023</v>
      </c>
      <c r="C98" s="36" t="s">
        <v>1020</v>
      </c>
      <c r="D98" s="25">
        <f>IFERROR(VLOOKUP(B98,'[1]MPG Payment'!$C$3:$F$915,4,0),0)</f>
        <v>0</v>
      </c>
      <c r="E98" s="55">
        <v>9440</v>
      </c>
      <c r="F98" s="23">
        <f>IFERROR(VLOOKUP(B98,'[1]Farmer Payment Calc'!$E$2:$J$5780,6,0),0)</f>
        <v>0</v>
      </c>
    </row>
    <row r="99" spans="1:6" x14ac:dyDescent="0.25">
      <c r="A99" t="str">
        <f t="shared" si="1"/>
        <v>200800180002</v>
      </c>
      <c r="B99" s="25">
        <v>20080018</v>
      </c>
      <c r="C99" s="36" t="s">
        <v>1020</v>
      </c>
      <c r="D99" s="25">
        <f>IFERROR(VLOOKUP(B99,'[1]MPG Payment'!$C$3:$F$915,4,0),0)</f>
        <v>0</v>
      </c>
      <c r="E99" s="55">
        <v>9440</v>
      </c>
      <c r="F99" s="23">
        <f>IFERROR(VLOOKUP(B99,'[1]Farmer Payment Calc'!$E$2:$J$5780,6,0),0)</f>
        <v>0</v>
      </c>
    </row>
    <row r="100" spans="1:6" x14ac:dyDescent="0.25">
      <c r="A100" t="str">
        <f t="shared" si="1"/>
        <v>200100510002</v>
      </c>
      <c r="B100" s="25">
        <v>20010051</v>
      </c>
      <c r="C100" s="36" t="s">
        <v>1020</v>
      </c>
      <c r="D100" s="25">
        <f>IFERROR(VLOOKUP(B100,'[1]MPG Payment'!$C$3:$F$915,4,0),0)</f>
        <v>0</v>
      </c>
      <c r="E100" s="55">
        <v>9440</v>
      </c>
      <c r="F100" s="23">
        <f>IFERROR(VLOOKUP(B100,'[1]Farmer Payment Calc'!$E$2:$J$5780,6,0),0)</f>
        <v>0</v>
      </c>
    </row>
    <row r="101" spans="1:6" x14ac:dyDescent="0.25">
      <c r="A101" t="str">
        <f t="shared" si="1"/>
        <v>100300670002</v>
      </c>
      <c r="B101" s="25">
        <v>10030067</v>
      </c>
      <c r="C101" s="36" t="s">
        <v>1020</v>
      </c>
      <c r="D101" s="25">
        <f>IFERROR(VLOOKUP(B101,'[1]MPG Payment'!$C$3:$F$915,4,0),0)</f>
        <v>0</v>
      </c>
      <c r="E101" s="55">
        <v>413</v>
      </c>
      <c r="F101" s="23">
        <f>IFERROR(VLOOKUP(B101,'[1]Farmer Payment Calc'!$E$2:$J$5780,6,0),0)</f>
        <v>0</v>
      </c>
    </row>
    <row r="102" spans="1:6" x14ac:dyDescent="0.25">
      <c r="A102" t="str">
        <f t="shared" si="1"/>
        <v>100800700002</v>
      </c>
      <c r="B102" s="25">
        <v>10080070</v>
      </c>
      <c r="C102" s="36" t="s">
        <v>1020</v>
      </c>
      <c r="D102" s="25">
        <f>IFERROR(VLOOKUP(B102,'[1]MPG Payment'!$C$3:$F$915,4,0),0)</f>
        <v>0</v>
      </c>
      <c r="E102" s="55">
        <v>1062</v>
      </c>
      <c r="F102" s="23">
        <f>IFERROR(VLOOKUP(B102,'[1]Farmer Payment Calc'!$E$2:$J$5780,6,0),0)</f>
        <v>0</v>
      </c>
    </row>
    <row r="103" spans="1:6" x14ac:dyDescent="0.25">
      <c r="A103" t="str">
        <f t="shared" si="1"/>
        <v>100800700002</v>
      </c>
      <c r="B103" s="25">
        <v>10080070</v>
      </c>
      <c r="C103" s="36" t="s">
        <v>1020</v>
      </c>
      <c r="D103" s="25">
        <f>IFERROR(VLOOKUP(B103,'[1]MPG Payment'!$C$3:$F$915,4,0),0)</f>
        <v>0</v>
      </c>
      <c r="E103" s="55">
        <v>2065</v>
      </c>
      <c r="F103" s="23">
        <f>IFERROR(VLOOKUP(B103,'[1]Farmer Payment Calc'!$E$2:$J$5780,6,0),0)</f>
        <v>0</v>
      </c>
    </row>
    <row r="104" spans="1:6" x14ac:dyDescent="0.25">
      <c r="A104" t="str">
        <f t="shared" si="1"/>
        <v>101200820002</v>
      </c>
      <c r="B104" s="25">
        <v>10120082</v>
      </c>
      <c r="C104" s="36" t="s">
        <v>1020</v>
      </c>
      <c r="D104" s="25">
        <f>IFERROR(VLOOKUP(B104,'[1]MPG Payment'!$C$3:$F$915,4,0),0)</f>
        <v>0</v>
      </c>
      <c r="E104" s="23">
        <v>424.8</v>
      </c>
      <c r="F104" s="23">
        <f>IFERROR(VLOOKUP(B104,'[1]Farmer Payment Calc'!$E$2:$J$5780,6,0),0)</f>
        <v>0</v>
      </c>
    </row>
    <row r="105" spans="1:6" x14ac:dyDescent="0.25">
      <c r="A105" t="str">
        <f t="shared" si="1"/>
        <v>100700490002</v>
      </c>
      <c r="B105" s="25">
        <v>10070049</v>
      </c>
      <c r="C105" s="36" t="s">
        <v>1020</v>
      </c>
      <c r="D105" s="25">
        <f>IFERROR(VLOOKUP(B105,'[1]MPG Payment'!$C$3:$F$915,4,0),0)</f>
        <v>0</v>
      </c>
      <c r="E105" s="55">
        <v>413</v>
      </c>
      <c r="F105" s="23">
        <f>IFERROR(VLOOKUP(B105,'[1]Farmer Payment Calc'!$E$2:$J$5780,6,0),0)</f>
        <v>0</v>
      </c>
    </row>
    <row r="106" spans="1:6" x14ac:dyDescent="0.25">
      <c r="A106" t="str">
        <f t="shared" si="1"/>
        <v>100200280002</v>
      </c>
      <c r="B106" s="25">
        <v>10020028</v>
      </c>
      <c r="C106" s="36" t="s">
        <v>1020</v>
      </c>
      <c r="D106" s="25">
        <f>IFERROR(VLOOKUP(B106,'[1]MPG Payment'!$C$3:$F$915,4,0),0)</f>
        <v>0</v>
      </c>
      <c r="E106" s="55">
        <v>51.92</v>
      </c>
      <c r="F106" s="23">
        <f>IFERROR(VLOOKUP(B106,'[1]Farmer Payment Calc'!$E$2:$J$5780,6,0),0)</f>
        <v>0</v>
      </c>
    </row>
    <row r="107" spans="1:6" x14ac:dyDescent="0.25">
      <c r="A107" t="str">
        <f t="shared" si="1"/>
        <v>101401450002</v>
      </c>
      <c r="B107" s="25">
        <v>10140145</v>
      </c>
      <c r="C107" s="36" t="s">
        <v>1020</v>
      </c>
      <c r="D107" s="25">
        <f>IFERROR(VLOOKUP(B107,'[1]MPG Payment'!$C$3:$F$915,4,0),0)</f>
        <v>0</v>
      </c>
      <c r="E107" s="55">
        <v>920.4</v>
      </c>
      <c r="F107" s="23">
        <f>IFERROR(VLOOKUP(B107,'[1]Farmer Payment Calc'!$E$2:$J$5780,6,0),0)</f>
        <v>0</v>
      </c>
    </row>
    <row r="108" spans="1:6" x14ac:dyDescent="0.25">
      <c r="A108" t="str">
        <f t="shared" si="1"/>
        <v>200100030002</v>
      </c>
      <c r="B108" s="25">
        <v>20010003</v>
      </c>
      <c r="C108" s="36" t="s">
        <v>1020</v>
      </c>
      <c r="D108" s="25">
        <f>IFERROR(VLOOKUP(B108,'[1]MPG Payment'!$C$3:$F$915,4,0),0)</f>
        <v>0</v>
      </c>
      <c r="E108" s="55">
        <v>1493.88</v>
      </c>
      <c r="F108" s="23">
        <f>IFERROR(VLOOKUP(B108,'[1]Farmer Payment Calc'!$E$2:$J$5780,6,0),0)</f>
        <v>0</v>
      </c>
    </row>
    <row r="109" spans="1:6" x14ac:dyDescent="0.25">
      <c r="A109" t="str">
        <f t="shared" si="1"/>
        <v>200300050002</v>
      </c>
      <c r="B109" s="25">
        <v>20030005</v>
      </c>
      <c r="C109" s="36" t="s">
        <v>1020</v>
      </c>
      <c r="D109" s="25">
        <f>IFERROR(VLOOKUP(B109,'[1]MPG Payment'!$C$3:$F$915,4,0),0)</f>
        <v>0</v>
      </c>
      <c r="E109" s="55">
        <v>1062</v>
      </c>
      <c r="F109" s="23">
        <f>IFERROR(VLOOKUP(B109,'[1]Farmer Payment Calc'!$E$2:$J$5780,6,0),0)</f>
        <v>0</v>
      </c>
    </row>
    <row r="110" spans="1:6" x14ac:dyDescent="0.25">
      <c r="A110" t="str">
        <f t="shared" si="1"/>
        <v>200300050002</v>
      </c>
      <c r="B110" s="25">
        <v>20030005</v>
      </c>
      <c r="C110" s="36" t="s">
        <v>1020</v>
      </c>
      <c r="D110" s="25">
        <f>IFERROR(VLOOKUP(B110,'[1]MPG Payment'!$C$3:$F$915,4,0),0)</f>
        <v>0</v>
      </c>
      <c r="E110" s="55">
        <v>51.92</v>
      </c>
      <c r="F110" s="23">
        <f>IFERROR(VLOOKUP(B110,'[1]Farmer Payment Calc'!$E$2:$J$5780,6,0),0)</f>
        <v>0</v>
      </c>
    </row>
    <row r="111" spans="1:6" x14ac:dyDescent="0.25">
      <c r="A111" t="str">
        <f t="shared" si="1"/>
        <v>200900120002</v>
      </c>
      <c r="B111" s="25">
        <v>20090012</v>
      </c>
      <c r="C111" s="36" t="s">
        <v>1020</v>
      </c>
      <c r="D111" s="25">
        <f>IFERROR(VLOOKUP(B111,'[1]MPG Payment'!$C$3:$F$915,4,0),0)</f>
        <v>0</v>
      </c>
      <c r="E111" s="55">
        <v>82.6</v>
      </c>
      <c r="F111" s="23">
        <f>IFERROR(VLOOKUP(B111,'[1]Farmer Payment Calc'!$E$2:$J$5780,6,0),0)</f>
        <v>0</v>
      </c>
    </row>
    <row r="112" spans="1:6" x14ac:dyDescent="0.25">
      <c r="A112" t="str">
        <f t="shared" si="1"/>
        <v>200300050002</v>
      </c>
      <c r="B112" s="25">
        <v>20030005</v>
      </c>
      <c r="C112" s="36" t="s">
        <v>1020</v>
      </c>
      <c r="D112" s="25">
        <f>IFERROR(VLOOKUP(B112,'[1]MPG Payment'!$C$3:$F$915,4,0),0)</f>
        <v>0</v>
      </c>
      <c r="E112" s="55">
        <v>82.6</v>
      </c>
      <c r="F112" s="23">
        <f>IFERROR(VLOOKUP(B112,'[1]Farmer Payment Calc'!$E$2:$J$5780,6,0),0)</f>
        <v>0</v>
      </c>
    </row>
    <row r="113" spans="1:6" x14ac:dyDescent="0.25">
      <c r="A113" t="str">
        <f t="shared" si="1"/>
        <v>101301080002</v>
      </c>
      <c r="B113" s="25">
        <v>10130108</v>
      </c>
      <c r="C113" s="36" t="s">
        <v>1020</v>
      </c>
      <c r="D113" s="25">
        <f>IFERROR(VLOOKUP(B113,'[1]MPG Payment'!$C$3:$F$915,4,0),0)</f>
        <v>0</v>
      </c>
      <c r="E113" s="55">
        <v>147.5</v>
      </c>
      <c r="F113" s="23">
        <f>IFERROR(VLOOKUP(B113,'[1]Farmer Payment Calc'!$E$2:$J$5780,6,0),0)</f>
        <v>0</v>
      </c>
    </row>
    <row r="114" spans="1:6" x14ac:dyDescent="0.25">
      <c r="A114" t="str">
        <f t="shared" si="1"/>
        <v>101301080002</v>
      </c>
      <c r="B114" s="25">
        <v>10130108</v>
      </c>
      <c r="C114" s="36" t="s">
        <v>1020</v>
      </c>
      <c r="D114" s="25">
        <f>IFERROR(VLOOKUP(B114,'[1]MPG Payment'!$C$3:$F$915,4,0),0)</f>
        <v>0</v>
      </c>
      <c r="E114" s="55">
        <v>147.5</v>
      </c>
      <c r="F114" s="23">
        <f>IFERROR(VLOOKUP(B114,'[1]Farmer Payment Calc'!$E$2:$J$5780,6,0),0)</f>
        <v>0</v>
      </c>
    </row>
    <row r="115" spans="1:6" x14ac:dyDescent="0.25">
      <c r="A115" t="str">
        <f t="shared" si="1"/>
        <v>101301080002</v>
      </c>
      <c r="B115" s="25">
        <v>10130108</v>
      </c>
      <c r="C115" s="36" t="s">
        <v>1020</v>
      </c>
      <c r="D115" s="25">
        <f>IFERROR(VLOOKUP(B115,'[1]MPG Payment'!$C$3:$F$915,4,0),0)</f>
        <v>0</v>
      </c>
      <c r="E115" s="55">
        <v>82.6</v>
      </c>
      <c r="F115" s="23">
        <f>IFERROR(VLOOKUP(B115,'[1]Farmer Payment Calc'!$E$2:$J$5780,6,0),0)</f>
        <v>0</v>
      </c>
    </row>
    <row r="116" spans="1:6" x14ac:dyDescent="0.25">
      <c r="A116" t="str">
        <f t="shared" si="1"/>
        <v>101301080002</v>
      </c>
      <c r="B116" s="25">
        <v>10130108</v>
      </c>
      <c r="C116" s="36" t="s">
        <v>1020</v>
      </c>
      <c r="D116" s="25">
        <f>IFERROR(VLOOKUP(B116,'[1]MPG Payment'!$C$3:$F$915,4,0),0)</f>
        <v>0</v>
      </c>
      <c r="E116" s="55">
        <v>424.8</v>
      </c>
      <c r="F116" s="23">
        <f>IFERROR(VLOOKUP(B116,'[1]Farmer Payment Calc'!$E$2:$J$5780,6,0),0)</f>
        <v>0</v>
      </c>
    </row>
    <row r="117" spans="1:6" x14ac:dyDescent="0.25">
      <c r="A117" t="str">
        <f t="shared" si="1"/>
        <v>101301080002</v>
      </c>
      <c r="B117" s="25">
        <v>10130108</v>
      </c>
      <c r="C117" s="36" t="s">
        <v>1020</v>
      </c>
      <c r="D117" s="25">
        <f>IFERROR(VLOOKUP(B117,'[1]MPG Payment'!$C$3:$F$915,4,0),0)</f>
        <v>0</v>
      </c>
      <c r="E117" s="55">
        <v>973.5</v>
      </c>
      <c r="F117" s="23">
        <f>IFERROR(VLOOKUP(B117,'[1]Farmer Payment Calc'!$E$2:$J$5780,6,0),0)</f>
        <v>0</v>
      </c>
    </row>
    <row r="118" spans="1:6" x14ac:dyDescent="0.25">
      <c r="A118" t="str">
        <f t="shared" si="1"/>
        <v>100900040002</v>
      </c>
      <c r="B118" s="25">
        <v>10090004</v>
      </c>
      <c r="C118" s="36" t="s">
        <v>1020</v>
      </c>
      <c r="D118" s="25">
        <f>IFERROR(VLOOKUP(B118,'[1]MPG Payment'!$C$3:$F$915,4,0),0)</f>
        <v>0</v>
      </c>
      <c r="E118" s="55">
        <v>920.4</v>
      </c>
      <c r="F118" s="23">
        <f>IFERROR(VLOOKUP(B118,'[1]Farmer Payment Calc'!$E$2:$J$5780,6,0),0)</f>
        <v>0</v>
      </c>
    </row>
    <row r="119" spans="1:6" x14ac:dyDescent="0.25">
      <c r="A119" t="str">
        <f t="shared" si="1"/>
        <v>100900570002</v>
      </c>
      <c r="B119" s="25">
        <v>10090057</v>
      </c>
      <c r="C119" s="36" t="s">
        <v>1020</v>
      </c>
      <c r="D119" s="25">
        <f>IFERROR(VLOOKUP(B119,'[1]MPG Payment'!$C$3:$F$915,4,0),0)</f>
        <v>0</v>
      </c>
      <c r="E119" s="55">
        <v>413</v>
      </c>
      <c r="F119" s="23">
        <f>IFERROR(VLOOKUP(B119,'[1]Farmer Payment Calc'!$E$2:$J$5780,6,0),0)</f>
        <v>0</v>
      </c>
    </row>
    <row r="120" spans="1:6" x14ac:dyDescent="0.25">
      <c r="A120" t="str">
        <f t="shared" si="1"/>
        <v>100700490002</v>
      </c>
      <c r="B120" s="25">
        <v>10070049</v>
      </c>
      <c r="C120" s="36" t="s">
        <v>1020</v>
      </c>
      <c r="D120" s="25">
        <f>IFERROR(VLOOKUP(B120,'[1]MPG Payment'!$C$3:$F$915,4,0),0)</f>
        <v>0</v>
      </c>
      <c r="E120" s="55">
        <v>413</v>
      </c>
      <c r="F120" s="23">
        <f>IFERROR(VLOOKUP(B120,'[1]Farmer Payment Calc'!$E$2:$J$5780,6,0),0)</f>
        <v>0</v>
      </c>
    </row>
    <row r="121" spans="1:6" x14ac:dyDescent="0.25">
      <c r="A121" t="str">
        <f t="shared" si="1"/>
        <v>101400040002</v>
      </c>
      <c r="B121" s="25">
        <v>10140004</v>
      </c>
      <c r="C121" s="36" t="s">
        <v>1020</v>
      </c>
      <c r="D121" s="25">
        <f>IFERROR(VLOOKUP(B121,'[1]MPG Payment'!$C$3:$F$915,4,0),0)</f>
        <v>0</v>
      </c>
      <c r="E121" s="55">
        <v>99.12</v>
      </c>
      <c r="F121" s="23">
        <f>IFERROR(VLOOKUP(B121,'[1]Farmer Payment Calc'!$E$2:$J$5780,6,0),0)</f>
        <v>0</v>
      </c>
    </row>
    <row r="122" spans="1:6" x14ac:dyDescent="0.25">
      <c r="A122" t="str">
        <f t="shared" si="1"/>
        <v>105500030002</v>
      </c>
      <c r="B122" s="25">
        <v>10550003</v>
      </c>
      <c r="C122" s="36" t="s">
        <v>1020</v>
      </c>
      <c r="D122" s="25">
        <f>IFERROR(VLOOKUP(B122,'[1]MPG Payment'!$C$3:$F$915,4,0),0)</f>
        <v>0</v>
      </c>
      <c r="E122" s="55">
        <v>413</v>
      </c>
      <c r="F122" s="23">
        <f>IFERROR(VLOOKUP(B122,'[1]Farmer Payment Calc'!$E$2:$J$5780,6,0),0)</f>
        <v>0</v>
      </c>
    </row>
    <row r="123" spans="1:6" x14ac:dyDescent="0.25">
      <c r="A123" t="str">
        <f t="shared" si="1"/>
        <v>105500030002</v>
      </c>
      <c r="B123" s="25">
        <v>10550003</v>
      </c>
      <c r="C123" s="36" t="s">
        <v>1020</v>
      </c>
      <c r="D123" s="25">
        <f>IFERROR(VLOOKUP(B123,'[1]MPG Payment'!$C$3:$F$915,4,0),0)</f>
        <v>0</v>
      </c>
      <c r="E123" s="55">
        <v>1062</v>
      </c>
      <c r="F123" s="23">
        <f>IFERROR(VLOOKUP(B123,'[1]Farmer Payment Calc'!$E$2:$J$5780,6,0),0)</f>
        <v>0</v>
      </c>
    </row>
    <row r="124" spans="1:6" x14ac:dyDescent="0.25">
      <c r="A124" t="str">
        <f t="shared" si="1"/>
        <v>100900040002</v>
      </c>
      <c r="B124" s="25">
        <v>10090004</v>
      </c>
      <c r="C124" s="36" t="s">
        <v>1020</v>
      </c>
      <c r="D124" s="25">
        <f>IFERROR(VLOOKUP(B124,'[1]MPG Payment'!$C$3:$F$915,4,0),0)</f>
        <v>0</v>
      </c>
      <c r="E124" s="55">
        <v>413</v>
      </c>
      <c r="F124" s="23">
        <f>IFERROR(VLOOKUP(B124,'[1]Farmer Payment Calc'!$E$2:$J$5780,6,0),0)</f>
        <v>0</v>
      </c>
    </row>
    <row r="125" spans="1:6" x14ac:dyDescent="0.25">
      <c r="A125" t="str">
        <f t="shared" si="1"/>
        <v>200900140002</v>
      </c>
      <c r="B125" s="25">
        <v>20090014</v>
      </c>
      <c r="C125" s="36" t="s">
        <v>1020</v>
      </c>
      <c r="D125" s="25">
        <f>IFERROR(VLOOKUP(B125,'[1]MPG Payment'!$C$3:$F$915,4,0),0)</f>
        <v>0</v>
      </c>
      <c r="E125" s="55">
        <v>737.5</v>
      </c>
      <c r="F125" s="23">
        <f>IFERROR(VLOOKUP(B125,'[1]Farmer Payment Calc'!$E$2:$J$5780,6,0),0)</f>
        <v>0</v>
      </c>
    </row>
    <row r="126" spans="1:6" x14ac:dyDescent="0.25">
      <c r="A126" t="str">
        <f t="shared" si="1"/>
        <v>200200040002</v>
      </c>
      <c r="B126" s="25">
        <v>20020004</v>
      </c>
      <c r="C126" s="36" t="s">
        <v>1020</v>
      </c>
      <c r="D126" s="25">
        <f>IFERROR(VLOOKUP(B126,'[1]MPG Payment'!$C$3:$F$915,4,0),0)</f>
        <v>0</v>
      </c>
      <c r="E126" s="55">
        <v>9440</v>
      </c>
      <c r="F126" s="23">
        <f>IFERROR(VLOOKUP(B126,'[1]Farmer Payment Calc'!$E$2:$J$5780,6,0),0)</f>
        <v>0</v>
      </c>
    </row>
    <row r="127" spans="1:6" x14ac:dyDescent="0.25">
      <c r="A127" t="str">
        <f t="shared" si="1"/>
        <v>100300620002</v>
      </c>
      <c r="B127" s="25">
        <v>10030062</v>
      </c>
      <c r="C127" s="36" t="s">
        <v>1020</v>
      </c>
      <c r="D127" s="25">
        <f>IFERROR(VLOOKUP(B127,'[1]MPG Payment'!$C$3:$F$915,4,0),0)</f>
        <v>0</v>
      </c>
      <c r="E127" s="55">
        <v>99.12</v>
      </c>
      <c r="F127" s="23">
        <f>IFERROR(VLOOKUP(B127,'[1]Farmer Payment Calc'!$E$2:$J$5780,6,0),0)</f>
        <v>0</v>
      </c>
    </row>
    <row r="128" spans="1:6" x14ac:dyDescent="0.25">
      <c r="A128" t="str">
        <f t="shared" si="1"/>
        <v>100300620002</v>
      </c>
      <c r="B128" s="25">
        <v>10030062</v>
      </c>
      <c r="C128" s="36" t="s">
        <v>1020</v>
      </c>
      <c r="D128" s="25">
        <f>IFERROR(VLOOKUP(B128,'[1]MPG Payment'!$C$3:$F$915,4,0),0)</f>
        <v>0</v>
      </c>
      <c r="E128" s="55">
        <v>908.6</v>
      </c>
      <c r="F128" s="23">
        <f>IFERROR(VLOOKUP(B128,'[1]Farmer Payment Calc'!$E$2:$J$5780,6,0),0)</f>
        <v>0</v>
      </c>
    </row>
    <row r="129" spans="1:6" x14ac:dyDescent="0.25">
      <c r="A129" t="str">
        <f t="shared" si="1"/>
        <v>101401590002</v>
      </c>
      <c r="B129" s="25">
        <v>10140159</v>
      </c>
      <c r="C129" s="36" t="s">
        <v>1020</v>
      </c>
      <c r="D129" s="25">
        <f>IFERROR(VLOOKUP(B129,'[1]MPG Payment'!$C$3:$F$915,4,0),0)</f>
        <v>0</v>
      </c>
      <c r="E129" s="55">
        <v>57.82</v>
      </c>
      <c r="F129" s="23">
        <f>IFERROR(VLOOKUP(B129,'[1]Farmer Payment Calc'!$E$2:$J$5780,6,0),0)</f>
        <v>0</v>
      </c>
    </row>
    <row r="130" spans="1:6" x14ac:dyDescent="0.25">
      <c r="A130" t="str">
        <f t="shared" si="1"/>
        <v>200100420002</v>
      </c>
      <c r="B130" s="25">
        <v>20010042</v>
      </c>
      <c r="C130" s="36" t="s">
        <v>1020</v>
      </c>
      <c r="D130" s="25">
        <f>IFERROR(VLOOKUP(B130,'[1]MPG Payment'!$C$3:$F$915,4,0),0)</f>
        <v>0</v>
      </c>
      <c r="E130" s="55">
        <v>3304</v>
      </c>
      <c r="F130" s="23">
        <f>IFERROR(VLOOKUP(B130,'[1]Farmer Payment Calc'!$E$2:$J$5780,6,0),0)</f>
        <v>0</v>
      </c>
    </row>
    <row r="131" spans="1:6" x14ac:dyDescent="0.25">
      <c r="A131" t="str">
        <f t="shared" ref="A131:A194" si="2">CONCATENATE(B131,C131)</f>
        <v>101000560002</v>
      </c>
      <c r="B131" s="25">
        <v>10100056</v>
      </c>
      <c r="C131" s="36" t="s">
        <v>1020</v>
      </c>
      <c r="D131" s="25">
        <f>IFERROR(VLOOKUP(B131,'[1]MPG Payment'!$C$3:$F$915,4,0),0)</f>
        <v>0</v>
      </c>
      <c r="E131" s="55">
        <v>908.6</v>
      </c>
      <c r="F131" s="23">
        <f>IFERROR(VLOOKUP(B131,'[1]Farmer Payment Calc'!$E$2:$J$5780,6,0),0)</f>
        <v>0</v>
      </c>
    </row>
    <row r="132" spans="1:6" x14ac:dyDescent="0.25">
      <c r="A132" t="str">
        <f t="shared" si="2"/>
        <v>101000560002</v>
      </c>
      <c r="B132" s="25">
        <v>10100056</v>
      </c>
      <c r="C132" s="36" t="s">
        <v>1020</v>
      </c>
      <c r="D132" s="25">
        <f>IFERROR(VLOOKUP(B132,'[1]MPG Payment'!$C$3:$F$915,4,0),0)</f>
        <v>0</v>
      </c>
      <c r="E132" s="55">
        <v>51.92</v>
      </c>
      <c r="F132" s="23">
        <f>IFERROR(VLOOKUP(B132,'[1]Farmer Payment Calc'!$E$2:$J$5780,6,0),0)</f>
        <v>0</v>
      </c>
    </row>
    <row r="133" spans="1:6" x14ac:dyDescent="0.25">
      <c r="A133" t="str">
        <f t="shared" si="2"/>
        <v>101000560002</v>
      </c>
      <c r="B133" s="25">
        <v>10100056</v>
      </c>
      <c r="C133" s="36" t="s">
        <v>1020</v>
      </c>
      <c r="D133" s="25">
        <f>IFERROR(VLOOKUP(B133,'[1]MPG Payment'!$C$3:$F$915,4,0),0)</f>
        <v>0</v>
      </c>
      <c r="E133" s="55">
        <v>51.92</v>
      </c>
      <c r="F133" s="23">
        <f>IFERROR(VLOOKUP(B133,'[1]Farmer Payment Calc'!$E$2:$J$5780,6,0),0)</f>
        <v>0</v>
      </c>
    </row>
    <row r="134" spans="1:6" x14ac:dyDescent="0.25">
      <c r="A134" t="str">
        <f t="shared" si="2"/>
        <v>101000560002</v>
      </c>
      <c r="B134" s="25">
        <v>10100056</v>
      </c>
      <c r="C134" s="36" t="s">
        <v>1020</v>
      </c>
      <c r="D134" s="25">
        <f>IFERROR(VLOOKUP(B134,'[1]MPG Payment'!$C$3:$F$915,4,0),0)</f>
        <v>0</v>
      </c>
      <c r="E134" s="55">
        <v>424.8</v>
      </c>
      <c r="F134" s="23">
        <f>IFERROR(VLOOKUP(B134,'[1]Farmer Payment Calc'!$E$2:$J$5780,6,0),0)</f>
        <v>0</v>
      </c>
    </row>
    <row r="135" spans="1:6" x14ac:dyDescent="0.25">
      <c r="A135" t="str">
        <f t="shared" si="2"/>
        <v>200100090002</v>
      </c>
      <c r="B135" s="25">
        <v>20010009</v>
      </c>
      <c r="C135" s="36" t="s">
        <v>1020</v>
      </c>
      <c r="D135" s="25">
        <f>IFERROR(VLOOKUP(B135,'[1]MPG Payment'!$C$3:$F$915,4,0),0)</f>
        <v>0</v>
      </c>
      <c r="E135" s="55">
        <v>1493.88</v>
      </c>
      <c r="F135" s="23">
        <f>IFERROR(VLOOKUP(B135,'[1]Farmer Payment Calc'!$E$2:$J$5780,6,0),0)</f>
        <v>0</v>
      </c>
    </row>
    <row r="136" spans="1:6" x14ac:dyDescent="0.25">
      <c r="A136" t="str">
        <f t="shared" si="2"/>
        <v>200100090002</v>
      </c>
      <c r="B136" s="25">
        <v>20010009</v>
      </c>
      <c r="C136" s="36" t="s">
        <v>1020</v>
      </c>
      <c r="D136" s="25">
        <f>IFERROR(VLOOKUP(B136,'[1]MPG Payment'!$C$3:$F$915,4,0),0)</f>
        <v>0</v>
      </c>
      <c r="E136" s="55">
        <v>413</v>
      </c>
      <c r="F136" s="23">
        <f>IFERROR(VLOOKUP(B136,'[1]Farmer Payment Calc'!$E$2:$J$5780,6,0),0)</f>
        <v>0</v>
      </c>
    </row>
    <row r="137" spans="1:6" x14ac:dyDescent="0.25">
      <c r="A137" t="str">
        <f t="shared" si="2"/>
        <v>101000560002</v>
      </c>
      <c r="B137" s="25">
        <v>10100056</v>
      </c>
      <c r="C137" s="36" t="s">
        <v>1020</v>
      </c>
      <c r="D137" s="25">
        <f>IFERROR(VLOOKUP(B137,'[1]MPG Payment'!$C$3:$F$915,4,0),0)</f>
        <v>0</v>
      </c>
      <c r="E137" s="55">
        <v>99.12</v>
      </c>
      <c r="F137" s="23">
        <f>IFERROR(VLOOKUP(B137,'[1]Farmer Payment Calc'!$E$2:$J$5780,6,0),0)</f>
        <v>0</v>
      </c>
    </row>
    <row r="138" spans="1:6" x14ac:dyDescent="0.25">
      <c r="A138" t="str">
        <f t="shared" si="2"/>
        <v>200100090002</v>
      </c>
      <c r="B138" s="25">
        <v>20010009</v>
      </c>
      <c r="C138" s="36" t="s">
        <v>1020</v>
      </c>
      <c r="D138" s="25">
        <f>IFERROR(VLOOKUP(B138,'[1]MPG Payment'!$C$3:$F$915,4,0),0)</f>
        <v>0</v>
      </c>
      <c r="E138" s="55">
        <v>920.4</v>
      </c>
      <c r="F138" s="23">
        <f>IFERROR(VLOOKUP(B138,'[1]Farmer Payment Calc'!$E$2:$J$5780,6,0),0)</f>
        <v>0</v>
      </c>
    </row>
    <row r="139" spans="1:6" x14ac:dyDescent="0.25">
      <c r="A139" t="str">
        <f t="shared" si="2"/>
        <v>200100090002</v>
      </c>
      <c r="B139" s="25">
        <v>20010009</v>
      </c>
      <c r="C139" s="36" t="s">
        <v>1020</v>
      </c>
      <c r="D139" s="25">
        <f>IFERROR(VLOOKUP(B139,'[1]MPG Payment'!$C$3:$F$915,4,0),0)</f>
        <v>0</v>
      </c>
      <c r="E139" s="55">
        <v>920.4</v>
      </c>
      <c r="F139" s="23">
        <f>IFERROR(VLOOKUP(B139,'[1]Farmer Payment Calc'!$E$2:$J$5780,6,0),0)</f>
        <v>0</v>
      </c>
    </row>
    <row r="140" spans="1:6" x14ac:dyDescent="0.25">
      <c r="A140" t="str">
        <f t="shared" si="2"/>
        <v>200100090002</v>
      </c>
      <c r="B140" s="25">
        <v>20010009</v>
      </c>
      <c r="C140" s="36" t="s">
        <v>1020</v>
      </c>
      <c r="D140" s="25">
        <f>IFERROR(VLOOKUP(B140,'[1]MPG Payment'!$C$3:$F$915,4,0),0)</f>
        <v>0</v>
      </c>
      <c r="E140" s="55">
        <v>2454.4</v>
      </c>
      <c r="F140" s="23">
        <f>IFERROR(VLOOKUP(B140,'[1]Farmer Payment Calc'!$E$2:$J$5780,6,0),0)</f>
        <v>0</v>
      </c>
    </row>
    <row r="141" spans="1:6" x14ac:dyDescent="0.25">
      <c r="A141" t="str">
        <f t="shared" si="2"/>
        <v>100600250002</v>
      </c>
      <c r="B141" s="25">
        <v>10060025</v>
      </c>
      <c r="C141" s="36" t="s">
        <v>1020</v>
      </c>
      <c r="D141" s="25">
        <f>IFERROR(VLOOKUP(B141,'[1]MPG Payment'!$C$3:$F$915,4,0),0)</f>
        <v>0</v>
      </c>
      <c r="E141" s="55">
        <v>424.8</v>
      </c>
      <c r="F141" s="23">
        <f>IFERROR(VLOOKUP(B141,'[1]Farmer Payment Calc'!$E$2:$J$5780,6,0),0)</f>
        <v>0</v>
      </c>
    </row>
    <row r="142" spans="1:6" x14ac:dyDescent="0.25">
      <c r="A142" t="str">
        <f t="shared" si="2"/>
        <v>200100170002</v>
      </c>
      <c r="B142" s="25">
        <v>20010017</v>
      </c>
      <c r="C142" s="36" t="s">
        <v>1020</v>
      </c>
      <c r="D142" s="25">
        <f>IFERROR(VLOOKUP(B142,'[1]MPG Payment'!$C$3:$F$915,4,0),0)</f>
        <v>0</v>
      </c>
      <c r="E142" s="55">
        <v>51.92</v>
      </c>
      <c r="F142" s="23">
        <f>IFERROR(VLOOKUP(B142,'[1]Farmer Payment Calc'!$E$2:$J$5780,6,0),0)</f>
        <v>0</v>
      </c>
    </row>
    <row r="143" spans="1:6" x14ac:dyDescent="0.25">
      <c r="A143" t="str">
        <f t="shared" si="2"/>
        <v>100600640002</v>
      </c>
      <c r="B143" s="25">
        <v>10060064</v>
      </c>
      <c r="C143" s="36" t="s">
        <v>1020</v>
      </c>
      <c r="D143" s="25">
        <f>IFERROR(VLOOKUP(B143,'[1]MPG Payment'!$C$3:$F$915,4,0),0)</f>
        <v>0</v>
      </c>
      <c r="E143" s="55">
        <v>920.4</v>
      </c>
      <c r="F143" s="23">
        <f>IFERROR(VLOOKUP(B143,'[1]Farmer Payment Calc'!$E$2:$J$5780,6,0),0)</f>
        <v>0</v>
      </c>
    </row>
    <row r="144" spans="1:6" x14ac:dyDescent="0.25">
      <c r="A144" t="str">
        <f t="shared" si="2"/>
        <v>100600640002</v>
      </c>
      <c r="B144" s="25">
        <v>10060064</v>
      </c>
      <c r="C144" s="36" t="s">
        <v>1020</v>
      </c>
      <c r="D144" s="25">
        <f>IFERROR(VLOOKUP(B144,'[1]MPG Payment'!$C$3:$F$915,4,0),0)</f>
        <v>0</v>
      </c>
      <c r="E144" s="55">
        <v>920.4</v>
      </c>
      <c r="F144" s="23">
        <f>IFERROR(VLOOKUP(B144,'[1]Farmer Payment Calc'!$E$2:$J$5780,6,0),0)</f>
        <v>0</v>
      </c>
    </row>
    <row r="145" spans="1:6" x14ac:dyDescent="0.25">
      <c r="A145" t="str">
        <f t="shared" si="2"/>
        <v>104100010002</v>
      </c>
      <c r="B145" s="25">
        <v>10410001</v>
      </c>
      <c r="C145" s="36" t="s">
        <v>1020</v>
      </c>
      <c r="D145" s="25" t="str">
        <f>IFERROR(VLOOKUP(B145,'[1]MPG Payment'!$C$3:$F$915,4,0),0)</f>
        <v>Direct</v>
      </c>
      <c r="E145" s="55">
        <v>424.8</v>
      </c>
      <c r="F145" s="23">
        <f>IFERROR(VLOOKUP(B145,'[1]Farmer Payment Calc'!$E$2:$J$5780,6,0),0)</f>
        <v>0</v>
      </c>
    </row>
    <row r="146" spans="1:6" x14ac:dyDescent="0.25">
      <c r="A146" t="str">
        <f t="shared" si="2"/>
        <v>104000010002</v>
      </c>
      <c r="B146" s="25">
        <v>10400001</v>
      </c>
      <c r="C146" s="36" t="s">
        <v>1020</v>
      </c>
      <c r="D146" s="25" t="str">
        <f>IFERROR(VLOOKUP(B146,'[1]MPG Payment'!$C$3:$F$915,4,0),0)</f>
        <v>Direct</v>
      </c>
      <c r="E146" s="55">
        <v>265.5</v>
      </c>
      <c r="F146" s="23">
        <f>IFERROR(VLOOKUP(B146,'[1]Farmer Payment Calc'!$E$2:$J$5780,6,0),0)</f>
        <v>0</v>
      </c>
    </row>
    <row r="147" spans="1:6" x14ac:dyDescent="0.25">
      <c r="A147" t="str">
        <f t="shared" si="2"/>
        <v>101200170002</v>
      </c>
      <c r="B147" s="24">
        <v>10120017</v>
      </c>
      <c r="C147" s="36" t="s">
        <v>1020</v>
      </c>
      <c r="D147" s="25" t="str">
        <f>IFERROR(VLOOKUP(B147,'[1]MPG Payment'!$C$3:$F$915,4,0),0)</f>
        <v>Direct</v>
      </c>
      <c r="E147" s="55">
        <v>82.6</v>
      </c>
      <c r="F147" s="23">
        <f>IFERROR(VLOOKUP(B147,'[1]Farmer Payment Calc'!$E$2:$J$5780,6,0),0)</f>
        <v>82.6</v>
      </c>
    </row>
    <row r="148" spans="1:6" x14ac:dyDescent="0.25">
      <c r="A148" t="str">
        <f t="shared" si="2"/>
        <v>101200290002</v>
      </c>
      <c r="B148" s="24">
        <v>10120029</v>
      </c>
      <c r="C148" s="36" t="s">
        <v>1020</v>
      </c>
      <c r="D148" s="25" t="str">
        <f>IFERROR(VLOOKUP(B148,'[1]MPG Payment'!$C$3:$F$915,4,0),0)</f>
        <v>Direct</v>
      </c>
      <c r="E148" s="55">
        <v>2065</v>
      </c>
      <c r="F148" s="23">
        <f>IFERROR(VLOOKUP(B148,'[1]Farmer Payment Calc'!$E$2:$J$5780,6,0),0)</f>
        <v>0</v>
      </c>
    </row>
    <row r="149" spans="1:6" x14ac:dyDescent="0.25">
      <c r="A149" t="str">
        <f t="shared" si="2"/>
        <v>101101050002</v>
      </c>
      <c r="B149" s="24">
        <v>10110105</v>
      </c>
      <c r="C149" s="36" t="s">
        <v>1020</v>
      </c>
      <c r="D149" s="25" t="str">
        <f>IFERROR(VLOOKUP(B149,'[1]MPG Payment'!$C$3:$F$915,4,0),0)</f>
        <v>Direct</v>
      </c>
      <c r="E149" s="55">
        <v>3304</v>
      </c>
      <c r="F149" s="23">
        <f>IFERROR(VLOOKUP(B149,'[1]Farmer Payment Calc'!$E$2:$J$5780,6,0),0)</f>
        <v>6336</v>
      </c>
    </row>
    <row r="150" spans="1:6" x14ac:dyDescent="0.25">
      <c r="A150" t="str">
        <f t="shared" si="2"/>
        <v>100600330002</v>
      </c>
      <c r="B150" s="25">
        <v>10060033</v>
      </c>
      <c r="C150" s="36" t="s">
        <v>1020</v>
      </c>
      <c r="D150" s="25" t="str">
        <f>IFERROR(VLOOKUP(B150,'[1]MPG Payment'!$C$3:$F$915,4,0),0)</f>
        <v>Direct</v>
      </c>
      <c r="E150" s="55">
        <v>413</v>
      </c>
      <c r="F150" s="23">
        <f>IFERROR(VLOOKUP(B150,'[1]Farmer Payment Calc'!$E$2:$J$5780,6,0),0)</f>
        <v>0</v>
      </c>
    </row>
    <row r="151" spans="1:6" x14ac:dyDescent="0.25">
      <c r="A151" t="str">
        <f t="shared" si="2"/>
        <v>101101050002</v>
      </c>
      <c r="B151" s="24">
        <v>10110105</v>
      </c>
      <c r="C151" s="36" t="s">
        <v>1020</v>
      </c>
      <c r="D151" s="25" t="str">
        <f>IFERROR(VLOOKUP(B151,'[1]MPG Payment'!$C$3:$F$915,4,0),0)</f>
        <v>Direct</v>
      </c>
      <c r="E151" s="55">
        <v>2454.4</v>
      </c>
      <c r="F151" s="23">
        <f>IFERROR(VLOOKUP(B151,'[1]Farmer Payment Calc'!$E$2:$J$5780,6,0),0)</f>
        <v>6336</v>
      </c>
    </row>
    <row r="152" spans="1:6" x14ac:dyDescent="0.25">
      <c r="A152" t="str">
        <f t="shared" si="2"/>
        <v>100800320002</v>
      </c>
      <c r="B152" s="25">
        <v>10080032</v>
      </c>
      <c r="C152" s="36" t="s">
        <v>1020</v>
      </c>
      <c r="D152" s="25" t="str">
        <f>IFERROR(VLOOKUP(B152,'[1]MPG Payment'!$C$3:$F$915,4,0),0)</f>
        <v>Direct</v>
      </c>
      <c r="E152" s="55">
        <v>413</v>
      </c>
      <c r="F152" s="23">
        <f>IFERROR(VLOOKUP(B152,'[1]Farmer Payment Calc'!$E$2:$J$5780,6,0),0)</f>
        <v>0</v>
      </c>
    </row>
    <row r="153" spans="1:6" x14ac:dyDescent="0.25">
      <c r="A153" t="str">
        <f t="shared" si="2"/>
        <v>101101050002</v>
      </c>
      <c r="B153" s="24">
        <v>10110105</v>
      </c>
      <c r="C153" s="36" t="s">
        <v>1020</v>
      </c>
      <c r="D153" s="25" t="str">
        <f>IFERROR(VLOOKUP(B153,'[1]MPG Payment'!$C$3:$F$915,4,0),0)</f>
        <v>Direct</v>
      </c>
      <c r="E153" s="55">
        <v>413</v>
      </c>
      <c r="F153" s="23">
        <f>IFERROR(VLOOKUP(B153,'[1]Farmer Payment Calc'!$E$2:$J$5780,6,0),0)</f>
        <v>6336</v>
      </c>
    </row>
    <row r="154" spans="1:6" x14ac:dyDescent="0.25">
      <c r="A154" t="str">
        <f t="shared" si="2"/>
        <v>101300900002</v>
      </c>
      <c r="B154" s="24">
        <v>10130090</v>
      </c>
      <c r="C154" s="36" t="s">
        <v>1020</v>
      </c>
      <c r="D154" s="25" t="str">
        <f>IFERROR(VLOOKUP(B154,'[1]MPG Payment'!$C$3:$F$915,4,0),0)</f>
        <v>Direct</v>
      </c>
      <c r="E154" s="55">
        <v>973.5</v>
      </c>
      <c r="F154" s="23">
        <f>IFERROR(VLOOKUP(B154,'[1]Farmer Payment Calc'!$E$2:$J$5780,6,0),0)</f>
        <v>973.5</v>
      </c>
    </row>
    <row r="155" spans="1:6" x14ac:dyDescent="0.25">
      <c r="A155" t="str">
        <f t="shared" si="2"/>
        <v>104800080002</v>
      </c>
      <c r="B155" s="25">
        <v>10480008</v>
      </c>
      <c r="C155" s="36" t="s">
        <v>1020</v>
      </c>
      <c r="D155" s="25" t="str">
        <f>IFERROR(VLOOKUP(B155,'[1]MPG Payment'!$C$3:$F$915,4,0),0)</f>
        <v>Direct</v>
      </c>
      <c r="E155" s="55">
        <v>1493.88</v>
      </c>
      <c r="F155" s="23">
        <f>IFERROR(VLOOKUP(B155,'[1]Farmer Payment Calc'!$E$2:$J$5780,6,0),0)</f>
        <v>0</v>
      </c>
    </row>
    <row r="156" spans="1:6" x14ac:dyDescent="0.25">
      <c r="A156" t="str">
        <f t="shared" si="2"/>
        <v>101000140002</v>
      </c>
      <c r="B156" s="24">
        <v>10100014</v>
      </c>
      <c r="C156" s="36" t="s">
        <v>1020</v>
      </c>
      <c r="D156" s="25" t="str">
        <f>IFERROR(VLOOKUP(B156,'[1]MPG Payment'!$C$3:$F$915,4,0),0)</f>
        <v>Direct</v>
      </c>
      <c r="E156" s="55">
        <v>2454.4</v>
      </c>
      <c r="F156" s="23">
        <f>IFERROR(VLOOKUP(B156,'[1]Farmer Payment Calc'!$E$2:$J$5780,6,0),0)</f>
        <v>0</v>
      </c>
    </row>
    <row r="157" spans="1:6" x14ac:dyDescent="0.25">
      <c r="A157" t="str">
        <f t="shared" si="2"/>
        <v>100900640002</v>
      </c>
      <c r="B157" s="24">
        <v>10090064</v>
      </c>
      <c r="C157" s="36" t="s">
        <v>1020</v>
      </c>
      <c r="D157" s="25" t="str">
        <f>IFERROR(VLOOKUP(B157,'[1]MPG Payment'!$C$3:$F$915,4,0),0)</f>
        <v>Direct</v>
      </c>
      <c r="E157" s="55">
        <v>1062</v>
      </c>
      <c r="F157" s="23">
        <f>IFERROR(VLOOKUP(B157,'[1]Farmer Payment Calc'!$E$2:$J$5780,6,0),0)</f>
        <v>2153.5</v>
      </c>
    </row>
    <row r="158" spans="1:6" x14ac:dyDescent="0.25">
      <c r="A158" t="str">
        <f t="shared" si="2"/>
        <v>100700480002</v>
      </c>
      <c r="B158" s="24">
        <v>10070048</v>
      </c>
      <c r="C158" s="36" t="s">
        <v>1020</v>
      </c>
      <c r="D158" s="25" t="str">
        <f>IFERROR(VLOOKUP(B158,'[1]MPG Payment'!$C$3:$F$915,4,0),0)</f>
        <v>Direct</v>
      </c>
      <c r="E158" s="55">
        <v>413</v>
      </c>
      <c r="F158" s="23">
        <f>IFERROR(VLOOKUP(B158,'[1]Farmer Payment Calc'!$E$2:$J$5780,6,0),0)</f>
        <v>2183</v>
      </c>
    </row>
    <row r="159" spans="1:6" x14ac:dyDescent="0.25">
      <c r="A159" t="str">
        <f t="shared" si="2"/>
        <v>101400030002</v>
      </c>
      <c r="B159" s="25">
        <v>10140003</v>
      </c>
      <c r="C159" s="36" t="s">
        <v>1020</v>
      </c>
      <c r="D159" s="25" t="str">
        <f>IFERROR(VLOOKUP(B159,'[1]MPG Payment'!$C$3:$F$915,4,0),0)</f>
        <v>Direct</v>
      </c>
      <c r="E159" s="55">
        <v>82.6</v>
      </c>
      <c r="F159" s="23">
        <f>IFERROR(VLOOKUP(B159,'[1]Farmer Payment Calc'!$E$2:$J$5780,6,0),0)</f>
        <v>0</v>
      </c>
    </row>
    <row r="160" spans="1:6" x14ac:dyDescent="0.25">
      <c r="A160" t="str">
        <f t="shared" si="2"/>
        <v>101400030002</v>
      </c>
      <c r="B160" s="25">
        <v>10140003</v>
      </c>
      <c r="C160" s="36" t="s">
        <v>1020</v>
      </c>
      <c r="D160" s="25" t="str">
        <f>IFERROR(VLOOKUP(B160,'[1]MPG Payment'!$C$3:$F$915,4,0),0)</f>
        <v>Direct</v>
      </c>
      <c r="E160" s="55">
        <v>82.6</v>
      </c>
      <c r="F160" s="23">
        <f>IFERROR(VLOOKUP(B160,'[1]Farmer Payment Calc'!$E$2:$J$5780,6,0),0)</f>
        <v>0</v>
      </c>
    </row>
    <row r="161" spans="1:6" x14ac:dyDescent="0.25">
      <c r="A161" t="str">
        <f t="shared" si="2"/>
        <v>100900640002</v>
      </c>
      <c r="B161" s="24">
        <v>10090064</v>
      </c>
      <c r="C161" s="36" t="s">
        <v>1020</v>
      </c>
      <c r="D161" s="25" t="str">
        <f>IFERROR(VLOOKUP(B161,'[1]MPG Payment'!$C$3:$F$915,4,0),0)</f>
        <v>Direct</v>
      </c>
      <c r="E161" s="55">
        <v>1091.5</v>
      </c>
      <c r="F161" s="23">
        <f>IFERROR(VLOOKUP(B161,'[1]Farmer Payment Calc'!$E$2:$J$5780,6,0),0)</f>
        <v>2153.5</v>
      </c>
    </row>
    <row r="162" spans="1:6" x14ac:dyDescent="0.25">
      <c r="A162" t="str">
        <f t="shared" si="2"/>
        <v>100600110002</v>
      </c>
      <c r="B162" s="25">
        <v>10060011</v>
      </c>
      <c r="C162" s="36" t="s">
        <v>1020</v>
      </c>
      <c r="D162" s="25" t="str">
        <f>IFERROR(VLOOKUP(B162,'[1]MPG Payment'!$C$3:$F$915,4,0),0)</f>
        <v>Direct</v>
      </c>
      <c r="E162" s="55">
        <v>2454.4</v>
      </c>
      <c r="F162" s="23">
        <f>IFERROR(VLOOKUP(B162,'[1]Farmer Payment Calc'!$E$2:$J$5780,6,0),0)</f>
        <v>0</v>
      </c>
    </row>
    <row r="163" spans="1:6" x14ac:dyDescent="0.25">
      <c r="A163" t="str">
        <f t="shared" si="2"/>
        <v>101000510002</v>
      </c>
      <c r="B163" s="24">
        <v>10100051</v>
      </c>
      <c r="C163" s="36" t="s">
        <v>1020</v>
      </c>
      <c r="D163" s="25" t="str">
        <f>IFERROR(VLOOKUP(B163,'[1]MPG Payment'!$C$3:$F$915,4,0),0)</f>
        <v>Direct</v>
      </c>
      <c r="E163" s="55">
        <v>99.12</v>
      </c>
      <c r="F163" s="23">
        <f>IFERROR(VLOOKUP(B163,'[1]Farmer Payment Calc'!$E$2:$J$5780,6,0),0)</f>
        <v>512.12</v>
      </c>
    </row>
    <row r="164" spans="1:6" x14ac:dyDescent="0.25">
      <c r="A164" t="str">
        <f t="shared" si="2"/>
        <v>100900210002</v>
      </c>
      <c r="B164" s="24">
        <v>10090021</v>
      </c>
      <c r="C164" s="36" t="s">
        <v>1020</v>
      </c>
      <c r="D164" s="25" t="str">
        <f>IFERROR(VLOOKUP(B164,'[1]MPG Payment'!$C$3:$F$915,4,0),0)</f>
        <v>Direct</v>
      </c>
      <c r="E164" s="55">
        <v>413</v>
      </c>
      <c r="F164" s="23">
        <f>IFERROR(VLOOKUP(B164,'[1]Farmer Payment Calc'!$E$2:$J$5780,6,0),0)</f>
        <v>0</v>
      </c>
    </row>
    <row r="165" spans="1:6" x14ac:dyDescent="0.25">
      <c r="A165" t="str">
        <f t="shared" si="2"/>
        <v>101400010002</v>
      </c>
      <c r="B165" s="25">
        <v>10140001</v>
      </c>
      <c r="C165" s="36" t="s">
        <v>1020</v>
      </c>
      <c r="D165" s="25" t="str">
        <f>IFERROR(VLOOKUP(B165,'[1]MPG Payment'!$C$3:$F$915,4,0),0)</f>
        <v>Direct</v>
      </c>
      <c r="E165" s="55">
        <v>2360</v>
      </c>
      <c r="F165" s="23">
        <f>IFERROR(VLOOKUP(B165,'[1]Farmer Payment Calc'!$E$2:$J$5780,6,0),0)</f>
        <v>1287</v>
      </c>
    </row>
    <row r="166" spans="1:6" x14ac:dyDescent="0.25">
      <c r="A166" t="str">
        <f t="shared" si="2"/>
        <v>100300210002</v>
      </c>
      <c r="B166" s="24">
        <v>10030021</v>
      </c>
      <c r="C166" s="36" t="s">
        <v>1020</v>
      </c>
      <c r="D166" s="25" t="str">
        <f>IFERROR(VLOOKUP(B166,'[1]MPG Payment'!$C$3:$F$915,4,0),0)</f>
        <v>Direct</v>
      </c>
      <c r="E166" s="55">
        <v>51.92</v>
      </c>
      <c r="F166" s="23">
        <f>IFERROR(VLOOKUP(B166,'[1]Farmer Payment Calc'!$E$2:$J$5780,6,0),0)</f>
        <v>0</v>
      </c>
    </row>
    <row r="167" spans="1:6" x14ac:dyDescent="0.25">
      <c r="A167" t="str">
        <f t="shared" si="2"/>
        <v>101000210002</v>
      </c>
      <c r="B167" s="25">
        <v>10100021</v>
      </c>
      <c r="C167" s="36" t="s">
        <v>1020</v>
      </c>
      <c r="D167" s="25" t="str">
        <f>IFERROR(VLOOKUP(B167,'[1]MPG Payment'!$C$3:$F$915,4,0),0)</f>
        <v>Direct</v>
      </c>
      <c r="E167" s="55">
        <v>424.8</v>
      </c>
      <c r="F167" s="23">
        <f>IFERROR(VLOOKUP(B167,'[1]Farmer Payment Calc'!$E$2:$J$5780,6,0),0)</f>
        <v>0</v>
      </c>
    </row>
    <row r="168" spans="1:6" x14ac:dyDescent="0.25">
      <c r="A168" t="str">
        <f t="shared" si="2"/>
        <v>101000210002</v>
      </c>
      <c r="B168" s="25">
        <v>10100021</v>
      </c>
      <c r="C168" s="36" t="s">
        <v>1020</v>
      </c>
      <c r="D168" s="25" t="str">
        <f>IFERROR(VLOOKUP(B168,'[1]MPG Payment'!$C$3:$F$915,4,0),0)</f>
        <v>Direct</v>
      </c>
      <c r="E168" s="55">
        <v>82.6</v>
      </c>
      <c r="F168" s="23">
        <f>IFERROR(VLOOKUP(B168,'[1]Farmer Payment Calc'!$E$2:$J$5780,6,0),0)</f>
        <v>0</v>
      </c>
    </row>
    <row r="169" spans="1:6" x14ac:dyDescent="0.25">
      <c r="A169" t="str">
        <f t="shared" si="2"/>
        <v>101200830002</v>
      </c>
      <c r="B169" s="24">
        <v>10120083</v>
      </c>
      <c r="C169" s="36" t="s">
        <v>1020</v>
      </c>
      <c r="D169" s="25" t="str">
        <f>IFERROR(VLOOKUP(B169,'[1]MPG Payment'!$C$3:$F$915,4,0),0)</f>
        <v>Direct</v>
      </c>
      <c r="E169" s="55">
        <v>1062</v>
      </c>
      <c r="F169" s="23">
        <f>IFERROR(VLOOKUP(B169,'[1]Farmer Payment Calc'!$E$2:$J$5780,6,0),0)</f>
        <v>0</v>
      </c>
    </row>
    <row r="170" spans="1:6" x14ac:dyDescent="0.25">
      <c r="A170" t="str">
        <f t="shared" si="2"/>
        <v>101300120002</v>
      </c>
      <c r="B170" s="25">
        <v>10130012</v>
      </c>
      <c r="C170" s="36" t="s">
        <v>1020</v>
      </c>
      <c r="D170" s="25" t="str">
        <f>IFERROR(VLOOKUP(B170,'[1]MPG Payment'!$C$3:$F$915,4,0),0)</f>
        <v>Direct</v>
      </c>
      <c r="E170" s="55">
        <v>424.8</v>
      </c>
      <c r="F170" s="23">
        <f>IFERROR(VLOOKUP(B170,'[1]Farmer Payment Calc'!$E$2:$J$5780,6,0),0)</f>
        <v>0</v>
      </c>
    </row>
    <row r="171" spans="1:6" x14ac:dyDescent="0.25">
      <c r="A171" t="str">
        <f t="shared" si="2"/>
        <v>101100550002</v>
      </c>
      <c r="B171" s="25">
        <v>10110055</v>
      </c>
      <c r="C171" s="36" t="s">
        <v>1020</v>
      </c>
      <c r="D171" s="25" t="str">
        <f>IFERROR(VLOOKUP(B171,'[1]MPG Payment'!$C$3:$F$915,4,0),0)</f>
        <v>Direct</v>
      </c>
      <c r="E171" s="55">
        <v>3540</v>
      </c>
      <c r="F171" s="23">
        <f>IFERROR(VLOOKUP(B171,'[1]Farmer Payment Calc'!$E$2:$J$5780,6,0),0)</f>
        <v>1091</v>
      </c>
    </row>
    <row r="172" spans="1:6" x14ac:dyDescent="0.25">
      <c r="A172" t="str">
        <f t="shared" si="2"/>
        <v>100200420002</v>
      </c>
      <c r="B172" s="25">
        <v>10020042</v>
      </c>
      <c r="C172" s="36" t="s">
        <v>1020</v>
      </c>
      <c r="D172" s="25" t="str">
        <f>IFERROR(VLOOKUP(B172,'[1]MPG Payment'!$C$3:$F$915,4,0),0)</f>
        <v>Direct</v>
      </c>
      <c r="E172" s="55">
        <v>413</v>
      </c>
      <c r="F172" s="23">
        <f>IFERROR(VLOOKUP(B172,'[1]Farmer Payment Calc'!$E$2:$J$5780,6,0),0)</f>
        <v>3132.9</v>
      </c>
    </row>
    <row r="173" spans="1:6" x14ac:dyDescent="0.25">
      <c r="A173" t="str">
        <f t="shared" si="2"/>
        <v>101200250002</v>
      </c>
      <c r="B173" s="24">
        <v>10120025</v>
      </c>
      <c r="C173" s="36" t="s">
        <v>1020</v>
      </c>
      <c r="D173" s="25" t="str">
        <f>IFERROR(VLOOKUP(B173,'[1]MPG Payment'!$C$3:$F$915,4,0),0)</f>
        <v>Direct</v>
      </c>
      <c r="E173" s="55">
        <v>99.12</v>
      </c>
      <c r="F173" s="23">
        <f>IFERROR(VLOOKUP(B173,'[1]Farmer Payment Calc'!$E$2:$J$5780,6,0),0)</f>
        <v>0</v>
      </c>
    </row>
    <row r="174" spans="1:6" x14ac:dyDescent="0.25">
      <c r="A174" t="str">
        <f t="shared" si="2"/>
        <v>101200250002</v>
      </c>
      <c r="B174" s="24">
        <v>10120025</v>
      </c>
      <c r="C174" s="36" t="s">
        <v>1020</v>
      </c>
      <c r="D174" s="25" t="str">
        <f>IFERROR(VLOOKUP(B174,'[1]MPG Payment'!$C$3:$F$915,4,0),0)</f>
        <v>Direct</v>
      </c>
      <c r="E174" s="55">
        <v>51.92</v>
      </c>
      <c r="F174" s="23">
        <f>IFERROR(VLOOKUP(B174,'[1]Farmer Payment Calc'!$E$2:$J$5780,6,0),0)</f>
        <v>0</v>
      </c>
    </row>
    <row r="175" spans="1:6" x14ac:dyDescent="0.25">
      <c r="A175" t="str">
        <f t="shared" si="2"/>
        <v>101200250002</v>
      </c>
      <c r="B175" s="24">
        <v>10120025</v>
      </c>
      <c r="C175" s="36" t="s">
        <v>1020</v>
      </c>
      <c r="D175" s="25" t="str">
        <f>IFERROR(VLOOKUP(B175,'[1]MPG Payment'!$C$3:$F$915,4,0),0)</f>
        <v>Direct</v>
      </c>
      <c r="E175" s="55">
        <v>51.92</v>
      </c>
      <c r="F175" s="23">
        <f>IFERROR(VLOOKUP(B175,'[1]Farmer Payment Calc'!$E$2:$J$5780,6,0),0)</f>
        <v>0</v>
      </c>
    </row>
    <row r="176" spans="1:6" x14ac:dyDescent="0.25">
      <c r="A176" t="str">
        <f t="shared" si="2"/>
        <v>101300850002</v>
      </c>
      <c r="B176" s="24">
        <v>10130085</v>
      </c>
      <c r="C176" s="36" t="s">
        <v>1020</v>
      </c>
      <c r="D176" s="25" t="str">
        <f>IFERROR(VLOOKUP(B176,'[1]MPG Payment'!$C$3:$F$915,4,0),0)</f>
        <v>Direct</v>
      </c>
      <c r="E176" s="55">
        <v>929.84</v>
      </c>
      <c r="F176" s="23">
        <f>IFERROR(VLOOKUP(B176,'[1]Farmer Payment Calc'!$E$2:$J$5780,6,0),0)</f>
        <v>3384.2400000000002</v>
      </c>
    </row>
    <row r="177" spans="1:6" x14ac:dyDescent="0.25">
      <c r="A177" t="str">
        <f t="shared" si="2"/>
        <v>101300850002</v>
      </c>
      <c r="B177" s="24">
        <v>10130085</v>
      </c>
      <c r="C177" s="36" t="s">
        <v>1020</v>
      </c>
      <c r="D177" s="25" t="str">
        <f>IFERROR(VLOOKUP(B177,'[1]MPG Payment'!$C$3:$F$915,4,0),0)</f>
        <v>Direct</v>
      </c>
      <c r="E177" s="55">
        <v>2454.4</v>
      </c>
      <c r="F177" s="23">
        <f>IFERROR(VLOOKUP(B177,'[1]Farmer Payment Calc'!$E$2:$J$5780,6,0),0)</f>
        <v>3384.2400000000002</v>
      </c>
    </row>
    <row r="178" spans="1:6" x14ac:dyDescent="0.25">
      <c r="A178" t="str">
        <f t="shared" si="2"/>
        <v>100600580002</v>
      </c>
      <c r="B178" s="25">
        <v>10060058</v>
      </c>
      <c r="C178" s="36" t="s">
        <v>1020</v>
      </c>
      <c r="D178" s="25" t="str">
        <f>IFERROR(VLOOKUP(B178,'[1]MPG Payment'!$C$3:$F$915,4,0),0)</f>
        <v>Direct</v>
      </c>
      <c r="E178" s="55">
        <v>413</v>
      </c>
      <c r="F178" s="23">
        <f>IFERROR(VLOOKUP(B178,'[1]Farmer Payment Calc'!$E$2:$J$5780,6,0),0)</f>
        <v>0</v>
      </c>
    </row>
    <row r="179" spans="1:6" x14ac:dyDescent="0.25">
      <c r="A179" t="str">
        <f t="shared" si="2"/>
        <v>101101160002</v>
      </c>
      <c r="B179" s="24">
        <v>10110116</v>
      </c>
      <c r="C179" s="36" t="s">
        <v>1020</v>
      </c>
      <c r="D179" s="25" t="str">
        <f>IFERROR(VLOOKUP(B179,'[1]MPG Payment'!$C$3:$F$915,4,0),0)</f>
        <v>Direct</v>
      </c>
      <c r="E179" s="55">
        <v>165.2</v>
      </c>
      <c r="F179" s="23">
        <f>IFERROR(VLOOKUP(B179,'[1]Farmer Payment Calc'!$E$2:$J$5780,6,0),0)</f>
        <v>677.31999999999994</v>
      </c>
    </row>
    <row r="180" spans="1:6" x14ac:dyDescent="0.25">
      <c r="A180" t="str">
        <f t="shared" si="2"/>
        <v>101101160002</v>
      </c>
      <c r="B180" s="24">
        <v>10110116</v>
      </c>
      <c r="C180" s="36" t="s">
        <v>1020</v>
      </c>
      <c r="D180" s="25" t="str">
        <f>IFERROR(VLOOKUP(B180,'[1]MPG Payment'!$C$3:$F$915,4,0),0)</f>
        <v>Direct</v>
      </c>
      <c r="E180" s="55">
        <v>99.12</v>
      </c>
      <c r="F180" s="23">
        <f>IFERROR(VLOOKUP(B180,'[1]Farmer Payment Calc'!$E$2:$J$5780,6,0),0)</f>
        <v>677.31999999999994</v>
      </c>
    </row>
    <row r="181" spans="1:6" x14ac:dyDescent="0.25">
      <c r="A181" t="str">
        <f t="shared" si="2"/>
        <v>100100130002</v>
      </c>
      <c r="B181" s="25">
        <v>10010013</v>
      </c>
      <c r="C181" s="36" t="s">
        <v>1020</v>
      </c>
      <c r="D181" s="25" t="str">
        <f>IFERROR(VLOOKUP(B181,'[1]MPG Payment'!$C$3:$F$915,4,0),0)</f>
        <v>Direct</v>
      </c>
      <c r="E181" s="55">
        <v>51.92</v>
      </c>
      <c r="F181" s="23">
        <f>IFERROR(VLOOKUP(B181,'[1]Farmer Payment Calc'!$E$2:$J$5780,6,0),0)</f>
        <v>269.03999999999996</v>
      </c>
    </row>
    <row r="182" spans="1:6" x14ac:dyDescent="0.25">
      <c r="A182" t="str">
        <f t="shared" si="2"/>
        <v>100100130002</v>
      </c>
      <c r="B182" s="25">
        <v>10010013</v>
      </c>
      <c r="C182" s="36" t="s">
        <v>1020</v>
      </c>
      <c r="D182" s="25" t="str">
        <f>IFERROR(VLOOKUP(B182,'[1]MPG Payment'!$C$3:$F$915,4,0),0)</f>
        <v>Direct</v>
      </c>
      <c r="E182" s="55">
        <v>51.92</v>
      </c>
      <c r="F182" s="23">
        <f>IFERROR(VLOOKUP(B182,'[1]Farmer Payment Calc'!$E$2:$J$5780,6,0),0)</f>
        <v>269.03999999999996</v>
      </c>
    </row>
    <row r="183" spans="1:6" x14ac:dyDescent="0.25">
      <c r="A183" t="str">
        <f t="shared" si="2"/>
        <v>100100130002</v>
      </c>
      <c r="B183" s="25">
        <v>10010013</v>
      </c>
      <c r="C183" s="36" t="s">
        <v>1020</v>
      </c>
      <c r="D183" s="25" t="str">
        <f>IFERROR(VLOOKUP(B183,'[1]MPG Payment'!$C$3:$F$915,4,0),0)</f>
        <v>Direct</v>
      </c>
      <c r="E183" s="55">
        <v>82.6</v>
      </c>
      <c r="F183" s="23">
        <f>IFERROR(VLOOKUP(B183,'[1]Farmer Payment Calc'!$E$2:$J$5780,6,0),0)</f>
        <v>269.03999999999996</v>
      </c>
    </row>
    <row r="184" spans="1:6" x14ac:dyDescent="0.25">
      <c r="A184" t="str">
        <f t="shared" si="2"/>
        <v>100100130002</v>
      </c>
      <c r="B184" s="25">
        <v>10010013</v>
      </c>
      <c r="C184" s="36" t="s">
        <v>1020</v>
      </c>
      <c r="D184" s="25" t="str">
        <f>IFERROR(VLOOKUP(B184,'[1]MPG Payment'!$C$3:$F$915,4,0),0)</f>
        <v>Direct</v>
      </c>
      <c r="E184" s="55">
        <v>82.6</v>
      </c>
      <c r="F184" s="23">
        <f>IFERROR(VLOOKUP(B184,'[1]Farmer Payment Calc'!$E$2:$J$5780,6,0),0)</f>
        <v>269.03999999999996</v>
      </c>
    </row>
    <row r="185" spans="1:6" x14ac:dyDescent="0.25">
      <c r="A185" t="str">
        <f t="shared" si="2"/>
        <v>101300260002</v>
      </c>
      <c r="B185" s="24">
        <v>10130026</v>
      </c>
      <c r="C185" s="36" t="s">
        <v>1020</v>
      </c>
      <c r="D185" s="25" t="str">
        <f>IFERROR(VLOOKUP(B185,'[1]MPG Payment'!$C$3:$F$915,4,0),0)</f>
        <v>Direct</v>
      </c>
      <c r="E185" s="55">
        <v>57.82</v>
      </c>
      <c r="F185" s="23">
        <f>IFERROR(VLOOKUP(B185,'[1]Farmer Payment Calc'!$E$2:$J$5780,6,0),0)</f>
        <v>0</v>
      </c>
    </row>
    <row r="186" spans="1:6" x14ac:dyDescent="0.25">
      <c r="A186" t="str">
        <f t="shared" si="2"/>
        <v>101300260002</v>
      </c>
      <c r="B186" s="24">
        <v>10130026</v>
      </c>
      <c r="C186" s="36" t="s">
        <v>1020</v>
      </c>
      <c r="D186" s="25" t="str">
        <f>IFERROR(VLOOKUP(B186,'[1]MPG Payment'!$C$3:$F$915,4,0),0)</f>
        <v>Direct</v>
      </c>
      <c r="E186" s="55">
        <v>82.6</v>
      </c>
      <c r="F186" s="23">
        <f>IFERROR(VLOOKUP(B186,'[1]Farmer Payment Calc'!$E$2:$J$5780,6,0),0)</f>
        <v>0</v>
      </c>
    </row>
    <row r="187" spans="1:6" x14ac:dyDescent="0.25">
      <c r="A187" t="str">
        <f t="shared" si="2"/>
        <v>100800930002</v>
      </c>
      <c r="B187" s="24">
        <v>10080093</v>
      </c>
      <c r="C187" s="36" t="s">
        <v>1020</v>
      </c>
      <c r="D187" s="25" t="str">
        <f>IFERROR(VLOOKUP(B187,'[1]MPG Payment'!$C$3:$F$915,4,0),0)</f>
        <v>Direct</v>
      </c>
      <c r="E187" s="55">
        <v>82.6</v>
      </c>
      <c r="F187" s="23">
        <f>IFERROR(VLOOKUP(B187,'[1]Farmer Payment Calc'!$E$2:$J$5780,6,0),0)</f>
        <v>165.2</v>
      </c>
    </row>
    <row r="188" spans="1:6" x14ac:dyDescent="0.25">
      <c r="A188" t="str">
        <f t="shared" si="2"/>
        <v>100800930002</v>
      </c>
      <c r="B188" s="24">
        <v>10080093</v>
      </c>
      <c r="C188" s="36" t="s">
        <v>1020</v>
      </c>
      <c r="D188" s="25" t="str">
        <f>IFERROR(VLOOKUP(B188,'[1]MPG Payment'!$C$3:$F$915,4,0),0)</f>
        <v>Direct</v>
      </c>
      <c r="E188" s="55">
        <v>82.6</v>
      </c>
      <c r="F188" s="23">
        <f>IFERROR(VLOOKUP(B188,'[1]Farmer Payment Calc'!$E$2:$J$5780,6,0),0)</f>
        <v>165.2</v>
      </c>
    </row>
    <row r="189" spans="1:6" x14ac:dyDescent="0.25">
      <c r="A189" t="str">
        <f t="shared" si="2"/>
        <v>101101110002</v>
      </c>
      <c r="B189" s="24">
        <v>10110111</v>
      </c>
      <c r="C189" s="36" t="s">
        <v>1020</v>
      </c>
      <c r="D189" s="25" t="str">
        <f>IFERROR(VLOOKUP(B189,'[1]MPG Payment'!$C$3:$F$915,4,0),0)</f>
        <v>Direct</v>
      </c>
      <c r="E189" s="55">
        <v>1062</v>
      </c>
      <c r="F189" s="23">
        <f>IFERROR(VLOOKUP(B189,'[1]Farmer Payment Calc'!$E$2:$J$5780,6,0),0)</f>
        <v>0</v>
      </c>
    </row>
    <row r="190" spans="1:6" x14ac:dyDescent="0.25">
      <c r="A190" t="str">
        <f t="shared" si="2"/>
        <v>100300370002</v>
      </c>
      <c r="B190" s="24">
        <v>10030037</v>
      </c>
      <c r="C190" s="36" t="s">
        <v>1020</v>
      </c>
      <c r="D190" s="25" t="str">
        <f>IFERROR(VLOOKUP(B190,'[1]MPG Payment'!$C$3:$F$915,4,0),0)</f>
        <v>Direct</v>
      </c>
      <c r="E190" s="55">
        <v>413</v>
      </c>
      <c r="F190" s="23">
        <f>IFERROR(VLOOKUP(B190,'[1]Farmer Payment Calc'!$E$2:$J$5780,6,0),0)</f>
        <v>0</v>
      </c>
    </row>
    <row r="191" spans="1:6" x14ac:dyDescent="0.25">
      <c r="A191" t="str">
        <f t="shared" si="2"/>
        <v>101400320002</v>
      </c>
      <c r="B191" s="24">
        <v>10140032</v>
      </c>
      <c r="C191" s="36" t="s">
        <v>1020</v>
      </c>
      <c r="D191" s="25" t="str">
        <f>IFERROR(VLOOKUP(B191,'[1]MPG Payment'!$C$3:$F$915,4,0),0)</f>
        <v>Direct</v>
      </c>
      <c r="E191" s="55">
        <v>413</v>
      </c>
      <c r="F191" s="23">
        <f>IFERROR(VLOOKUP(B191,'[1]Farmer Payment Calc'!$E$2:$J$5780,6,0),0)</f>
        <v>3971.88</v>
      </c>
    </row>
    <row r="192" spans="1:6" x14ac:dyDescent="0.25">
      <c r="A192" t="str">
        <f t="shared" si="2"/>
        <v>101200250002</v>
      </c>
      <c r="B192" s="24">
        <v>10120025</v>
      </c>
      <c r="C192" s="36" t="s">
        <v>1020</v>
      </c>
      <c r="D192" s="25" t="str">
        <f>IFERROR(VLOOKUP(B192,'[1]MPG Payment'!$C$3:$F$915,4,0),0)</f>
        <v>Direct</v>
      </c>
      <c r="E192" s="55">
        <v>265.5</v>
      </c>
      <c r="F192" s="23">
        <f>IFERROR(VLOOKUP(B192,'[1]Farmer Payment Calc'!$E$2:$J$5780,6,0),0)</f>
        <v>0</v>
      </c>
    </row>
    <row r="193" spans="1:6" x14ac:dyDescent="0.25">
      <c r="A193" t="str">
        <f t="shared" si="2"/>
        <v>101200250002</v>
      </c>
      <c r="B193" s="24">
        <v>10120025</v>
      </c>
      <c r="C193" s="36" t="s">
        <v>1020</v>
      </c>
      <c r="D193" s="25" t="str">
        <f>IFERROR(VLOOKUP(B193,'[1]MPG Payment'!$C$3:$F$915,4,0),0)</f>
        <v>Direct</v>
      </c>
      <c r="E193" s="55">
        <v>973.5</v>
      </c>
      <c r="F193" s="23">
        <f>IFERROR(VLOOKUP(B193,'[1]Farmer Payment Calc'!$E$2:$J$5780,6,0),0)</f>
        <v>0</v>
      </c>
    </row>
    <row r="194" spans="1:6" x14ac:dyDescent="0.25">
      <c r="A194" t="str">
        <f t="shared" si="2"/>
        <v>104000010002</v>
      </c>
      <c r="B194" s="25">
        <v>10400001</v>
      </c>
      <c r="C194" s="36" t="s">
        <v>1020</v>
      </c>
      <c r="D194" s="25" t="str">
        <f>IFERROR(VLOOKUP(B194,'[1]MPG Payment'!$C$3:$F$915,4,0),0)</f>
        <v>Direct</v>
      </c>
      <c r="E194" s="55">
        <v>973.5</v>
      </c>
      <c r="F194" s="23">
        <f>IFERROR(VLOOKUP(B194,'[1]Farmer Payment Calc'!$E$2:$J$5780,6,0),0)</f>
        <v>0</v>
      </c>
    </row>
    <row r="195" spans="1:6" x14ac:dyDescent="0.25">
      <c r="A195" t="str">
        <f t="shared" ref="A195:A258" si="3">CONCATENATE(B195,C195)</f>
        <v>104000010002</v>
      </c>
      <c r="B195" s="25">
        <v>10400001</v>
      </c>
      <c r="C195" s="36" t="s">
        <v>1020</v>
      </c>
      <c r="D195" s="25" t="str">
        <f>IFERROR(VLOOKUP(B195,'[1]MPG Payment'!$C$3:$F$915,4,0),0)</f>
        <v>Direct</v>
      </c>
      <c r="E195" s="55">
        <v>2454.4</v>
      </c>
      <c r="F195" s="23">
        <f>IFERROR(VLOOKUP(B195,'[1]Farmer Payment Calc'!$E$2:$J$5780,6,0),0)</f>
        <v>0</v>
      </c>
    </row>
    <row r="196" spans="1:6" x14ac:dyDescent="0.25">
      <c r="A196" t="str">
        <f t="shared" si="3"/>
        <v>101200940002</v>
      </c>
      <c r="B196" s="24">
        <v>10120094</v>
      </c>
      <c r="C196" s="36" t="s">
        <v>1020</v>
      </c>
      <c r="D196" s="25" t="str">
        <f>IFERROR(VLOOKUP(B196,'[1]MPG Payment'!$C$3:$F$915,4,0),0)</f>
        <v>Direct</v>
      </c>
      <c r="E196" s="55">
        <v>265.5</v>
      </c>
      <c r="F196" s="23">
        <f>IFERROR(VLOOKUP(B196,'[1]Farmer Payment Calc'!$E$2:$J$5780,6,0),0)</f>
        <v>2168</v>
      </c>
    </row>
    <row r="197" spans="1:6" x14ac:dyDescent="0.25">
      <c r="A197" t="str">
        <f t="shared" si="3"/>
        <v>100300370002</v>
      </c>
      <c r="B197" s="38">
        <v>10030037</v>
      </c>
      <c r="C197" s="36" t="s">
        <v>1020</v>
      </c>
      <c r="D197" s="25" t="str">
        <f>IFERROR(VLOOKUP(B197,'[1]MPG Payment'!$C$3:$F$915,4,0),0)</f>
        <v>Direct</v>
      </c>
      <c r="E197" s="55">
        <v>932.2</v>
      </c>
      <c r="F197" s="23">
        <f>IFERROR(VLOOKUP(B197,'[1]Farmer Payment Calc'!$E$2:$J$5780,6,0),0)</f>
        <v>0</v>
      </c>
    </row>
    <row r="198" spans="1:6" x14ac:dyDescent="0.25">
      <c r="A198" t="str">
        <f t="shared" si="3"/>
        <v>100300640002</v>
      </c>
      <c r="B198" s="24">
        <v>10030064</v>
      </c>
      <c r="C198" s="36" t="s">
        <v>1020</v>
      </c>
      <c r="D198" s="25" t="str">
        <f>IFERROR(VLOOKUP(B198,'[1]MPG Payment'!$C$3:$F$915,4,0),0)</f>
        <v>Direct</v>
      </c>
      <c r="E198" s="55">
        <v>413</v>
      </c>
      <c r="F198" s="23">
        <f>IFERROR(VLOOKUP(B198,'[1]Farmer Payment Calc'!$E$2:$J$5780,6,0),0)</f>
        <v>6171.4</v>
      </c>
    </row>
    <row r="199" spans="1:6" x14ac:dyDescent="0.25">
      <c r="A199" t="str">
        <f t="shared" si="3"/>
        <v>101200140002</v>
      </c>
      <c r="B199" s="38">
        <v>10120014</v>
      </c>
      <c r="C199" s="36" t="s">
        <v>1020</v>
      </c>
      <c r="D199" s="25" t="str">
        <f>IFERROR(VLOOKUP(B199,'[1]MPG Payment'!$C$3:$F$915,4,0),0)</f>
        <v>Direct</v>
      </c>
      <c r="E199" s="55">
        <v>908.6</v>
      </c>
      <c r="F199" s="23">
        <f>IFERROR(VLOOKUP(B199,'[1]Farmer Payment Calc'!$E$2:$J$5780,6,0),0)</f>
        <v>0</v>
      </c>
    </row>
    <row r="200" spans="1:6" x14ac:dyDescent="0.25">
      <c r="A200" t="str">
        <f t="shared" si="3"/>
        <v>100900060002</v>
      </c>
      <c r="B200" s="25">
        <v>10090006</v>
      </c>
      <c r="C200" s="36" t="s">
        <v>1020</v>
      </c>
      <c r="D200" s="25" t="str">
        <f>IFERROR(VLOOKUP(B200,'[1]MPG Payment'!$C$3:$F$915,4,0),0)</f>
        <v>Direct</v>
      </c>
      <c r="E200" s="55">
        <v>413</v>
      </c>
      <c r="F200" s="23">
        <f>IFERROR(VLOOKUP(B200,'[1]Farmer Payment Calc'!$E$2:$J$5780,6,0),0)</f>
        <v>1208</v>
      </c>
    </row>
    <row r="201" spans="1:6" x14ac:dyDescent="0.25">
      <c r="A201" t="str">
        <f t="shared" si="3"/>
        <v>101300260002</v>
      </c>
      <c r="B201" s="25">
        <v>10130026</v>
      </c>
      <c r="C201" s="36" t="s">
        <v>1020</v>
      </c>
      <c r="D201" s="25" t="str">
        <f>IFERROR(VLOOKUP(B201,'[1]MPG Payment'!$C$3:$F$915,4,0),0)</f>
        <v>Direct</v>
      </c>
      <c r="E201" s="55">
        <v>57.82</v>
      </c>
      <c r="F201" s="23">
        <f>IFERROR(VLOOKUP(B201,'[1]Farmer Payment Calc'!$E$2:$J$5780,6,0),0)</f>
        <v>0</v>
      </c>
    </row>
    <row r="202" spans="1:6" x14ac:dyDescent="0.25">
      <c r="A202" t="str">
        <f t="shared" si="3"/>
        <v>101300260002</v>
      </c>
      <c r="B202" s="25">
        <v>10130026</v>
      </c>
      <c r="C202" s="36" t="s">
        <v>1020</v>
      </c>
      <c r="D202" s="25" t="str">
        <f>IFERROR(VLOOKUP(B202,'[1]MPG Payment'!$C$3:$F$915,4,0),0)</f>
        <v>Direct</v>
      </c>
      <c r="E202" s="55">
        <v>82.6</v>
      </c>
      <c r="F202" s="23">
        <f>IFERROR(VLOOKUP(B202,'[1]Farmer Payment Calc'!$E$2:$J$5780,6,0),0)</f>
        <v>0</v>
      </c>
    </row>
    <row r="203" spans="1:6" x14ac:dyDescent="0.25">
      <c r="A203" t="str">
        <f t="shared" si="3"/>
        <v>100700630002</v>
      </c>
      <c r="B203" s="24">
        <v>10070063</v>
      </c>
      <c r="C203" s="36" t="s">
        <v>1020</v>
      </c>
      <c r="D203" s="25" t="str">
        <f>IFERROR(VLOOKUP(B203,'[1]MPG Payment'!$C$3:$F$915,4,0),0)</f>
        <v>Direct</v>
      </c>
      <c r="E203" s="55">
        <v>1091.5</v>
      </c>
      <c r="F203" s="23">
        <f>IFERROR(VLOOKUP(B203,'[1]Farmer Payment Calc'!$E$2:$J$5780,6,0),0)</f>
        <v>4808.5</v>
      </c>
    </row>
    <row r="204" spans="1:6" x14ac:dyDescent="0.25">
      <c r="A204" t="str">
        <f t="shared" si="3"/>
        <v>100300030002</v>
      </c>
      <c r="B204" s="25">
        <v>10030003</v>
      </c>
      <c r="C204" s="36" t="s">
        <v>1020</v>
      </c>
      <c r="D204" s="25" t="str">
        <f>IFERROR(VLOOKUP(B204,'[1]MPG Payment'!$C$3:$F$915,4,0),0)</f>
        <v>Direct</v>
      </c>
      <c r="E204" s="55">
        <v>51.92</v>
      </c>
      <c r="F204" s="23">
        <f>IFERROR(VLOOKUP(B204,'[1]Farmer Payment Calc'!$E$2:$J$5780,6,0),0)</f>
        <v>0</v>
      </c>
    </row>
    <row r="205" spans="1:6" x14ac:dyDescent="0.25">
      <c r="A205" t="str">
        <f t="shared" si="3"/>
        <v>100300030002</v>
      </c>
      <c r="B205" s="25">
        <v>10030003</v>
      </c>
      <c r="C205" s="36" t="s">
        <v>1020</v>
      </c>
      <c r="D205" s="25" t="str">
        <f>IFERROR(VLOOKUP(B205,'[1]MPG Payment'!$C$3:$F$915,4,0),0)</f>
        <v>Direct</v>
      </c>
      <c r="E205" s="55">
        <v>147.5</v>
      </c>
      <c r="F205" s="23">
        <f>IFERROR(VLOOKUP(B205,'[1]Farmer Payment Calc'!$E$2:$J$5780,6,0),0)</f>
        <v>0</v>
      </c>
    </row>
    <row r="206" spans="1:6" x14ac:dyDescent="0.25">
      <c r="A206" t="str">
        <f t="shared" si="3"/>
        <v>100300030002</v>
      </c>
      <c r="B206" s="25">
        <v>10030003</v>
      </c>
      <c r="C206" s="36" t="s">
        <v>1020</v>
      </c>
      <c r="D206" s="25" t="str">
        <f>IFERROR(VLOOKUP(B206,'[1]MPG Payment'!$C$3:$F$915,4,0),0)</f>
        <v>Direct</v>
      </c>
      <c r="E206" s="55">
        <v>147.5</v>
      </c>
      <c r="F206" s="23">
        <f>IFERROR(VLOOKUP(B206,'[1]Farmer Payment Calc'!$E$2:$J$5780,6,0),0)</f>
        <v>0</v>
      </c>
    </row>
    <row r="207" spans="1:6" x14ac:dyDescent="0.25">
      <c r="A207" t="str">
        <f t="shared" si="3"/>
        <v>101101160002</v>
      </c>
      <c r="B207" s="24">
        <v>10110116</v>
      </c>
      <c r="C207" s="36" t="s">
        <v>1020</v>
      </c>
      <c r="D207" s="25" t="str">
        <f>IFERROR(VLOOKUP(B207,'[1]MPG Payment'!$C$3:$F$915,4,0),0)</f>
        <v>Direct</v>
      </c>
      <c r="E207" s="55">
        <v>413</v>
      </c>
      <c r="F207" s="23">
        <f>IFERROR(VLOOKUP(B207,'[1]Farmer Payment Calc'!$E$2:$J$5780,6,0),0)</f>
        <v>677.31999999999994</v>
      </c>
    </row>
    <row r="208" spans="1:6" x14ac:dyDescent="0.25">
      <c r="A208" t="str">
        <f t="shared" si="3"/>
        <v>100900210002</v>
      </c>
      <c r="B208" s="24">
        <v>10090021</v>
      </c>
      <c r="C208" s="36" t="s">
        <v>1020</v>
      </c>
      <c r="D208" s="25" t="str">
        <f>IFERROR(VLOOKUP(B208,'[1]MPG Payment'!$C$3:$F$915,4,0),0)</f>
        <v>Direct</v>
      </c>
      <c r="E208" s="55">
        <v>51.92</v>
      </c>
      <c r="F208" s="23">
        <f>IFERROR(VLOOKUP(B208,'[1]Farmer Payment Calc'!$E$2:$J$5780,6,0),0)</f>
        <v>0</v>
      </c>
    </row>
    <row r="209" spans="1:6" x14ac:dyDescent="0.25">
      <c r="A209" t="str">
        <f t="shared" si="3"/>
        <v>100900210002</v>
      </c>
      <c r="B209" s="24">
        <v>10090021</v>
      </c>
      <c r="C209" s="36" t="s">
        <v>1020</v>
      </c>
      <c r="D209" s="25" t="str">
        <f>IFERROR(VLOOKUP(B209,'[1]MPG Payment'!$C$3:$F$915,4,0),0)</f>
        <v>Direct</v>
      </c>
      <c r="E209" s="55">
        <v>51.92</v>
      </c>
      <c r="F209" s="23">
        <f>IFERROR(VLOOKUP(B209,'[1]Farmer Payment Calc'!$E$2:$J$5780,6,0),0)</f>
        <v>0</v>
      </c>
    </row>
    <row r="210" spans="1:6" x14ac:dyDescent="0.25">
      <c r="A210" t="str">
        <f t="shared" si="3"/>
        <v>100900210002</v>
      </c>
      <c r="B210" s="24">
        <v>10090021</v>
      </c>
      <c r="C210" s="36" t="s">
        <v>1020</v>
      </c>
      <c r="D210" s="25" t="str">
        <f>IFERROR(VLOOKUP(B210,'[1]MPG Payment'!$C$3:$F$915,4,0),0)</f>
        <v>Direct</v>
      </c>
      <c r="E210" s="55">
        <v>147.5</v>
      </c>
      <c r="F210" s="23">
        <f>IFERROR(VLOOKUP(B210,'[1]Farmer Payment Calc'!$E$2:$J$5780,6,0),0)</f>
        <v>0</v>
      </c>
    </row>
    <row r="211" spans="1:6" x14ac:dyDescent="0.25">
      <c r="A211" t="str">
        <f t="shared" si="3"/>
        <v>100900210002</v>
      </c>
      <c r="B211" s="24">
        <v>10090021</v>
      </c>
      <c r="C211" s="36" t="s">
        <v>1020</v>
      </c>
      <c r="D211" s="25" t="str">
        <f>IFERROR(VLOOKUP(B211,'[1]MPG Payment'!$C$3:$F$915,4,0),0)</f>
        <v>Direct</v>
      </c>
      <c r="E211" s="55">
        <v>147.5</v>
      </c>
      <c r="F211" s="23">
        <f>IFERROR(VLOOKUP(B211,'[1]Farmer Payment Calc'!$E$2:$J$5780,6,0),0)</f>
        <v>0</v>
      </c>
    </row>
    <row r="212" spans="1:6" x14ac:dyDescent="0.25">
      <c r="A212" t="str">
        <f t="shared" si="3"/>
        <v>100900360002</v>
      </c>
      <c r="B212" s="25">
        <v>10090036</v>
      </c>
      <c r="C212" s="36" t="s">
        <v>1020</v>
      </c>
      <c r="D212" s="25" t="str">
        <f>IFERROR(VLOOKUP(B212,'[1]MPG Payment'!$C$3:$F$915,4,0),0)</f>
        <v>Direct</v>
      </c>
      <c r="E212" s="55">
        <v>932.2</v>
      </c>
      <c r="F212" s="23">
        <f>IFERROR(VLOOKUP(B212,'[1]Farmer Payment Calc'!$E$2:$J$5780,6,0),0)</f>
        <v>0</v>
      </c>
    </row>
    <row r="213" spans="1:6" x14ac:dyDescent="0.25">
      <c r="A213" t="str">
        <f t="shared" si="3"/>
        <v>100900360002</v>
      </c>
      <c r="B213" s="25">
        <v>10090036</v>
      </c>
      <c r="C213" s="36" t="s">
        <v>1020</v>
      </c>
      <c r="D213" s="25" t="str">
        <f>IFERROR(VLOOKUP(B213,'[1]MPG Payment'!$C$3:$F$915,4,0),0)</f>
        <v>Direct</v>
      </c>
      <c r="E213" s="55">
        <v>82.6</v>
      </c>
      <c r="F213" s="23">
        <f>IFERROR(VLOOKUP(B213,'[1]Farmer Payment Calc'!$E$2:$J$5780,6,0),0)</f>
        <v>0</v>
      </c>
    </row>
    <row r="214" spans="1:6" x14ac:dyDescent="0.25">
      <c r="A214" t="str">
        <f t="shared" si="3"/>
        <v>100900360002</v>
      </c>
      <c r="B214" s="25">
        <v>10090036</v>
      </c>
      <c r="C214" s="36" t="s">
        <v>1020</v>
      </c>
      <c r="D214" s="25" t="str">
        <f>IFERROR(VLOOKUP(B214,'[1]MPG Payment'!$C$3:$F$915,4,0),0)</f>
        <v>Direct</v>
      </c>
      <c r="E214" s="55">
        <v>82.6</v>
      </c>
      <c r="F214" s="23">
        <f>IFERROR(VLOOKUP(B214,'[1]Farmer Payment Calc'!$E$2:$J$5780,6,0),0)</f>
        <v>0</v>
      </c>
    </row>
    <row r="215" spans="1:6" x14ac:dyDescent="0.25">
      <c r="A215" t="str">
        <f t="shared" si="3"/>
        <v>101200830002</v>
      </c>
      <c r="B215" s="24">
        <v>10120083</v>
      </c>
      <c r="C215" s="36" t="s">
        <v>1020</v>
      </c>
      <c r="D215" s="25" t="str">
        <f>IFERROR(VLOOKUP(B215,'[1]MPG Payment'!$C$3:$F$915,4,0),0)</f>
        <v>Direct</v>
      </c>
      <c r="E215" s="55">
        <v>265.5</v>
      </c>
      <c r="F215" s="23">
        <f>IFERROR(VLOOKUP(B215,'[1]Farmer Payment Calc'!$E$2:$J$5780,6,0),0)</f>
        <v>0</v>
      </c>
    </row>
    <row r="216" spans="1:6" x14ac:dyDescent="0.25">
      <c r="A216" t="str">
        <f t="shared" si="3"/>
        <v>104800050002</v>
      </c>
      <c r="B216" s="24">
        <v>10480005</v>
      </c>
      <c r="C216" s="36" t="s">
        <v>1020</v>
      </c>
      <c r="D216" s="25" t="str">
        <f>IFERROR(VLOOKUP(B216,'[1]MPG Payment'!$C$3:$F$915,4,0),0)</f>
        <v>Direct</v>
      </c>
      <c r="E216" s="55">
        <v>413</v>
      </c>
      <c r="F216" s="23">
        <f>IFERROR(VLOOKUP(B216,'[1]Farmer Payment Calc'!$E$2:$J$5780,6,0),0)</f>
        <v>0</v>
      </c>
    </row>
    <row r="217" spans="1:6" x14ac:dyDescent="0.25">
      <c r="A217" t="str">
        <f t="shared" si="3"/>
        <v>100800150002</v>
      </c>
      <c r="B217" s="24">
        <v>10080015</v>
      </c>
      <c r="C217" s="36" t="s">
        <v>1020</v>
      </c>
      <c r="D217" s="25" t="str">
        <f>IFERROR(VLOOKUP(B217,'[1]MPG Payment'!$C$3:$F$915,4,0),0)</f>
        <v>Direct</v>
      </c>
      <c r="E217" s="55">
        <v>99.12</v>
      </c>
      <c r="F217" s="23">
        <f>IFERROR(VLOOKUP(B217,'[1]Farmer Payment Calc'!$E$2:$J$5780,6,0),0)</f>
        <v>0</v>
      </c>
    </row>
    <row r="218" spans="1:6" x14ac:dyDescent="0.25">
      <c r="A218" t="str">
        <f t="shared" si="3"/>
        <v>100800150002</v>
      </c>
      <c r="B218" s="24">
        <v>10080015</v>
      </c>
      <c r="C218" s="36" t="s">
        <v>1020</v>
      </c>
      <c r="D218" s="25" t="str">
        <f>IFERROR(VLOOKUP(B218,'[1]MPG Payment'!$C$3:$F$915,4,0),0)</f>
        <v>Direct</v>
      </c>
      <c r="E218" s="55">
        <v>51.92</v>
      </c>
      <c r="F218" s="23">
        <f>IFERROR(VLOOKUP(B218,'[1]Farmer Payment Calc'!$E$2:$J$5780,6,0),0)</f>
        <v>0</v>
      </c>
    </row>
    <row r="219" spans="1:6" x14ac:dyDescent="0.25">
      <c r="A219" t="str">
        <f t="shared" si="3"/>
        <v>101200060002</v>
      </c>
      <c r="B219" s="24">
        <v>10120006</v>
      </c>
      <c r="C219" s="36" t="s">
        <v>1020</v>
      </c>
      <c r="D219" s="25" t="str">
        <f>IFERROR(VLOOKUP(B219,'[1]MPG Payment'!$C$3:$F$915,4,0),0)</f>
        <v>Direct</v>
      </c>
      <c r="E219" s="55">
        <v>2065</v>
      </c>
      <c r="F219" s="23">
        <f>IFERROR(VLOOKUP(B219,'[1]Farmer Payment Calc'!$E$2:$J$5780,6,0),0)</f>
        <v>0</v>
      </c>
    </row>
    <row r="220" spans="1:6" x14ac:dyDescent="0.25">
      <c r="A220" t="str">
        <f t="shared" si="3"/>
        <v>100300320002</v>
      </c>
      <c r="B220" s="24">
        <v>10030032</v>
      </c>
      <c r="C220" s="36" t="s">
        <v>1020</v>
      </c>
      <c r="D220" s="25" t="str">
        <f>IFERROR(VLOOKUP(B220,'[1]MPG Payment'!$C$3:$F$915,4,0),0)</f>
        <v>Direct</v>
      </c>
      <c r="E220" s="55">
        <v>99.12</v>
      </c>
      <c r="F220" s="23">
        <f>IFERROR(VLOOKUP(B220,'[1]Farmer Payment Calc'!$E$2:$J$5780,6,0),0)</f>
        <v>0</v>
      </c>
    </row>
    <row r="221" spans="1:6" x14ac:dyDescent="0.25">
      <c r="A221" t="str">
        <f t="shared" si="3"/>
        <v>101300030002</v>
      </c>
      <c r="B221" s="24">
        <v>10130003</v>
      </c>
      <c r="C221" s="36" t="s">
        <v>1020</v>
      </c>
      <c r="D221" s="25" t="str">
        <f>IFERROR(VLOOKUP(B221,'[1]MPG Payment'!$C$3:$F$915,4,0),0)</f>
        <v>Direct</v>
      </c>
      <c r="E221" s="55">
        <v>424.8</v>
      </c>
      <c r="F221" s="23">
        <f>IFERROR(VLOOKUP(B221,'[1]Farmer Payment Calc'!$E$2:$J$5780,6,0),0)</f>
        <v>0</v>
      </c>
    </row>
    <row r="222" spans="1:6" x14ac:dyDescent="0.25">
      <c r="A222" t="str">
        <f t="shared" si="3"/>
        <v>100800150002</v>
      </c>
      <c r="B222" s="24">
        <v>10080015</v>
      </c>
      <c r="C222" s="36" t="s">
        <v>1020</v>
      </c>
      <c r="D222" s="25" t="str">
        <f>IFERROR(VLOOKUP(B222,'[1]MPG Payment'!$C$3:$F$915,4,0),0)</f>
        <v>Direct</v>
      </c>
      <c r="E222" s="55">
        <v>51.92</v>
      </c>
      <c r="F222" s="23">
        <f>IFERROR(VLOOKUP(B222,'[1]Farmer Payment Calc'!$E$2:$J$5780,6,0),0)</f>
        <v>0</v>
      </c>
    </row>
    <row r="223" spans="1:6" x14ac:dyDescent="0.25">
      <c r="A223" t="str">
        <f t="shared" si="3"/>
        <v>100200680002</v>
      </c>
      <c r="B223" s="25">
        <v>10020068</v>
      </c>
      <c r="C223" s="36" t="s">
        <v>1020</v>
      </c>
      <c r="D223" s="25" t="str">
        <f>IFERROR(VLOOKUP(B223,'[1]MPG Payment'!$C$3:$F$915,4,0),0)</f>
        <v>Direct</v>
      </c>
      <c r="E223" s="55">
        <v>1062</v>
      </c>
      <c r="F223" s="23">
        <f>IFERROR(VLOOKUP(B223,'[1]Farmer Payment Calc'!$E$2:$J$5780,6,0),0)</f>
        <v>8314.2800000000007</v>
      </c>
    </row>
    <row r="224" spans="1:6" x14ac:dyDescent="0.25">
      <c r="A224" t="str">
        <f t="shared" si="3"/>
        <v>101400340002</v>
      </c>
      <c r="B224" s="25">
        <v>10140034</v>
      </c>
      <c r="C224" s="36" t="s">
        <v>1020</v>
      </c>
      <c r="D224" s="25" t="str">
        <f>IFERROR(VLOOKUP(B224,'[1]MPG Payment'!$C$3:$F$915,4,0),0)</f>
        <v>Direct</v>
      </c>
      <c r="E224" s="55">
        <v>82.6</v>
      </c>
      <c r="F224" s="23">
        <f>IFERROR(VLOOKUP(B224,'[1]Farmer Payment Calc'!$E$2:$J$5780,6,0),0)</f>
        <v>0</v>
      </c>
    </row>
    <row r="225" spans="1:6" x14ac:dyDescent="0.25">
      <c r="A225" t="str">
        <f t="shared" si="3"/>
        <v>100200680002</v>
      </c>
      <c r="B225" s="25">
        <v>10020068</v>
      </c>
      <c r="C225" s="36" t="s">
        <v>1020</v>
      </c>
      <c r="D225" s="25" t="str">
        <f>IFERROR(VLOOKUP(B225,'[1]MPG Payment'!$C$3:$F$915,4,0),0)</f>
        <v>Direct</v>
      </c>
      <c r="E225" s="55">
        <v>2454.4</v>
      </c>
      <c r="F225" s="23">
        <f>IFERROR(VLOOKUP(B225,'[1]Farmer Payment Calc'!$E$2:$J$5780,6,0),0)</f>
        <v>8314.2800000000007</v>
      </c>
    </row>
    <row r="226" spans="1:6" x14ac:dyDescent="0.25">
      <c r="A226" t="str">
        <f t="shared" si="3"/>
        <v>101401290002</v>
      </c>
      <c r="B226" s="24">
        <v>10140129</v>
      </c>
      <c r="C226" s="36" t="s">
        <v>1020</v>
      </c>
      <c r="D226" s="25" t="str">
        <f>IFERROR(VLOOKUP(B226,'[1]MPG Payment'!$C$3:$F$915,4,0),0)</f>
        <v>Direct</v>
      </c>
      <c r="E226" s="55">
        <v>1062</v>
      </c>
      <c r="F226" s="23">
        <f>IFERROR(VLOOKUP(B226,'[1]Farmer Payment Calc'!$E$2:$J$5780,6,0),0)</f>
        <v>7489.8</v>
      </c>
    </row>
    <row r="227" spans="1:6" x14ac:dyDescent="0.25">
      <c r="A227" t="str">
        <f t="shared" si="3"/>
        <v>101200250002</v>
      </c>
      <c r="B227" s="24">
        <v>10120025</v>
      </c>
      <c r="C227" s="36" t="s">
        <v>1020</v>
      </c>
      <c r="D227" s="25" t="str">
        <f>IFERROR(VLOOKUP(B227,'[1]MPG Payment'!$C$3:$F$915,4,0),0)</f>
        <v>Direct</v>
      </c>
      <c r="E227" s="55">
        <v>973.5</v>
      </c>
      <c r="F227" s="23">
        <f>IFERROR(VLOOKUP(B227,'[1]Farmer Payment Calc'!$E$2:$J$5780,6,0),0)</f>
        <v>0</v>
      </c>
    </row>
    <row r="228" spans="1:6" x14ac:dyDescent="0.25">
      <c r="A228" t="str">
        <f t="shared" si="3"/>
        <v>101200250002</v>
      </c>
      <c r="B228" s="24">
        <v>10120025</v>
      </c>
      <c r="C228" s="36" t="s">
        <v>1020</v>
      </c>
      <c r="D228" s="25" t="str">
        <f>IFERROR(VLOOKUP(B228,'[1]MPG Payment'!$C$3:$F$915,4,0),0)</f>
        <v>Direct</v>
      </c>
      <c r="E228" s="55">
        <v>424.8</v>
      </c>
      <c r="F228" s="23">
        <f>IFERROR(VLOOKUP(B228,'[1]Farmer Payment Calc'!$E$2:$J$5780,6,0),0)</f>
        <v>0</v>
      </c>
    </row>
    <row r="229" spans="1:6" x14ac:dyDescent="0.25">
      <c r="A229" t="str">
        <f t="shared" si="3"/>
        <v>100100760002</v>
      </c>
      <c r="B229" s="38">
        <v>10010076</v>
      </c>
      <c r="C229" s="36" t="s">
        <v>1020</v>
      </c>
      <c r="D229" s="25" t="str">
        <f>IFERROR(VLOOKUP(B229,'[1]MPG Payment'!$C$3:$F$915,4,0),0)</f>
        <v>Direct</v>
      </c>
      <c r="E229" s="55">
        <v>99.12</v>
      </c>
      <c r="F229" s="23">
        <f>IFERROR(VLOOKUP(B229,'[1]Farmer Payment Calc'!$E$2:$J$5780,6,0),0)</f>
        <v>1041</v>
      </c>
    </row>
    <row r="230" spans="1:6" x14ac:dyDescent="0.25">
      <c r="A230" t="str">
        <f t="shared" si="3"/>
        <v>101100210002</v>
      </c>
      <c r="B230" s="25">
        <v>10110021</v>
      </c>
      <c r="C230" s="36" t="s">
        <v>1020</v>
      </c>
      <c r="D230" s="25" t="str">
        <f>IFERROR(VLOOKUP(B230,'[1]MPG Payment'!$C$3:$F$915,4,0),0)</f>
        <v>Direct</v>
      </c>
      <c r="E230" s="55">
        <v>82.6</v>
      </c>
      <c r="F230" s="23">
        <f>IFERROR(VLOOKUP(B230,'[1]Farmer Payment Calc'!$E$2:$J$5780,6,0),0)</f>
        <v>0</v>
      </c>
    </row>
    <row r="231" spans="1:6" x14ac:dyDescent="0.25">
      <c r="A231" t="str">
        <f t="shared" si="3"/>
        <v>101100210002</v>
      </c>
      <c r="B231" s="25">
        <v>10110021</v>
      </c>
      <c r="C231" s="36" t="s">
        <v>1020</v>
      </c>
      <c r="D231" s="25" t="str">
        <f>IFERROR(VLOOKUP(B231,'[1]MPG Payment'!$C$3:$F$915,4,0),0)</f>
        <v>Direct</v>
      </c>
      <c r="E231" s="55">
        <v>82.6</v>
      </c>
      <c r="F231" s="23">
        <f>IFERROR(VLOOKUP(B231,'[1]Farmer Payment Calc'!$E$2:$J$5780,6,0),0)</f>
        <v>0</v>
      </c>
    </row>
    <row r="232" spans="1:6" x14ac:dyDescent="0.25">
      <c r="A232" t="str">
        <f t="shared" si="3"/>
        <v>101100210002</v>
      </c>
      <c r="B232" s="25">
        <v>10110021</v>
      </c>
      <c r="C232" s="36" t="s">
        <v>1020</v>
      </c>
      <c r="D232" s="25" t="str">
        <f>IFERROR(VLOOKUP(B232,'[1]MPG Payment'!$C$3:$F$915,4,0),0)</f>
        <v>Direct</v>
      </c>
      <c r="E232" s="55">
        <v>99.12</v>
      </c>
      <c r="F232" s="23">
        <f>IFERROR(VLOOKUP(B232,'[1]Farmer Payment Calc'!$E$2:$J$5780,6,0),0)</f>
        <v>0</v>
      </c>
    </row>
    <row r="233" spans="1:6" x14ac:dyDescent="0.25">
      <c r="A233" t="str">
        <f t="shared" si="3"/>
        <v>101200050002</v>
      </c>
      <c r="B233" s="24">
        <v>10120005</v>
      </c>
      <c r="C233" s="36" t="s">
        <v>1020</v>
      </c>
      <c r="D233" s="25" t="str">
        <f>IFERROR(VLOOKUP(B233,'[1]MPG Payment'!$C$3:$F$915,4,0),0)</f>
        <v>Direct</v>
      </c>
      <c r="E233" s="55">
        <v>82.6</v>
      </c>
      <c r="F233" s="23">
        <f>IFERROR(VLOOKUP(B233,'[1]Farmer Payment Calc'!$E$2:$J$5780,6,0),0)</f>
        <v>201</v>
      </c>
    </row>
    <row r="234" spans="1:6" x14ac:dyDescent="0.25">
      <c r="A234" t="str">
        <f t="shared" si="3"/>
        <v>101200050002</v>
      </c>
      <c r="B234" s="24">
        <v>10120005</v>
      </c>
      <c r="C234" s="36" t="s">
        <v>1020</v>
      </c>
      <c r="D234" s="25" t="str">
        <f>IFERROR(VLOOKUP(B234,'[1]MPG Payment'!$C$3:$F$915,4,0),0)</f>
        <v>Direct</v>
      </c>
      <c r="E234" s="55">
        <v>82.6</v>
      </c>
      <c r="F234" s="23">
        <f>IFERROR(VLOOKUP(B234,'[1]Farmer Payment Calc'!$E$2:$J$5780,6,0),0)</f>
        <v>201</v>
      </c>
    </row>
    <row r="235" spans="1:6" x14ac:dyDescent="0.25">
      <c r="A235" t="str">
        <f t="shared" si="3"/>
        <v>100100760002</v>
      </c>
      <c r="B235" s="38">
        <v>10010076</v>
      </c>
      <c r="C235" s="36" t="s">
        <v>1020</v>
      </c>
      <c r="D235" s="25" t="str">
        <f>IFERROR(VLOOKUP(B235,'[1]MPG Payment'!$C$3:$F$915,4,0),0)</f>
        <v>Direct</v>
      </c>
      <c r="E235" s="55">
        <v>82.6</v>
      </c>
      <c r="F235" s="23">
        <f>IFERROR(VLOOKUP(B235,'[1]Farmer Payment Calc'!$E$2:$J$5780,6,0),0)</f>
        <v>1041</v>
      </c>
    </row>
    <row r="236" spans="1:6" x14ac:dyDescent="0.25">
      <c r="A236" t="str">
        <f t="shared" si="3"/>
        <v>101200050002</v>
      </c>
      <c r="B236" s="24">
        <v>10120005</v>
      </c>
      <c r="C236" s="36" t="s">
        <v>1020</v>
      </c>
      <c r="D236" s="25" t="str">
        <f>IFERROR(VLOOKUP(B236,'[1]MPG Payment'!$C$3:$F$915,4,0),0)</f>
        <v>Direct</v>
      </c>
      <c r="E236" s="55">
        <v>51.92</v>
      </c>
      <c r="F236" s="23">
        <f>IFERROR(VLOOKUP(B236,'[1]Farmer Payment Calc'!$E$2:$J$5780,6,0),0)</f>
        <v>201</v>
      </c>
    </row>
    <row r="237" spans="1:6" x14ac:dyDescent="0.25">
      <c r="A237" t="str">
        <f t="shared" si="3"/>
        <v>101200050002</v>
      </c>
      <c r="B237" s="24">
        <v>10120005</v>
      </c>
      <c r="C237" s="36" t="s">
        <v>1020</v>
      </c>
      <c r="D237" s="25" t="str">
        <f>IFERROR(VLOOKUP(B237,'[1]MPG Payment'!$C$3:$F$915,4,0),0)</f>
        <v>Direct</v>
      </c>
      <c r="E237" s="55">
        <v>51.92</v>
      </c>
      <c r="F237" s="23">
        <f>IFERROR(VLOOKUP(B237,'[1]Farmer Payment Calc'!$E$2:$J$5780,6,0),0)</f>
        <v>201</v>
      </c>
    </row>
    <row r="238" spans="1:6" x14ac:dyDescent="0.25">
      <c r="A238" t="str">
        <f t="shared" si="3"/>
        <v>100100760002</v>
      </c>
      <c r="B238" s="38">
        <v>10010076</v>
      </c>
      <c r="C238" s="36" t="s">
        <v>1020</v>
      </c>
      <c r="D238" s="25" t="str">
        <f>IFERROR(VLOOKUP(B238,'[1]MPG Payment'!$C$3:$F$915,4,0),0)</f>
        <v>Direct</v>
      </c>
      <c r="E238" s="55">
        <v>413</v>
      </c>
      <c r="F238" s="23">
        <f>IFERROR(VLOOKUP(B238,'[1]Farmer Payment Calc'!$E$2:$J$5780,6,0),0)</f>
        <v>1041</v>
      </c>
    </row>
    <row r="239" spans="1:6" x14ac:dyDescent="0.25">
      <c r="A239" t="str">
        <f t="shared" si="3"/>
        <v>100600690002</v>
      </c>
      <c r="B239" s="25">
        <v>10060069</v>
      </c>
      <c r="C239" s="36" t="s">
        <v>1020</v>
      </c>
      <c r="D239" s="25" t="str">
        <f>IFERROR(VLOOKUP(B239,'[1]MPG Payment'!$C$3:$F$915,4,0),0)</f>
        <v>Direct</v>
      </c>
      <c r="E239" s="55">
        <v>920.4</v>
      </c>
      <c r="F239" s="23">
        <f>IFERROR(VLOOKUP(B239,'[1]Farmer Payment Calc'!$E$2:$J$5780,6,0),0)</f>
        <v>0</v>
      </c>
    </row>
    <row r="240" spans="1:6" x14ac:dyDescent="0.25">
      <c r="A240" t="str">
        <f t="shared" si="3"/>
        <v>100100970002</v>
      </c>
      <c r="B240" s="24">
        <v>10010097</v>
      </c>
      <c r="C240" s="36" t="s">
        <v>1020</v>
      </c>
      <c r="D240" s="25" t="str">
        <f>IFERROR(VLOOKUP(B240,'[1]MPG Payment'!$C$3:$F$915,4,0),0)</f>
        <v>Direct</v>
      </c>
      <c r="E240" s="55">
        <v>413</v>
      </c>
      <c r="F240" s="23">
        <f>IFERROR(VLOOKUP(B240,'[1]Farmer Payment Calc'!$E$2:$J$5780,6,0),0)</f>
        <v>0</v>
      </c>
    </row>
    <row r="241" spans="1:6" x14ac:dyDescent="0.25">
      <c r="A241" t="str">
        <f t="shared" si="3"/>
        <v>100100970002</v>
      </c>
      <c r="B241" s="24">
        <v>10010097</v>
      </c>
      <c r="C241" s="36" t="s">
        <v>1020</v>
      </c>
      <c r="D241" s="25" t="str">
        <f>IFERROR(VLOOKUP(B241,'[1]MPG Payment'!$C$3:$F$915,4,0),0)</f>
        <v>Direct</v>
      </c>
      <c r="E241" s="55">
        <v>99.12</v>
      </c>
      <c r="F241" s="23">
        <f>IFERROR(VLOOKUP(B241,'[1]Farmer Payment Calc'!$E$2:$J$5780,6,0),0)</f>
        <v>0</v>
      </c>
    </row>
    <row r="242" spans="1:6" x14ac:dyDescent="0.25">
      <c r="A242" t="str">
        <f t="shared" si="3"/>
        <v>100600490002</v>
      </c>
      <c r="B242" s="25">
        <v>10060049</v>
      </c>
      <c r="C242" s="36" t="s">
        <v>1020</v>
      </c>
      <c r="D242" s="25" t="str">
        <f>IFERROR(VLOOKUP(B242,'[1]MPG Payment'!$C$3:$F$915,4,0),0)</f>
        <v>Direct</v>
      </c>
      <c r="E242" s="55">
        <v>82.6</v>
      </c>
      <c r="F242" s="23">
        <f>IFERROR(VLOOKUP(B242,'[1]Farmer Payment Calc'!$E$2:$J$5780,6,0),0)</f>
        <v>165.2</v>
      </c>
    </row>
    <row r="243" spans="1:6" x14ac:dyDescent="0.25">
      <c r="A243" t="str">
        <f t="shared" si="3"/>
        <v>100600490002</v>
      </c>
      <c r="B243" s="25">
        <v>10060049</v>
      </c>
      <c r="C243" s="36" t="s">
        <v>1020</v>
      </c>
      <c r="D243" s="25" t="str">
        <f>IFERROR(VLOOKUP(B243,'[1]MPG Payment'!$C$3:$F$915,4,0),0)</f>
        <v>Direct</v>
      </c>
      <c r="E243" s="55">
        <v>82.6</v>
      </c>
      <c r="F243" s="23">
        <f>IFERROR(VLOOKUP(B243,'[1]Farmer Payment Calc'!$E$2:$J$5780,6,0),0)</f>
        <v>165.2</v>
      </c>
    </row>
    <row r="244" spans="1:6" x14ac:dyDescent="0.25">
      <c r="A244" t="str">
        <f t="shared" si="3"/>
        <v>100100440002</v>
      </c>
      <c r="B244" s="25">
        <v>10010044</v>
      </c>
      <c r="C244" s="36" t="s">
        <v>1020</v>
      </c>
      <c r="D244" s="25" t="str">
        <f>IFERROR(VLOOKUP(B244,'[1]MPG Payment'!$C$3:$F$915,4,0),0)</f>
        <v>Direct</v>
      </c>
      <c r="E244" s="55">
        <v>932.2</v>
      </c>
      <c r="F244" s="23">
        <f>IFERROR(VLOOKUP(B244,'[1]Farmer Payment Calc'!$E$2:$J$5780,6,0),0)</f>
        <v>0</v>
      </c>
    </row>
    <row r="245" spans="1:6" x14ac:dyDescent="0.25">
      <c r="A245" t="str">
        <f t="shared" si="3"/>
        <v>101201040002</v>
      </c>
      <c r="B245" s="24">
        <v>10120104</v>
      </c>
      <c r="C245" s="36" t="s">
        <v>1020</v>
      </c>
      <c r="D245" s="25" t="str">
        <f>IFERROR(VLOOKUP(B245,'[1]MPG Payment'!$C$3:$F$915,4,0),0)</f>
        <v>Direct</v>
      </c>
      <c r="E245" s="55">
        <v>1062</v>
      </c>
      <c r="F245" s="23">
        <f>IFERROR(VLOOKUP(B245,'[1]Farmer Payment Calc'!$E$2:$J$5780,6,0),0)</f>
        <v>3060.92</v>
      </c>
    </row>
    <row r="246" spans="1:6" x14ac:dyDescent="0.25">
      <c r="A246" t="str">
        <f t="shared" si="3"/>
        <v>101000510002</v>
      </c>
      <c r="B246" s="24">
        <v>10100051</v>
      </c>
      <c r="C246" s="36" t="s">
        <v>1020</v>
      </c>
      <c r="D246" s="25" t="str">
        <f>IFERROR(VLOOKUP(B246,'[1]MPG Payment'!$C$3:$F$915,4,0),0)</f>
        <v>Direct</v>
      </c>
      <c r="E246" s="55">
        <v>413</v>
      </c>
      <c r="F246" s="23">
        <f>IFERROR(VLOOKUP(B246,'[1]Farmer Payment Calc'!$E$2:$J$5780,6,0),0)</f>
        <v>512.12</v>
      </c>
    </row>
    <row r="247" spans="1:6" x14ac:dyDescent="0.25">
      <c r="A247" t="str">
        <f t="shared" si="3"/>
        <v>101000150002</v>
      </c>
      <c r="B247" s="24">
        <v>10100015</v>
      </c>
      <c r="C247" s="36" t="s">
        <v>1020</v>
      </c>
      <c r="D247" s="25" t="str">
        <f>IFERROR(VLOOKUP(B247,'[1]MPG Payment'!$C$3:$F$915,4,0),0)</f>
        <v>Direct</v>
      </c>
      <c r="E247" s="55">
        <v>3304</v>
      </c>
      <c r="F247" s="23">
        <f>IFERROR(VLOOKUP(B247,'[1]Farmer Payment Calc'!$E$2:$J$5780,6,0),0)</f>
        <v>3304</v>
      </c>
    </row>
    <row r="248" spans="1:6" x14ac:dyDescent="0.25">
      <c r="A248" t="str">
        <f t="shared" si="3"/>
        <v>100300350002</v>
      </c>
      <c r="B248" s="24">
        <v>10030035</v>
      </c>
      <c r="C248" s="36" t="s">
        <v>1020</v>
      </c>
      <c r="D248" s="25" t="str">
        <f>IFERROR(VLOOKUP(B248,'[1]MPG Payment'!$C$3:$F$915,4,0),0)</f>
        <v>Direct</v>
      </c>
      <c r="E248" s="55">
        <v>413</v>
      </c>
      <c r="F248" s="23">
        <f>IFERROR(VLOOKUP(B248,'[1]Farmer Payment Calc'!$E$2:$J$5780,6,0),0)</f>
        <v>0</v>
      </c>
    </row>
    <row r="249" spans="1:6" x14ac:dyDescent="0.25">
      <c r="A249" t="str">
        <f t="shared" si="3"/>
        <v>100600740002</v>
      </c>
      <c r="B249" s="24">
        <v>10060074</v>
      </c>
      <c r="C249" s="36" t="s">
        <v>1020</v>
      </c>
      <c r="D249" s="25" t="str">
        <f>IFERROR(VLOOKUP(B249,'[1]MPG Payment'!$C$3:$F$915,4,0),0)</f>
        <v>Direct</v>
      </c>
      <c r="E249" s="55">
        <v>2360</v>
      </c>
      <c r="F249" s="23">
        <f>IFERROR(VLOOKUP(B249,'[1]Farmer Payment Calc'!$E$2:$J$5780,6,0),0)</f>
        <v>0</v>
      </c>
    </row>
    <row r="250" spans="1:6" x14ac:dyDescent="0.25">
      <c r="A250" t="str">
        <f t="shared" si="3"/>
        <v>100900080002</v>
      </c>
      <c r="B250" s="25">
        <v>10090008</v>
      </c>
      <c r="C250" s="36" t="s">
        <v>1020</v>
      </c>
      <c r="D250" s="25" t="str">
        <f>IFERROR(VLOOKUP(B250,'[1]MPG Payment'!$C$3:$F$915,4,0),0)</f>
        <v>Direct</v>
      </c>
      <c r="E250" s="55">
        <v>3304</v>
      </c>
      <c r="F250" s="23">
        <f>IFERROR(VLOOKUP(B250,'[1]Farmer Payment Calc'!$E$2:$J$5780,6,0),0)</f>
        <v>0</v>
      </c>
    </row>
    <row r="251" spans="1:6" x14ac:dyDescent="0.25">
      <c r="A251" t="str">
        <f t="shared" si="3"/>
        <v>101200140002</v>
      </c>
      <c r="B251" s="38">
        <v>10120014</v>
      </c>
      <c r="C251" s="36" t="s">
        <v>1020</v>
      </c>
      <c r="D251" s="25" t="str">
        <f>IFERROR(VLOOKUP(B251,'[1]MPG Payment'!$C$3:$F$915,4,0),0)</f>
        <v>Direct</v>
      </c>
      <c r="E251" s="55">
        <v>82.6</v>
      </c>
      <c r="F251" s="23">
        <f>IFERROR(VLOOKUP(B251,'[1]Farmer Payment Calc'!$E$2:$J$5780,6,0),0)</f>
        <v>0</v>
      </c>
    </row>
    <row r="252" spans="1:6" x14ac:dyDescent="0.25">
      <c r="A252" t="str">
        <f t="shared" si="3"/>
        <v>101200140002</v>
      </c>
      <c r="B252" s="38">
        <v>10120014</v>
      </c>
      <c r="C252" s="36" t="s">
        <v>1020</v>
      </c>
      <c r="D252" s="25" t="str">
        <f>IFERROR(VLOOKUP(B252,'[1]MPG Payment'!$C$3:$F$915,4,0),0)</f>
        <v>Direct</v>
      </c>
      <c r="E252" s="55">
        <v>99.12</v>
      </c>
      <c r="F252" s="23">
        <f>IFERROR(VLOOKUP(B252,'[1]Farmer Payment Calc'!$E$2:$J$5780,6,0),0)</f>
        <v>0</v>
      </c>
    </row>
    <row r="253" spans="1:6" x14ac:dyDescent="0.25">
      <c r="A253" t="str">
        <f t="shared" si="3"/>
        <v>101200060002</v>
      </c>
      <c r="B253" s="24">
        <v>10120006</v>
      </c>
      <c r="C253" s="36" t="s">
        <v>1020</v>
      </c>
      <c r="D253" s="25" t="str">
        <f>IFERROR(VLOOKUP(B253,'[1]MPG Payment'!$C$3:$F$915,4,0),0)</f>
        <v>Direct</v>
      </c>
      <c r="E253" s="55">
        <v>424.8</v>
      </c>
      <c r="F253" s="23">
        <f>IFERROR(VLOOKUP(B253,'[1]Farmer Payment Calc'!$E$2:$J$5780,6,0),0)</f>
        <v>0</v>
      </c>
    </row>
    <row r="254" spans="1:6" x14ac:dyDescent="0.25">
      <c r="A254" t="str">
        <f t="shared" si="3"/>
        <v>100200320002</v>
      </c>
      <c r="B254" s="25">
        <v>10020032</v>
      </c>
      <c r="C254" s="36" t="s">
        <v>1020</v>
      </c>
      <c r="D254" s="25" t="str">
        <f>IFERROR(VLOOKUP(B254,'[1]MPG Payment'!$C$3:$F$915,4,0),0)</f>
        <v>Direct</v>
      </c>
      <c r="E254" s="55">
        <v>908.6</v>
      </c>
      <c r="F254" s="23">
        <f>IFERROR(VLOOKUP(B254,'[1]Farmer Payment Calc'!$E$2:$J$5780,6,0),0)</f>
        <v>0</v>
      </c>
    </row>
    <row r="255" spans="1:6" x14ac:dyDescent="0.25">
      <c r="A255" t="str">
        <f t="shared" si="3"/>
        <v>101300060002</v>
      </c>
      <c r="B255" s="24">
        <v>10130006</v>
      </c>
      <c r="C255" s="36" t="s">
        <v>1020</v>
      </c>
      <c r="D255" s="25" t="str">
        <f>IFERROR(VLOOKUP(B255,'[1]MPG Payment'!$C$3:$F$915,4,0),0)</f>
        <v>Direct</v>
      </c>
      <c r="E255" s="55">
        <v>1493.88</v>
      </c>
      <c r="F255" s="23">
        <f>IFERROR(VLOOKUP(B255,'[1]Farmer Payment Calc'!$E$2:$J$5780,6,0),0)</f>
        <v>0</v>
      </c>
    </row>
    <row r="256" spans="1:6" x14ac:dyDescent="0.25">
      <c r="A256" t="str">
        <f t="shared" si="3"/>
        <v>100600260002</v>
      </c>
      <c r="B256" s="25">
        <v>10060026</v>
      </c>
      <c r="C256" s="36" t="s">
        <v>1020</v>
      </c>
      <c r="D256" s="25" t="str">
        <f>IFERROR(VLOOKUP(B256,'[1]MPG Payment'!$C$3:$F$915,4,0),0)</f>
        <v>Direct</v>
      </c>
      <c r="E256" s="55">
        <v>1062</v>
      </c>
      <c r="F256" s="23">
        <f>IFERROR(VLOOKUP(B256,'[1]Farmer Payment Calc'!$E$2:$J$5780,6,0),0)</f>
        <v>0</v>
      </c>
    </row>
    <row r="257" spans="1:6" x14ac:dyDescent="0.25">
      <c r="A257" t="str">
        <f t="shared" si="3"/>
        <v>101300700002</v>
      </c>
      <c r="B257" s="24">
        <v>10130070</v>
      </c>
      <c r="C257" s="36" t="s">
        <v>1020</v>
      </c>
      <c r="D257" s="25" t="str">
        <f>IFERROR(VLOOKUP(B257,'[1]MPG Payment'!$C$3:$F$915,4,0),0)</f>
        <v>Direct</v>
      </c>
      <c r="E257" s="55">
        <v>51.92</v>
      </c>
      <c r="F257" s="23">
        <f>IFERROR(VLOOKUP(B257,'[1]Farmer Payment Calc'!$E$2:$J$5780,6,0),0)</f>
        <v>0</v>
      </c>
    </row>
    <row r="258" spans="1:6" x14ac:dyDescent="0.25">
      <c r="A258" t="str">
        <f t="shared" si="3"/>
        <v>101300700002</v>
      </c>
      <c r="B258" s="24">
        <v>10130070</v>
      </c>
      <c r="C258" s="36" t="s">
        <v>1020</v>
      </c>
      <c r="D258" s="25" t="str">
        <f>IFERROR(VLOOKUP(B258,'[1]MPG Payment'!$C$3:$F$915,4,0),0)</f>
        <v>Direct</v>
      </c>
      <c r="E258" s="55">
        <v>51.92</v>
      </c>
      <c r="F258" s="23">
        <f>IFERROR(VLOOKUP(B258,'[1]Farmer Payment Calc'!$E$2:$J$5780,6,0),0)</f>
        <v>0</v>
      </c>
    </row>
    <row r="259" spans="1:6" x14ac:dyDescent="0.25">
      <c r="A259" t="str">
        <f t="shared" ref="A259:A322" si="4">CONCATENATE(B259,C259)</f>
        <v>101300700002</v>
      </c>
      <c r="B259" s="24">
        <v>10130070</v>
      </c>
      <c r="C259" s="36" t="s">
        <v>1020</v>
      </c>
      <c r="D259" s="25" t="str">
        <f>IFERROR(VLOOKUP(B259,'[1]MPG Payment'!$C$3:$F$915,4,0),0)</f>
        <v>Direct</v>
      </c>
      <c r="E259" s="55">
        <v>99.12</v>
      </c>
      <c r="F259" s="23">
        <f>IFERROR(VLOOKUP(B259,'[1]Farmer Payment Calc'!$E$2:$J$5780,6,0),0)</f>
        <v>0</v>
      </c>
    </row>
    <row r="260" spans="1:6" x14ac:dyDescent="0.25">
      <c r="A260" t="str">
        <f t="shared" si="4"/>
        <v>101401530002</v>
      </c>
      <c r="B260" s="25">
        <v>10140153</v>
      </c>
      <c r="C260" s="36" t="s">
        <v>1020</v>
      </c>
      <c r="D260" s="25" t="str">
        <f>IFERROR(VLOOKUP(B260,'[1]MPG Payment'!$C$3:$F$915,4,0),0)</f>
        <v>Direct</v>
      </c>
      <c r="E260" s="55">
        <v>1062</v>
      </c>
      <c r="F260" s="23">
        <f>IFERROR(VLOOKUP(B260,'[1]Farmer Payment Calc'!$E$2:$J$5780,6,0),0)</f>
        <v>4630.32</v>
      </c>
    </row>
    <row r="261" spans="1:6" x14ac:dyDescent="0.25">
      <c r="A261" t="str">
        <f t="shared" si="4"/>
        <v>100200320002</v>
      </c>
      <c r="B261" s="25">
        <v>10020032</v>
      </c>
      <c r="C261" s="36" t="s">
        <v>1020</v>
      </c>
      <c r="D261" s="25" t="str">
        <f>IFERROR(VLOOKUP(B261,'[1]MPG Payment'!$C$3:$F$915,4,0),0)</f>
        <v>Direct</v>
      </c>
      <c r="E261" s="55">
        <v>165.2</v>
      </c>
      <c r="F261" s="23">
        <f>IFERROR(VLOOKUP(B261,'[1]Farmer Payment Calc'!$E$2:$J$5780,6,0),0)</f>
        <v>0</v>
      </c>
    </row>
    <row r="262" spans="1:6" x14ac:dyDescent="0.25">
      <c r="A262" t="str">
        <f t="shared" si="4"/>
        <v>101400660002</v>
      </c>
      <c r="B262" s="25">
        <v>10140066</v>
      </c>
      <c r="C262" s="36" t="s">
        <v>1020</v>
      </c>
      <c r="D262" s="25" t="str">
        <f>IFERROR(VLOOKUP(B262,'[1]MPG Payment'!$C$3:$F$915,4,0),0)</f>
        <v>Direct</v>
      </c>
      <c r="E262" s="55">
        <v>265.5</v>
      </c>
      <c r="F262" s="23">
        <f>IFERROR(VLOOKUP(B262,'[1]Farmer Payment Calc'!$E$2:$J$5780,6,0),0)</f>
        <v>0</v>
      </c>
    </row>
    <row r="263" spans="1:6" x14ac:dyDescent="0.25">
      <c r="A263" t="str">
        <f t="shared" si="4"/>
        <v>101400660002</v>
      </c>
      <c r="B263" s="25">
        <v>10140066</v>
      </c>
      <c r="C263" s="36" t="s">
        <v>1020</v>
      </c>
      <c r="D263" s="25" t="str">
        <f>IFERROR(VLOOKUP(B263,'[1]MPG Payment'!$C$3:$F$915,4,0),0)</f>
        <v>Direct</v>
      </c>
      <c r="E263" s="55">
        <v>3304</v>
      </c>
      <c r="F263" s="23">
        <f>IFERROR(VLOOKUP(B263,'[1]Farmer Payment Calc'!$E$2:$J$5780,6,0),0)</f>
        <v>0</v>
      </c>
    </row>
    <row r="264" spans="1:6" x14ac:dyDescent="0.25">
      <c r="A264" t="str">
        <f t="shared" si="4"/>
        <v>104800220002</v>
      </c>
      <c r="B264" s="25">
        <v>10480022</v>
      </c>
      <c r="C264" s="36" t="s">
        <v>1020</v>
      </c>
      <c r="D264" s="25" t="str">
        <f>IFERROR(VLOOKUP(B264,'[1]MPG Payment'!$C$3:$F$915,4,0),0)</f>
        <v>Direct</v>
      </c>
      <c r="E264" s="55">
        <v>1062</v>
      </c>
      <c r="F264" s="23">
        <f>IFERROR(VLOOKUP(B264,'[1]Farmer Payment Calc'!$E$2:$J$5780,6,0),0)</f>
        <v>0</v>
      </c>
    </row>
    <row r="265" spans="1:6" x14ac:dyDescent="0.25">
      <c r="A265" t="str">
        <f t="shared" si="4"/>
        <v>104800220002</v>
      </c>
      <c r="B265" s="25">
        <v>10480022</v>
      </c>
      <c r="C265" s="36" t="s">
        <v>1020</v>
      </c>
      <c r="D265" s="25" t="str">
        <f>IFERROR(VLOOKUP(B265,'[1]MPG Payment'!$C$3:$F$915,4,0),0)</f>
        <v>Direct</v>
      </c>
      <c r="E265" s="55">
        <v>2065</v>
      </c>
      <c r="F265" s="23">
        <f>IFERROR(VLOOKUP(B265,'[1]Farmer Payment Calc'!$E$2:$J$5780,6,0),0)</f>
        <v>0</v>
      </c>
    </row>
    <row r="266" spans="1:6" x14ac:dyDescent="0.25">
      <c r="A266" t="str">
        <f t="shared" si="4"/>
        <v>101200940002</v>
      </c>
      <c r="B266" s="25">
        <v>10120094</v>
      </c>
      <c r="C266" s="36" t="s">
        <v>1020</v>
      </c>
      <c r="D266" s="25" t="str">
        <f>IFERROR(VLOOKUP(B266,'[1]MPG Payment'!$C$3:$F$915,4,0),0)</f>
        <v>Direct</v>
      </c>
      <c r="E266" s="55">
        <v>82.6</v>
      </c>
      <c r="F266" s="23">
        <f>IFERROR(VLOOKUP(B266,'[1]Farmer Payment Calc'!$E$2:$J$5780,6,0),0)</f>
        <v>2168</v>
      </c>
    </row>
    <row r="267" spans="1:6" x14ac:dyDescent="0.25">
      <c r="A267" t="str">
        <f t="shared" si="4"/>
        <v>101200940002</v>
      </c>
      <c r="B267" s="25">
        <v>10120094</v>
      </c>
      <c r="C267" s="36" t="s">
        <v>1020</v>
      </c>
      <c r="D267" s="25" t="str">
        <f>IFERROR(VLOOKUP(B267,'[1]MPG Payment'!$C$3:$F$915,4,0),0)</f>
        <v>Direct</v>
      </c>
      <c r="E267" s="55">
        <v>908.6</v>
      </c>
      <c r="F267" s="23">
        <f>IFERROR(VLOOKUP(B267,'[1]Farmer Payment Calc'!$E$2:$J$5780,6,0),0)</f>
        <v>2168</v>
      </c>
    </row>
    <row r="268" spans="1:6" x14ac:dyDescent="0.25">
      <c r="A268" t="str">
        <f t="shared" si="4"/>
        <v>101200940002</v>
      </c>
      <c r="B268" s="25">
        <v>10120094</v>
      </c>
      <c r="C268" s="36" t="s">
        <v>1020</v>
      </c>
      <c r="D268" s="25" t="str">
        <f>IFERROR(VLOOKUP(B268,'[1]MPG Payment'!$C$3:$F$915,4,0),0)</f>
        <v>Direct</v>
      </c>
      <c r="E268" s="55">
        <v>82.6</v>
      </c>
      <c r="F268" s="23">
        <f>IFERROR(VLOOKUP(B268,'[1]Farmer Payment Calc'!$E$2:$J$5780,6,0),0)</f>
        <v>2168</v>
      </c>
    </row>
    <row r="269" spans="1:6" x14ac:dyDescent="0.25">
      <c r="A269" t="str">
        <f t="shared" si="4"/>
        <v>101201040002</v>
      </c>
      <c r="B269" s="25">
        <v>10120104</v>
      </c>
      <c r="C269" s="36" t="s">
        <v>1020</v>
      </c>
      <c r="D269" s="25" t="str">
        <f>IFERROR(VLOOKUP(B269,'[1]MPG Payment'!$C$3:$F$915,4,0),0)</f>
        <v>Direct</v>
      </c>
      <c r="E269" s="55">
        <v>99.12</v>
      </c>
      <c r="F269" s="23">
        <f>IFERROR(VLOOKUP(B269,'[1]Farmer Payment Calc'!$E$2:$J$5780,6,0),0)</f>
        <v>3060.92</v>
      </c>
    </row>
    <row r="270" spans="1:6" x14ac:dyDescent="0.25">
      <c r="A270" t="str">
        <f t="shared" si="4"/>
        <v>101401560002</v>
      </c>
      <c r="B270" s="25">
        <v>10140156</v>
      </c>
      <c r="C270" s="36" t="s">
        <v>1020</v>
      </c>
      <c r="D270" s="25" t="str">
        <f>IFERROR(VLOOKUP(B270,'[1]MPG Payment'!$C$3:$F$915,4,0),0)</f>
        <v>Direct</v>
      </c>
      <c r="E270" s="55">
        <v>1062</v>
      </c>
      <c r="F270" s="23">
        <f>IFERROR(VLOOKUP(B270,'[1]Farmer Payment Calc'!$E$2:$J$5780,6,0),0)</f>
        <v>0</v>
      </c>
    </row>
    <row r="271" spans="1:6" x14ac:dyDescent="0.25">
      <c r="A271" t="str">
        <f t="shared" si="4"/>
        <v>100801000002</v>
      </c>
      <c r="B271" s="25">
        <v>10080100</v>
      </c>
      <c r="C271" s="36" t="s">
        <v>1020</v>
      </c>
      <c r="D271" s="25" t="str">
        <f>IFERROR(VLOOKUP(B271,'[1]MPG Payment'!$C$3:$F$915,4,0),0)</f>
        <v>Direct</v>
      </c>
      <c r="E271" s="55">
        <v>1062</v>
      </c>
      <c r="F271" s="23">
        <f>IFERROR(VLOOKUP(B271,'[1]Farmer Payment Calc'!$E$2:$J$5780,6,0),0)</f>
        <v>4366</v>
      </c>
    </row>
    <row r="272" spans="1:6" x14ac:dyDescent="0.25">
      <c r="A272" t="str">
        <f t="shared" si="4"/>
        <v>100300340002</v>
      </c>
      <c r="B272" s="25">
        <v>10030034</v>
      </c>
      <c r="C272" s="36" t="s">
        <v>1020</v>
      </c>
      <c r="D272" s="25" t="str">
        <f>IFERROR(VLOOKUP(B272,'[1]MPG Payment'!$C$3:$F$915,4,0),0)</f>
        <v>Direct</v>
      </c>
      <c r="E272" s="55">
        <v>165.2</v>
      </c>
      <c r="F272" s="23">
        <f>IFERROR(VLOOKUP(B272,'[1]Farmer Payment Calc'!$E$2:$J$5780,6,0),0)</f>
        <v>165.2</v>
      </c>
    </row>
    <row r="273" spans="1:6" x14ac:dyDescent="0.25">
      <c r="A273" t="str">
        <f t="shared" si="4"/>
        <v>100300030002</v>
      </c>
      <c r="B273" s="25">
        <v>10030003</v>
      </c>
      <c r="C273" s="36" t="s">
        <v>1020</v>
      </c>
      <c r="D273" s="25" t="str">
        <f>IFERROR(VLOOKUP(B273,'[1]MPG Payment'!$C$3:$F$915,4,0),0)</f>
        <v>Direct</v>
      </c>
      <c r="E273" s="55">
        <v>3304</v>
      </c>
      <c r="F273" s="23">
        <f>IFERROR(VLOOKUP(B273,'[1]Farmer Payment Calc'!$E$2:$J$5780,6,0),0)</f>
        <v>0</v>
      </c>
    </row>
    <row r="274" spans="1:6" x14ac:dyDescent="0.25">
      <c r="A274" t="str">
        <f t="shared" si="4"/>
        <v>100601140002</v>
      </c>
      <c r="B274" s="25">
        <v>10060114</v>
      </c>
      <c r="C274" s="36" t="s">
        <v>1020</v>
      </c>
      <c r="D274" s="25" t="str">
        <f>IFERROR(VLOOKUP(B274,'[1]MPG Payment'!$C$3:$F$915,4,0),0)</f>
        <v>Direct</v>
      </c>
      <c r="E274" s="55">
        <v>413</v>
      </c>
      <c r="F274" s="23">
        <f>IFERROR(VLOOKUP(B274,'[1]Farmer Payment Calc'!$E$2:$J$5780,6,0),0)</f>
        <v>413</v>
      </c>
    </row>
    <row r="275" spans="1:6" x14ac:dyDescent="0.25">
      <c r="A275" t="str">
        <f t="shared" si="4"/>
        <v>100300190002</v>
      </c>
      <c r="B275" s="25">
        <v>10030019</v>
      </c>
      <c r="C275" s="36" t="s">
        <v>1020</v>
      </c>
      <c r="D275" s="25" t="str">
        <f>IFERROR(VLOOKUP(B275,'[1]MPG Payment'!$C$3:$F$915,4,0),0)</f>
        <v>Direct</v>
      </c>
      <c r="E275" s="55">
        <v>3304</v>
      </c>
      <c r="F275" s="23">
        <f>IFERROR(VLOOKUP(B275,'[1]Farmer Payment Calc'!$E$2:$J$5780,6,0),0)</f>
        <v>0</v>
      </c>
    </row>
    <row r="276" spans="1:6" x14ac:dyDescent="0.25">
      <c r="A276" t="str">
        <f t="shared" si="4"/>
        <v>101300120002</v>
      </c>
      <c r="B276" s="25">
        <v>10130012</v>
      </c>
      <c r="C276" s="36" t="s">
        <v>1020</v>
      </c>
      <c r="D276" s="25" t="str">
        <f>IFERROR(VLOOKUP(B276,'[1]MPG Payment'!$C$3:$F$915,4,0),0)</f>
        <v>Direct</v>
      </c>
      <c r="E276" s="55">
        <v>82.6</v>
      </c>
      <c r="F276" s="23">
        <f>IFERROR(VLOOKUP(B276,'[1]Farmer Payment Calc'!$E$2:$J$5780,6,0),0)</f>
        <v>0</v>
      </c>
    </row>
    <row r="277" spans="1:6" x14ac:dyDescent="0.25">
      <c r="A277" t="str">
        <f t="shared" si="4"/>
        <v>101300120002</v>
      </c>
      <c r="B277" s="25">
        <v>10130012</v>
      </c>
      <c r="C277" s="36" t="s">
        <v>1020</v>
      </c>
      <c r="D277" s="25" t="str">
        <f>IFERROR(VLOOKUP(B277,'[1]MPG Payment'!$C$3:$F$915,4,0),0)</f>
        <v>Direct</v>
      </c>
      <c r="E277" s="55">
        <v>82.6</v>
      </c>
      <c r="F277" s="23">
        <f>IFERROR(VLOOKUP(B277,'[1]Farmer Payment Calc'!$E$2:$J$5780,6,0),0)</f>
        <v>0</v>
      </c>
    </row>
    <row r="278" spans="1:6" x14ac:dyDescent="0.25">
      <c r="A278" t="str">
        <f t="shared" si="4"/>
        <v>101200510002</v>
      </c>
      <c r="B278" s="25">
        <v>10120051</v>
      </c>
      <c r="C278" s="36" t="s">
        <v>1020</v>
      </c>
      <c r="D278" s="25" t="str">
        <f>IFERROR(VLOOKUP(B278,'[1]MPG Payment'!$C$3:$F$915,4,0),0)</f>
        <v>Direct</v>
      </c>
      <c r="E278" s="55">
        <v>2454.4</v>
      </c>
      <c r="F278" s="23">
        <f>IFERROR(VLOOKUP(B278,'[1]Farmer Payment Calc'!$E$2:$J$5780,6,0),0)</f>
        <v>2636.12</v>
      </c>
    </row>
    <row r="279" spans="1:6" x14ac:dyDescent="0.25">
      <c r="A279" t="str">
        <f t="shared" si="4"/>
        <v>101200940002</v>
      </c>
      <c r="B279" s="25">
        <v>10120094</v>
      </c>
      <c r="C279" s="36" t="s">
        <v>1020</v>
      </c>
      <c r="D279" s="25" t="str">
        <f>IFERROR(VLOOKUP(B279,'[1]MPG Payment'!$C$3:$F$915,4,0),0)</f>
        <v>Direct</v>
      </c>
      <c r="E279" s="55">
        <v>973.5</v>
      </c>
      <c r="F279" s="23">
        <f>IFERROR(VLOOKUP(B279,'[1]Farmer Payment Calc'!$E$2:$J$5780,6,0),0)</f>
        <v>2168</v>
      </c>
    </row>
    <row r="280" spans="1:6" x14ac:dyDescent="0.25">
      <c r="A280" t="str">
        <f t="shared" si="4"/>
        <v>100200680002</v>
      </c>
      <c r="B280" s="25">
        <v>10020068</v>
      </c>
      <c r="C280" s="36" t="s">
        <v>1020</v>
      </c>
      <c r="D280" s="25" t="str">
        <f>IFERROR(VLOOKUP(B280,'[1]MPG Payment'!$C$3:$F$915,4,0),0)</f>
        <v>Direct</v>
      </c>
      <c r="E280" s="55">
        <v>1493.88</v>
      </c>
      <c r="F280" s="23">
        <f>IFERROR(VLOOKUP(B280,'[1]Farmer Payment Calc'!$E$2:$J$5780,6,0),0)</f>
        <v>8314.2800000000007</v>
      </c>
    </row>
    <row r="281" spans="1:6" x14ac:dyDescent="0.25">
      <c r="A281" t="str">
        <f t="shared" si="4"/>
        <v>100200680002</v>
      </c>
      <c r="B281" s="25">
        <v>10020068</v>
      </c>
      <c r="C281" s="36" t="s">
        <v>1020</v>
      </c>
      <c r="D281" s="25" t="str">
        <f>IFERROR(VLOOKUP(B281,'[1]MPG Payment'!$C$3:$F$915,4,0),0)</f>
        <v>Direct</v>
      </c>
      <c r="E281" s="55">
        <v>3304</v>
      </c>
      <c r="F281" s="23">
        <f>IFERROR(VLOOKUP(B281,'[1]Farmer Payment Calc'!$E$2:$J$5780,6,0),0)</f>
        <v>8314.2800000000007</v>
      </c>
    </row>
    <row r="282" spans="1:6" x14ac:dyDescent="0.25">
      <c r="A282" t="str">
        <f t="shared" si="4"/>
        <v>100300230002</v>
      </c>
      <c r="B282" s="25">
        <v>10030023</v>
      </c>
      <c r="C282" s="36" t="s">
        <v>1020</v>
      </c>
      <c r="D282" s="25" t="str">
        <f>IFERROR(VLOOKUP(B282,'[1]MPG Payment'!$C$3:$F$915,4,0),0)</f>
        <v>Direct</v>
      </c>
      <c r="E282" s="55">
        <v>413</v>
      </c>
      <c r="F282" s="23">
        <f>IFERROR(VLOOKUP(B282,'[1]Farmer Payment Calc'!$E$2:$J$5780,6,0),0)</f>
        <v>0</v>
      </c>
    </row>
    <row r="283" spans="1:6" x14ac:dyDescent="0.25">
      <c r="A283" t="str">
        <f t="shared" si="4"/>
        <v>100801000002</v>
      </c>
      <c r="B283" s="25">
        <v>10080100</v>
      </c>
      <c r="C283" s="36" t="s">
        <v>1020</v>
      </c>
      <c r="D283" s="25" t="str">
        <f>IFERROR(VLOOKUP(B283,'[1]MPG Payment'!$C$3:$F$915,4,0),0)</f>
        <v>Direct</v>
      </c>
      <c r="E283" s="55">
        <v>3304</v>
      </c>
      <c r="F283" s="23">
        <f>IFERROR(VLOOKUP(B283,'[1]Farmer Payment Calc'!$E$2:$J$5780,6,0),0)</f>
        <v>4366</v>
      </c>
    </row>
    <row r="284" spans="1:6" x14ac:dyDescent="0.25">
      <c r="A284" t="str">
        <f t="shared" si="4"/>
        <v>101401530002</v>
      </c>
      <c r="B284" s="25">
        <v>10140153</v>
      </c>
      <c r="C284" s="36" t="s">
        <v>1020</v>
      </c>
      <c r="D284" s="25" t="str">
        <f>IFERROR(VLOOKUP(B284,'[1]MPG Payment'!$C$3:$F$915,4,0),0)</f>
        <v>Direct</v>
      </c>
      <c r="E284" s="55">
        <v>82.6</v>
      </c>
      <c r="F284" s="23">
        <f>IFERROR(VLOOKUP(B284,'[1]Farmer Payment Calc'!$E$2:$J$5780,6,0),0)</f>
        <v>4630.32</v>
      </c>
    </row>
    <row r="285" spans="1:6" x14ac:dyDescent="0.25">
      <c r="A285" t="str">
        <f t="shared" si="4"/>
        <v>101401530002</v>
      </c>
      <c r="B285" s="25">
        <v>10140153</v>
      </c>
      <c r="C285" s="36" t="s">
        <v>1020</v>
      </c>
      <c r="D285" s="25" t="str">
        <f>IFERROR(VLOOKUP(B285,'[1]MPG Payment'!$C$3:$F$915,4,0),0)</f>
        <v>Direct</v>
      </c>
      <c r="E285" s="55">
        <v>82.6</v>
      </c>
      <c r="F285" s="23">
        <f>IFERROR(VLOOKUP(B285,'[1]Farmer Payment Calc'!$E$2:$J$5780,6,0),0)</f>
        <v>4630.32</v>
      </c>
    </row>
    <row r="286" spans="1:6" x14ac:dyDescent="0.25">
      <c r="A286" t="str">
        <f t="shared" si="4"/>
        <v>101401530002</v>
      </c>
      <c r="B286" s="25">
        <v>10140153</v>
      </c>
      <c r="C286" s="36" t="s">
        <v>1020</v>
      </c>
      <c r="D286" s="25" t="str">
        <f>IFERROR(VLOOKUP(B286,'[1]MPG Payment'!$C$3:$F$915,4,0),0)</f>
        <v>Direct</v>
      </c>
      <c r="E286" s="55">
        <v>99.12</v>
      </c>
      <c r="F286" s="23">
        <f>IFERROR(VLOOKUP(B286,'[1]Farmer Payment Calc'!$E$2:$J$5780,6,0),0)</f>
        <v>4630.32</v>
      </c>
    </row>
    <row r="287" spans="1:6" x14ac:dyDescent="0.25">
      <c r="A287" t="str">
        <f t="shared" si="4"/>
        <v>101401310002</v>
      </c>
      <c r="B287" s="25">
        <v>10140131</v>
      </c>
      <c r="C287" s="36" t="s">
        <v>1020</v>
      </c>
      <c r="D287" s="25" t="str">
        <f>IFERROR(VLOOKUP(B287,'[1]MPG Payment'!$C$3:$F$915,4,0),0)</f>
        <v>Direct</v>
      </c>
      <c r="E287" s="55">
        <v>3304</v>
      </c>
      <c r="F287" s="23">
        <f>IFERROR(VLOOKUP(B287,'[1]Farmer Payment Calc'!$E$2:$J$5780,6,0),0)</f>
        <v>5859.88</v>
      </c>
    </row>
    <row r="288" spans="1:6" x14ac:dyDescent="0.25">
      <c r="A288" t="str">
        <f t="shared" si="4"/>
        <v>101200060002</v>
      </c>
      <c r="B288" s="25">
        <v>10120006</v>
      </c>
      <c r="C288" s="36" t="s">
        <v>1020</v>
      </c>
      <c r="D288" s="25" t="str">
        <f>IFERROR(VLOOKUP(B288,'[1]MPG Payment'!$C$3:$F$915,4,0),0)</f>
        <v>Direct</v>
      </c>
      <c r="E288" s="55">
        <v>973.5</v>
      </c>
      <c r="F288" s="23">
        <f>IFERROR(VLOOKUP(B288,'[1]Farmer Payment Calc'!$E$2:$J$5780,6,0),0)</f>
        <v>0</v>
      </c>
    </row>
    <row r="289" spans="1:6" x14ac:dyDescent="0.25">
      <c r="A289" t="str">
        <f t="shared" si="4"/>
        <v>101200310002</v>
      </c>
      <c r="B289" s="25">
        <v>10120031</v>
      </c>
      <c r="C289" s="36" t="s">
        <v>1020</v>
      </c>
      <c r="D289" s="25" t="str">
        <f>IFERROR(VLOOKUP(B289,'[1]MPG Payment'!$C$3:$F$915,4,0),0)</f>
        <v>Direct</v>
      </c>
      <c r="E289" s="55">
        <v>57.82</v>
      </c>
      <c r="F289" s="23">
        <f>IFERROR(VLOOKUP(B289,'[1]Farmer Payment Calc'!$E$2:$J$5780,6,0),0)</f>
        <v>0</v>
      </c>
    </row>
    <row r="290" spans="1:6" x14ac:dyDescent="0.25">
      <c r="A290" t="str">
        <f t="shared" si="4"/>
        <v>101200310002</v>
      </c>
      <c r="B290" s="25">
        <v>10120031</v>
      </c>
      <c r="C290" s="36" t="s">
        <v>1020</v>
      </c>
      <c r="D290" s="25" t="str">
        <f>IFERROR(VLOOKUP(B290,'[1]MPG Payment'!$C$3:$F$915,4,0),0)</f>
        <v>Direct</v>
      </c>
      <c r="E290" s="55">
        <v>165.2</v>
      </c>
      <c r="F290" s="23">
        <f>IFERROR(VLOOKUP(B290,'[1]Farmer Payment Calc'!$E$2:$J$5780,6,0),0)</f>
        <v>0</v>
      </c>
    </row>
    <row r="291" spans="1:6" x14ac:dyDescent="0.25">
      <c r="A291" t="str">
        <f t="shared" si="4"/>
        <v>101000090002</v>
      </c>
      <c r="B291" s="26">
        <v>10100009</v>
      </c>
      <c r="C291" s="36" t="s">
        <v>1020</v>
      </c>
      <c r="D291" s="25" t="str">
        <f>IFERROR(VLOOKUP(B291,'[1]MPG Payment'!$C$3:$F$915,4,0),0)</f>
        <v>Direct</v>
      </c>
      <c r="E291" s="55">
        <v>932.2</v>
      </c>
      <c r="F291" s="23">
        <f>IFERROR(VLOOKUP(B291,'[1]Farmer Payment Calc'!$E$2:$J$5780,6,0),0)</f>
        <v>1014.8000000000001</v>
      </c>
    </row>
    <row r="292" spans="1:6" x14ac:dyDescent="0.25">
      <c r="A292" t="str">
        <f t="shared" si="4"/>
        <v>101000090002</v>
      </c>
      <c r="B292" s="26">
        <v>10100009</v>
      </c>
      <c r="C292" s="36" t="s">
        <v>1020</v>
      </c>
      <c r="D292" s="25" t="str">
        <f>IFERROR(VLOOKUP(B292,'[1]MPG Payment'!$C$3:$F$915,4,0),0)</f>
        <v>Direct</v>
      </c>
      <c r="E292" s="55">
        <v>82.6</v>
      </c>
      <c r="F292" s="23">
        <f>IFERROR(VLOOKUP(B292,'[1]Farmer Payment Calc'!$E$2:$J$5780,6,0),0)</f>
        <v>1014.8000000000001</v>
      </c>
    </row>
    <row r="293" spans="1:6" x14ac:dyDescent="0.25">
      <c r="A293" t="str">
        <f t="shared" si="4"/>
        <v>100700330002</v>
      </c>
      <c r="B293" s="26">
        <v>10070033</v>
      </c>
      <c r="C293" s="36" t="s">
        <v>1020</v>
      </c>
      <c r="D293" s="25" t="str">
        <f>IFERROR(VLOOKUP(B293,'[1]MPG Payment'!$C$3:$F$915,4,0),0)</f>
        <v>Direct</v>
      </c>
      <c r="E293" s="55">
        <v>82.6</v>
      </c>
      <c r="F293" s="23">
        <f>IFERROR(VLOOKUP(B293,'[1]Farmer Payment Calc'!$E$2:$J$5780,6,0),0)</f>
        <v>165.2</v>
      </c>
    </row>
    <row r="294" spans="1:6" x14ac:dyDescent="0.25">
      <c r="A294" t="str">
        <f t="shared" si="4"/>
        <v>100700330002</v>
      </c>
      <c r="B294" s="26">
        <v>10070033</v>
      </c>
      <c r="C294" s="36" t="s">
        <v>1020</v>
      </c>
      <c r="D294" s="25" t="str">
        <f>IFERROR(VLOOKUP(B294,'[1]MPG Payment'!$C$3:$F$915,4,0),0)</f>
        <v>Direct</v>
      </c>
      <c r="E294" s="55">
        <v>82.6</v>
      </c>
      <c r="F294" s="23">
        <f>IFERROR(VLOOKUP(B294,'[1]Farmer Payment Calc'!$E$2:$J$5780,6,0),0)</f>
        <v>165.2</v>
      </c>
    </row>
    <row r="295" spans="1:6" x14ac:dyDescent="0.25">
      <c r="A295" t="str">
        <f t="shared" si="4"/>
        <v>102500010002</v>
      </c>
      <c r="B295" s="25">
        <v>10250001</v>
      </c>
      <c r="C295" s="36" t="s">
        <v>1020</v>
      </c>
      <c r="D295" s="25" t="str">
        <f>IFERROR(VLOOKUP(B295,'[1]MPG Payment'!$C$3:$F$915,4,0),0)</f>
        <v>Direct</v>
      </c>
      <c r="E295" s="55">
        <v>82.6</v>
      </c>
      <c r="F295" s="23">
        <f>IFERROR(VLOOKUP(B295,'[1]Farmer Payment Calc'!$E$2:$J$5780,6,0),0)</f>
        <v>0</v>
      </c>
    </row>
    <row r="296" spans="1:6" x14ac:dyDescent="0.25">
      <c r="A296" t="str">
        <f t="shared" si="4"/>
        <v>100100380002</v>
      </c>
      <c r="B296" s="25">
        <v>10010038</v>
      </c>
      <c r="C296" s="36" t="s">
        <v>1020</v>
      </c>
      <c r="D296" s="25" t="str">
        <f>IFERROR(VLOOKUP(B296,'[1]MPG Payment'!$C$3:$F$915,4,0),0)</f>
        <v>Direct</v>
      </c>
      <c r="E296" s="55">
        <v>99.12</v>
      </c>
      <c r="F296" s="23">
        <f>IFERROR(VLOOKUP(B296,'[1]Farmer Payment Calc'!$E$2:$J$5780,6,0),0)</f>
        <v>615.96</v>
      </c>
    </row>
    <row r="297" spans="1:6" x14ac:dyDescent="0.25">
      <c r="A297" t="str">
        <f t="shared" si="4"/>
        <v>100100380002</v>
      </c>
      <c r="B297" s="25">
        <v>10010038</v>
      </c>
      <c r="C297" s="36" t="s">
        <v>1020</v>
      </c>
      <c r="D297" s="25" t="str">
        <f>IFERROR(VLOOKUP(B297,'[1]MPG Payment'!$C$3:$F$915,4,0),0)</f>
        <v>Direct</v>
      </c>
      <c r="E297" s="55">
        <v>51.92</v>
      </c>
      <c r="F297" s="23">
        <f>IFERROR(VLOOKUP(B297,'[1]Farmer Payment Calc'!$E$2:$J$5780,6,0),0)</f>
        <v>615.96</v>
      </c>
    </row>
    <row r="298" spans="1:6" x14ac:dyDescent="0.25">
      <c r="A298" t="str">
        <f t="shared" si="4"/>
        <v>100100380002</v>
      </c>
      <c r="B298" s="25">
        <v>10010038</v>
      </c>
      <c r="C298" s="36" t="s">
        <v>1020</v>
      </c>
      <c r="D298" s="25" t="str">
        <f>IFERROR(VLOOKUP(B298,'[1]MPG Payment'!$C$3:$F$915,4,0),0)</f>
        <v>Direct</v>
      </c>
      <c r="E298" s="55">
        <v>51.92</v>
      </c>
      <c r="F298" s="23">
        <f>IFERROR(VLOOKUP(B298,'[1]Farmer Payment Calc'!$E$2:$J$5780,6,0),0)</f>
        <v>615.96</v>
      </c>
    </row>
    <row r="299" spans="1:6" x14ac:dyDescent="0.25">
      <c r="A299" t="str">
        <f t="shared" si="4"/>
        <v>101200830002</v>
      </c>
      <c r="B299" s="25">
        <v>10120083</v>
      </c>
      <c r="C299" s="36" t="s">
        <v>1020</v>
      </c>
      <c r="D299" s="25" t="str">
        <f>IFERROR(VLOOKUP(B299,'[1]MPG Payment'!$C$3:$F$915,4,0),0)</f>
        <v>Direct</v>
      </c>
      <c r="E299" s="55">
        <v>82.6</v>
      </c>
      <c r="F299" s="23">
        <f>IFERROR(VLOOKUP(B299,'[1]Farmer Payment Calc'!$E$2:$J$5780,6,0),0)</f>
        <v>0</v>
      </c>
    </row>
    <row r="300" spans="1:6" x14ac:dyDescent="0.25">
      <c r="A300" t="str">
        <f t="shared" si="4"/>
        <v>101200830002</v>
      </c>
      <c r="B300" s="25">
        <v>10120083</v>
      </c>
      <c r="C300" s="36" t="s">
        <v>1020</v>
      </c>
      <c r="D300" s="25" t="str">
        <f>IFERROR(VLOOKUP(B300,'[1]MPG Payment'!$C$3:$F$915,4,0),0)</f>
        <v>Direct</v>
      </c>
      <c r="E300" s="55">
        <v>82.6</v>
      </c>
      <c r="F300" s="23">
        <f>IFERROR(VLOOKUP(B300,'[1]Farmer Payment Calc'!$E$2:$J$5780,6,0),0)</f>
        <v>0</v>
      </c>
    </row>
    <row r="301" spans="1:6" x14ac:dyDescent="0.25">
      <c r="A301" t="str">
        <f t="shared" si="4"/>
        <v>101200830002</v>
      </c>
      <c r="B301" s="25">
        <v>10120083</v>
      </c>
      <c r="C301" s="36" t="s">
        <v>1020</v>
      </c>
      <c r="D301" s="25" t="str">
        <f>IFERROR(VLOOKUP(B301,'[1]MPG Payment'!$C$3:$F$915,4,0),0)</f>
        <v>Direct</v>
      </c>
      <c r="E301" s="55">
        <v>57.82</v>
      </c>
      <c r="F301" s="23">
        <f>IFERROR(VLOOKUP(B301,'[1]Farmer Payment Calc'!$E$2:$J$5780,6,0),0)</f>
        <v>0</v>
      </c>
    </row>
    <row r="302" spans="1:6" x14ac:dyDescent="0.25">
      <c r="A302" t="str">
        <f t="shared" si="4"/>
        <v>101200830002</v>
      </c>
      <c r="B302" s="25">
        <v>10120083</v>
      </c>
      <c r="C302" s="36" t="s">
        <v>1020</v>
      </c>
      <c r="D302" s="25" t="str">
        <f>IFERROR(VLOOKUP(B302,'[1]MPG Payment'!$C$3:$F$915,4,0),0)</f>
        <v>Direct</v>
      </c>
      <c r="E302" s="55">
        <v>57.82</v>
      </c>
      <c r="F302" s="23">
        <f>IFERROR(VLOOKUP(B302,'[1]Farmer Payment Calc'!$E$2:$J$5780,6,0),0)</f>
        <v>0</v>
      </c>
    </row>
    <row r="303" spans="1:6" x14ac:dyDescent="0.25">
      <c r="A303" t="str">
        <f t="shared" si="4"/>
        <v>100700160002</v>
      </c>
      <c r="B303" s="26">
        <v>10070016</v>
      </c>
      <c r="C303" s="36" t="s">
        <v>1020</v>
      </c>
      <c r="D303" s="25" t="str">
        <f>IFERROR(VLOOKUP(B303,'[1]MPG Payment'!$C$3:$F$915,4,0),0)</f>
        <v>Direct</v>
      </c>
      <c r="E303" s="55">
        <v>413</v>
      </c>
      <c r="F303" s="23">
        <f>IFERROR(VLOOKUP(B303,'[1]Farmer Payment Calc'!$E$2:$J$5780,6,0),0)</f>
        <v>0</v>
      </c>
    </row>
    <row r="304" spans="1:6" x14ac:dyDescent="0.25">
      <c r="A304" t="str">
        <f t="shared" si="4"/>
        <v>100300270002</v>
      </c>
      <c r="B304" s="25">
        <v>10030027</v>
      </c>
      <c r="C304" s="36" t="s">
        <v>1020</v>
      </c>
      <c r="D304" s="25" t="str">
        <f>IFERROR(VLOOKUP(B304,'[1]MPG Payment'!$C$3:$F$915,4,0),0)</f>
        <v>Direct</v>
      </c>
      <c r="E304" s="55">
        <v>413</v>
      </c>
      <c r="F304" s="23">
        <f>IFERROR(VLOOKUP(B304,'[1]Farmer Payment Calc'!$E$2:$J$5780,6,0),0)</f>
        <v>0</v>
      </c>
    </row>
    <row r="305" spans="1:6" x14ac:dyDescent="0.25">
      <c r="A305" t="str">
        <f t="shared" si="4"/>
        <v>101300320002</v>
      </c>
      <c r="B305" s="25">
        <v>10130032</v>
      </c>
      <c r="C305" s="36" t="s">
        <v>1020</v>
      </c>
      <c r="D305" s="25" t="str">
        <f>IFERROR(VLOOKUP(B305,'[1]MPG Payment'!$C$3:$F$915,4,0),0)</f>
        <v>Direct</v>
      </c>
      <c r="E305" s="55">
        <v>2454.4</v>
      </c>
      <c r="F305" s="23">
        <f>IFERROR(VLOOKUP(B305,'[1]Farmer Payment Calc'!$E$2:$J$5780,6,0),0)</f>
        <v>2879.2000000000003</v>
      </c>
    </row>
    <row r="306" spans="1:6" x14ac:dyDescent="0.25">
      <c r="A306" t="str">
        <f t="shared" si="4"/>
        <v>101300120002</v>
      </c>
      <c r="B306" s="25">
        <v>10130012</v>
      </c>
      <c r="C306" s="36" t="s">
        <v>1020</v>
      </c>
      <c r="D306" s="25" t="str">
        <f>IFERROR(VLOOKUP(B306,'[1]MPG Payment'!$C$3:$F$915,4,0),0)</f>
        <v>Direct</v>
      </c>
      <c r="E306" s="55">
        <v>51.92</v>
      </c>
      <c r="F306" s="23">
        <f>IFERROR(VLOOKUP(B306,'[1]Farmer Payment Calc'!$E$2:$J$5780,6,0),0)</f>
        <v>0</v>
      </c>
    </row>
    <row r="307" spans="1:6" x14ac:dyDescent="0.25">
      <c r="A307" t="str">
        <f t="shared" si="4"/>
        <v>101300120002</v>
      </c>
      <c r="B307" s="25">
        <v>10130012</v>
      </c>
      <c r="C307" s="36" t="s">
        <v>1020</v>
      </c>
      <c r="D307" s="25" t="str">
        <f>IFERROR(VLOOKUP(B307,'[1]MPG Payment'!$C$3:$F$915,4,0),0)</f>
        <v>Direct</v>
      </c>
      <c r="E307" s="55">
        <v>51.92</v>
      </c>
      <c r="F307" s="23">
        <f>IFERROR(VLOOKUP(B307,'[1]Farmer Payment Calc'!$E$2:$J$5780,6,0),0)</f>
        <v>0</v>
      </c>
    </row>
    <row r="308" spans="1:6" x14ac:dyDescent="0.25">
      <c r="A308" t="str">
        <f t="shared" si="4"/>
        <v>101300120002</v>
      </c>
      <c r="B308" s="25">
        <v>10130012</v>
      </c>
      <c r="C308" s="36" t="s">
        <v>1020</v>
      </c>
      <c r="D308" s="25" t="str">
        <f>IFERROR(VLOOKUP(B308,'[1]MPG Payment'!$C$3:$F$915,4,0),0)</f>
        <v>Direct</v>
      </c>
      <c r="E308" s="55">
        <v>82.6</v>
      </c>
      <c r="F308" s="23">
        <f>IFERROR(VLOOKUP(B308,'[1]Farmer Payment Calc'!$E$2:$J$5780,6,0),0)</f>
        <v>0</v>
      </c>
    </row>
    <row r="309" spans="1:6" x14ac:dyDescent="0.25">
      <c r="A309" t="str">
        <f t="shared" si="4"/>
        <v>101300120002</v>
      </c>
      <c r="B309" s="25">
        <v>10130012</v>
      </c>
      <c r="C309" s="36" t="s">
        <v>1020</v>
      </c>
      <c r="D309" s="25" t="str">
        <f>IFERROR(VLOOKUP(B309,'[1]MPG Payment'!$C$3:$F$915,4,0),0)</f>
        <v>Direct</v>
      </c>
      <c r="E309" s="55">
        <v>82.6</v>
      </c>
      <c r="F309" s="23">
        <f>IFERROR(VLOOKUP(B309,'[1]Farmer Payment Calc'!$E$2:$J$5780,6,0),0)</f>
        <v>0</v>
      </c>
    </row>
    <row r="310" spans="1:6" x14ac:dyDescent="0.25">
      <c r="A310" t="str">
        <f t="shared" si="4"/>
        <v>101300030002</v>
      </c>
      <c r="B310" s="25">
        <v>10130003</v>
      </c>
      <c r="C310" s="36" t="s">
        <v>1020</v>
      </c>
      <c r="D310" s="25" t="str">
        <f>IFERROR(VLOOKUP(B310,'[1]MPG Payment'!$C$3:$F$915,4,0),0)</f>
        <v>Direct</v>
      </c>
      <c r="E310" s="55">
        <v>76.7</v>
      </c>
      <c r="F310" s="23">
        <f>IFERROR(VLOOKUP(B310,'[1]Farmer Payment Calc'!$E$2:$J$5780,6,0),0)</f>
        <v>0</v>
      </c>
    </row>
    <row r="311" spans="1:6" x14ac:dyDescent="0.25">
      <c r="A311" t="str">
        <f t="shared" si="4"/>
        <v>101300030002</v>
      </c>
      <c r="B311" s="25">
        <v>10130003</v>
      </c>
      <c r="C311" s="36" t="s">
        <v>1020</v>
      </c>
      <c r="D311" s="25" t="str">
        <f>IFERROR(VLOOKUP(B311,'[1]MPG Payment'!$C$3:$F$915,4,0),0)</f>
        <v>Direct</v>
      </c>
      <c r="E311" s="55">
        <v>1091.5</v>
      </c>
      <c r="F311" s="23">
        <f>IFERROR(VLOOKUP(B311,'[1]Farmer Payment Calc'!$E$2:$J$5780,6,0),0)</f>
        <v>0</v>
      </c>
    </row>
    <row r="312" spans="1:6" x14ac:dyDescent="0.25">
      <c r="A312" t="str">
        <f t="shared" si="4"/>
        <v>100300530002</v>
      </c>
      <c r="B312" s="26">
        <v>10030053</v>
      </c>
      <c r="C312" s="36" t="s">
        <v>1020</v>
      </c>
      <c r="D312" s="25" t="str">
        <f>IFERROR(VLOOKUP(B312,'[1]MPG Payment'!$C$3:$F$915,4,0),0)</f>
        <v>Direct</v>
      </c>
      <c r="E312" s="55">
        <v>3304</v>
      </c>
      <c r="F312" s="23">
        <f>IFERROR(VLOOKUP(B312,'[1]Farmer Payment Calc'!$E$2:$J$5780,6,0),0)</f>
        <v>0</v>
      </c>
    </row>
    <row r="313" spans="1:6" x14ac:dyDescent="0.25">
      <c r="A313" t="str">
        <f t="shared" si="4"/>
        <v>100601160002</v>
      </c>
      <c r="B313" s="25">
        <v>10060116</v>
      </c>
      <c r="C313" s="36" t="s">
        <v>1020</v>
      </c>
      <c r="D313" s="25" t="str">
        <f>IFERROR(VLOOKUP(B313,'[1]MPG Payment'!$C$3:$F$915,4,0),0)</f>
        <v>Direct</v>
      </c>
      <c r="E313" s="55">
        <v>413</v>
      </c>
      <c r="F313" s="23">
        <f>IFERROR(VLOOKUP(B313,'[1]Farmer Payment Calc'!$E$2:$J$5780,6,0),0)</f>
        <v>0</v>
      </c>
    </row>
    <row r="314" spans="1:6" x14ac:dyDescent="0.25">
      <c r="A314" t="str">
        <f t="shared" si="4"/>
        <v>100200700002</v>
      </c>
      <c r="B314" s="25">
        <v>10020070</v>
      </c>
      <c r="C314" s="36" t="s">
        <v>1020</v>
      </c>
      <c r="D314" s="25" t="str">
        <f>IFERROR(VLOOKUP(B314,'[1]MPG Payment'!$C$3:$F$915,4,0),0)</f>
        <v>Direct</v>
      </c>
      <c r="E314" s="55">
        <v>413</v>
      </c>
      <c r="F314" s="23">
        <f>IFERROR(VLOOKUP(B314,'[1]Farmer Payment Calc'!$E$2:$J$5780,6,0),0)</f>
        <v>0</v>
      </c>
    </row>
    <row r="315" spans="1:6" x14ac:dyDescent="0.25">
      <c r="A315" t="str">
        <f t="shared" si="4"/>
        <v>100900060002</v>
      </c>
      <c r="B315" s="25">
        <v>10090006</v>
      </c>
      <c r="C315" s="36" t="s">
        <v>1020</v>
      </c>
      <c r="D315" s="25" t="str">
        <f>IFERROR(VLOOKUP(B315,'[1]MPG Payment'!$C$3:$F$915,4,0),0)</f>
        <v>Direct</v>
      </c>
      <c r="E315" s="55">
        <v>413</v>
      </c>
      <c r="F315" s="23">
        <f>IFERROR(VLOOKUP(B315,'[1]Farmer Payment Calc'!$E$2:$J$5780,6,0),0)</f>
        <v>1208</v>
      </c>
    </row>
    <row r="316" spans="1:6" x14ac:dyDescent="0.25">
      <c r="A316" t="str">
        <f t="shared" si="4"/>
        <v>100300640002</v>
      </c>
      <c r="B316" s="25">
        <v>10030064</v>
      </c>
      <c r="C316" s="36" t="s">
        <v>1020</v>
      </c>
      <c r="D316" s="25" t="str">
        <f>IFERROR(VLOOKUP(B316,'[1]MPG Payment'!$C$3:$F$915,4,0),0)</f>
        <v>Direct</v>
      </c>
      <c r="E316" s="55">
        <v>3304</v>
      </c>
      <c r="F316" s="23">
        <f>IFERROR(VLOOKUP(B316,'[1]Farmer Payment Calc'!$E$2:$J$5780,6,0),0)</f>
        <v>6171.4</v>
      </c>
    </row>
    <row r="317" spans="1:6" x14ac:dyDescent="0.25">
      <c r="A317" t="str">
        <f t="shared" si="4"/>
        <v>100300640002</v>
      </c>
      <c r="B317" s="25">
        <v>10030064</v>
      </c>
      <c r="C317" s="36" t="s">
        <v>1020</v>
      </c>
      <c r="D317" s="25" t="str">
        <f>IFERROR(VLOOKUP(B317,'[1]MPG Payment'!$C$3:$F$915,4,0),0)</f>
        <v>Direct</v>
      </c>
      <c r="E317" s="55">
        <v>2454.4</v>
      </c>
      <c r="F317" s="23">
        <f>IFERROR(VLOOKUP(B317,'[1]Farmer Payment Calc'!$E$2:$J$5780,6,0),0)</f>
        <v>6171.4</v>
      </c>
    </row>
    <row r="318" spans="1:6" x14ac:dyDescent="0.25">
      <c r="A318" t="str">
        <f t="shared" si="4"/>
        <v>100300700002</v>
      </c>
      <c r="B318" s="25">
        <v>10030070</v>
      </c>
      <c r="C318" s="36" t="s">
        <v>1020</v>
      </c>
      <c r="D318" s="25" t="str">
        <f>IFERROR(VLOOKUP(B318,'[1]MPG Payment'!$C$3:$F$915,4,0),0)</f>
        <v>Direct</v>
      </c>
      <c r="E318" s="55">
        <v>99.12</v>
      </c>
      <c r="F318" s="23">
        <f>IFERROR(VLOOKUP(B318,'[1]Farmer Payment Calc'!$E$2:$J$5780,6,0),0)</f>
        <v>0</v>
      </c>
    </row>
    <row r="319" spans="1:6" x14ac:dyDescent="0.25">
      <c r="A319" t="str">
        <f t="shared" si="4"/>
        <v>100300560002</v>
      </c>
      <c r="B319" s="27">
        <v>10030056</v>
      </c>
      <c r="C319" s="36" t="s">
        <v>1020</v>
      </c>
      <c r="D319" s="25" t="str">
        <f>IFERROR(VLOOKUP(B319,'[1]MPG Payment'!$C$3:$F$915,4,0),0)</f>
        <v>Direct</v>
      </c>
      <c r="E319" s="55">
        <v>413</v>
      </c>
      <c r="F319" s="23">
        <f>IFERROR(VLOOKUP(B319,'[1]Farmer Payment Calc'!$E$2:$J$5780,6,0),0)</f>
        <v>0</v>
      </c>
    </row>
    <row r="320" spans="1:6" x14ac:dyDescent="0.25">
      <c r="A320" t="str">
        <f t="shared" si="4"/>
        <v>101300320002</v>
      </c>
      <c r="B320" s="25">
        <v>10130032</v>
      </c>
      <c r="C320" s="36" t="s">
        <v>1020</v>
      </c>
      <c r="D320" s="25" t="str">
        <f>IFERROR(VLOOKUP(B320,'[1]MPG Payment'!$C$3:$F$915,4,0),0)</f>
        <v>Direct</v>
      </c>
      <c r="E320" s="55">
        <v>424.8</v>
      </c>
      <c r="F320" s="23">
        <f>IFERROR(VLOOKUP(B320,'[1]Farmer Payment Calc'!$E$2:$J$5780,6,0),0)</f>
        <v>2879.2000000000003</v>
      </c>
    </row>
    <row r="321" spans="1:6" x14ac:dyDescent="0.25">
      <c r="A321" t="str">
        <f t="shared" si="4"/>
        <v>101400580002</v>
      </c>
      <c r="B321" s="25">
        <v>10140058</v>
      </c>
      <c r="C321" s="36" t="s">
        <v>1020</v>
      </c>
      <c r="D321" s="25" t="str">
        <f>IFERROR(VLOOKUP(B321,'[1]MPG Payment'!$C$3:$F$915,4,0),0)</f>
        <v>Direct</v>
      </c>
      <c r="E321" s="55">
        <v>1062</v>
      </c>
      <c r="F321" s="23">
        <f>IFERROR(VLOOKUP(B321,'[1]Farmer Payment Calc'!$E$2:$J$5780,6,0),0)</f>
        <v>2124</v>
      </c>
    </row>
    <row r="322" spans="1:6" x14ac:dyDescent="0.25">
      <c r="A322" t="str">
        <f t="shared" si="4"/>
        <v>100700130002</v>
      </c>
      <c r="B322" s="26">
        <v>10070013</v>
      </c>
      <c r="C322" s="36" t="s">
        <v>1020</v>
      </c>
      <c r="D322" s="25" t="str">
        <f>IFERROR(VLOOKUP(B322,'[1]MPG Payment'!$C$3:$F$915,4,0),0)</f>
        <v>Direct</v>
      </c>
      <c r="E322" s="55">
        <v>2454.4</v>
      </c>
      <c r="F322" s="23">
        <f>IFERROR(VLOOKUP(B322,'[1]Farmer Payment Calc'!$E$2:$J$5780,6,0),0)</f>
        <v>0</v>
      </c>
    </row>
    <row r="323" spans="1:6" x14ac:dyDescent="0.25">
      <c r="A323" t="str">
        <f t="shared" ref="A323:A386" si="5">CONCATENATE(B323,C323)</f>
        <v>101200140002</v>
      </c>
      <c r="B323" s="25">
        <v>10120014</v>
      </c>
      <c r="C323" s="36" t="s">
        <v>1020</v>
      </c>
      <c r="D323" s="25" t="str">
        <f>IFERROR(VLOOKUP(B323,'[1]MPG Payment'!$C$3:$F$915,4,0),0)</f>
        <v>Direct</v>
      </c>
      <c r="E323" s="55">
        <v>76.7</v>
      </c>
      <c r="F323" s="23">
        <f>IFERROR(VLOOKUP(B323,'[1]Farmer Payment Calc'!$E$2:$J$5780,6,0),0)</f>
        <v>0</v>
      </c>
    </row>
    <row r="324" spans="1:6" x14ac:dyDescent="0.25">
      <c r="A324" t="str">
        <f t="shared" si="5"/>
        <v>100300100002</v>
      </c>
      <c r="B324" s="26">
        <v>10030010</v>
      </c>
      <c r="C324" s="36" t="s">
        <v>1020</v>
      </c>
      <c r="D324" s="25" t="str">
        <f>IFERROR(VLOOKUP(B324,'[1]MPG Payment'!$C$3:$F$915,4,0),0)</f>
        <v>Direct</v>
      </c>
      <c r="E324" s="55">
        <v>413</v>
      </c>
      <c r="F324" s="23">
        <f>IFERROR(VLOOKUP(B324,'[1]Farmer Payment Calc'!$E$2:$J$5780,6,0),0)</f>
        <v>413</v>
      </c>
    </row>
    <row r="325" spans="1:6" x14ac:dyDescent="0.25">
      <c r="A325" t="str">
        <f t="shared" si="5"/>
        <v>101300300002</v>
      </c>
      <c r="B325" s="25">
        <v>10130030</v>
      </c>
      <c r="C325" s="36" t="s">
        <v>1020</v>
      </c>
      <c r="D325" s="25" t="str">
        <f>IFERROR(VLOOKUP(B325,'[1]MPG Payment'!$C$3:$F$915,4,0),0)</f>
        <v>Direct</v>
      </c>
      <c r="E325" s="55">
        <v>1062</v>
      </c>
      <c r="F325" s="23">
        <f>IFERROR(VLOOKUP(B325,'[1]Farmer Payment Calc'!$E$2:$J$5780,6,0),0)</f>
        <v>1062</v>
      </c>
    </row>
    <row r="326" spans="1:6" x14ac:dyDescent="0.25">
      <c r="A326" t="str">
        <f t="shared" si="5"/>
        <v>101100490002</v>
      </c>
      <c r="B326" s="25">
        <v>10110049</v>
      </c>
      <c r="C326" s="36" t="s">
        <v>1020</v>
      </c>
      <c r="D326" s="25" t="str">
        <f>IFERROR(VLOOKUP(B326,'[1]MPG Payment'!$C$3:$F$915,4,0),0)</f>
        <v>Direct</v>
      </c>
      <c r="E326" s="55">
        <v>2454.4</v>
      </c>
      <c r="F326" s="23">
        <f>IFERROR(VLOOKUP(B326,'[1]Farmer Payment Calc'!$E$2:$J$5780,6,0),0)</f>
        <v>0</v>
      </c>
    </row>
    <row r="327" spans="1:6" x14ac:dyDescent="0.25">
      <c r="A327" t="str">
        <f t="shared" si="5"/>
        <v>101401310002</v>
      </c>
      <c r="B327" s="25">
        <v>10140131</v>
      </c>
      <c r="C327" s="36" t="s">
        <v>1020</v>
      </c>
      <c r="D327" s="25" t="str">
        <f>IFERROR(VLOOKUP(B327,'[1]MPG Payment'!$C$3:$F$915,4,0),0)</f>
        <v>Direct</v>
      </c>
      <c r="E327" s="55">
        <v>1493.88</v>
      </c>
      <c r="F327" s="23">
        <f>IFERROR(VLOOKUP(B327,'[1]Farmer Payment Calc'!$E$2:$J$5780,6,0),0)</f>
        <v>5859.88</v>
      </c>
    </row>
    <row r="328" spans="1:6" x14ac:dyDescent="0.25">
      <c r="A328" t="str">
        <f t="shared" si="5"/>
        <v>100900060002</v>
      </c>
      <c r="B328" s="25">
        <v>10090006</v>
      </c>
      <c r="C328" s="36" t="s">
        <v>1020</v>
      </c>
      <c r="D328" s="25" t="str">
        <f>IFERROR(VLOOKUP(B328,'[1]MPG Payment'!$C$3:$F$915,4,0),0)</f>
        <v>Direct</v>
      </c>
      <c r="E328" s="55">
        <v>908.6</v>
      </c>
      <c r="F328" s="23">
        <f>IFERROR(VLOOKUP(B328,'[1]Farmer Payment Calc'!$E$2:$J$5780,6,0),0)</f>
        <v>1208</v>
      </c>
    </row>
    <row r="329" spans="1:6" x14ac:dyDescent="0.25">
      <c r="A329" t="str">
        <f t="shared" si="5"/>
        <v>100600310002</v>
      </c>
      <c r="B329" s="25">
        <v>10060031</v>
      </c>
      <c r="C329" s="36" t="s">
        <v>1020</v>
      </c>
      <c r="D329" s="25" t="str">
        <f>IFERROR(VLOOKUP(B329,'[1]MPG Payment'!$C$3:$F$915,4,0),0)</f>
        <v>Direct</v>
      </c>
      <c r="E329" s="55">
        <v>147.5</v>
      </c>
      <c r="F329" s="23">
        <f>IFERROR(VLOOKUP(B329,'[1]Farmer Payment Calc'!$E$2:$J$5780,6,0),0)</f>
        <v>0</v>
      </c>
    </row>
    <row r="330" spans="1:6" x14ac:dyDescent="0.25">
      <c r="A330" t="str">
        <f t="shared" si="5"/>
        <v>100600310002</v>
      </c>
      <c r="B330" s="25">
        <v>10060031</v>
      </c>
      <c r="C330" s="36" t="s">
        <v>1020</v>
      </c>
      <c r="D330" s="25" t="str">
        <f>IFERROR(VLOOKUP(B330,'[1]MPG Payment'!$C$3:$F$915,4,0),0)</f>
        <v>Direct</v>
      </c>
      <c r="E330" s="55">
        <v>147.5</v>
      </c>
      <c r="F330" s="23">
        <f>IFERROR(VLOOKUP(B330,'[1]Farmer Payment Calc'!$E$2:$J$5780,6,0),0)</f>
        <v>0</v>
      </c>
    </row>
    <row r="331" spans="1:6" x14ac:dyDescent="0.25">
      <c r="A331" t="str">
        <f t="shared" si="5"/>
        <v>100600220002</v>
      </c>
      <c r="B331" s="25">
        <v>10060022</v>
      </c>
      <c r="C331" s="36" t="s">
        <v>1020</v>
      </c>
      <c r="D331" s="25" t="str">
        <f>IFERROR(VLOOKUP(B331,'[1]MPG Payment'!$C$3:$F$915,4,0),0)</f>
        <v>Direct</v>
      </c>
      <c r="E331" s="55">
        <v>413</v>
      </c>
      <c r="F331" s="23">
        <f>IFERROR(VLOOKUP(B331,'[1]Farmer Payment Calc'!$E$2:$J$5780,6,0),0)</f>
        <v>0</v>
      </c>
    </row>
    <row r="332" spans="1:6" x14ac:dyDescent="0.25">
      <c r="A332" t="str">
        <f t="shared" si="5"/>
        <v>100600220002</v>
      </c>
      <c r="B332" s="25">
        <v>10060022</v>
      </c>
      <c r="C332" s="36" t="s">
        <v>1020</v>
      </c>
      <c r="D332" s="25" t="str">
        <f>IFERROR(VLOOKUP(B332,'[1]MPG Payment'!$C$3:$F$915,4,0),0)</f>
        <v>Direct</v>
      </c>
      <c r="E332" s="55">
        <v>973.5</v>
      </c>
      <c r="F332" s="23">
        <f>IFERROR(VLOOKUP(B332,'[1]Farmer Payment Calc'!$E$2:$J$5780,6,0),0)</f>
        <v>0</v>
      </c>
    </row>
    <row r="333" spans="1:6" x14ac:dyDescent="0.25">
      <c r="A333" t="str">
        <f t="shared" si="5"/>
        <v>100800550002</v>
      </c>
      <c r="B333" s="25">
        <v>10080055</v>
      </c>
      <c r="C333" s="36" t="s">
        <v>1020</v>
      </c>
      <c r="D333" s="25" t="str">
        <f>IFERROR(VLOOKUP(B333,'[1]MPG Payment'!$C$3:$F$915,4,0),0)</f>
        <v>Direct</v>
      </c>
      <c r="E333" s="55">
        <v>51.92</v>
      </c>
      <c r="F333" s="23">
        <f>IFERROR(VLOOKUP(B333,'[1]Farmer Payment Calc'!$E$2:$J$5780,6,0),0)</f>
        <v>202.96</v>
      </c>
    </row>
    <row r="334" spans="1:6" x14ac:dyDescent="0.25">
      <c r="A334" t="str">
        <f t="shared" si="5"/>
        <v>100800550002</v>
      </c>
      <c r="B334" s="25">
        <v>10080055</v>
      </c>
      <c r="C334" s="36" t="s">
        <v>1020</v>
      </c>
      <c r="D334" s="25" t="str">
        <f>IFERROR(VLOOKUP(B334,'[1]MPG Payment'!$C$3:$F$915,4,0),0)</f>
        <v>Direct</v>
      </c>
      <c r="E334" s="55">
        <v>51.92</v>
      </c>
      <c r="F334" s="23">
        <f>IFERROR(VLOOKUP(B334,'[1]Farmer Payment Calc'!$E$2:$J$5780,6,0),0)</f>
        <v>202.96</v>
      </c>
    </row>
    <row r="335" spans="1:6" x14ac:dyDescent="0.25">
      <c r="A335" t="str">
        <f t="shared" si="5"/>
        <v>100800550002</v>
      </c>
      <c r="B335" s="25">
        <v>10080055</v>
      </c>
      <c r="C335" s="36" t="s">
        <v>1020</v>
      </c>
      <c r="D335" s="25" t="str">
        <f>IFERROR(VLOOKUP(B335,'[1]MPG Payment'!$C$3:$F$915,4,0),0)</f>
        <v>Direct</v>
      </c>
      <c r="E335" s="55">
        <v>99.12</v>
      </c>
      <c r="F335" s="23">
        <f>IFERROR(VLOOKUP(B335,'[1]Farmer Payment Calc'!$E$2:$J$5780,6,0),0)</f>
        <v>202.96</v>
      </c>
    </row>
    <row r="336" spans="1:6" x14ac:dyDescent="0.25">
      <c r="A336" t="str">
        <f t="shared" si="5"/>
        <v>100200410002</v>
      </c>
      <c r="B336" s="25">
        <v>10020041</v>
      </c>
      <c r="C336" s="36" t="s">
        <v>1020</v>
      </c>
      <c r="D336" s="25" t="str">
        <f>IFERROR(VLOOKUP(B336,'[1]MPG Payment'!$C$3:$F$915,4,0),0)</f>
        <v>Direct</v>
      </c>
      <c r="E336" s="55">
        <v>908.6</v>
      </c>
      <c r="F336" s="23">
        <f>IFERROR(VLOOKUP(B336,'[1]Farmer Payment Calc'!$E$2:$J$5780,6,0),0)</f>
        <v>847</v>
      </c>
    </row>
    <row r="337" spans="1:6" x14ac:dyDescent="0.25">
      <c r="A337" t="str">
        <f t="shared" si="5"/>
        <v>100200020002</v>
      </c>
      <c r="B337" s="25">
        <v>10020002</v>
      </c>
      <c r="C337" s="36" t="s">
        <v>1020</v>
      </c>
      <c r="D337" s="25" t="str">
        <f>IFERROR(VLOOKUP(B337,'[1]MPG Payment'!$C$3:$F$915,4,0),0)</f>
        <v>Direct</v>
      </c>
      <c r="E337" s="55">
        <v>265.5</v>
      </c>
      <c r="F337" s="23">
        <f>IFERROR(VLOOKUP(B337,'[1]Farmer Payment Calc'!$E$2:$J$5780,6,0),0)</f>
        <v>0</v>
      </c>
    </row>
    <row r="338" spans="1:6" x14ac:dyDescent="0.25">
      <c r="A338" t="str">
        <f t="shared" si="5"/>
        <v>101201040002</v>
      </c>
      <c r="B338" s="25">
        <v>10120104</v>
      </c>
      <c r="C338" s="36" t="s">
        <v>1020</v>
      </c>
      <c r="D338" s="25" t="str">
        <f>IFERROR(VLOOKUP(B338,'[1]MPG Payment'!$C$3:$F$915,4,0),0)</f>
        <v>Direct</v>
      </c>
      <c r="E338" s="55">
        <v>413</v>
      </c>
      <c r="F338" s="23">
        <f>IFERROR(VLOOKUP(B338,'[1]Farmer Payment Calc'!$E$2:$J$5780,6,0),0)</f>
        <v>3060.92</v>
      </c>
    </row>
    <row r="339" spans="1:6" x14ac:dyDescent="0.25">
      <c r="A339" t="str">
        <f t="shared" si="5"/>
        <v>101200940002</v>
      </c>
      <c r="B339" s="25">
        <v>10120094</v>
      </c>
      <c r="C339" s="36" t="s">
        <v>1020</v>
      </c>
      <c r="D339" s="25" t="str">
        <f>IFERROR(VLOOKUP(B339,'[1]MPG Payment'!$C$3:$F$915,4,0),0)</f>
        <v>Direct</v>
      </c>
      <c r="E339" s="55">
        <v>424.8</v>
      </c>
      <c r="F339" s="23">
        <f>IFERROR(VLOOKUP(B339,'[1]Farmer Payment Calc'!$E$2:$J$5780,6,0),0)</f>
        <v>2168</v>
      </c>
    </row>
    <row r="340" spans="1:6" x14ac:dyDescent="0.25">
      <c r="A340" t="str">
        <f t="shared" si="5"/>
        <v>101300260002</v>
      </c>
      <c r="B340" s="25">
        <v>10130026</v>
      </c>
      <c r="C340" s="36" t="s">
        <v>1020</v>
      </c>
      <c r="D340" s="25" t="str">
        <f>IFERROR(VLOOKUP(B340,'[1]MPG Payment'!$C$3:$F$915,4,0),0)</f>
        <v>Direct</v>
      </c>
      <c r="E340" s="55">
        <v>1062</v>
      </c>
      <c r="F340" s="23">
        <f>IFERROR(VLOOKUP(B340,'[1]Farmer Payment Calc'!$E$2:$J$5780,6,0),0)</f>
        <v>0</v>
      </c>
    </row>
    <row r="341" spans="1:6" x14ac:dyDescent="0.25">
      <c r="A341" t="str">
        <f t="shared" si="5"/>
        <v>101401290002</v>
      </c>
      <c r="B341" s="25">
        <v>10140129</v>
      </c>
      <c r="C341" s="36" t="s">
        <v>1020</v>
      </c>
      <c r="D341" s="25" t="str">
        <f>IFERROR(VLOOKUP(B341,'[1]MPG Payment'!$C$3:$F$915,4,0),0)</f>
        <v>Direct</v>
      </c>
      <c r="E341" s="55">
        <v>932.2</v>
      </c>
      <c r="F341" s="23">
        <f>IFERROR(VLOOKUP(B341,'[1]Farmer Payment Calc'!$E$2:$J$5780,6,0),0)</f>
        <v>7489.8</v>
      </c>
    </row>
    <row r="342" spans="1:6" x14ac:dyDescent="0.25">
      <c r="A342" t="str">
        <f t="shared" si="5"/>
        <v>101401530002</v>
      </c>
      <c r="B342" s="25">
        <v>10140153</v>
      </c>
      <c r="C342" s="36" t="s">
        <v>1020</v>
      </c>
      <c r="D342" s="25" t="str">
        <f>IFERROR(VLOOKUP(B342,'[1]MPG Payment'!$C$3:$F$915,4,0),0)</f>
        <v>Direct</v>
      </c>
      <c r="E342" s="55">
        <v>3304</v>
      </c>
      <c r="F342" s="23">
        <f>IFERROR(VLOOKUP(B342,'[1]Farmer Payment Calc'!$E$2:$J$5780,6,0),0)</f>
        <v>4630.32</v>
      </c>
    </row>
    <row r="343" spans="1:6" x14ac:dyDescent="0.25">
      <c r="A343" t="str">
        <f t="shared" si="5"/>
        <v>100800870002</v>
      </c>
      <c r="B343" s="25">
        <v>10080087</v>
      </c>
      <c r="C343" s="36" t="s">
        <v>1020</v>
      </c>
      <c r="D343" s="25" t="str">
        <f>IFERROR(VLOOKUP(B343,'[1]MPG Payment'!$C$3:$F$915,4,0),0)</f>
        <v>Direct</v>
      </c>
      <c r="E343" s="55">
        <v>2065</v>
      </c>
      <c r="F343" s="23">
        <f>IFERROR(VLOOKUP(B343,'[1]Farmer Payment Calc'!$E$2:$J$5780,6,0),0)</f>
        <v>0</v>
      </c>
    </row>
    <row r="344" spans="1:6" x14ac:dyDescent="0.25">
      <c r="A344" t="str">
        <f t="shared" si="5"/>
        <v>100800870002</v>
      </c>
      <c r="B344" s="25">
        <v>10080087</v>
      </c>
      <c r="C344" s="36" t="s">
        <v>1020</v>
      </c>
      <c r="D344" s="25" t="str">
        <f>IFERROR(VLOOKUP(B344,'[1]MPG Payment'!$C$3:$F$915,4,0),0)</f>
        <v>Direct</v>
      </c>
      <c r="E344" s="55">
        <v>1062</v>
      </c>
      <c r="F344" s="23">
        <f>IFERROR(VLOOKUP(B344,'[1]Farmer Payment Calc'!$E$2:$J$5780,6,0),0)</f>
        <v>0</v>
      </c>
    </row>
    <row r="345" spans="1:6" x14ac:dyDescent="0.25">
      <c r="A345" t="str">
        <f t="shared" si="5"/>
        <v>100900660002</v>
      </c>
      <c r="B345" s="25">
        <v>10090066</v>
      </c>
      <c r="C345" s="36" t="s">
        <v>1020</v>
      </c>
      <c r="D345" s="25" t="str">
        <f>IFERROR(VLOOKUP(B345,'[1]MPG Payment'!$C$3:$F$915,4,0),0)</f>
        <v>Direct</v>
      </c>
      <c r="E345" s="55">
        <v>1062</v>
      </c>
      <c r="F345" s="23">
        <f>IFERROR(VLOOKUP(B345,'[1]Farmer Payment Calc'!$E$2:$J$5780,6,0),0)</f>
        <v>1062</v>
      </c>
    </row>
    <row r="346" spans="1:6" x14ac:dyDescent="0.25">
      <c r="A346" t="str">
        <f t="shared" si="5"/>
        <v>100900020002</v>
      </c>
      <c r="B346" s="25">
        <v>10090002</v>
      </c>
      <c r="C346" s="36" t="s">
        <v>1020</v>
      </c>
      <c r="D346" s="25" t="str">
        <f>IFERROR(VLOOKUP(B346,'[1]MPG Payment'!$C$3:$F$915,4,0),0)</f>
        <v>Direct</v>
      </c>
      <c r="E346" s="55">
        <v>1493.88</v>
      </c>
      <c r="F346" s="23">
        <f>IFERROR(VLOOKUP(B346,'[1]Farmer Payment Calc'!$E$2:$J$5780,6,0),0)</f>
        <v>0</v>
      </c>
    </row>
    <row r="347" spans="1:6" x14ac:dyDescent="0.25">
      <c r="A347" t="str">
        <f t="shared" si="5"/>
        <v>100900020002</v>
      </c>
      <c r="B347" s="25">
        <v>10090002</v>
      </c>
      <c r="C347" s="36" t="s">
        <v>1020</v>
      </c>
      <c r="D347" s="25" t="str">
        <f>IFERROR(VLOOKUP(B347,'[1]MPG Payment'!$C$3:$F$915,4,0),0)</f>
        <v>Direct</v>
      </c>
      <c r="E347" s="55">
        <v>82.6</v>
      </c>
      <c r="F347" s="23">
        <f>IFERROR(VLOOKUP(B347,'[1]Farmer Payment Calc'!$E$2:$J$5780,6,0),0)</f>
        <v>0</v>
      </c>
    </row>
    <row r="348" spans="1:6" x14ac:dyDescent="0.25">
      <c r="A348" t="str">
        <f t="shared" si="5"/>
        <v>100900020002</v>
      </c>
      <c r="B348" s="25">
        <v>10090002</v>
      </c>
      <c r="C348" s="36" t="s">
        <v>1020</v>
      </c>
      <c r="D348" s="25" t="str">
        <f>IFERROR(VLOOKUP(B348,'[1]MPG Payment'!$C$3:$F$915,4,0),0)</f>
        <v>Direct</v>
      </c>
      <c r="E348" s="55">
        <v>82.6</v>
      </c>
      <c r="F348" s="23">
        <f>IFERROR(VLOOKUP(B348,'[1]Farmer Payment Calc'!$E$2:$J$5780,6,0),0)</f>
        <v>0</v>
      </c>
    </row>
    <row r="349" spans="1:6" x14ac:dyDescent="0.25">
      <c r="A349" t="str">
        <f t="shared" si="5"/>
        <v>100200020002</v>
      </c>
      <c r="B349" s="25">
        <v>10020002</v>
      </c>
      <c r="C349" s="36" t="s">
        <v>1020</v>
      </c>
      <c r="D349" s="25" t="str">
        <f>IFERROR(VLOOKUP(B349,'[1]MPG Payment'!$C$3:$F$915,4,0),0)</f>
        <v>Direct</v>
      </c>
      <c r="E349" s="55">
        <v>3304</v>
      </c>
      <c r="F349" s="23">
        <f>IFERROR(VLOOKUP(B349,'[1]Farmer Payment Calc'!$E$2:$J$5780,6,0),0)</f>
        <v>0</v>
      </c>
    </row>
    <row r="350" spans="1:6" x14ac:dyDescent="0.25">
      <c r="A350" t="str">
        <f t="shared" si="5"/>
        <v>101201110002</v>
      </c>
      <c r="B350" s="25">
        <v>10120111</v>
      </c>
      <c r="C350" s="36" t="s">
        <v>1020</v>
      </c>
      <c r="D350" s="25" t="str">
        <f>IFERROR(VLOOKUP(B350,'[1]MPG Payment'!$C$3:$F$915,4,0),0)</f>
        <v>Direct</v>
      </c>
      <c r="E350" s="55">
        <v>265.5</v>
      </c>
      <c r="F350" s="23">
        <f>IFERROR(VLOOKUP(B350,'[1]Farmer Payment Calc'!$E$2:$J$5780,6,0),0)</f>
        <v>1389</v>
      </c>
    </row>
    <row r="351" spans="1:6" x14ac:dyDescent="0.25">
      <c r="A351" t="str">
        <f t="shared" si="5"/>
        <v>101201110002</v>
      </c>
      <c r="B351" s="25">
        <v>10120111</v>
      </c>
      <c r="C351" s="36" t="s">
        <v>1020</v>
      </c>
      <c r="D351" s="25" t="str">
        <f>IFERROR(VLOOKUP(B351,'[1]MPG Payment'!$C$3:$F$915,4,0),0)</f>
        <v>Direct</v>
      </c>
      <c r="E351" s="55">
        <v>3304</v>
      </c>
      <c r="F351" s="23">
        <f>IFERROR(VLOOKUP(B351,'[1]Farmer Payment Calc'!$E$2:$J$5780,6,0),0)</f>
        <v>1389</v>
      </c>
    </row>
    <row r="352" spans="1:6" x14ac:dyDescent="0.25">
      <c r="A352" t="str">
        <f t="shared" si="5"/>
        <v>100200620002</v>
      </c>
      <c r="B352" s="25">
        <v>10020062</v>
      </c>
      <c r="C352" s="36" t="s">
        <v>1020</v>
      </c>
      <c r="D352" s="25" t="str">
        <f>IFERROR(VLOOKUP(B352,'[1]MPG Payment'!$C$3:$F$915,4,0),0)</f>
        <v>Direct</v>
      </c>
      <c r="E352" s="55">
        <v>3304</v>
      </c>
      <c r="F352" s="23">
        <f>IFERROR(VLOOKUP(B352,'[1]Farmer Payment Calc'!$E$2:$J$5780,6,0),0)</f>
        <v>0</v>
      </c>
    </row>
    <row r="353" spans="1:6" x14ac:dyDescent="0.25">
      <c r="A353" t="str">
        <f t="shared" si="5"/>
        <v>100200620002</v>
      </c>
      <c r="B353" s="25">
        <v>10020062</v>
      </c>
      <c r="C353" s="36" t="s">
        <v>1020</v>
      </c>
      <c r="D353" s="25" t="str">
        <f>IFERROR(VLOOKUP(B353,'[1]MPG Payment'!$C$3:$F$915,4,0),0)</f>
        <v>Direct</v>
      </c>
      <c r="E353" s="55">
        <v>265.5</v>
      </c>
      <c r="F353" s="23">
        <f>IFERROR(VLOOKUP(B353,'[1]Farmer Payment Calc'!$E$2:$J$5780,6,0),0)</f>
        <v>0</v>
      </c>
    </row>
    <row r="354" spans="1:6" x14ac:dyDescent="0.25">
      <c r="A354" t="str">
        <f t="shared" si="5"/>
        <v>101201110002</v>
      </c>
      <c r="B354" s="25">
        <v>10120111</v>
      </c>
      <c r="C354" s="36" t="s">
        <v>1020</v>
      </c>
      <c r="D354" s="25" t="str">
        <f>IFERROR(VLOOKUP(B354,'[1]MPG Payment'!$C$3:$F$915,4,0),0)</f>
        <v>Direct</v>
      </c>
      <c r="E354" s="55">
        <v>3304</v>
      </c>
      <c r="F354" s="23">
        <f>IFERROR(VLOOKUP(B354,'[1]Farmer Payment Calc'!$E$2:$J$5780,6,0),0)</f>
        <v>1389</v>
      </c>
    </row>
    <row r="355" spans="1:6" x14ac:dyDescent="0.25">
      <c r="A355" t="str">
        <f t="shared" si="5"/>
        <v>100200260002</v>
      </c>
      <c r="B355" s="25">
        <v>10020026</v>
      </c>
      <c r="C355" s="36" t="s">
        <v>1020</v>
      </c>
      <c r="D355" s="25" t="str">
        <f>IFERROR(VLOOKUP(B355,'[1]MPG Payment'!$C$3:$F$915,4,0),0)</f>
        <v>Direct</v>
      </c>
      <c r="E355" s="55">
        <v>424.8</v>
      </c>
      <c r="F355" s="23">
        <f>IFERROR(VLOOKUP(B355,'[1]Farmer Payment Calc'!$E$2:$J$5780,6,0),0)</f>
        <v>0</v>
      </c>
    </row>
    <row r="356" spans="1:6" x14ac:dyDescent="0.25">
      <c r="A356" t="str">
        <f t="shared" si="5"/>
        <v>100200260002</v>
      </c>
      <c r="B356" s="25">
        <v>10020026</v>
      </c>
      <c r="C356" s="36" t="s">
        <v>1020</v>
      </c>
      <c r="D356" s="25" t="str">
        <f>IFERROR(VLOOKUP(B356,'[1]MPG Payment'!$C$3:$F$915,4,0),0)</f>
        <v>Direct</v>
      </c>
      <c r="E356" s="55">
        <v>82.6</v>
      </c>
      <c r="F356" s="23">
        <f>IFERROR(VLOOKUP(B356,'[1]Farmer Payment Calc'!$E$2:$J$5780,6,0),0)</f>
        <v>0</v>
      </c>
    </row>
    <row r="357" spans="1:6" x14ac:dyDescent="0.25">
      <c r="A357" t="str">
        <f t="shared" si="5"/>
        <v>100200260002</v>
      </c>
      <c r="B357" s="25">
        <v>10020026</v>
      </c>
      <c r="C357" s="36" t="s">
        <v>1020</v>
      </c>
      <c r="D357" s="25" t="str">
        <f>IFERROR(VLOOKUP(B357,'[1]MPG Payment'!$C$3:$F$915,4,0),0)</f>
        <v>Direct</v>
      </c>
      <c r="E357" s="55">
        <v>82.6</v>
      </c>
      <c r="F357" s="23">
        <f>IFERROR(VLOOKUP(B357,'[1]Farmer Payment Calc'!$E$2:$J$5780,6,0),0)</f>
        <v>0</v>
      </c>
    </row>
    <row r="358" spans="1:6" x14ac:dyDescent="0.25">
      <c r="A358" t="str">
        <f t="shared" si="5"/>
        <v>100200340002</v>
      </c>
      <c r="B358" s="25">
        <v>10020034</v>
      </c>
      <c r="C358" s="36" t="s">
        <v>1020</v>
      </c>
      <c r="D358" s="25" t="str">
        <f>IFERROR(VLOOKUP(B358,'[1]MPG Payment'!$C$3:$F$915,4,0),0)</f>
        <v>Direct</v>
      </c>
      <c r="E358" s="55">
        <v>3304</v>
      </c>
      <c r="F358" s="23">
        <f>IFERROR(VLOOKUP(B358,'[1]Farmer Payment Calc'!$E$2:$J$5780,6,0),0)</f>
        <v>0</v>
      </c>
    </row>
    <row r="359" spans="1:6" x14ac:dyDescent="0.25">
      <c r="A359" t="str">
        <f t="shared" si="5"/>
        <v>100900460002</v>
      </c>
      <c r="B359" s="25">
        <v>10090046</v>
      </c>
      <c r="C359" s="36" t="s">
        <v>1020</v>
      </c>
      <c r="D359" s="25" t="str">
        <f>IFERROR(VLOOKUP(B359,'[1]MPG Payment'!$C$3:$F$915,4,0),0)</f>
        <v>Direct</v>
      </c>
      <c r="E359" s="55">
        <v>82.6</v>
      </c>
      <c r="F359" s="23">
        <f>IFERROR(VLOOKUP(B359,'[1]Farmer Payment Calc'!$E$2:$J$5780,6,0),0)</f>
        <v>0</v>
      </c>
    </row>
    <row r="360" spans="1:6" x14ac:dyDescent="0.25">
      <c r="A360" t="str">
        <f t="shared" si="5"/>
        <v>100900460002</v>
      </c>
      <c r="B360" s="25">
        <v>10090046</v>
      </c>
      <c r="C360" s="36" t="s">
        <v>1020</v>
      </c>
      <c r="D360" s="25" t="str">
        <f>IFERROR(VLOOKUP(B360,'[1]MPG Payment'!$C$3:$F$915,4,0),0)</f>
        <v>Direct</v>
      </c>
      <c r="E360" s="55">
        <v>82.6</v>
      </c>
      <c r="F360" s="23">
        <f>IFERROR(VLOOKUP(B360,'[1]Farmer Payment Calc'!$E$2:$J$5780,6,0),0)</f>
        <v>0</v>
      </c>
    </row>
    <row r="361" spans="1:6" x14ac:dyDescent="0.25">
      <c r="A361" t="str">
        <f t="shared" si="5"/>
        <v>100100760002</v>
      </c>
      <c r="B361" s="25">
        <v>10010076</v>
      </c>
      <c r="C361" s="36" t="s">
        <v>1020</v>
      </c>
      <c r="D361" s="25" t="str">
        <f>IFERROR(VLOOKUP(B361,'[1]MPG Payment'!$C$3:$F$915,4,0),0)</f>
        <v>Direct</v>
      </c>
      <c r="E361" s="55">
        <v>424.8</v>
      </c>
      <c r="F361" s="23">
        <f>IFERROR(VLOOKUP(B361,'[1]Farmer Payment Calc'!$E$2:$J$5780,6,0),0)</f>
        <v>1041</v>
      </c>
    </row>
    <row r="362" spans="1:6" x14ac:dyDescent="0.25">
      <c r="A362" t="str">
        <f t="shared" si="5"/>
        <v>100800160002</v>
      </c>
      <c r="B362" s="25">
        <v>10080016</v>
      </c>
      <c r="C362" s="36" t="s">
        <v>1020</v>
      </c>
      <c r="D362" s="25" t="str">
        <f>IFERROR(VLOOKUP(B362,'[1]MPG Payment'!$C$3:$F$915,4,0),0)</f>
        <v>Direct</v>
      </c>
      <c r="E362" s="55">
        <v>424.8</v>
      </c>
      <c r="F362" s="23">
        <f>IFERROR(VLOOKUP(B362,'[1]Farmer Payment Calc'!$E$2:$J$5780,6,0),0)</f>
        <v>0</v>
      </c>
    </row>
    <row r="363" spans="1:6" x14ac:dyDescent="0.25">
      <c r="A363" t="str">
        <f t="shared" si="5"/>
        <v>100800160002</v>
      </c>
      <c r="B363" s="25">
        <v>10080016</v>
      </c>
      <c r="C363" s="36" t="s">
        <v>1020</v>
      </c>
      <c r="D363" s="25" t="str">
        <f>IFERROR(VLOOKUP(B363,'[1]MPG Payment'!$C$3:$F$915,4,0),0)</f>
        <v>Direct</v>
      </c>
      <c r="E363" s="55">
        <v>973.5</v>
      </c>
      <c r="F363" s="23">
        <f>IFERROR(VLOOKUP(B363,'[1]Farmer Payment Calc'!$E$2:$J$5780,6,0),0)</f>
        <v>0</v>
      </c>
    </row>
    <row r="364" spans="1:6" x14ac:dyDescent="0.25">
      <c r="A364" t="str">
        <f t="shared" si="5"/>
        <v>101200060002</v>
      </c>
      <c r="B364" s="25">
        <v>10120006</v>
      </c>
      <c r="C364" s="36" t="s">
        <v>1020</v>
      </c>
      <c r="D364" s="25" t="str">
        <f>IFERROR(VLOOKUP(B364,'[1]MPG Payment'!$C$3:$F$915,4,0),0)</f>
        <v>Direct</v>
      </c>
      <c r="E364" s="55">
        <v>2454.4</v>
      </c>
      <c r="F364" s="23">
        <f>IFERROR(VLOOKUP(B364,'[1]Farmer Payment Calc'!$E$2:$J$5780,6,0),0)</f>
        <v>0</v>
      </c>
    </row>
    <row r="365" spans="1:6" x14ac:dyDescent="0.25">
      <c r="A365" t="str">
        <f t="shared" si="5"/>
        <v>100800150002</v>
      </c>
      <c r="B365" s="25">
        <v>10080015</v>
      </c>
      <c r="C365" s="36" t="s">
        <v>1020</v>
      </c>
      <c r="D365" s="25" t="str">
        <f>IFERROR(VLOOKUP(B365,'[1]MPG Payment'!$C$3:$F$915,4,0),0)</f>
        <v>Direct</v>
      </c>
      <c r="E365" s="55">
        <v>424.8</v>
      </c>
      <c r="F365" s="23">
        <f>IFERROR(VLOOKUP(B365,'[1]Farmer Payment Calc'!$E$2:$J$5780,6,0),0)</f>
        <v>0</v>
      </c>
    </row>
    <row r="366" spans="1:6" x14ac:dyDescent="0.25">
      <c r="A366" t="str">
        <f t="shared" si="5"/>
        <v>100200760002</v>
      </c>
      <c r="B366" s="25">
        <v>10020076</v>
      </c>
      <c r="C366" s="36" t="s">
        <v>1020</v>
      </c>
      <c r="D366" s="25" t="str">
        <f>IFERROR(VLOOKUP(B366,'[1]MPG Payment'!$C$3:$F$915,4,0),0)</f>
        <v>Direct</v>
      </c>
      <c r="E366" s="55">
        <v>265.5</v>
      </c>
      <c r="F366" s="23">
        <f>IFERROR(VLOOKUP(B366,'[1]Farmer Payment Calc'!$E$2:$J$5780,6,0),0)</f>
        <v>3569.5</v>
      </c>
    </row>
    <row r="367" spans="1:6" x14ac:dyDescent="0.25">
      <c r="A367" t="str">
        <f t="shared" si="5"/>
        <v>100200760002</v>
      </c>
      <c r="B367" s="25">
        <v>10020076</v>
      </c>
      <c r="C367" s="36" t="s">
        <v>1020</v>
      </c>
      <c r="D367" s="25" t="str">
        <f>IFERROR(VLOOKUP(B367,'[1]MPG Payment'!$C$3:$F$915,4,0),0)</f>
        <v>Direct</v>
      </c>
      <c r="E367" s="55">
        <v>3304</v>
      </c>
      <c r="F367" s="23">
        <f>IFERROR(VLOOKUP(B367,'[1]Farmer Payment Calc'!$E$2:$J$5780,6,0),0)</f>
        <v>3569.5</v>
      </c>
    </row>
    <row r="368" spans="1:6" x14ac:dyDescent="0.25">
      <c r="A368" t="str">
        <f t="shared" si="5"/>
        <v>100300530002</v>
      </c>
      <c r="B368" s="26">
        <v>10030053</v>
      </c>
      <c r="C368" s="36" t="s">
        <v>1020</v>
      </c>
      <c r="D368" s="25" t="str">
        <f>IFERROR(VLOOKUP(B368,'[1]MPG Payment'!$C$3:$F$915,4,0),0)</f>
        <v>Direct</v>
      </c>
      <c r="E368" s="55">
        <v>920.4</v>
      </c>
      <c r="F368" s="23">
        <f>IFERROR(VLOOKUP(B368,'[1]Farmer Payment Calc'!$E$2:$J$5780,6,0),0)</f>
        <v>0</v>
      </c>
    </row>
    <row r="369" spans="1:6" x14ac:dyDescent="0.25">
      <c r="A369" t="str">
        <f t="shared" si="5"/>
        <v>100300650002</v>
      </c>
      <c r="B369" s="25">
        <v>10030065</v>
      </c>
      <c r="C369" s="36" t="s">
        <v>1020</v>
      </c>
      <c r="D369" s="25" t="str">
        <f>IFERROR(VLOOKUP(B369,'[1]MPG Payment'!$C$3:$F$915,4,0),0)</f>
        <v>Direct</v>
      </c>
      <c r="E369" s="55">
        <v>413</v>
      </c>
      <c r="F369" s="23">
        <f>IFERROR(VLOOKUP(B369,'[1]Farmer Payment Calc'!$E$2:$J$5780,6,0),0)</f>
        <v>0</v>
      </c>
    </row>
    <row r="370" spans="1:6" x14ac:dyDescent="0.25">
      <c r="A370" t="str">
        <f t="shared" si="5"/>
        <v>101101050002</v>
      </c>
      <c r="B370" s="25">
        <v>10110105</v>
      </c>
      <c r="C370" s="36" t="s">
        <v>1020</v>
      </c>
      <c r="D370" s="25" t="str">
        <f>IFERROR(VLOOKUP(B370,'[1]MPG Payment'!$C$3:$F$915,4,0),0)</f>
        <v>Direct</v>
      </c>
      <c r="E370" s="55">
        <v>413</v>
      </c>
      <c r="F370" s="23">
        <f>IFERROR(VLOOKUP(B370,'[1]Farmer Payment Calc'!$E$2:$J$5780,6,0),0)</f>
        <v>6336</v>
      </c>
    </row>
    <row r="371" spans="1:6" x14ac:dyDescent="0.25">
      <c r="A371" t="str">
        <f t="shared" si="5"/>
        <v>101100940002</v>
      </c>
      <c r="B371" s="25">
        <v>10110094</v>
      </c>
      <c r="C371" s="36" t="s">
        <v>1020</v>
      </c>
      <c r="D371" s="25" t="str">
        <f>IFERROR(VLOOKUP(B371,'[1]MPG Payment'!$C$3:$F$915,4,0),0)</f>
        <v>Direct</v>
      </c>
      <c r="E371" s="55">
        <v>413</v>
      </c>
      <c r="F371" s="23">
        <f>IFERROR(VLOOKUP(B371,'[1]Farmer Payment Calc'!$E$2:$J$5780,6,0),0)</f>
        <v>0</v>
      </c>
    </row>
    <row r="372" spans="1:6" x14ac:dyDescent="0.25">
      <c r="A372" t="str">
        <f t="shared" si="5"/>
        <v>100101030002</v>
      </c>
      <c r="B372" s="25">
        <v>10010103</v>
      </c>
      <c r="C372" s="36" t="s">
        <v>1020</v>
      </c>
      <c r="D372" s="25" t="str">
        <f>IFERROR(VLOOKUP(B372,'[1]MPG Payment'!$C$3:$F$915,4,0),0)</f>
        <v>Direct</v>
      </c>
      <c r="E372" s="55">
        <v>82.6</v>
      </c>
      <c r="F372" s="23">
        <f>IFERROR(VLOOKUP(B372,'[1]Farmer Payment Calc'!$E$2:$J$5780,6,0),0)</f>
        <v>165.2</v>
      </c>
    </row>
    <row r="373" spans="1:6" x14ac:dyDescent="0.25">
      <c r="A373" t="str">
        <f t="shared" si="5"/>
        <v>100101030002</v>
      </c>
      <c r="B373" s="25">
        <v>10010103</v>
      </c>
      <c r="C373" s="36" t="s">
        <v>1020</v>
      </c>
      <c r="D373" s="25" t="str">
        <f>IFERROR(VLOOKUP(B373,'[1]MPG Payment'!$C$3:$F$915,4,0),0)</f>
        <v>Direct</v>
      </c>
      <c r="E373" s="55">
        <v>82.6</v>
      </c>
      <c r="F373" s="23">
        <f>IFERROR(VLOOKUP(B373,'[1]Farmer Payment Calc'!$E$2:$J$5780,6,0),0)</f>
        <v>165.2</v>
      </c>
    </row>
    <row r="374" spans="1:6" x14ac:dyDescent="0.25">
      <c r="A374" t="str">
        <f t="shared" si="5"/>
        <v>101401260002</v>
      </c>
      <c r="B374" s="25">
        <v>10140126</v>
      </c>
      <c r="C374" s="36" t="s">
        <v>1020</v>
      </c>
      <c r="D374" s="25" t="str">
        <f>IFERROR(VLOOKUP(B374,'[1]MPG Payment'!$C$3:$F$915,4,0),0)</f>
        <v>Direct</v>
      </c>
      <c r="E374" s="55">
        <v>10974</v>
      </c>
      <c r="F374" s="23">
        <f>IFERROR(VLOOKUP(B374,'[1]Farmer Payment Calc'!$E$2:$J$5780,6,0),0)</f>
        <v>0</v>
      </c>
    </row>
    <row r="375" spans="1:6" x14ac:dyDescent="0.25">
      <c r="A375" t="str">
        <f t="shared" si="5"/>
        <v>100700630002</v>
      </c>
      <c r="B375" s="25">
        <v>10070063</v>
      </c>
      <c r="C375" s="36" t="s">
        <v>1020</v>
      </c>
      <c r="D375" s="25" t="str">
        <f>IFERROR(VLOOKUP(B375,'[1]MPG Payment'!$C$3:$F$915,4,0),0)</f>
        <v>Direct</v>
      </c>
      <c r="E375" s="55">
        <v>3304</v>
      </c>
      <c r="F375" s="23">
        <f>IFERROR(VLOOKUP(B375,'[1]Farmer Payment Calc'!$E$2:$J$5780,6,0),0)</f>
        <v>4808.5</v>
      </c>
    </row>
    <row r="376" spans="1:6" x14ac:dyDescent="0.25">
      <c r="A376" t="str">
        <f t="shared" si="5"/>
        <v>100300700002</v>
      </c>
      <c r="B376" s="25">
        <v>10030070</v>
      </c>
      <c r="C376" s="36" t="s">
        <v>1020</v>
      </c>
      <c r="D376" s="25" t="str">
        <f>IFERROR(VLOOKUP(B376,'[1]MPG Payment'!$C$3:$F$915,4,0),0)</f>
        <v>Direct</v>
      </c>
      <c r="E376" s="55">
        <v>57.82</v>
      </c>
      <c r="F376" s="23">
        <f>IFERROR(VLOOKUP(B376,'[1]Farmer Payment Calc'!$E$2:$J$5780,6,0),0)</f>
        <v>0</v>
      </c>
    </row>
    <row r="377" spans="1:6" x14ac:dyDescent="0.25">
      <c r="A377" t="str">
        <f t="shared" si="5"/>
        <v>100300700002</v>
      </c>
      <c r="B377" s="25">
        <v>10030070</v>
      </c>
      <c r="C377" s="36" t="s">
        <v>1020</v>
      </c>
      <c r="D377" s="25" t="str">
        <f>IFERROR(VLOOKUP(B377,'[1]MPG Payment'!$C$3:$F$915,4,0),0)</f>
        <v>Direct</v>
      </c>
      <c r="E377" s="55">
        <v>57.82</v>
      </c>
      <c r="F377" s="23">
        <f>IFERROR(VLOOKUP(B377,'[1]Farmer Payment Calc'!$E$2:$J$5780,6,0),0)</f>
        <v>0</v>
      </c>
    </row>
    <row r="378" spans="1:6" x14ac:dyDescent="0.25">
      <c r="A378" t="str">
        <f t="shared" si="5"/>
        <v>100900070002</v>
      </c>
      <c r="B378" s="25">
        <v>10090007</v>
      </c>
      <c r="C378" s="36" t="s">
        <v>1020</v>
      </c>
      <c r="D378" s="25" t="str">
        <f>IFERROR(VLOOKUP(B378,'[1]MPG Payment'!$C$3:$F$915,4,0),0)</f>
        <v>Direct</v>
      </c>
      <c r="E378" s="55">
        <v>424.8</v>
      </c>
      <c r="F378" s="23">
        <f>IFERROR(VLOOKUP(B378,'[1]Farmer Payment Calc'!$E$2:$J$5780,6,0),0)</f>
        <v>424.8</v>
      </c>
    </row>
    <row r="379" spans="1:6" x14ac:dyDescent="0.25">
      <c r="A379" t="str">
        <f t="shared" si="5"/>
        <v>101201040002</v>
      </c>
      <c r="B379" s="25">
        <v>10120104</v>
      </c>
      <c r="C379" s="36" t="s">
        <v>1020</v>
      </c>
      <c r="D379" s="25" t="str">
        <f>IFERROR(VLOOKUP(B379,'[1]MPG Payment'!$C$3:$F$915,4,0),0)</f>
        <v>Direct</v>
      </c>
      <c r="E379" s="55">
        <v>1062</v>
      </c>
      <c r="F379" s="23">
        <f>IFERROR(VLOOKUP(B379,'[1]Farmer Payment Calc'!$E$2:$J$5780,6,0),0)</f>
        <v>3060.92</v>
      </c>
    </row>
    <row r="380" spans="1:6" x14ac:dyDescent="0.25">
      <c r="A380" t="str">
        <f t="shared" si="5"/>
        <v>100200230002</v>
      </c>
      <c r="B380" s="25">
        <v>10020023</v>
      </c>
      <c r="C380" s="36" t="s">
        <v>1020</v>
      </c>
      <c r="D380" s="25" t="str">
        <f>IFERROR(VLOOKUP(B380,'[1]MPG Payment'!$C$3:$F$915,4,0),0)</f>
        <v>Direct</v>
      </c>
      <c r="E380" s="55">
        <v>265.5</v>
      </c>
      <c r="F380" s="23">
        <f>IFERROR(VLOOKUP(B380,'[1]Farmer Payment Calc'!$E$2:$J$5780,6,0),0)</f>
        <v>0</v>
      </c>
    </row>
    <row r="381" spans="1:6" x14ac:dyDescent="0.25">
      <c r="A381" t="str">
        <f t="shared" si="5"/>
        <v>100200230002</v>
      </c>
      <c r="B381" s="25">
        <v>10020023</v>
      </c>
      <c r="C381" s="36" t="s">
        <v>1020</v>
      </c>
      <c r="D381" s="25" t="str">
        <f>IFERROR(VLOOKUP(B381,'[1]MPG Payment'!$C$3:$F$915,4,0),0)</f>
        <v>Direct</v>
      </c>
      <c r="E381" s="55">
        <v>973.5</v>
      </c>
      <c r="F381" s="23">
        <f>IFERROR(VLOOKUP(B381,'[1]Farmer Payment Calc'!$E$2:$J$5780,6,0),0)</f>
        <v>0</v>
      </c>
    </row>
    <row r="382" spans="1:6" x14ac:dyDescent="0.25">
      <c r="A382" t="str">
        <f t="shared" si="5"/>
        <v>100600220002</v>
      </c>
      <c r="B382" s="25">
        <v>10060022</v>
      </c>
      <c r="C382" s="36" t="s">
        <v>1020</v>
      </c>
      <c r="D382" s="25" t="str">
        <f>IFERROR(VLOOKUP(B382,'[1]MPG Payment'!$C$3:$F$915,4,0),0)</f>
        <v>Direct</v>
      </c>
      <c r="E382" s="55">
        <v>165.2</v>
      </c>
      <c r="F382" s="23">
        <f>IFERROR(VLOOKUP(B382,'[1]Farmer Payment Calc'!$E$2:$J$5780,6,0),0)</f>
        <v>0</v>
      </c>
    </row>
    <row r="383" spans="1:6" x14ac:dyDescent="0.25">
      <c r="A383" t="str">
        <f t="shared" si="5"/>
        <v>100600220002</v>
      </c>
      <c r="B383" s="25">
        <v>10060022</v>
      </c>
      <c r="C383" s="36" t="s">
        <v>1020</v>
      </c>
      <c r="D383" s="25" t="str">
        <f>IFERROR(VLOOKUP(B383,'[1]MPG Payment'!$C$3:$F$915,4,0),0)</f>
        <v>Direct</v>
      </c>
      <c r="E383" s="55">
        <v>57.82</v>
      </c>
      <c r="F383" s="23">
        <f>IFERROR(VLOOKUP(B383,'[1]Farmer Payment Calc'!$E$2:$J$5780,6,0),0)</f>
        <v>0</v>
      </c>
    </row>
    <row r="384" spans="1:6" x14ac:dyDescent="0.25">
      <c r="A384" t="str">
        <f t="shared" si="5"/>
        <v>100600220002</v>
      </c>
      <c r="B384" s="25">
        <v>10060022</v>
      </c>
      <c r="C384" s="36" t="s">
        <v>1020</v>
      </c>
      <c r="D384" s="25" t="str">
        <f>IFERROR(VLOOKUP(B384,'[1]MPG Payment'!$C$3:$F$915,4,0),0)</f>
        <v>Direct</v>
      </c>
      <c r="E384" s="55">
        <v>57.82</v>
      </c>
      <c r="F384" s="23">
        <f>IFERROR(VLOOKUP(B384,'[1]Farmer Payment Calc'!$E$2:$J$5780,6,0),0)</f>
        <v>0</v>
      </c>
    </row>
    <row r="385" spans="1:6" x14ac:dyDescent="0.25">
      <c r="A385" t="str">
        <f t="shared" si="5"/>
        <v>104600010002</v>
      </c>
      <c r="B385" s="25">
        <v>10460001</v>
      </c>
      <c r="C385" s="36" t="s">
        <v>1020</v>
      </c>
      <c r="D385" s="25" t="str">
        <f>IFERROR(VLOOKUP(B385,'[1]MPG Payment'!$C$3:$F$915,4,0),0)</f>
        <v>Direct</v>
      </c>
      <c r="E385" s="55">
        <v>1062</v>
      </c>
      <c r="F385" s="23">
        <f>IFERROR(VLOOKUP(B385,'[1]Farmer Payment Calc'!$E$2:$J$5780,6,0),0)</f>
        <v>0</v>
      </c>
    </row>
    <row r="386" spans="1:6" x14ac:dyDescent="0.25">
      <c r="A386" t="str">
        <f t="shared" si="5"/>
        <v>101100650002</v>
      </c>
      <c r="B386" s="25">
        <v>10110065</v>
      </c>
      <c r="C386" s="36" t="s">
        <v>1020</v>
      </c>
      <c r="D386" s="25" t="str">
        <f>IFERROR(VLOOKUP(B386,'[1]MPG Payment'!$C$3:$F$915,4,0),0)</f>
        <v>Direct</v>
      </c>
      <c r="E386" s="55">
        <v>82.6</v>
      </c>
      <c r="F386" s="23">
        <f>IFERROR(VLOOKUP(B386,'[1]Farmer Payment Calc'!$E$2:$J$5780,6,0),0)</f>
        <v>0</v>
      </c>
    </row>
    <row r="387" spans="1:6" x14ac:dyDescent="0.25">
      <c r="A387" t="str">
        <f t="shared" ref="A387:A450" si="6">CONCATENATE(B387,C387)</f>
        <v>100200290002</v>
      </c>
      <c r="B387" s="25">
        <v>10020029</v>
      </c>
      <c r="C387" s="36" t="s">
        <v>1020</v>
      </c>
      <c r="D387" s="25" t="str">
        <f>IFERROR(VLOOKUP(B387,'[1]MPG Payment'!$C$3:$F$915,4,0),0)</f>
        <v>Direct</v>
      </c>
      <c r="E387" s="55">
        <v>82.6</v>
      </c>
      <c r="F387" s="23">
        <f>IFERROR(VLOOKUP(B387,'[1]Farmer Payment Calc'!$E$2:$J$5780,6,0),0)</f>
        <v>0</v>
      </c>
    </row>
    <row r="388" spans="1:6" x14ac:dyDescent="0.25">
      <c r="A388" t="str">
        <f t="shared" si="6"/>
        <v>100200290002</v>
      </c>
      <c r="B388" s="25">
        <v>10020029</v>
      </c>
      <c r="C388" s="36" t="s">
        <v>1020</v>
      </c>
      <c r="D388" s="25" t="str">
        <f>IFERROR(VLOOKUP(B388,'[1]MPG Payment'!$C$3:$F$915,4,0),0)</f>
        <v>Direct</v>
      </c>
      <c r="E388" s="55">
        <v>82.6</v>
      </c>
      <c r="F388" s="23">
        <f>IFERROR(VLOOKUP(B388,'[1]Farmer Payment Calc'!$E$2:$J$5780,6,0),0)</f>
        <v>0</v>
      </c>
    </row>
    <row r="389" spans="1:6" x14ac:dyDescent="0.25">
      <c r="A389" t="str">
        <f t="shared" si="6"/>
        <v>100300130002</v>
      </c>
      <c r="B389" s="25">
        <v>10030013</v>
      </c>
      <c r="C389" s="36" t="s">
        <v>1020</v>
      </c>
      <c r="D389" s="25" t="str">
        <f>IFERROR(VLOOKUP(B389,'[1]MPG Payment'!$C$3:$F$915,4,0),0)</f>
        <v>Direct</v>
      </c>
      <c r="E389" s="55">
        <v>413</v>
      </c>
      <c r="F389" s="23">
        <f>IFERROR(VLOOKUP(B389,'[1]Farmer Payment Calc'!$E$2:$J$5780,6,0),0)</f>
        <v>0</v>
      </c>
    </row>
    <row r="390" spans="1:6" x14ac:dyDescent="0.25">
      <c r="A390" t="str">
        <f t="shared" si="6"/>
        <v>101300700002</v>
      </c>
      <c r="B390" s="25">
        <v>10130070</v>
      </c>
      <c r="C390" s="36" t="s">
        <v>1020</v>
      </c>
      <c r="D390" s="25" t="str">
        <f>IFERROR(VLOOKUP(B390,'[1]MPG Payment'!$C$3:$F$915,4,0),0)</f>
        <v>Direct</v>
      </c>
      <c r="E390" s="55">
        <v>57.82</v>
      </c>
      <c r="F390" s="23">
        <f>IFERROR(VLOOKUP(B390,'[1]Farmer Payment Calc'!$E$2:$J$5780,6,0),0)</f>
        <v>0</v>
      </c>
    </row>
    <row r="391" spans="1:6" x14ac:dyDescent="0.25">
      <c r="A391" t="str">
        <f t="shared" si="6"/>
        <v>101300700002</v>
      </c>
      <c r="B391" s="25">
        <v>10130070</v>
      </c>
      <c r="C391" s="36" t="s">
        <v>1020</v>
      </c>
      <c r="D391" s="25" t="str">
        <f>IFERROR(VLOOKUP(B391,'[1]MPG Payment'!$C$3:$F$915,4,0),0)</f>
        <v>Direct</v>
      </c>
      <c r="E391" s="55">
        <v>82.6</v>
      </c>
      <c r="F391" s="23">
        <f>IFERROR(VLOOKUP(B391,'[1]Farmer Payment Calc'!$E$2:$J$5780,6,0),0)</f>
        <v>0</v>
      </c>
    </row>
    <row r="392" spans="1:6" x14ac:dyDescent="0.25">
      <c r="A392" t="str">
        <f t="shared" si="6"/>
        <v>101300730002</v>
      </c>
      <c r="B392" s="25">
        <v>10130073</v>
      </c>
      <c r="C392" s="36" t="s">
        <v>1020</v>
      </c>
      <c r="D392" s="25" t="str">
        <f>IFERROR(VLOOKUP(B392,'[1]MPG Payment'!$C$3:$F$915,4,0),0)</f>
        <v>Direct</v>
      </c>
      <c r="E392" s="55">
        <v>51.92</v>
      </c>
      <c r="F392" s="23">
        <f>IFERROR(VLOOKUP(B392,'[1]Farmer Payment Calc'!$E$2:$J$5780,6,0),0)</f>
        <v>1359.3599999999997</v>
      </c>
    </row>
    <row r="393" spans="1:6" x14ac:dyDescent="0.25">
      <c r="A393" t="str">
        <f t="shared" si="6"/>
        <v>101300730002</v>
      </c>
      <c r="B393" s="25">
        <v>10130073</v>
      </c>
      <c r="C393" s="36" t="s">
        <v>1020</v>
      </c>
      <c r="D393" s="25" t="str">
        <f>IFERROR(VLOOKUP(B393,'[1]MPG Payment'!$C$3:$F$915,4,0),0)</f>
        <v>Direct</v>
      </c>
      <c r="E393" s="55">
        <v>51.92</v>
      </c>
      <c r="F393" s="23">
        <f>IFERROR(VLOOKUP(B393,'[1]Farmer Payment Calc'!$E$2:$J$5780,6,0),0)</f>
        <v>1359.3599999999997</v>
      </c>
    </row>
    <row r="394" spans="1:6" x14ac:dyDescent="0.25">
      <c r="A394" t="str">
        <f t="shared" si="6"/>
        <v>101300730002</v>
      </c>
      <c r="B394" s="25">
        <v>10130073</v>
      </c>
      <c r="C394" s="36" t="s">
        <v>1020</v>
      </c>
      <c r="D394" s="25" t="str">
        <f>IFERROR(VLOOKUP(B394,'[1]MPG Payment'!$C$3:$F$915,4,0),0)</f>
        <v>Direct</v>
      </c>
      <c r="E394" s="55">
        <v>99.12</v>
      </c>
      <c r="F394" s="23">
        <f>IFERROR(VLOOKUP(B394,'[1]Farmer Payment Calc'!$E$2:$J$5780,6,0),0)</f>
        <v>1359.3599999999997</v>
      </c>
    </row>
    <row r="395" spans="1:6" x14ac:dyDescent="0.25">
      <c r="A395" t="str">
        <f t="shared" si="6"/>
        <v>101100780002</v>
      </c>
      <c r="B395" s="25">
        <v>10110078</v>
      </c>
      <c r="C395" s="36" t="s">
        <v>1020</v>
      </c>
      <c r="D395" s="25" t="str">
        <f>IFERROR(VLOOKUP(B395,'[1]MPG Payment'!$C$3:$F$915,4,0),0)</f>
        <v>Direct</v>
      </c>
      <c r="E395" s="55">
        <v>82.6</v>
      </c>
      <c r="F395" s="23">
        <f>IFERROR(VLOOKUP(B395,'[1]Farmer Payment Calc'!$E$2:$J$5780,6,0),0)</f>
        <v>82.6</v>
      </c>
    </row>
    <row r="396" spans="1:6" x14ac:dyDescent="0.25">
      <c r="A396" t="str">
        <f t="shared" si="6"/>
        <v>100200780002</v>
      </c>
      <c r="B396" s="25">
        <v>10020078</v>
      </c>
      <c r="C396" s="36" t="s">
        <v>1020</v>
      </c>
      <c r="D396" s="25" t="str">
        <f>IFERROR(VLOOKUP(B396,'[1]MPG Payment'!$C$3:$F$915,4,0),0)</f>
        <v>Direct</v>
      </c>
      <c r="E396" s="55">
        <v>57.82</v>
      </c>
      <c r="F396" s="23">
        <f>IFERROR(VLOOKUP(B396,'[1]Farmer Payment Calc'!$E$2:$J$5780,6,0),0)</f>
        <v>0</v>
      </c>
    </row>
    <row r="397" spans="1:6" x14ac:dyDescent="0.25">
      <c r="A397" t="str">
        <f t="shared" si="6"/>
        <v>100200780002</v>
      </c>
      <c r="B397" s="25">
        <v>10020078</v>
      </c>
      <c r="C397" s="36" t="s">
        <v>1020</v>
      </c>
      <c r="D397" s="25" t="str">
        <f>IFERROR(VLOOKUP(B397,'[1]MPG Payment'!$C$3:$F$915,4,0),0)</f>
        <v>Direct</v>
      </c>
      <c r="E397" s="55">
        <v>57.82</v>
      </c>
      <c r="F397" s="23">
        <f>IFERROR(VLOOKUP(B397,'[1]Farmer Payment Calc'!$E$2:$J$5780,6,0),0)</f>
        <v>0</v>
      </c>
    </row>
    <row r="398" spans="1:6" x14ac:dyDescent="0.25">
      <c r="A398" t="str">
        <f t="shared" si="6"/>
        <v>100700130002</v>
      </c>
      <c r="B398" s="26">
        <v>10070013</v>
      </c>
      <c r="C398" s="36" t="s">
        <v>1020</v>
      </c>
      <c r="D398" s="25" t="str">
        <f>IFERROR(VLOOKUP(B398,'[1]MPG Payment'!$C$3:$F$915,4,0),0)</f>
        <v>Direct</v>
      </c>
      <c r="E398" s="55">
        <v>920.4</v>
      </c>
      <c r="F398" s="23">
        <f>IFERROR(VLOOKUP(B398,'[1]Farmer Payment Calc'!$E$2:$J$5780,6,0),0)</f>
        <v>0</v>
      </c>
    </row>
    <row r="399" spans="1:6" x14ac:dyDescent="0.25">
      <c r="A399" t="str">
        <f t="shared" si="6"/>
        <v>100800150002</v>
      </c>
      <c r="B399" s="25">
        <v>10080015</v>
      </c>
      <c r="C399" s="36" t="s">
        <v>1020</v>
      </c>
      <c r="D399" s="25" t="str">
        <f>IFERROR(VLOOKUP(B399,'[1]MPG Payment'!$C$3:$F$915,4,0),0)</f>
        <v>Direct</v>
      </c>
      <c r="E399" s="55">
        <v>908.6</v>
      </c>
      <c r="F399" s="23">
        <f>IFERROR(VLOOKUP(B399,'[1]Farmer Payment Calc'!$E$2:$J$5780,6,0),0)</f>
        <v>0</v>
      </c>
    </row>
    <row r="400" spans="1:6" x14ac:dyDescent="0.25">
      <c r="A400" t="str">
        <f t="shared" si="6"/>
        <v>101400330002</v>
      </c>
      <c r="B400" s="26">
        <v>10140033</v>
      </c>
      <c r="C400" s="36" t="s">
        <v>1020</v>
      </c>
      <c r="D400" s="25" t="str">
        <f>IFERROR(VLOOKUP(B400,'[1]MPG Payment'!$C$3:$F$915,4,0),0)</f>
        <v>Direct</v>
      </c>
      <c r="E400" s="55">
        <v>2360</v>
      </c>
      <c r="F400" s="23">
        <f>IFERROR(VLOOKUP(B400,'[1]Farmer Payment Calc'!$E$2:$J$5780,6,0),0)</f>
        <v>2360</v>
      </c>
    </row>
    <row r="401" spans="1:6" x14ac:dyDescent="0.25">
      <c r="A401" t="str">
        <f t="shared" si="6"/>
        <v>101401550002</v>
      </c>
      <c r="B401" s="25">
        <v>10140155</v>
      </c>
      <c r="C401" s="36" t="s">
        <v>1020</v>
      </c>
      <c r="D401" s="25" t="str">
        <f>IFERROR(VLOOKUP(B401,'[1]MPG Payment'!$C$3:$F$915,4,0),0)</f>
        <v>Direct</v>
      </c>
      <c r="E401" s="55">
        <v>2360</v>
      </c>
      <c r="F401" s="23">
        <f>IFERROR(VLOOKUP(B401,'[1]Farmer Payment Calc'!$E$2:$J$5780,6,0),0)</f>
        <v>0</v>
      </c>
    </row>
    <row r="402" spans="1:6" x14ac:dyDescent="0.25">
      <c r="A402" t="str">
        <f t="shared" si="6"/>
        <v>101100660002</v>
      </c>
      <c r="B402" s="25">
        <v>10110066</v>
      </c>
      <c r="C402" s="36" t="s">
        <v>1020</v>
      </c>
      <c r="D402" s="25" t="str">
        <f>IFERROR(VLOOKUP(B402,'[1]MPG Payment'!$C$3:$F$915,4,0),0)</f>
        <v>Direct</v>
      </c>
      <c r="E402" s="55">
        <v>82.6</v>
      </c>
      <c r="F402" s="23">
        <f>IFERROR(VLOOKUP(B402,'[1]Farmer Payment Calc'!$E$2:$J$5780,6,0),0)</f>
        <v>0</v>
      </c>
    </row>
    <row r="403" spans="1:6" x14ac:dyDescent="0.25">
      <c r="A403" t="str">
        <f t="shared" si="6"/>
        <v>100900650002</v>
      </c>
      <c r="B403" s="25">
        <v>10090065</v>
      </c>
      <c r="C403" s="36" t="s">
        <v>1020</v>
      </c>
      <c r="D403" s="25" t="str">
        <f>IFERROR(VLOOKUP(B403,'[1]MPG Payment'!$C$3:$F$915,4,0),0)</f>
        <v>Direct</v>
      </c>
      <c r="E403" s="55">
        <v>413</v>
      </c>
      <c r="F403" s="23">
        <f>IFERROR(VLOOKUP(B403,'[1]Farmer Payment Calc'!$E$2:$J$5780,6,0),0)</f>
        <v>826</v>
      </c>
    </row>
    <row r="404" spans="1:6" x14ac:dyDescent="0.25">
      <c r="A404" t="str">
        <f t="shared" si="6"/>
        <v>103600010002</v>
      </c>
      <c r="B404" s="25">
        <v>10360001</v>
      </c>
      <c r="C404" s="36" t="s">
        <v>1020</v>
      </c>
      <c r="D404" s="25" t="str">
        <f>IFERROR(VLOOKUP(B404,'[1]MPG Payment'!$C$3:$F$915,4,0),0)</f>
        <v>Direct</v>
      </c>
      <c r="E404" s="55">
        <v>424.8</v>
      </c>
      <c r="F404" s="23">
        <f>IFERROR(VLOOKUP(B404,'[1]Farmer Payment Calc'!$E$2:$J$5780,6,0),0)</f>
        <v>0</v>
      </c>
    </row>
    <row r="405" spans="1:6" x14ac:dyDescent="0.25">
      <c r="A405" t="str">
        <f t="shared" si="6"/>
        <v>104800220002</v>
      </c>
      <c r="B405" s="25">
        <v>10480022</v>
      </c>
      <c r="C405" s="36" t="s">
        <v>1020</v>
      </c>
      <c r="D405" s="25" t="str">
        <f>IFERROR(VLOOKUP(B405,'[1]MPG Payment'!$C$3:$F$915,4,0),0)</f>
        <v>Direct</v>
      </c>
      <c r="E405" s="55">
        <v>5310</v>
      </c>
      <c r="F405" s="23">
        <f>IFERROR(VLOOKUP(B405,'[1]Farmer Payment Calc'!$E$2:$J$5780,6,0),0)</f>
        <v>0</v>
      </c>
    </row>
    <row r="406" spans="1:6" x14ac:dyDescent="0.25">
      <c r="A406" t="str">
        <f t="shared" si="6"/>
        <v>101300730002</v>
      </c>
      <c r="B406" s="25">
        <v>10130073</v>
      </c>
      <c r="C406" s="36" t="s">
        <v>1020</v>
      </c>
      <c r="D406" s="25" t="str">
        <f>IFERROR(VLOOKUP(B406,'[1]MPG Payment'!$C$3:$F$915,4,0),0)</f>
        <v>Direct</v>
      </c>
      <c r="E406" s="55">
        <v>908.6</v>
      </c>
      <c r="F406" s="23">
        <f>IFERROR(VLOOKUP(B406,'[1]Farmer Payment Calc'!$E$2:$J$5780,6,0),0)</f>
        <v>1359.3599999999997</v>
      </c>
    </row>
    <row r="407" spans="1:6" x14ac:dyDescent="0.25">
      <c r="A407" t="str">
        <f t="shared" si="6"/>
        <v>101300730002</v>
      </c>
      <c r="B407" s="25">
        <v>10130073</v>
      </c>
      <c r="C407" s="36" t="s">
        <v>1020</v>
      </c>
      <c r="D407" s="25" t="str">
        <f>IFERROR(VLOOKUP(B407,'[1]MPG Payment'!$C$3:$F$915,4,0),0)</f>
        <v>Direct</v>
      </c>
      <c r="E407" s="55">
        <v>82.6</v>
      </c>
      <c r="F407" s="23">
        <f>IFERROR(VLOOKUP(B407,'[1]Farmer Payment Calc'!$E$2:$J$5780,6,0),0)</f>
        <v>1359.3599999999997</v>
      </c>
    </row>
    <row r="408" spans="1:6" x14ac:dyDescent="0.25">
      <c r="A408" t="str">
        <f t="shared" si="6"/>
        <v>100300310002</v>
      </c>
      <c r="B408" s="25">
        <v>10030031</v>
      </c>
      <c r="C408" s="36" t="s">
        <v>1020</v>
      </c>
      <c r="D408" s="25" t="str">
        <f>IFERROR(VLOOKUP(B408,'[1]MPG Payment'!$C$3:$F$915,4,0),0)</f>
        <v>Direct</v>
      </c>
      <c r="E408" s="55">
        <v>99.12</v>
      </c>
      <c r="F408" s="23">
        <f>IFERROR(VLOOKUP(B408,'[1]Farmer Payment Calc'!$E$2:$J$5780,6,0),0)</f>
        <v>0</v>
      </c>
    </row>
    <row r="409" spans="1:6" x14ac:dyDescent="0.25">
      <c r="A409" t="str">
        <f t="shared" si="6"/>
        <v>101400580002</v>
      </c>
      <c r="B409" s="25">
        <v>10140058</v>
      </c>
      <c r="C409" s="36" t="s">
        <v>1020</v>
      </c>
      <c r="D409" s="25" t="str">
        <f>IFERROR(VLOOKUP(B409,'[1]MPG Payment'!$C$3:$F$915,4,0),0)</f>
        <v>Direct</v>
      </c>
      <c r="E409" s="55">
        <v>1062</v>
      </c>
      <c r="F409" s="23">
        <f>IFERROR(VLOOKUP(B409,'[1]Farmer Payment Calc'!$E$2:$J$5780,6,0),0)</f>
        <v>2124</v>
      </c>
    </row>
    <row r="410" spans="1:6" x14ac:dyDescent="0.25">
      <c r="A410" t="str">
        <f t="shared" si="6"/>
        <v>100100820002</v>
      </c>
      <c r="B410" s="25">
        <v>10010082</v>
      </c>
      <c r="C410" s="36" t="s">
        <v>1020</v>
      </c>
      <c r="D410" s="25" t="str">
        <f>IFERROR(VLOOKUP(B410,'[1]MPG Payment'!$C$3:$F$915,4,0),0)</f>
        <v>Direct</v>
      </c>
      <c r="E410" s="55">
        <v>1062</v>
      </c>
      <c r="F410" s="23">
        <f>IFERROR(VLOOKUP(B410,'[1]Farmer Payment Calc'!$E$2:$J$5780,6,0),0)</f>
        <v>0</v>
      </c>
    </row>
    <row r="411" spans="1:6" x14ac:dyDescent="0.25">
      <c r="A411" t="str">
        <f t="shared" si="6"/>
        <v>100300250002</v>
      </c>
      <c r="B411" s="26">
        <v>10030025</v>
      </c>
      <c r="C411" s="36" t="s">
        <v>1020</v>
      </c>
      <c r="D411" s="25" t="str">
        <f>IFERROR(VLOOKUP(B411,'[1]MPG Payment'!$C$3:$F$915,4,0),0)</f>
        <v>Direct</v>
      </c>
      <c r="E411" s="55">
        <v>908.6</v>
      </c>
      <c r="F411" s="23">
        <f>IFERROR(VLOOKUP(B411,'[1]Farmer Payment Calc'!$E$2:$J$5780,6,0),0)</f>
        <v>0</v>
      </c>
    </row>
    <row r="412" spans="1:6" x14ac:dyDescent="0.25">
      <c r="A412" t="str">
        <f t="shared" si="6"/>
        <v>101200060002</v>
      </c>
      <c r="B412" s="25">
        <v>10120006</v>
      </c>
      <c r="C412" s="36" t="s">
        <v>1020</v>
      </c>
      <c r="D412" s="25" t="str">
        <f>IFERROR(VLOOKUP(B412,'[1]MPG Payment'!$C$3:$F$915,4,0),0)</f>
        <v>Direct</v>
      </c>
      <c r="E412" s="55">
        <v>265.5</v>
      </c>
      <c r="F412" s="23">
        <f>IFERROR(VLOOKUP(B412,'[1]Farmer Payment Calc'!$E$2:$J$5780,6,0),0)</f>
        <v>0</v>
      </c>
    </row>
    <row r="413" spans="1:6" x14ac:dyDescent="0.25">
      <c r="A413" t="str">
        <f t="shared" si="6"/>
        <v>101200060002</v>
      </c>
      <c r="B413" s="25">
        <v>10120006</v>
      </c>
      <c r="C413" s="36" t="s">
        <v>1020</v>
      </c>
      <c r="D413" s="25" t="str">
        <f>IFERROR(VLOOKUP(B413,'[1]MPG Payment'!$C$3:$F$915,4,0),0)</f>
        <v>Direct</v>
      </c>
      <c r="E413" s="55">
        <v>424.8</v>
      </c>
      <c r="F413" s="23">
        <f>IFERROR(VLOOKUP(B413,'[1]Farmer Payment Calc'!$E$2:$J$5780,6,0),0)</f>
        <v>0</v>
      </c>
    </row>
    <row r="414" spans="1:6" x14ac:dyDescent="0.25">
      <c r="A414" t="str">
        <f t="shared" si="6"/>
        <v>101300060002</v>
      </c>
      <c r="B414" s="25">
        <v>10130006</v>
      </c>
      <c r="C414" s="36" t="s">
        <v>1020</v>
      </c>
      <c r="D414" s="25" t="str">
        <f>IFERROR(VLOOKUP(B414,'[1]MPG Payment'!$C$3:$F$915,4,0),0)</f>
        <v>Direct</v>
      </c>
      <c r="E414" s="55">
        <v>51.92</v>
      </c>
      <c r="F414" s="23">
        <f>IFERROR(VLOOKUP(B414,'[1]Farmer Payment Calc'!$E$2:$J$5780,6,0),0)</f>
        <v>0</v>
      </c>
    </row>
    <row r="415" spans="1:6" x14ac:dyDescent="0.25">
      <c r="A415" t="str">
        <f t="shared" si="6"/>
        <v>101300060002</v>
      </c>
      <c r="B415" s="25">
        <v>10130006</v>
      </c>
      <c r="C415" s="36" t="s">
        <v>1020</v>
      </c>
      <c r="D415" s="25" t="str">
        <f>IFERROR(VLOOKUP(B415,'[1]MPG Payment'!$C$3:$F$915,4,0),0)</f>
        <v>Direct</v>
      </c>
      <c r="E415" s="55">
        <v>99.12</v>
      </c>
      <c r="F415" s="23">
        <f>IFERROR(VLOOKUP(B415,'[1]Farmer Payment Calc'!$E$2:$J$5780,6,0),0)</f>
        <v>0</v>
      </c>
    </row>
    <row r="416" spans="1:6" x14ac:dyDescent="0.25">
      <c r="A416" t="str">
        <f t="shared" si="6"/>
        <v>101300060002</v>
      </c>
      <c r="B416" s="25">
        <v>10130006</v>
      </c>
      <c r="C416" s="36" t="s">
        <v>1020</v>
      </c>
      <c r="D416" s="25" t="str">
        <f>IFERROR(VLOOKUP(B416,'[1]MPG Payment'!$C$3:$F$915,4,0),0)</f>
        <v>Direct</v>
      </c>
      <c r="E416" s="55">
        <v>51.92</v>
      </c>
      <c r="F416" s="23">
        <f>IFERROR(VLOOKUP(B416,'[1]Farmer Payment Calc'!$E$2:$J$5780,6,0),0)</f>
        <v>0</v>
      </c>
    </row>
    <row r="417" spans="1:6" x14ac:dyDescent="0.25">
      <c r="A417" t="str">
        <f t="shared" si="6"/>
        <v>100100380002</v>
      </c>
      <c r="B417" s="25">
        <v>10010038</v>
      </c>
      <c r="C417" s="36" t="s">
        <v>1020</v>
      </c>
      <c r="D417" s="25" t="str">
        <f>IFERROR(VLOOKUP(B417,'[1]MPG Payment'!$C$3:$F$915,4,0),0)</f>
        <v>Direct</v>
      </c>
      <c r="E417" s="55">
        <v>413</v>
      </c>
      <c r="F417" s="23">
        <f>IFERROR(VLOOKUP(B417,'[1]Farmer Payment Calc'!$E$2:$J$5780,6,0),0)</f>
        <v>615.96</v>
      </c>
    </row>
    <row r="418" spans="1:6" x14ac:dyDescent="0.25">
      <c r="A418" t="str">
        <f t="shared" si="6"/>
        <v>100600320002</v>
      </c>
      <c r="B418" s="25">
        <v>10060032</v>
      </c>
      <c r="C418" s="36" t="s">
        <v>1020</v>
      </c>
      <c r="D418" s="25" t="str">
        <f>IFERROR(VLOOKUP(B418,'[1]MPG Payment'!$C$3:$F$915,4,0),0)</f>
        <v>Direct</v>
      </c>
      <c r="E418" s="55">
        <v>82.6</v>
      </c>
      <c r="F418" s="23">
        <f>IFERROR(VLOOKUP(B418,'[1]Farmer Payment Calc'!$E$2:$J$5780,6,0),0)</f>
        <v>0</v>
      </c>
    </row>
    <row r="419" spans="1:6" x14ac:dyDescent="0.25">
      <c r="A419" t="str">
        <f t="shared" si="6"/>
        <v>100600320002</v>
      </c>
      <c r="B419" s="25">
        <v>10060032</v>
      </c>
      <c r="C419" s="36" t="s">
        <v>1020</v>
      </c>
      <c r="D419" s="25" t="str">
        <f>IFERROR(VLOOKUP(B419,'[1]MPG Payment'!$C$3:$F$915,4,0),0)</f>
        <v>Direct</v>
      </c>
      <c r="E419" s="55">
        <v>82.6</v>
      </c>
      <c r="F419" s="23">
        <f>IFERROR(VLOOKUP(B419,'[1]Farmer Payment Calc'!$E$2:$J$5780,6,0),0)</f>
        <v>0</v>
      </c>
    </row>
    <row r="420" spans="1:6" x14ac:dyDescent="0.25">
      <c r="A420" t="str">
        <f t="shared" si="6"/>
        <v>100600740002</v>
      </c>
      <c r="B420" s="25">
        <v>10060074</v>
      </c>
      <c r="C420" s="36" t="s">
        <v>1020</v>
      </c>
      <c r="D420" s="25" t="str">
        <f>IFERROR(VLOOKUP(B420,'[1]MPG Payment'!$C$3:$F$915,4,0),0)</f>
        <v>Direct</v>
      </c>
      <c r="E420" s="55">
        <v>57.82</v>
      </c>
      <c r="F420" s="23">
        <f>IFERROR(VLOOKUP(B420,'[1]Farmer Payment Calc'!$E$2:$J$5780,6,0),0)</f>
        <v>0</v>
      </c>
    </row>
    <row r="421" spans="1:6" x14ac:dyDescent="0.25">
      <c r="A421" t="str">
        <f t="shared" si="6"/>
        <v>100600740002</v>
      </c>
      <c r="B421" s="25">
        <v>10060074</v>
      </c>
      <c r="C421" s="36" t="s">
        <v>1020</v>
      </c>
      <c r="D421" s="25" t="str">
        <f>IFERROR(VLOOKUP(B421,'[1]MPG Payment'!$C$3:$F$915,4,0),0)</f>
        <v>Direct</v>
      </c>
      <c r="E421" s="55">
        <v>57.82</v>
      </c>
      <c r="F421" s="23">
        <f>IFERROR(VLOOKUP(B421,'[1]Farmer Payment Calc'!$E$2:$J$5780,6,0),0)</f>
        <v>0</v>
      </c>
    </row>
    <row r="422" spans="1:6" x14ac:dyDescent="0.25">
      <c r="A422" t="str">
        <f t="shared" si="6"/>
        <v>101200890002</v>
      </c>
      <c r="B422" s="25">
        <v>10120089</v>
      </c>
      <c r="C422" s="36" t="s">
        <v>1020</v>
      </c>
      <c r="D422" s="25" t="str">
        <f>IFERROR(VLOOKUP(B422,'[1]MPG Payment'!$C$3:$F$915,4,0),0)</f>
        <v>Direct</v>
      </c>
      <c r="E422" s="55">
        <v>82.6</v>
      </c>
      <c r="F422" s="23">
        <f>IFERROR(VLOOKUP(B422,'[1]Farmer Payment Calc'!$E$2:$J$5780,6,0),0)</f>
        <v>0</v>
      </c>
    </row>
    <row r="423" spans="1:6" x14ac:dyDescent="0.25">
      <c r="A423" t="str">
        <f t="shared" si="6"/>
        <v>101200890002</v>
      </c>
      <c r="B423" s="25">
        <v>10120089</v>
      </c>
      <c r="C423" s="36" t="s">
        <v>1020</v>
      </c>
      <c r="D423" s="25" t="str">
        <f>IFERROR(VLOOKUP(B423,'[1]MPG Payment'!$C$3:$F$915,4,0),0)</f>
        <v>Direct</v>
      </c>
      <c r="E423" s="55">
        <v>82.6</v>
      </c>
      <c r="F423" s="23">
        <f>IFERROR(VLOOKUP(B423,'[1]Farmer Payment Calc'!$E$2:$J$5780,6,0),0)</f>
        <v>0</v>
      </c>
    </row>
    <row r="424" spans="1:6" x14ac:dyDescent="0.25">
      <c r="A424" t="str">
        <f t="shared" si="6"/>
        <v>100300630002</v>
      </c>
      <c r="B424" s="25">
        <v>10030063</v>
      </c>
      <c r="C424" s="36" t="s">
        <v>1020</v>
      </c>
      <c r="D424" s="25" t="str">
        <f>IFERROR(VLOOKUP(B424,'[1]MPG Payment'!$C$3:$F$915,4,0),0)</f>
        <v>Direct</v>
      </c>
      <c r="E424" s="55">
        <v>413</v>
      </c>
      <c r="F424" s="23">
        <f>IFERROR(VLOOKUP(B424,'[1]Farmer Payment Calc'!$E$2:$J$5780,6,0),0)</f>
        <v>0</v>
      </c>
    </row>
    <row r="425" spans="1:6" x14ac:dyDescent="0.25">
      <c r="A425" t="str">
        <f t="shared" si="6"/>
        <v>101201040002</v>
      </c>
      <c r="B425" s="25">
        <v>10120104</v>
      </c>
      <c r="C425" s="36" t="s">
        <v>1020</v>
      </c>
      <c r="D425" s="25" t="str">
        <f>IFERROR(VLOOKUP(B425,'[1]MPG Payment'!$C$3:$F$915,4,0),0)</f>
        <v>Direct</v>
      </c>
      <c r="E425" s="55">
        <v>424.8</v>
      </c>
      <c r="F425" s="23">
        <f>IFERROR(VLOOKUP(B425,'[1]Farmer Payment Calc'!$E$2:$J$5780,6,0),0)</f>
        <v>3060.92</v>
      </c>
    </row>
    <row r="426" spans="1:6" x14ac:dyDescent="0.25">
      <c r="A426" t="str">
        <f t="shared" si="6"/>
        <v>101400180002</v>
      </c>
      <c r="B426" s="25">
        <v>10140018</v>
      </c>
      <c r="C426" s="36" t="s">
        <v>1020</v>
      </c>
      <c r="D426" s="25" t="str">
        <f>IFERROR(VLOOKUP(B426,'[1]MPG Payment'!$C$3:$F$915,4,0),0)</f>
        <v>Direct</v>
      </c>
      <c r="E426" s="55">
        <v>2065</v>
      </c>
      <c r="F426" s="23">
        <f>IFERROR(VLOOKUP(B426,'[1]Farmer Payment Calc'!$E$2:$J$5780,6,0),0)</f>
        <v>2065</v>
      </c>
    </row>
    <row r="427" spans="1:6" x14ac:dyDescent="0.25">
      <c r="A427" t="str">
        <f t="shared" si="6"/>
        <v>101401790002</v>
      </c>
      <c r="B427" s="25">
        <v>10140179</v>
      </c>
      <c r="C427" s="36" t="s">
        <v>1020</v>
      </c>
      <c r="D427" s="25" t="str">
        <f>IFERROR(VLOOKUP(B427,'[1]MPG Payment'!$C$3:$F$915,4,0),0)</f>
        <v>Direct</v>
      </c>
      <c r="E427" s="55">
        <v>920.4</v>
      </c>
      <c r="F427" s="23">
        <f>IFERROR(VLOOKUP(B427,'[1]Farmer Payment Calc'!$E$2:$J$5780,6,0),0)</f>
        <v>0</v>
      </c>
    </row>
    <row r="428" spans="1:6" x14ac:dyDescent="0.25">
      <c r="A428" t="str">
        <f t="shared" si="6"/>
        <v>100900060002</v>
      </c>
      <c r="B428" s="25">
        <v>10090006</v>
      </c>
      <c r="C428" s="36" t="s">
        <v>1020</v>
      </c>
      <c r="D428" s="25" t="str">
        <f>IFERROR(VLOOKUP(B428,'[1]MPG Payment'!$C$3:$F$915,4,0),0)</f>
        <v>Direct</v>
      </c>
      <c r="E428" s="55">
        <v>424.8</v>
      </c>
      <c r="F428" s="23">
        <f>IFERROR(VLOOKUP(B428,'[1]Farmer Payment Calc'!$E$2:$J$5780,6,0),0)</f>
        <v>1208</v>
      </c>
    </row>
    <row r="429" spans="1:6" x14ac:dyDescent="0.25">
      <c r="A429" t="str">
        <f t="shared" si="6"/>
        <v>100700480002</v>
      </c>
      <c r="B429" s="25">
        <v>10070048</v>
      </c>
      <c r="C429" s="36" t="s">
        <v>1020</v>
      </c>
      <c r="D429" s="25" t="str">
        <f>IFERROR(VLOOKUP(B429,'[1]MPG Payment'!$C$3:$F$915,4,0),0)</f>
        <v>Direct</v>
      </c>
      <c r="E429" s="55">
        <v>265.5</v>
      </c>
      <c r="F429" s="23">
        <f>IFERROR(VLOOKUP(B429,'[1]Farmer Payment Calc'!$E$2:$J$5780,6,0),0)</f>
        <v>2183</v>
      </c>
    </row>
    <row r="430" spans="1:6" x14ac:dyDescent="0.25">
      <c r="A430" t="str">
        <f t="shared" si="6"/>
        <v>101300120002</v>
      </c>
      <c r="B430" s="25">
        <v>10130012</v>
      </c>
      <c r="C430" s="36" t="s">
        <v>1020</v>
      </c>
      <c r="D430" s="25" t="str">
        <f>IFERROR(VLOOKUP(B430,'[1]MPG Payment'!$C$3:$F$915,4,0),0)</f>
        <v>Direct</v>
      </c>
      <c r="E430" s="55">
        <v>424.8</v>
      </c>
      <c r="F430" s="23">
        <f>IFERROR(VLOOKUP(B430,'[1]Farmer Payment Calc'!$E$2:$J$5780,6,0),0)</f>
        <v>0</v>
      </c>
    </row>
    <row r="431" spans="1:6" x14ac:dyDescent="0.25">
      <c r="A431" t="str">
        <f t="shared" si="6"/>
        <v>101100550002</v>
      </c>
      <c r="B431" s="25">
        <v>10110055</v>
      </c>
      <c r="C431" s="36" t="s">
        <v>1020</v>
      </c>
      <c r="D431" s="25" t="str">
        <f>IFERROR(VLOOKUP(B431,'[1]MPG Payment'!$C$3:$F$915,4,0),0)</f>
        <v>Direct</v>
      </c>
      <c r="E431" s="55">
        <v>2454.4</v>
      </c>
      <c r="F431" s="23">
        <f>IFERROR(VLOOKUP(B431,'[1]Farmer Payment Calc'!$E$2:$J$5780,6,0),0)</f>
        <v>1091</v>
      </c>
    </row>
    <row r="432" spans="1:6" x14ac:dyDescent="0.25">
      <c r="A432" t="str">
        <f t="shared" si="6"/>
        <v>100100950002</v>
      </c>
      <c r="B432" s="25">
        <v>10010095</v>
      </c>
      <c r="C432" s="36" t="s">
        <v>1020</v>
      </c>
      <c r="D432" s="25" t="str">
        <f>IFERROR(VLOOKUP(B432,'[1]MPG Payment'!$C$3:$F$915,4,0),0)</f>
        <v>Direct</v>
      </c>
      <c r="E432" s="55">
        <v>413</v>
      </c>
      <c r="F432" s="23">
        <f>IFERROR(VLOOKUP(B432,'[1]Farmer Payment Calc'!$E$2:$J$5780,6,0),0)</f>
        <v>413</v>
      </c>
    </row>
    <row r="433" spans="1:6" x14ac:dyDescent="0.25">
      <c r="A433" t="str">
        <f t="shared" si="6"/>
        <v>100300710002</v>
      </c>
      <c r="B433" s="25">
        <v>10030071</v>
      </c>
      <c r="C433" s="36" t="s">
        <v>1020</v>
      </c>
      <c r="D433" s="25" t="str">
        <f>IFERROR(VLOOKUP(B433,'[1]MPG Payment'!$C$3:$F$915,4,0),0)</f>
        <v>Direct</v>
      </c>
      <c r="E433" s="55">
        <v>413</v>
      </c>
      <c r="F433" s="23">
        <f>IFERROR(VLOOKUP(B433,'[1]Farmer Payment Calc'!$E$2:$J$5780,6,0),0)</f>
        <v>2456</v>
      </c>
    </row>
    <row r="434" spans="1:6" x14ac:dyDescent="0.25">
      <c r="A434" t="str">
        <f t="shared" si="6"/>
        <v>104000010002</v>
      </c>
      <c r="B434" s="25">
        <v>10400001</v>
      </c>
      <c r="C434" s="36" t="s">
        <v>1020</v>
      </c>
      <c r="D434" s="25" t="str">
        <f>IFERROR(VLOOKUP(B434,'[1]MPG Payment'!$C$3:$F$915,4,0),0)</f>
        <v>Direct</v>
      </c>
      <c r="E434" s="55">
        <v>1493.88</v>
      </c>
      <c r="F434" s="23">
        <f>IFERROR(VLOOKUP(B434,'[1]Farmer Payment Calc'!$E$2:$J$5780,6,0),0)</f>
        <v>0</v>
      </c>
    </row>
    <row r="435" spans="1:6" x14ac:dyDescent="0.25">
      <c r="A435" t="str">
        <f t="shared" si="6"/>
        <v>104000010002</v>
      </c>
      <c r="B435" s="25">
        <v>10400001</v>
      </c>
      <c r="C435" s="36" t="s">
        <v>1020</v>
      </c>
      <c r="D435" s="25" t="str">
        <f>IFERROR(VLOOKUP(B435,'[1]MPG Payment'!$C$3:$F$915,4,0),0)</f>
        <v>Direct</v>
      </c>
      <c r="E435" s="55">
        <v>265.5</v>
      </c>
      <c r="F435" s="23">
        <f>IFERROR(VLOOKUP(B435,'[1]Farmer Payment Calc'!$E$2:$J$5780,6,0),0)</f>
        <v>0</v>
      </c>
    </row>
    <row r="436" spans="1:6" x14ac:dyDescent="0.25">
      <c r="A436" t="str">
        <f t="shared" si="6"/>
        <v>104000010002</v>
      </c>
      <c r="B436" s="25">
        <v>10400001</v>
      </c>
      <c r="C436" s="36" t="s">
        <v>1020</v>
      </c>
      <c r="D436" s="25" t="str">
        <f>IFERROR(VLOOKUP(B436,'[1]MPG Payment'!$C$3:$F$915,4,0),0)</f>
        <v>Direct</v>
      </c>
      <c r="E436" s="55">
        <v>973.5</v>
      </c>
      <c r="F436" s="23">
        <f>IFERROR(VLOOKUP(B436,'[1]Farmer Payment Calc'!$E$2:$J$5780,6,0),0)</f>
        <v>0</v>
      </c>
    </row>
    <row r="437" spans="1:6" x14ac:dyDescent="0.25">
      <c r="A437" t="str">
        <f t="shared" si="6"/>
        <v>101200510002</v>
      </c>
      <c r="B437" s="25">
        <v>10120051</v>
      </c>
      <c r="C437" s="36" t="s">
        <v>1020</v>
      </c>
      <c r="D437" s="25" t="str">
        <f>IFERROR(VLOOKUP(B437,'[1]MPG Payment'!$C$3:$F$915,4,0),0)</f>
        <v>Direct</v>
      </c>
      <c r="E437" s="55">
        <v>99.12</v>
      </c>
      <c r="F437" s="23">
        <f>IFERROR(VLOOKUP(B437,'[1]Farmer Payment Calc'!$E$2:$J$5780,6,0),0)</f>
        <v>2636.12</v>
      </c>
    </row>
    <row r="438" spans="1:6" x14ac:dyDescent="0.25">
      <c r="A438" t="str">
        <f t="shared" si="6"/>
        <v>101200510002</v>
      </c>
      <c r="B438" s="25">
        <v>10120051</v>
      </c>
      <c r="C438" s="36" t="s">
        <v>1020</v>
      </c>
      <c r="D438" s="25" t="str">
        <f>IFERROR(VLOOKUP(B438,'[1]MPG Payment'!$C$3:$F$915,4,0),0)</f>
        <v>Direct</v>
      </c>
      <c r="E438" s="55">
        <v>82.6</v>
      </c>
      <c r="F438" s="23">
        <f>IFERROR(VLOOKUP(B438,'[1]Farmer Payment Calc'!$E$2:$J$5780,6,0),0)</f>
        <v>2636.12</v>
      </c>
    </row>
    <row r="439" spans="1:6" x14ac:dyDescent="0.25">
      <c r="A439" t="str">
        <f t="shared" si="6"/>
        <v>100300380002</v>
      </c>
      <c r="B439" s="26">
        <v>10030038</v>
      </c>
      <c r="C439" s="36" t="s">
        <v>1020</v>
      </c>
      <c r="D439" s="25" t="str">
        <f>IFERROR(VLOOKUP(B439,'[1]MPG Payment'!$C$3:$F$915,4,0),0)</f>
        <v>Direct</v>
      </c>
      <c r="E439" s="55">
        <v>413</v>
      </c>
      <c r="F439" s="23">
        <f>IFERROR(VLOOKUP(B439,'[1]Farmer Payment Calc'!$E$2:$J$5780,6,0),0)</f>
        <v>0</v>
      </c>
    </row>
    <row r="440" spans="1:6" x14ac:dyDescent="0.25">
      <c r="A440" t="str">
        <f t="shared" si="6"/>
        <v>100300510002</v>
      </c>
      <c r="B440" s="26">
        <v>10030051</v>
      </c>
      <c r="C440" s="36" t="s">
        <v>1020</v>
      </c>
      <c r="D440" s="25" t="str">
        <f>IFERROR(VLOOKUP(B440,'[1]MPG Payment'!$C$3:$F$915,4,0),0)</f>
        <v>Direct</v>
      </c>
      <c r="E440" s="55">
        <v>413</v>
      </c>
      <c r="F440" s="23">
        <f>IFERROR(VLOOKUP(B440,'[1]Farmer Payment Calc'!$E$2:$J$5780,6,0),0)</f>
        <v>0</v>
      </c>
    </row>
    <row r="441" spans="1:6" x14ac:dyDescent="0.25">
      <c r="A441" t="str">
        <f t="shared" si="6"/>
        <v>101200830002</v>
      </c>
      <c r="B441" s="25">
        <v>10120083</v>
      </c>
      <c r="C441" s="36" t="s">
        <v>1020</v>
      </c>
      <c r="D441" s="25" t="str">
        <f>IFERROR(VLOOKUP(B441,'[1]MPG Payment'!$C$3:$F$915,4,0),0)</f>
        <v>Direct</v>
      </c>
      <c r="E441" s="55">
        <v>147.5</v>
      </c>
      <c r="F441" s="23">
        <f>IFERROR(VLOOKUP(B441,'[1]Farmer Payment Calc'!$E$2:$J$5780,6,0),0)</f>
        <v>0</v>
      </c>
    </row>
    <row r="442" spans="1:6" x14ac:dyDescent="0.25">
      <c r="A442" t="str">
        <f t="shared" si="6"/>
        <v>101200830002</v>
      </c>
      <c r="B442" s="25">
        <v>10120083</v>
      </c>
      <c r="C442" s="36" t="s">
        <v>1020</v>
      </c>
      <c r="D442" s="25" t="str">
        <f>IFERROR(VLOOKUP(B442,'[1]MPG Payment'!$C$3:$F$915,4,0),0)</f>
        <v>Direct</v>
      </c>
      <c r="E442" s="55">
        <v>147.5</v>
      </c>
      <c r="F442" s="23">
        <f>IFERROR(VLOOKUP(B442,'[1]Farmer Payment Calc'!$E$2:$J$5780,6,0),0)</f>
        <v>0</v>
      </c>
    </row>
    <row r="443" spans="1:6" x14ac:dyDescent="0.25">
      <c r="A443" t="str">
        <f t="shared" si="6"/>
        <v>100300180002</v>
      </c>
      <c r="B443" s="25">
        <v>10030018</v>
      </c>
      <c r="C443" s="36" t="s">
        <v>1020</v>
      </c>
      <c r="D443" s="25" t="str">
        <f>IFERROR(VLOOKUP(B443,'[1]MPG Payment'!$C$3:$F$915,4,0),0)</f>
        <v>Direct</v>
      </c>
      <c r="E443" s="55">
        <v>82.6</v>
      </c>
      <c r="F443" s="23">
        <f>IFERROR(VLOOKUP(B443,'[1]Farmer Payment Calc'!$E$2:$J$5780,6,0),0)</f>
        <v>0</v>
      </c>
    </row>
    <row r="444" spans="1:6" x14ac:dyDescent="0.25">
      <c r="A444" t="str">
        <f t="shared" si="6"/>
        <v>100300180002</v>
      </c>
      <c r="B444" s="25">
        <v>10030018</v>
      </c>
      <c r="C444" s="36" t="s">
        <v>1020</v>
      </c>
      <c r="D444" s="25" t="str">
        <f>IFERROR(VLOOKUP(B444,'[1]MPG Payment'!$C$3:$F$915,4,0),0)</f>
        <v>Direct</v>
      </c>
      <c r="E444" s="55">
        <v>82.6</v>
      </c>
      <c r="F444" s="23">
        <f>IFERROR(VLOOKUP(B444,'[1]Farmer Payment Calc'!$E$2:$J$5780,6,0),0)</f>
        <v>0</v>
      </c>
    </row>
    <row r="445" spans="1:6" x14ac:dyDescent="0.25">
      <c r="A445" t="str">
        <f t="shared" si="6"/>
        <v>101100940002</v>
      </c>
      <c r="B445" s="25">
        <v>10110094</v>
      </c>
      <c r="C445" s="36" t="s">
        <v>1020</v>
      </c>
      <c r="D445" s="25" t="str">
        <f>IFERROR(VLOOKUP(B445,'[1]MPG Payment'!$C$3:$F$915,4,0),0)</f>
        <v>Direct</v>
      </c>
      <c r="E445" s="55">
        <v>265.5</v>
      </c>
      <c r="F445" s="23">
        <f>IFERROR(VLOOKUP(B445,'[1]Farmer Payment Calc'!$E$2:$J$5780,6,0),0)</f>
        <v>0</v>
      </c>
    </row>
    <row r="446" spans="1:6" x14ac:dyDescent="0.25">
      <c r="A446" t="str">
        <f t="shared" si="6"/>
        <v>100900420002</v>
      </c>
      <c r="B446" s="25">
        <v>10090042</v>
      </c>
      <c r="C446" s="36" t="s">
        <v>1020</v>
      </c>
      <c r="D446" s="25" t="str">
        <f>IFERROR(VLOOKUP(B446,'[1]MPG Payment'!$C$3:$F$915,4,0),0)</f>
        <v>Direct</v>
      </c>
      <c r="E446" s="55">
        <v>51.92</v>
      </c>
      <c r="F446" s="23">
        <f>IFERROR(VLOOKUP(B446,'[1]Farmer Payment Calc'!$E$2:$J$5780,6,0),0)</f>
        <v>0</v>
      </c>
    </row>
    <row r="447" spans="1:6" x14ac:dyDescent="0.25">
      <c r="A447" t="str">
        <f t="shared" si="6"/>
        <v>101100550002</v>
      </c>
      <c r="B447" s="25">
        <v>10110055</v>
      </c>
      <c r="C447" s="36" t="s">
        <v>1020</v>
      </c>
      <c r="D447" s="25" t="str">
        <f>IFERROR(VLOOKUP(B447,'[1]MPG Payment'!$C$3:$F$915,4,0),0)</f>
        <v>Direct</v>
      </c>
      <c r="E447" s="55">
        <v>265.5</v>
      </c>
      <c r="F447" s="23">
        <f>IFERROR(VLOOKUP(B447,'[1]Farmer Payment Calc'!$E$2:$J$5780,6,0),0)</f>
        <v>1091</v>
      </c>
    </row>
    <row r="448" spans="1:6" x14ac:dyDescent="0.25">
      <c r="A448" t="str">
        <f t="shared" si="6"/>
        <v>101400120002</v>
      </c>
      <c r="B448" s="25">
        <v>10140012</v>
      </c>
      <c r="C448" s="36" t="s">
        <v>1020</v>
      </c>
      <c r="D448" s="25" t="str">
        <f>IFERROR(VLOOKUP(B448,'[1]MPG Payment'!$C$3:$F$915,4,0),0)</f>
        <v>Direct</v>
      </c>
      <c r="E448" s="55">
        <v>3304</v>
      </c>
      <c r="F448" s="23">
        <f>IFERROR(VLOOKUP(B448,'[1]Farmer Payment Calc'!$E$2:$J$5780,6,0),0)</f>
        <v>0</v>
      </c>
    </row>
    <row r="449" spans="1:6" x14ac:dyDescent="0.25">
      <c r="A449" t="str">
        <f t="shared" si="6"/>
        <v>101201140002</v>
      </c>
      <c r="B449" s="25">
        <v>10120114</v>
      </c>
      <c r="C449" s="36" t="s">
        <v>1020</v>
      </c>
      <c r="D449" s="25" t="str">
        <f>IFERROR(VLOOKUP(B449,'[1]MPG Payment'!$C$3:$F$915,4,0),0)</f>
        <v>Direct</v>
      </c>
      <c r="E449" s="55">
        <v>2065</v>
      </c>
      <c r="F449" s="23">
        <f>IFERROR(VLOOKUP(B449,'[1]Farmer Payment Calc'!$E$2:$J$5780,6,0),0)</f>
        <v>2489.8000000000002</v>
      </c>
    </row>
    <row r="450" spans="1:6" x14ac:dyDescent="0.25">
      <c r="A450" t="str">
        <f t="shared" si="6"/>
        <v>100200350002</v>
      </c>
      <c r="B450" s="25">
        <v>10020035</v>
      </c>
      <c r="C450" s="36" t="s">
        <v>1020</v>
      </c>
      <c r="D450" s="25" t="str">
        <f>IFERROR(VLOOKUP(B450,'[1]MPG Payment'!$C$3:$F$915,4,0),0)</f>
        <v>Direct</v>
      </c>
      <c r="E450" s="55">
        <v>265.5</v>
      </c>
      <c r="F450" s="23">
        <f>IFERROR(VLOOKUP(B450,'[1]Farmer Payment Calc'!$E$2:$J$5780,6,0),0)</f>
        <v>0</v>
      </c>
    </row>
    <row r="451" spans="1:6" x14ac:dyDescent="0.25">
      <c r="A451" t="str">
        <f t="shared" ref="A451:A514" si="7">CONCATENATE(B451,C451)</f>
        <v>101400980002</v>
      </c>
      <c r="B451" s="25">
        <v>10140098</v>
      </c>
      <c r="C451" s="36" t="s">
        <v>1020</v>
      </c>
      <c r="D451" s="25" t="str">
        <f>IFERROR(VLOOKUP(B451,'[1]MPG Payment'!$C$3:$F$915,4,0),0)</f>
        <v>Direct</v>
      </c>
      <c r="E451" s="55">
        <v>5310</v>
      </c>
      <c r="F451" s="23">
        <f>IFERROR(VLOOKUP(B451,'[1]Farmer Payment Calc'!$E$2:$J$5780,6,0),0)</f>
        <v>0</v>
      </c>
    </row>
    <row r="452" spans="1:6" x14ac:dyDescent="0.25">
      <c r="A452" t="str">
        <f t="shared" si="7"/>
        <v>100300710002</v>
      </c>
      <c r="B452" s="25">
        <v>10030071</v>
      </c>
      <c r="C452" s="36" t="s">
        <v>1020</v>
      </c>
      <c r="D452" s="25" t="str">
        <f>IFERROR(VLOOKUP(B452,'[1]MPG Payment'!$C$3:$F$915,4,0),0)</f>
        <v>Direct</v>
      </c>
      <c r="E452" s="55">
        <v>2454.4</v>
      </c>
      <c r="F452" s="23">
        <f>IFERROR(VLOOKUP(B452,'[1]Farmer Payment Calc'!$E$2:$J$5780,6,0),0)</f>
        <v>2456</v>
      </c>
    </row>
    <row r="453" spans="1:6" x14ac:dyDescent="0.25">
      <c r="A453" t="str">
        <f t="shared" si="7"/>
        <v>101400470002</v>
      </c>
      <c r="B453" s="25">
        <v>10140047</v>
      </c>
      <c r="C453" s="36" t="s">
        <v>1020</v>
      </c>
      <c r="D453" s="25" t="str">
        <f>IFERROR(VLOOKUP(B453,'[1]MPG Payment'!$C$3:$F$915,4,0),0)</f>
        <v>Direct</v>
      </c>
      <c r="E453" s="55">
        <v>3304</v>
      </c>
      <c r="F453" s="23">
        <f>IFERROR(VLOOKUP(B453,'[1]Farmer Payment Calc'!$E$2:$J$5780,6,0),0)</f>
        <v>0</v>
      </c>
    </row>
    <row r="454" spans="1:6" x14ac:dyDescent="0.25">
      <c r="A454" t="str">
        <f t="shared" si="7"/>
        <v>101401290002</v>
      </c>
      <c r="B454" s="25">
        <v>10140129</v>
      </c>
      <c r="C454" s="36" t="s">
        <v>1020</v>
      </c>
      <c r="D454" s="25" t="str">
        <f>IFERROR(VLOOKUP(B454,'[1]MPG Payment'!$C$3:$F$915,4,0),0)</f>
        <v>Direct</v>
      </c>
      <c r="E454" s="55">
        <v>82.6</v>
      </c>
      <c r="F454" s="23">
        <f>IFERROR(VLOOKUP(B454,'[1]Farmer Payment Calc'!$E$2:$J$5780,6,0),0)</f>
        <v>7489.8</v>
      </c>
    </row>
    <row r="455" spans="1:6" x14ac:dyDescent="0.25">
      <c r="A455" t="str">
        <f t="shared" si="7"/>
        <v>100800770002</v>
      </c>
      <c r="B455" s="25">
        <v>10080077</v>
      </c>
      <c r="C455" s="36" t="s">
        <v>1020</v>
      </c>
      <c r="D455" s="25" t="str">
        <f>IFERROR(VLOOKUP(B455,'[1]MPG Payment'!$C$3:$F$915,4,0),0)</f>
        <v>Direct</v>
      </c>
      <c r="E455" s="55">
        <v>2454.4</v>
      </c>
      <c r="F455" s="23">
        <f>IFERROR(VLOOKUP(B455,'[1]Farmer Payment Calc'!$E$2:$J$5780,6,0),0)</f>
        <v>0</v>
      </c>
    </row>
    <row r="456" spans="1:6" x14ac:dyDescent="0.25">
      <c r="A456" t="str">
        <f t="shared" si="7"/>
        <v>105100010002</v>
      </c>
      <c r="B456" s="25">
        <v>10510001</v>
      </c>
      <c r="C456" s="36" t="s">
        <v>1020</v>
      </c>
      <c r="D456" s="25" t="str">
        <f>IFERROR(VLOOKUP(B456,'[1]MPG Payment'!$C$3:$F$915,4,0),0)</f>
        <v>Direct</v>
      </c>
      <c r="E456" s="55">
        <v>1493.88</v>
      </c>
      <c r="F456" s="23">
        <f>IFERROR(VLOOKUP(B456,'[1]Farmer Payment Calc'!$E$2:$J$5780,6,0),0)</f>
        <v>0</v>
      </c>
    </row>
    <row r="457" spans="1:6" x14ac:dyDescent="0.25">
      <c r="A457" t="str">
        <f t="shared" si="7"/>
        <v>101400690002</v>
      </c>
      <c r="B457" s="25">
        <v>10140069</v>
      </c>
      <c r="C457" s="36" t="s">
        <v>1020</v>
      </c>
      <c r="D457" s="25" t="str">
        <f>IFERROR(VLOOKUP(B457,'[1]MPG Payment'!$C$3:$F$915,4,0),0)</f>
        <v>Direct</v>
      </c>
      <c r="E457" s="55">
        <v>5310</v>
      </c>
      <c r="F457" s="23">
        <f>IFERROR(VLOOKUP(B457,'[1]Farmer Payment Calc'!$E$2:$J$5780,6,0),0)</f>
        <v>0</v>
      </c>
    </row>
    <row r="458" spans="1:6" x14ac:dyDescent="0.25">
      <c r="A458" t="str">
        <f t="shared" si="7"/>
        <v>100300710002</v>
      </c>
      <c r="B458" s="25">
        <v>10030071</v>
      </c>
      <c r="C458" s="36" t="s">
        <v>1020</v>
      </c>
      <c r="D458" s="25" t="str">
        <f>IFERROR(VLOOKUP(B458,'[1]MPG Payment'!$C$3:$F$915,4,0),0)</f>
        <v>Direct</v>
      </c>
      <c r="E458" s="55">
        <v>2065</v>
      </c>
      <c r="F458" s="23">
        <f>IFERROR(VLOOKUP(B458,'[1]Farmer Payment Calc'!$E$2:$J$5780,6,0),0)</f>
        <v>2456</v>
      </c>
    </row>
    <row r="459" spans="1:6" x14ac:dyDescent="0.25">
      <c r="A459" t="str">
        <f t="shared" si="7"/>
        <v>100300710002</v>
      </c>
      <c r="B459" s="25">
        <v>10030071</v>
      </c>
      <c r="C459" s="36" t="s">
        <v>1020</v>
      </c>
      <c r="D459" s="25" t="str">
        <f>IFERROR(VLOOKUP(B459,'[1]MPG Payment'!$C$3:$F$915,4,0),0)</f>
        <v>Direct</v>
      </c>
      <c r="E459" s="55">
        <v>1062</v>
      </c>
      <c r="F459" s="23">
        <f>IFERROR(VLOOKUP(B459,'[1]Farmer Payment Calc'!$E$2:$J$5780,6,0),0)</f>
        <v>2456</v>
      </c>
    </row>
    <row r="460" spans="1:6" x14ac:dyDescent="0.25">
      <c r="A460" t="str">
        <f t="shared" si="7"/>
        <v>105100040002</v>
      </c>
      <c r="B460" s="25">
        <v>10510004</v>
      </c>
      <c r="C460" s="36" t="s">
        <v>1020</v>
      </c>
      <c r="D460" s="25" t="str">
        <f>IFERROR(VLOOKUP(B460,'[1]MPG Payment'!$C$3:$F$915,4,0),0)</f>
        <v>Direct</v>
      </c>
      <c r="E460" s="55">
        <v>82.6</v>
      </c>
      <c r="F460" s="23">
        <f>IFERROR(VLOOKUP(B460,'[1]Farmer Payment Calc'!$E$2:$J$5780,6,0),0)</f>
        <v>0</v>
      </c>
    </row>
    <row r="461" spans="1:6" x14ac:dyDescent="0.25">
      <c r="A461" t="str">
        <f t="shared" si="7"/>
        <v>101300030002</v>
      </c>
      <c r="B461" s="25">
        <v>10130003</v>
      </c>
      <c r="C461" s="36" t="s">
        <v>1020</v>
      </c>
      <c r="D461" s="25" t="str">
        <f>IFERROR(VLOOKUP(B461,'[1]MPG Payment'!$C$3:$F$915,4,0),0)</f>
        <v>Direct</v>
      </c>
      <c r="E461" s="55">
        <v>908.6</v>
      </c>
      <c r="F461" s="23">
        <f>IFERROR(VLOOKUP(B461,'[1]Farmer Payment Calc'!$E$2:$J$5780,6,0),0)</f>
        <v>0</v>
      </c>
    </row>
    <row r="462" spans="1:6" x14ac:dyDescent="0.25">
      <c r="A462" t="str">
        <f t="shared" si="7"/>
        <v>101300030002</v>
      </c>
      <c r="B462" s="25">
        <v>10130003</v>
      </c>
      <c r="C462" s="36" t="s">
        <v>1020</v>
      </c>
      <c r="D462" s="25" t="str">
        <f>IFERROR(VLOOKUP(B462,'[1]MPG Payment'!$C$3:$F$915,4,0),0)</f>
        <v>Direct</v>
      </c>
      <c r="E462" s="55">
        <v>82.6</v>
      </c>
      <c r="F462" s="23">
        <f>IFERROR(VLOOKUP(B462,'[1]Farmer Payment Calc'!$E$2:$J$5780,6,0),0)</f>
        <v>0</v>
      </c>
    </row>
    <row r="463" spans="1:6" x14ac:dyDescent="0.25">
      <c r="A463" t="str">
        <f t="shared" si="7"/>
        <v>101300030002</v>
      </c>
      <c r="B463" s="25">
        <v>10130003</v>
      </c>
      <c r="C463" s="36" t="s">
        <v>1020</v>
      </c>
      <c r="D463" s="25" t="str">
        <f>IFERROR(VLOOKUP(B463,'[1]MPG Payment'!$C$3:$F$915,4,0),0)</f>
        <v>Direct</v>
      </c>
      <c r="E463" s="55">
        <v>82.6</v>
      </c>
      <c r="F463" s="23">
        <f>IFERROR(VLOOKUP(B463,'[1]Farmer Payment Calc'!$E$2:$J$5780,6,0),0)</f>
        <v>0</v>
      </c>
    </row>
    <row r="464" spans="1:6" x14ac:dyDescent="0.25">
      <c r="A464" t="str">
        <f t="shared" si="7"/>
        <v>101400410002</v>
      </c>
      <c r="B464" s="25">
        <v>10140041</v>
      </c>
      <c r="C464" s="36" t="s">
        <v>1020</v>
      </c>
      <c r="D464" s="25" t="str">
        <f>IFERROR(VLOOKUP(B464,'[1]MPG Payment'!$C$3:$F$915,4,0),0)</f>
        <v>Direct</v>
      </c>
      <c r="E464" s="55">
        <v>413</v>
      </c>
      <c r="F464" s="23">
        <f>IFERROR(VLOOKUP(B464,'[1]Farmer Payment Calc'!$E$2:$J$5780,6,0),0)</f>
        <v>413</v>
      </c>
    </row>
    <row r="465" spans="1:6" x14ac:dyDescent="0.25">
      <c r="A465" t="str">
        <f t="shared" si="7"/>
        <v>100100760002</v>
      </c>
      <c r="B465" s="25">
        <v>10010076</v>
      </c>
      <c r="C465" s="36" t="s">
        <v>1020</v>
      </c>
      <c r="D465" s="25" t="str">
        <f>IFERROR(VLOOKUP(B465,'[1]MPG Payment'!$C$3:$F$915,4,0),0)</f>
        <v>Direct</v>
      </c>
      <c r="E465" s="55">
        <v>2360</v>
      </c>
      <c r="F465" s="23">
        <f>IFERROR(VLOOKUP(B465,'[1]Farmer Payment Calc'!$E$2:$J$5780,6,0),0)</f>
        <v>1041</v>
      </c>
    </row>
    <row r="466" spans="1:6" x14ac:dyDescent="0.25">
      <c r="A466" t="str">
        <f t="shared" si="7"/>
        <v>100300530002</v>
      </c>
      <c r="B466" s="26">
        <v>10030053</v>
      </c>
      <c r="C466" s="36" t="s">
        <v>1020</v>
      </c>
      <c r="D466" s="25" t="str">
        <f>IFERROR(VLOOKUP(B466,'[1]MPG Payment'!$C$3:$F$915,4,0),0)</f>
        <v>Direct</v>
      </c>
      <c r="E466" s="55">
        <v>141.6</v>
      </c>
      <c r="F466" s="23">
        <f>IFERROR(VLOOKUP(B466,'[1]Farmer Payment Calc'!$E$2:$J$5780,6,0),0)</f>
        <v>0</v>
      </c>
    </row>
    <row r="467" spans="1:6" x14ac:dyDescent="0.25">
      <c r="A467" t="str">
        <f t="shared" si="7"/>
        <v>100200630002</v>
      </c>
      <c r="B467" s="25">
        <v>10020063</v>
      </c>
      <c r="C467" s="36" t="s">
        <v>1020</v>
      </c>
      <c r="D467" s="25" t="str">
        <f>IFERROR(VLOOKUP(B467,'[1]MPG Payment'!$C$3:$F$915,4,0),0)</f>
        <v>Direct</v>
      </c>
      <c r="E467" s="55">
        <v>413</v>
      </c>
      <c r="F467" s="23">
        <f>IFERROR(VLOOKUP(B467,'[1]Farmer Payment Calc'!$E$2:$J$5780,6,0),0)</f>
        <v>0</v>
      </c>
    </row>
    <row r="468" spans="1:6" x14ac:dyDescent="0.25">
      <c r="A468" t="str">
        <f t="shared" si="7"/>
        <v>100900290002</v>
      </c>
      <c r="B468" s="25">
        <v>10090029</v>
      </c>
      <c r="C468" s="36" t="s">
        <v>1020</v>
      </c>
      <c r="D468" s="25" t="str">
        <f>IFERROR(VLOOKUP(B468,'[1]MPG Payment'!$C$3:$F$915,4,0),0)</f>
        <v>Direct</v>
      </c>
      <c r="E468" s="55">
        <v>3304</v>
      </c>
      <c r="F468" s="23">
        <f>IFERROR(VLOOKUP(B468,'[1]Farmer Payment Calc'!$E$2:$J$5780,6,0),0)</f>
        <v>0</v>
      </c>
    </row>
    <row r="469" spans="1:6" x14ac:dyDescent="0.25">
      <c r="A469" t="str">
        <f t="shared" si="7"/>
        <v>100600220002</v>
      </c>
      <c r="B469" s="25">
        <v>10060022</v>
      </c>
      <c r="C469" s="36" t="s">
        <v>1020</v>
      </c>
      <c r="D469" s="25" t="str">
        <f>IFERROR(VLOOKUP(B469,'[1]MPG Payment'!$C$3:$F$915,4,0),0)</f>
        <v>Direct</v>
      </c>
      <c r="E469" s="55">
        <v>929.84</v>
      </c>
      <c r="F469" s="23">
        <f>IFERROR(VLOOKUP(B469,'[1]Farmer Payment Calc'!$E$2:$J$5780,6,0),0)</f>
        <v>0</v>
      </c>
    </row>
    <row r="470" spans="1:6" x14ac:dyDescent="0.25">
      <c r="A470" t="str">
        <f t="shared" si="7"/>
        <v>100600220002</v>
      </c>
      <c r="B470" s="25">
        <v>10060022</v>
      </c>
      <c r="C470" s="36" t="s">
        <v>1020</v>
      </c>
      <c r="D470" s="25" t="str">
        <f>IFERROR(VLOOKUP(B470,'[1]MPG Payment'!$C$3:$F$915,4,0),0)</f>
        <v>Direct</v>
      </c>
      <c r="E470" s="55">
        <v>2454.4</v>
      </c>
      <c r="F470" s="23">
        <f>IFERROR(VLOOKUP(B470,'[1]Farmer Payment Calc'!$E$2:$J$5780,6,0),0)</f>
        <v>0</v>
      </c>
    </row>
    <row r="471" spans="1:6" x14ac:dyDescent="0.25">
      <c r="A471" t="str">
        <f t="shared" si="7"/>
        <v>101200890002</v>
      </c>
      <c r="B471" s="25">
        <v>10120089</v>
      </c>
      <c r="C471" s="36" t="s">
        <v>1020</v>
      </c>
      <c r="D471" s="25" t="str">
        <f>IFERROR(VLOOKUP(B471,'[1]MPG Payment'!$C$3:$F$915,4,0),0)</f>
        <v>Direct</v>
      </c>
      <c r="E471" s="55">
        <v>973.5</v>
      </c>
      <c r="F471" s="23">
        <f>IFERROR(VLOOKUP(B471,'[1]Farmer Payment Calc'!$E$2:$J$5780,6,0),0)</f>
        <v>0</v>
      </c>
    </row>
    <row r="472" spans="1:6" x14ac:dyDescent="0.25">
      <c r="A472" t="str">
        <f t="shared" si="7"/>
        <v>101200300002</v>
      </c>
      <c r="B472" s="25">
        <v>10120030</v>
      </c>
      <c r="C472" s="36" t="s">
        <v>1020</v>
      </c>
      <c r="D472" s="25" t="str">
        <f>IFERROR(VLOOKUP(B472,'[1]MPG Payment'!$C$3:$F$915,4,0),0)</f>
        <v>Direct</v>
      </c>
      <c r="E472" s="55">
        <v>1062</v>
      </c>
      <c r="F472" s="23">
        <f>IFERROR(VLOOKUP(B472,'[1]Farmer Payment Calc'!$E$2:$J$5780,6,0),0)</f>
        <v>0</v>
      </c>
    </row>
    <row r="473" spans="1:6" x14ac:dyDescent="0.25">
      <c r="A473" t="str">
        <f t="shared" si="7"/>
        <v>101200830002</v>
      </c>
      <c r="B473" s="25">
        <v>10120083</v>
      </c>
      <c r="C473" s="36" t="s">
        <v>1020</v>
      </c>
      <c r="D473" s="25" t="str">
        <f>IFERROR(VLOOKUP(B473,'[1]MPG Payment'!$C$3:$F$915,4,0),0)</f>
        <v>Direct</v>
      </c>
      <c r="E473" s="55">
        <v>920.4</v>
      </c>
      <c r="F473" s="23">
        <f>IFERROR(VLOOKUP(B473,'[1]Farmer Payment Calc'!$E$2:$J$5780,6,0),0)</f>
        <v>0</v>
      </c>
    </row>
    <row r="474" spans="1:6" x14ac:dyDescent="0.25">
      <c r="A474" t="str">
        <f t="shared" si="7"/>
        <v>101300730002</v>
      </c>
      <c r="B474" s="25">
        <v>10130073</v>
      </c>
      <c r="C474" s="36" t="s">
        <v>1020</v>
      </c>
      <c r="D474" s="25" t="str">
        <f>IFERROR(VLOOKUP(B474,'[1]MPG Payment'!$C$3:$F$915,4,0),0)</f>
        <v>Direct</v>
      </c>
      <c r="E474" s="55">
        <v>82.6</v>
      </c>
      <c r="F474" s="23">
        <f>IFERROR(VLOOKUP(B474,'[1]Farmer Payment Calc'!$E$2:$J$5780,6,0),0)</f>
        <v>1359.3599999999997</v>
      </c>
    </row>
    <row r="475" spans="1:6" x14ac:dyDescent="0.25">
      <c r="A475" t="str">
        <f t="shared" si="7"/>
        <v>101300730002</v>
      </c>
      <c r="B475" s="25">
        <v>10130073</v>
      </c>
      <c r="C475" s="36" t="s">
        <v>1020</v>
      </c>
      <c r="D475" s="25" t="str">
        <f>IFERROR(VLOOKUP(B475,'[1]MPG Payment'!$C$3:$F$915,4,0),0)</f>
        <v>Direct</v>
      </c>
      <c r="E475" s="55">
        <v>82.6</v>
      </c>
      <c r="F475" s="23">
        <f>IFERROR(VLOOKUP(B475,'[1]Farmer Payment Calc'!$E$2:$J$5780,6,0),0)</f>
        <v>1359.3599999999997</v>
      </c>
    </row>
    <row r="476" spans="1:6" x14ac:dyDescent="0.25">
      <c r="A476" t="str">
        <f t="shared" si="7"/>
        <v>101300700002</v>
      </c>
      <c r="B476" s="25">
        <v>10130070</v>
      </c>
      <c r="C476" s="36" t="s">
        <v>1020</v>
      </c>
      <c r="D476" s="25" t="str">
        <f>IFERROR(VLOOKUP(B476,'[1]MPG Payment'!$C$3:$F$915,4,0),0)</f>
        <v>Direct</v>
      </c>
      <c r="E476" s="55">
        <v>82.6</v>
      </c>
      <c r="F476" s="23">
        <f>IFERROR(VLOOKUP(B476,'[1]Farmer Payment Calc'!$E$2:$J$5780,6,0),0)</f>
        <v>0</v>
      </c>
    </row>
    <row r="477" spans="1:6" x14ac:dyDescent="0.25">
      <c r="A477" t="str">
        <f t="shared" si="7"/>
        <v>101300700002</v>
      </c>
      <c r="B477" s="25">
        <v>10130070</v>
      </c>
      <c r="C477" s="36" t="s">
        <v>1020</v>
      </c>
      <c r="D477" s="25" t="str">
        <f>IFERROR(VLOOKUP(B477,'[1]MPG Payment'!$C$3:$F$915,4,0),0)</f>
        <v>Direct</v>
      </c>
      <c r="E477" s="55">
        <v>932.2</v>
      </c>
      <c r="F477" s="23">
        <f>IFERROR(VLOOKUP(B477,'[1]Farmer Payment Calc'!$E$2:$J$5780,6,0),0)</f>
        <v>0</v>
      </c>
    </row>
    <row r="478" spans="1:6" x14ac:dyDescent="0.25">
      <c r="A478" t="str">
        <f t="shared" si="7"/>
        <v>101200290002</v>
      </c>
      <c r="B478" s="25">
        <v>10120029</v>
      </c>
      <c r="C478" s="36" t="s">
        <v>1020</v>
      </c>
      <c r="D478" s="25" t="str">
        <f>IFERROR(VLOOKUP(B478,'[1]MPG Payment'!$C$3:$F$915,4,0),0)</f>
        <v>Direct</v>
      </c>
      <c r="E478" s="55">
        <v>649</v>
      </c>
      <c r="F478" s="23">
        <f>IFERROR(VLOOKUP(B478,'[1]Farmer Payment Calc'!$E$2:$J$5780,6,0),0)</f>
        <v>0</v>
      </c>
    </row>
    <row r="479" spans="1:6" x14ac:dyDescent="0.25">
      <c r="A479" t="str">
        <f t="shared" si="7"/>
        <v>100300530002</v>
      </c>
      <c r="B479" s="26">
        <v>10030053</v>
      </c>
      <c r="C479" s="36" t="s">
        <v>1020</v>
      </c>
      <c r="D479" s="25" t="str">
        <f>IFERROR(VLOOKUP(B479,'[1]MPG Payment'!$C$3:$F$915,4,0),0)</f>
        <v>Direct</v>
      </c>
      <c r="E479" s="55">
        <v>2454.4</v>
      </c>
      <c r="F479" s="23">
        <f>IFERROR(VLOOKUP(B479,'[1]Farmer Payment Calc'!$E$2:$J$5780,6,0),0)</f>
        <v>0</v>
      </c>
    </row>
    <row r="480" spans="1:6" x14ac:dyDescent="0.25">
      <c r="A480" t="str">
        <f t="shared" si="7"/>
        <v>101400320002</v>
      </c>
      <c r="B480" s="24">
        <v>10140032</v>
      </c>
      <c r="C480" s="36" t="s">
        <v>1020</v>
      </c>
      <c r="D480" s="25" t="str">
        <f>IFERROR(VLOOKUP(B480,'[1]MPG Payment'!$C$3:$F$915,4,0),0)</f>
        <v>Direct</v>
      </c>
      <c r="E480" s="55">
        <v>2065</v>
      </c>
      <c r="F480" s="23">
        <f>IFERROR(VLOOKUP(B480,'[1]Farmer Payment Calc'!$E$2:$J$5780,6,0),0)</f>
        <v>3971.88</v>
      </c>
    </row>
    <row r="481" spans="1:6" x14ac:dyDescent="0.25">
      <c r="A481" t="str">
        <f t="shared" si="7"/>
        <v>101200340002</v>
      </c>
      <c r="B481" s="25">
        <v>10120034</v>
      </c>
      <c r="C481" s="36" t="s">
        <v>1020</v>
      </c>
      <c r="D481" s="25" t="str">
        <f>IFERROR(VLOOKUP(B481,'[1]MPG Payment'!$C$3:$F$915,4,0),0)</f>
        <v>Direct</v>
      </c>
      <c r="E481" s="55">
        <v>82.6</v>
      </c>
      <c r="F481" s="23">
        <f>IFERROR(VLOOKUP(B481,'[1]Farmer Payment Calc'!$E$2:$J$5780,6,0),0)</f>
        <v>82.6</v>
      </c>
    </row>
    <row r="482" spans="1:6" x14ac:dyDescent="0.25">
      <c r="A482" t="str">
        <f t="shared" si="7"/>
        <v>100800880002</v>
      </c>
      <c r="B482" s="25">
        <v>10080088</v>
      </c>
      <c r="C482" s="36" t="s">
        <v>1020</v>
      </c>
      <c r="D482" s="25" t="str">
        <f>IFERROR(VLOOKUP(B482,'[1]MPG Payment'!$C$3:$F$915,4,0),0)</f>
        <v>Direct</v>
      </c>
      <c r="E482" s="55">
        <v>51.92</v>
      </c>
      <c r="F482" s="23">
        <f>IFERROR(VLOOKUP(B482,'[1]Farmer Payment Calc'!$E$2:$J$5780,6,0),0)</f>
        <v>0</v>
      </c>
    </row>
    <row r="483" spans="1:6" x14ac:dyDescent="0.25">
      <c r="A483" t="str">
        <f t="shared" si="7"/>
        <v>100601210002</v>
      </c>
      <c r="B483" s="25">
        <v>10060121</v>
      </c>
      <c r="C483" s="36" t="s">
        <v>1020</v>
      </c>
      <c r="D483" s="25" t="str">
        <f>IFERROR(VLOOKUP(B483,'[1]MPG Payment'!$C$3:$F$915,4,0),0)</f>
        <v>Direct</v>
      </c>
      <c r="E483" s="55">
        <v>3304</v>
      </c>
      <c r="F483" s="23">
        <f>IFERROR(VLOOKUP(B483,'[1]Farmer Payment Calc'!$E$2:$J$5780,6,0),0)</f>
        <v>3304</v>
      </c>
    </row>
    <row r="484" spans="1:6" x14ac:dyDescent="0.25">
      <c r="A484" t="str">
        <f t="shared" si="7"/>
        <v>100800870002</v>
      </c>
      <c r="B484" s="25">
        <v>10080087</v>
      </c>
      <c r="C484" s="36" t="s">
        <v>1020</v>
      </c>
      <c r="D484" s="25" t="str">
        <f>IFERROR(VLOOKUP(B484,'[1]MPG Payment'!$C$3:$F$915,4,0),0)</f>
        <v>Direct</v>
      </c>
      <c r="E484" s="55">
        <v>908.6</v>
      </c>
      <c r="F484" s="23">
        <f>IFERROR(VLOOKUP(B484,'[1]Farmer Payment Calc'!$E$2:$J$5780,6,0),0)</f>
        <v>0</v>
      </c>
    </row>
    <row r="485" spans="1:6" x14ac:dyDescent="0.25">
      <c r="A485" t="str">
        <f t="shared" si="7"/>
        <v>100800870002</v>
      </c>
      <c r="B485" s="25">
        <v>10080087</v>
      </c>
      <c r="C485" s="36" t="s">
        <v>1020</v>
      </c>
      <c r="D485" s="25" t="str">
        <f>IFERROR(VLOOKUP(B485,'[1]MPG Payment'!$C$3:$F$915,4,0),0)</f>
        <v>Direct</v>
      </c>
      <c r="E485" s="55">
        <v>51.92</v>
      </c>
      <c r="F485" s="23">
        <f>IFERROR(VLOOKUP(B485,'[1]Farmer Payment Calc'!$E$2:$J$5780,6,0),0)</f>
        <v>0</v>
      </c>
    </row>
    <row r="486" spans="1:6" x14ac:dyDescent="0.25">
      <c r="A486" t="str">
        <f t="shared" si="7"/>
        <v>100800870002</v>
      </c>
      <c r="B486" s="25">
        <v>10080087</v>
      </c>
      <c r="C486" s="36" t="s">
        <v>1020</v>
      </c>
      <c r="D486" s="25" t="str">
        <f>IFERROR(VLOOKUP(B486,'[1]MPG Payment'!$C$3:$F$915,4,0),0)</f>
        <v>Direct</v>
      </c>
      <c r="E486" s="55">
        <v>51.92</v>
      </c>
      <c r="F486" s="23">
        <f>IFERROR(VLOOKUP(B486,'[1]Farmer Payment Calc'!$E$2:$J$5780,6,0),0)</f>
        <v>0</v>
      </c>
    </row>
    <row r="487" spans="1:6" x14ac:dyDescent="0.25">
      <c r="A487" t="str">
        <f t="shared" si="7"/>
        <v>101400430002</v>
      </c>
      <c r="B487" s="25">
        <v>10140043</v>
      </c>
      <c r="C487" s="36" t="s">
        <v>1020</v>
      </c>
      <c r="D487" s="25" t="str">
        <f>IFERROR(VLOOKUP(B487,'[1]MPG Payment'!$C$3:$F$915,4,0),0)</f>
        <v>Direct</v>
      </c>
      <c r="E487" s="55">
        <v>1493.88</v>
      </c>
      <c r="F487" s="23">
        <f>IFERROR(VLOOKUP(B487,'[1]Farmer Payment Calc'!$E$2:$J$5780,6,0),0)</f>
        <v>0</v>
      </c>
    </row>
    <row r="488" spans="1:6" x14ac:dyDescent="0.25">
      <c r="A488" t="str">
        <f t="shared" si="7"/>
        <v>101200180002</v>
      </c>
      <c r="B488" s="25">
        <v>10120018</v>
      </c>
      <c r="C488" s="36" t="s">
        <v>1020</v>
      </c>
      <c r="D488" s="25" t="str">
        <f>IFERROR(VLOOKUP(B488,'[1]MPG Payment'!$C$3:$F$915,4,0),0)</f>
        <v>Direct</v>
      </c>
      <c r="E488" s="55">
        <v>424.8</v>
      </c>
      <c r="F488" s="23">
        <f>IFERROR(VLOOKUP(B488,'[1]Farmer Payment Calc'!$E$2:$J$5780,6,0),0)</f>
        <v>1398.3</v>
      </c>
    </row>
    <row r="489" spans="1:6" x14ac:dyDescent="0.25">
      <c r="A489" t="str">
        <f t="shared" si="7"/>
        <v>101200180002</v>
      </c>
      <c r="B489" s="25">
        <v>10120018</v>
      </c>
      <c r="C489" s="36" t="s">
        <v>1020</v>
      </c>
      <c r="D489" s="25" t="str">
        <f>IFERROR(VLOOKUP(B489,'[1]MPG Payment'!$C$3:$F$915,4,0),0)</f>
        <v>Direct</v>
      </c>
      <c r="E489" s="55">
        <v>973.5</v>
      </c>
      <c r="F489" s="23">
        <f>IFERROR(VLOOKUP(B489,'[1]Farmer Payment Calc'!$E$2:$J$5780,6,0),0)</f>
        <v>1398.3</v>
      </c>
    </row>
    <row r="490" spans="1:6" x14ac:dyDescent="0.25">
      <c r="A490" t="str">
        <f t="shared" si="7"/>
        <v>100900470002</v>
      </c>
      <c r="B490" s="26">
        <v>10090047</v>
      </c>
      <c r="C490" s="36" t="s">
        <v>1020</v>
      </c>
      <c r="D490" s="25" t="str">
        <f>IFERROR(VLOOKUP(B490,'[1]MPG Payment'!$C$3:$F$915,4,0),0)</f>
        <v>Direct</v>
      </c>
      <c r="E490" s="55">
        <v>2454.4</v>
      </c>
      <c r="F490" s="23">
        <f>IFERROR(VLOOKUP(B490,'[1]Farmer Payment Calc'!$E$2:$J$5780,6,0),0)</f>
        <v>0</v>
      </c>
    </row>
    <row r="491" spans="1:6" x14ac:dyDescent="0.25">
      <c r="A491" t="str">
        <f t="shared" si="7"/>
        <v>100300660002</v>
      </c>
      <c r="B491" s="25">
        <v>10030066</v>
      </c>
      <c r="C491" s="36" t="s">
        <v>1020</v>
      </c>
      <c r="D491" s="25" t="str">
        <f>IFERROR(VLOOKUP(B491,'[1]MPG Payment'!$C$3:$F$915,4,0),0)</f>
        <v>Direct</v>
      </c>
      <c r="E491" s="55">
        <v>141.6</v>
      </c>
      <c r="F491" s="23">
        <f>IFERROR(VLOOKUP(B491,'[1]Farmer Payment Calc'!$E$2:$J$5780,6,0),0)</f>
        <v>0</v>
      </c>
    </row>
    <row r="492" spans="1:6" x14ac:dyDescent="0.25">
      <c r="A492" t="str">
        <f t="shared" si="7"/>
        <v>101101640002</v>
      </c>
      <c r="B492" s="25">
        <v>10110164</v>
      </c>
      <c r="C492" s="36" t="s">
        <v>1020</v>
      </c>
      <c r="D492" s="25" t="str">
        <f>IFERROR(VLOOKUP(B492,'[1]MPG Payment'!$C$3:$F$915,4,0),0)</f>
        <v>Direct</v>
      </c>
      <c r="E492" s="55">
        <v>413</v>
      </c>
      <c r="F492" s="23">
        <f>IFERROR(VLOOKUP(B492,'[1]Farmer Payment Calc'!$E$2:$J$5780,6,0),0)</f>
        <v>413</v>
      </c>
    </row>
    <row r="493" spans="1:6" x14ac:dyDescent="0.25">
      <c r="A493" t="str">
        <f t="shared" si="7"/>
        <v>101401190002</v>
      </c>
      <c r="B493" s="25">
        <v>10140119</v>
      </c>
      <c r="C493" s="36" t="s">
        <v>1020</v>
      </c>
      <c r="D493" s="25" t="str">
        <f>IFERROR(VLOOKUP(B493,'[1]MPG Payment'!$C$3:$F$915,4,0),0)</f>
        <v>Direct</v>
      </c>
      <c r="E493" s="55">
        <v>82.6</v>
      </c>
      <c r="F493" s="23">
        <f>IFERROR(VLOOKUP(B493,'[1]Farmer Payment Calc'!$E$2:$J$5780,6,0),0)</f>
        <v>0</v>
      </c>
    </row>
    <row r="494" spans="1:6" x14ac:dyDescent="0.25">
      <c r="A494" t="str">
        <f t="shared" si="7"/>
        <v>101100940002</v>
      </c>
      <c r="B494" s="25">
        <v>10110094</v>
      </c>
      <c r="C494" s="36" t="s">
        <v>1020</v>
      </c>
      <c r="D494" s="25" t="str">
        <f>IFERROR(VLOOKUP(B494,'[1]MPG Payment'!$C$3:$F$915,4,0),0)</f>
        <v>Direct</v>
      </c>
      <c r="E494" s="55">
        <v>413</v>
      </c>
      <c r="F494" s="23">
        <f>IFERROR(VLOOKUP(B494,'[1]Farmer Payment Calc'!$E$2:$J$5780,6,0),0)</f>
        <v>0</v>
      </c>
    </row>
    <row r="495" spans="1:6" x14ac:dyDescent="0.25">
      <c r="A495" t="str">
        <f t="shared" si="7"/>
        <v>100200230002</v>
      </c>
      <c r="B495" s="25">
        <v>10020023</v>
      </c>
      <c r="C495" s="36" t="s">
        <v>1020</v>
      </c>
      <c r="D495" s="25" t="str">
        <f>IFERROR(VLOOKUP(B495,'[1]MPG Payment'!$C$3:$F$915,4,0),0)</f>
        <v>Direct</v>
      </c>
      <c r="E495" s="55">
        <v>2454.4</v>
      </c>
      <c r="F495" s="23">
        <f>IFERROR(VLOOKUP(B495,'[1]Farmer Payment Calc'!$E$2:$J$5780,6,0),0)</f>
        <v>0</v>
      </c>
    </row>
    <row r="496" spans="1:6" x14ac:dyDescent="0.25">
      <c r="A496" t="str">
        <f t="shared" si="7"/>
        <v>101100490002</v>
      </c>
      <c r="B496" s="27">
        <v>10110049</v>
      </c>
      <c r="C496" s="36" t="s">
        <v>1020</v>
      </c>
      <c r="D496" s="25" t="str">
        <f>IFERROR(VLOOKUP(B496,'[1]MPG Payment'!$C$3:$F$915,4,0),0)</f>
        <v>Direct</v>
      </c>
      <c r="E496" s="55">
        <v>413</v>
      </c>
      <c r="F496" s="23">
        <f>IFERROR(VLOOKUP(B496,'[1]Farmer Payment Calc'!$E$2:$J$5780,6,0),0)</f>
        <v>0</v>
      </c>
    </row>
    <row r="497" spans="1:6" x14ac:dyDescent="0.25">
      <c r="A497" t="str">
        <f t="shared" si="7"/>
        <v>100700630002</v>
      </c>
      <c r="B497" s="38">
        <v>10070063</v>
      </c>
      <c r="C497" s="36" t="s">
        <v>1020</v>
      </c>
      <c r="D497" s="25" t="str">
        <f>IFERROR(VLOOKUP(B497,'[1]MPG Payment'!$C$3:$F$915,4,0),0)</f>
        <v>Direct</v>
      </c>
      <c r="E497" s="55">
        <v>413</v>
      </c>
      <c r="F497" s="23">
        <f>IFERROR(VLOOKUP(B497,'[1]Farmer Payment Calc'!$E$2:$J$5780,6,0),0)</f>
        <v>4808.5</v>
      </c>
    </row>
    <row r="498" spans="1:6" x14ac:dyDescent="0.25">
      <c r="A498" t="str">
        <f t="shared" si="7"/>
        <v>101300910002</v>
      </c>
      <c r="B498" s="25">
        <v>10130091</v>
      </c>
      <c r="C498" s="36" t="s">
        <v>1020</v>
      </c>
      <c r="D498" s="25" t="str">
        <f>IFERROR(VLOOKUP(B498,'[1]MPG Payment'!$C$3:$F$915,4,0),0)</f>
        <v>Direct</v>
      </c>
      <c r="E498" s="55">
        <v>908.6</v>
      </c>
      <c r="F498" s="23">
        <f>IFERROR(VLOOKUP(B498,'[1]Farmer Payment Calc'!$E$2:$J$5780,6,0),0)</f>
        <v>0</v>
      </c>
    </row>
    <row r="499" spans="1:6" x14ac:dyDescent="0.25">
      <c r="A499" t="str">
        <f t="shared" si="7"/>
        <v>101200250002</v>
      </c>
      <c r="B499" s="25">
        <v>10120025</v>
      </c>
      <c r="C499" s="36" t="s">
        <v>1020</v>
      </c>
      <c r="D499" s="25" t="str">
        <f>IFERROR(VLOOKUP(B499,'[1]MPG Payment'!$C$3:$F$915,4,0),0)</f>
        <v>Direct</v>
      </c>
      <c r="E499" s="55">
        <v>929.84</v>
      </c>
      <c r="F499" s="23">
        <f>IFERROR(VLOOKUP(B499,'[1]Farmer Payment Calc'!$E$2:$J$5780,6,0),0)</f>
        <v>0</v>
      </c>
    </row>
    <row r="500" spans="1:6" x14ac:dyDescent="0.25">
      <c r="A500" t="str">
        <f t="shared" si="7"/>
        <v>101200250002</v>
      </c>
      <c r="B500" s="25">
        <v>10120025</v>
      </c>
      <c r="C500" s="36" t="s">
        <v>1020</v>
      </c>
      <c r="D500" s="25" t="str">
        <f>IFERROR(VLOOKUP(B500,'[1]MPG Payment'!$C$3:$F$915,4,0),0)</f>
        <v>Direct</v>
      </c>
      <c r="E500" s="55">
        <v>2454.4</v>
      </c>
      <c r="F500" s="23">
        <f>IFERROR(VLOOKUP(B500,'[1]Farmer Payment Calc'!$E$2:$J$5780,6,0),0)</f>
        <v>0</v>
      </c>
    </row>
    <row r="501" spans="1:6" x14ac:dyDescent="0.25">
      <c r="A501" t="str">
        <f t="shared" si="7"/>
        <v>101400080002</v>
      </c>
      <c r="B501" s="25">
        <v>10140008</v>
      </c>
      <c r="C501" s="36" t="s">
        <v>1020</v>
      </c>
      <c r="D501" s="25" t="str">
        <f>IFERROR(VLOOKUP(B501,'[1]MPG Payment'!$C$3:$F$915,4,0),0)</f>
        <v>Direct</v>
      </c>
      <c r="E501" s="55">
        <v>82.6</v>
      </c>
      <c r="F501" s="23">
        <f>IFERROR(VLOOKUP(B501,'[1]Farmer Payment Calc'!$E$2:$J$5780,6,0),0)</f>
        <v>0</v>
      </c>
    </row>
    <row r="502" spans="1:6" x14ac:dyDescent="0.25">
      <c r="A502" t="str">
        <f t="shared" si="7"/>
        <v>100600290002</v>
      </c>
      <c r="B502" s="25">
        <v>10060029</v>
      </c>
      <c r="C502" s="36" t="s">
        <v>1020</v>
      </c>
      <c r="D502" s="25" t="str">
        <f>IFERROR(VLOOKUP(B502,'[1]MPG Payment'!$C$3:$F$915,4,0),0)</f>
        <v>Direct</v>
      </c>
      <c r="E502" s="55">
        <v>1062</v>
      </c>
      <c r="F502" s="23">
        <f>IFERROR(VLOOKUP(B502,'[1]Farmer Payment Calc'!$E$2:$J$5780,6,0),0)</f>
        <v>0</v>
      </c>
    </row>
    <row r="503" spans="1:6" x14ac:dyDescent="0.25">
      <c r="A503" t="str">
        <f t="shared" si="7"/>
        <v>100200260002</v>
      </c>
      <c r="B503" s="25">
        <v>10020026</v>
      </c>
      <c r="C503" s="36" t="s">
        <v>1020</v>
      </c>
      <c r="D503" s="25" t="str">
        <f>IFERROR(VLOOKUP(B503,'[1]MPG Payment'!$C$3:$F$915,4,0),0)</f>
        <v>Direct</v>
      </c>
      <c r="E503" s="55">
        <v>424.8</v>
      </c>
      <c r="F503" s="23">
        <f>IFERROR(VLOOKUP(B503,'[1]Farmer Payment Calc'!$E$2:$J$5780,6,0),0)</f>
        <v>0</v>
      </c>
    </row>
    <row r="504" spans="1:6" x14ac:dyDescent="0.25">
      <c r="A504" t="str">
        <f t="shared" si="7"/>
        <v>100200260002</v>
      </c>
      <c r="B504" s="25">
        <v>10020026</v>
      </c>
      <c r="C504" s="36" t="s">
        <v>1020</v>
      </c>
      <c r="D504" s="25" t="str">
        <f>IFERROR(VLOOKUP(B504,'[1]MPG Payment'!$C$3:$F$915,4,0),0)</f>
        <v>Direct</v>
      </c>
      <c r="E504" s="55">
        <v>2454.4</v>
      </c>
      <c r="F504" s="23">
        <f>IFERROR(VLOOKUP(B504,'[1]Farmer Payment Calc'!$E$2:$J$5780,6,0),0)</f>
        <v>0</v>
      </c>
    </row>
    <row r="505" spans="1:6" x14ac:dyDescent="0.25">
      <c r="A505" t="str">
        <f t="shared" si="7"/>
        <v>100200260002</v>
      </c>
      <c r="B505" s="25">
        <v>10020026</v>
      </c>
      <c r="C505" s="36" t="s">
        <v>1020</v>
      </c>
      <c r="D505" s="25" t="str">
        <f>IFERROR(VLOOKUP(B505,'[1]MPG Payment'!$C$3:$F$915,4,0),0)</f>
        <v>Direct</v>
      </c>
      <c r="E505" s="55">
        <v>2065</v>
      </c>
      <c r="F505" s="23">
        <f>IFERROR(VLOOKUP(B505,'[1]Farmer Payment Calc'!$E$2:$J$5780,6,0),0)</f>
        <v>0</v>
      </c>
    </row>
    <row r="506" spans="1:6" x14ac:dyDescent="0.25">
      <c r="A506" t="str">
        <f t="shared" si="7"/>
        <v>100200250002</v>
      </c>
      <c r="B506" s="26">
        <v>10020025</v>
      </c>
      <c r="C506" s="36" t="s">
        <v>1020</v>
      </c>
      <c r="D506" s="25" t="str">
        <f>IFERROR(VLOOKUP(B506,'[1]MPG Payment'!$C$3:$F$915,4,0),0)</f>
        <v>Direct</v>
      </c>
      <c r="E506" s="55">
        <v>3304</v>
      </c>
      <c r="F506" s="23">
        <f>IFERROR(VLOOKUP(B506,'[1]Farmer Payment Calc'!$E$2:$J$5780,6,0),0)</f>
        <v>0</v>
      </c>
    </row>
    <row r="507" spans="1:6" x14ac:dyDescent="0.25">
      <c r="A507" t="str">
        <f t="shared" si="7"/>
        <v>101101460002</v>
      </c>
      <c r="B507" s="26">
        <v>10110146</v>
      </c>
      <c r="C507" s="36" t="s">
        <v>1020</v>
      </c>
      <c r="D507" s="25" t="str">
        <f>IFERROR(VLOOKUP(B507,'[1]MPG Payment'!$C$3:$F$915,4,0),0)</f>
        <v>Direct</v>
      </c>
      <c r="E507" s="55">
        <v>82.6</v>
      </c>
      <c r="F507" s="23">
        <f>IFERROR(VLOOKUP(B507,'[1]Farmer Payment Calc'!$E$2:$J$5780,6,0),0)</f>
        <v>165.2</v>
      </c>
    </row>
    <row r="508" spans="1:6" x14ac:dyDescent="0.25">
      <c r="A508" t="str">
        <f t="shared" si="7"/>
        <v>101101460002</v>
      </c>
      <c r="B508" s="26">
        <v>10110146</v>
      </c>
      <c r="C508" s="36" t="s">
        <v>1020</v>
      </c>
      <c r="D508" s="25" t="str">
        <f>IFERROR(VLOOKUP(B508,'[1]MPG Payment'!$C$3:$F$915,4,0),0)</f>
        <v>Direct</v>
      </c>
      <c r="E508" s="55">
        <v>82.6</v>
      </c>
      <c r="F508" s="23">
        <f>IFERROR(VLOOKUP(B508,'[1]Farmer Payment Calc'!$E$2:$J$5780,6,0),0)</f>
        <v>165.2</v>
      </c>
    </row>
    <row r="509" spans="1:6" x14ac:dyDescent="0.25">
      <c r="A509" t="str">
        <f t="shared" si="7"/>
        <v>104000010002</v>
      </c>
      <c r="B509" s="25">
        <v>10400001</v>
      </c>
      <c r="C509" s="36" t="s">
        <v>1020</v>
      </c>
      <c r="D509" s="25" t="str">
        <f>IFERROR(VLOOKUP(B509,'[1]MPG Payment'!$C$3:$F$915,4,0),0)</f>
        <v>Direct</v>
      </c>
      <c r="E509" s="55">
        <v>1493.88</v>
      </c>
      <c r="F509" s="23">
        <f>IFERROR(VLOOKUP(B509,'[1]Farmer Payment Calc'!$E$2:$J$5780,6,0),0)</f>
        <v>0</v>
      </c>
    </row>
    <row r="510" spans="1:6" x14ac:dyDescent="0.25">
      <c r="A510" t="str">
        <f t="shared" si="7"/>
        <v>104000010002</v>
      </c>
      <c r="B510" s="25">
        <v>10400001</v>
      </c>
      <c r="C510" s="36" t="s">
        <v>1020</v>
      </c>
      <c r="D510" s="25" t="str">
        <f>IFERROR(VLOOKUP(B510,'[1]MPG Payment'!$C$3:$F$915,4,0),0)</f>
        <v>Direct</v>
      </c>
      <c r="E510" s="55">
        <v>973.5</v>
      </c>
      <c r="F510" s="23">
        <f>IFERROR(VLOOKUP(B510,'[1]Farmer Payment Calc'!$E$2:$J$5780,6,0),0)</f>
        <v>0</v>
      </c>
    </row>
    <row r="511" spans="1:6" x14ac:dyDescent="0.25">
      <c r="A511" t="str">
        <f t="shared" si="7"/>
        <v>100300660002</v>
      </c>
      <c r="B511" s="25">
        <v>10030066</v>
      </c>
      <c r="C511" s="36" t="s">
        <v>1020</v>
      </c>
      <c r="D511" s="25" t="str">
        <f>IFERROR(VLOOKUP(B511,'[1]MPG Payment'!$C$3:$F$915,4,0),0)</f>
        <v>Direct</v>
      </c>
      <c r="E511" s="55">
        <v>141.6</v>
      </c>
      <c r="F511" s="23">
        <f>IFERROR(VLOOKUP(B511,'[1]Farmer Payment Calc'!$E$2:$J$5780,6,0),0)</f>
        <v>0</v>
      </c>
    </row>
    <row r="512" spans="1:6" x14ac:dyDescent="0.25">
      <c r="A512" t="str">
        <f t="shared" si="7"/>
        <v>100300660002</v>
      </c>
      <c r="B512" s="25">
        <v>10030066</v>
      </c>
      <c r="C512" s="36" t="s">
        <v>1020</v>
      </c>
      <c r="D512" s="25" t="str">
        <f>IFERROR(VLOOKUP(B512,'[1]MPG Payment'!$C$3:$F$915,4,0),0)</f>
        <v>Direct</v>
      </c>
      <c r="E512" s="55">
        <v>141.6</v>
      </c>
      <c r="F512" s="23">
        <f>IFERROR(VLOOKUP(B512,'[1]Farmer Payment Calc'!$E$2:$J$5780,6,0),0)</f>
        <v>0</v>
      </c>
    </row>
    <row r="513" spans="1:6" x14ac:dyDescent="0.25">
      <c r="A513" t="str">
        <f t="shared" si="7"/>
        <v>100300660002</v>
      </c>
      <c r="B513" s="25">
        <v>10030066</v>
      </c>
      <c r="C513" s="36" t="s">
        <v>1020</v>
      </c>
      <c r="D513" s="25" t="str">
        <f>IFERROR(VLOOKUP(B513,'[1]MPG Payment'!$C$3:$F$915,4,0),0)</f>
        <v>Direct</v>
      </c>
      <c r="E513" s="55">
        <v>165.2</v>
      </c>
      <c r="F513" s="23">
        <f>IFERROR(VLOOKUP(B513,'[1]Farmer Payment Calc'!$E$2:$J$5780,6,0),0)</f>
        <v>0</v>
      </c>
    </row>
    <row r="514" spans="1:6" x14ac:dyDescent="0.25">
      <c r="A514" t="str">
        <f t="shared" si="7"/>
        <v>100900330002</v>
      </c>
      <c r="B514" s="25">
        <v>10090033</v>
      </c>
      <c r="C514" s="36" t="s">
        <v>1020</v>
      </c>
      <c r="D514" s="25" t="str">
        <f>IFERROR(VLOOKUP(B514,'[1]MPG Payment'!$C$3:$F$915,4,0),0)</f>
        <v>Direct</v>
      </c>
      <c r="E514" s="55">
        <v>413</v>
      </c>
      <c r="F514" s="23">
        <f>IFERROR(VLOOKUP(B514,'[1]Farmer Payment Calc'!$E$2:$J$5780,6,0),0)</f>
        <v>0</v>
      </c>
    </row>
    <row r="515" spans="1:6" x14ac:dyDescent="0.25">
      <c r="A515" t="str">
        <f t="shared" ref="A515:A578" si="8">CONCATENATE(B515,C515)</f>
        <v>101401290002</v>
      </c>
      <c r="B515" s="25">
        <v>10140129</v>
      </c>
      <c r="C515" s="36" t="s">
        <v>1020</v>
      </c>
      <c r="D515" s="25" t="str">
        <f>IFERROR(VLOOKUP(B515,'[1]MPG Payment'!$C$3:$F$915,4,0),0)</f>
        <v>Direct</v>
      </c>
      <c r="E515" s="55">
        <v>413</v>
      </c>
      <c r="F515" s="23">
        <f>IFERROR(VLOOKUP(B515,'[1]Farmer Payment Calc'!$E$2:$J$5780,6,0),0)</f>
        <v>7489.8</v>
      </c>
    </row>
    <row r="516" spans="1:6" x14ac:dyDescent="0.25">
      <c r="A516" t="str">
        <f t="shared" si="8"/>
        <v>100200420002</v>
      </c>
      <c r="B516" s="25">
        <v>10020042</v>
      </c>
      <c r="C516" s="36" t="s">
        <v>1020</v>
      </c>
      <c r="D516" s="25" t="str">
        <f>IFERROR(VLOOKUP(B516,'[1]MPG Payment'!$C$3:$F$915,4,0),0)</f>
        <v>Direct</v>
      </c>
      <c r="E516" s="55">
        <v>265.5</v>
      </c>
      <c r="F516" s="23">
        <f>IFERROR(VLOOKUP(B516,'[1]Farmer Payment Calc'!$E$2:$J$5780,6,0),0)</f>
        <v>3132.9</v>
      </c>
    </row>
    <row r="517" spans="1:6" x14ac:dyDescent="0.25">
      <c r="A517" t="str">
        <f t="shared" si="8"/>
        <v>100200420002</v>
      </c>
      <c r="B517" s="25">
        <v>10020042</v>
      </c>
      <c r="C517" s="36" t="s">
        <v>1020</v>
      </c>
      <c r="D517" s="25" t="str">
        <f>IFERROR(VLOOKUP(B517,'[1]MPG Payment'!$C$3:$F$915,4,0),0)</f>
        <v>Direct</v>
      </c>
      <c r="E517" s="55">
        <v>2454.4</v>
      </c>
      <c r="F517" s="23">
        <f>IFERROR(VLOOKUP(B517,'[1]Farmer Payment Calc'!$E$2:$J$5780,6,0),0)</f>
        <v>3132.9</v>
      </c>
    </row>
    <row r="518" spans="1:6" x14ac:dyDescent="0.25">
      <c r="A518" t="str">
        <f t="shared" si="8"/>
        <v>100601090002</v>
      </c>
      <c r="B518" s="25">
        <v>10060109</v>
      </c>
      <c r="C518" s="36" t="s">
        <v>1020</v>
      </c>
      <c r="D518" s="25" t="str">
        <f>IFERROR(VLOOKUP(B518,'[1]MPG Payment'!$C$3:$F$915,4,0),0)</f>
        <v>Direct</v>
      </c>
      <c r="E518" s="55">
        <v>424.8</v>
      </c>
      <c r="F518" s="23">
        <f>IFERROR(VLOOKUP(B518,'[1]Farmer Payment Calc'!$E$2:$J$5780,6,0),0)</f>
        <v>0</v>
      </c>
    </row>
    <row r="519" spans="1:6" x14ac:dyDescent="0.25">
      <c r="A519" t="str">
        <f t="shared" si="8"/>
        <v>100800480002</v>
      </c>
      <c r="B519" s="25">
        <v>10080048</v>
      </c>
      <c r="C519" s="36" t="s">
        <v>1020</v>
      </c>
      <c r="D519" s="25" t="str">
        <f>IFERROR(VLOOKUP(B519,'[1]MPG Payment'!$C$3:$F$915,4,0),0)</f>
        <v>Direct</v>
      </c>
      <c r="E519" s="55">
        <v>2360</v>
      </c>
      <c r="F519" s="23">
        <f>IFERROR(VLOOKUP(B519,'[1]Farmer Payment Calc'!$E$2:$J$5780,6,0),0)</f>
        <v>0</v>
      </c>
    </row>
    <row r="520" spans="1:6" x14ac:dyDescent="0.25">
      <c r="A520" t="str">
        <f t="shared" si="8"/>
        <v>100300260002</v>
      </c>
      <c r="B520" s="26">
        <v>10030026</v>
      </c>
      <c r="C520" s="36" t="s">
        <v>1020</v>
      </c>
      <c r="D520" s="25" t="str">
        <f>IFERROR(VLOOKUP(B520,'[1]MPG Payment'!$C$3:$F$915,4,0),0)</f>
        <v>Direct</v>
      </c>
      <c r="E520" s="55">
        <v>141.6</v>
      </c>
      <c r="F520" s="23">
        <f>IFERROR(VLOOKUP(B520,'[1]Farmer Payment Calc'!$E$2:$J$5780,6,0),0)</f>
        <v>240.72</v>
      </c>
    </row>
    <row r="521" spans="1:6" x14ac:dyDescent="0.25">
      <c r="A521" t="str">
        <f t="shared" si="8"/>
        <v>100300260002</v>
      </c>
      <c r="B521" s="26">
        <v>10030026</v>
      </c>
      <c r="C521" s="36" t="s">
        <v>1020</v>
      </c>
      <c r="D521" s="25" t="str">
        <f>IFERROR(VLOOKUP(B521,'[1]MPG Payment'!$C$3:$F$915,4,0),0)</f>
        <v>Direct</v>
      </c>
      <c r="E521" s="55">
        <v>99.12</v>
      </c>
      <c r="F521" s="23">
        <f>IFERROR(VLOOKUP(B521,'[1]Farmer Payment Calc'!$E$2:$J$5780,6,0),0)</f>
        <v>240.72</v>
      </c>
    </row>
    <row r="522" spans="1:6" x14ac:dyDescent="0.25">
      <c r="A522" t="str">
        <f t="shared" si="8"/>
        <v>103600010002</v>
      </c>
      <c r="B522" s="25">
        <v>10360001</v>
      </c>
      <c r="C522" s="36" t="s">
        <v>1020</v>
      </c>
      <c r="D522" s="25" t="str">
        <f>IFERROR(VLOOKUP(B522,'[1]MPG Payment'!$C$3:$F$915,4,0),0)</f>
        <v>Direct</v>
      </c>
      <c r="E522" s="55">
        <v>424.8</v>
      </c>
      <c r="F522" s="23">
        <f>IFERROR(VLOOKUP(B522,'[1]Farmer Payment Calc'!$E$2:$J$5780,6,0),0)</f>
        <v>0</v>
      </c>
    </row>
    <row r="523" spans="1:6" x14ac:dyDescent="0.25">
      <c r="A523" t="str">
        <f t="shared" si="8"/>
        <v>103600010002</v>
      </c>
      <c r="B523" s="25">
        <v>10360001</v>
      </c>
      <c r="C523" s="36" t="s">
        <v>1020</v>
      </c>
      <c r="D523" s="25" t="str">
        <f>IFERROR(VLOOKUP(B523,'[1]MPG Payment'!$C$3:$F$915,4,0),0)</f>
        <v>Direct</v>
      </c>
      <c r="E523" s="55">
        <v>649</v>
      </c>
      <c r="F523" s="23">
        <f>IFERROR(VLOOKUP(B523,'[1]Farmer Payment Calc'!$E$2:$J$5780,6,0),0)</f>
        <v>0</v>
      </c>
    </row>
    <row r="524" spans="1:6" x14ac:dyDescent="0.25">
      <c r="A524" t="str">
        <f t="shared" si="8"/>
        <v>100700480002</v>
      </c>
      <c r="B524" s="25">
        <v>10070048</v>
      </c>
      <c r="C524" s="36" t="s">
        <v>1020</v>
      </c>
      <c r="D524" s="25" t="str">
        <f>IFERROR(VLOOKUP(B524,'[1]MPG Payment'!$C$3:$F$915,4,0),0)</f>
        <v>Direct</v>
      </c>
      <c r="E524" s="55">
        <v>265.5</v>
      </c>
      <c r="F524" s="23">
        <f>IFERROR(VLOOKUP(B524,'[1]Farmer Payment Calc'!$E$2:$J$5780,6,0),0)</f>
        <v>2183</v>
      </c>
    </row>
    <row r="525" spans="1:6" x14ac:dyDescent="0.25">
      <c r="A525" t="str">
        <f t="shared" si="8"/>
        <v>100700480002</v>
      </c>
      <c r="B525" s="25">
        <v>10070048</v>
      </c>
      <c r="C525" s="36" t="s">
        <v>1020</v>
      </c>
      <c r="D525" s="25" t="str">
        <f>IFERROR(VLOOKUP(B525,'[1]MPG Payment'!$C$3:$F$915,4,0),0)</f>
        <v>Direct</v>
      </c>
      <c r="E525" s="55">
        <v>165.2</v>
      </c>
      <c r="F525" s="23">
        <f>IFERROR(VLOOKUP(B525,'[1]Farmer Payment Calc'!$E$2:$J$5780,6,0),0)</f>
        <v>2183</v>
      </c>
    </row>
    <row r="526" spans="1:6" x14ac:dyDescent="0.25">
      <c r="A526" t="str">
        <f t="shared" si="8"/>
        <v>100700480002</v>
      </c>
      <c r="B526" s="25">
        <v>10070048</v>
      </c>
      <c r="C526" s="36" t="s">
        <v>1020</v>
      </c>
      <c r="D526" s="25" t="str">
        <f>IFERROR(VLOOKUP(B526,'[1]MPG Payment'!$C$3:$F$915,4,0),0)</f>
        <v>Direct</v>
      </c>
      <c r="E526" s="55">
        <v>141.6</v>
      </c>
      <c r="F526" s="23">
        <f>IFERROR(VLOOKUP(B526,'[1]Farmer Payment Calc'!$E$2:$J$5780,6,0),0)</f>
        <v>2183</v>
      </c>
    </row>
    <row r="527" spans="1:6" x14ac:dyDescent="0.25">
      <c r="A527" t="str">
        <f t="shared" si="8"/>
        <v>100700480002</v>
      </c>
      <c r="B527" s="25">
        <v>10070048</v>
      </c>
      <c r="C527" s="36" t="s">
        <v>1020</v>
      </c>
      <c r="D527" s="25" t="str">
        <f>IFERROR(VLOOKUP(B527,'[1]MPG Payment'!$C$3:$F$915,4,0),0)</f>
        <v>Direct</v>
      </c>
      <c r="E527" s="55">
        <v>932.2</v>
      </c>
      <c r="F527" s="23">
        <f>IFERROR(VLOOKUP(B527,'[1]Farmer Payment Calc'!$E$2:$J$5780,6,0),0)</f>
        <v>2183</v>
      </c>
    </row>
    <row r="528" spans="1:6" x14ac:dyDescent="0.25">
      <c r="A528" t="str">
        <f t="shared" si="8"/>
        <v>100200790002</v>
      </c>
      <c r="B528" s="25">
        <v>10020079</v>
      </c>
      <c r="C528" s="36" t="s">
        <v>1020</v>
      </c>
      <c r="D528" s="25" t="str">
        <f>IFERROR(VLOOKUP(B528,'[1]MPG Payment'!$C$3:$F$915,4,0),0)</f>
        <v>Direct</v>
      </c>
      <c r="E528" s="55">
        <v>920.4</v>
      </c>
      <c r="F528" s="23">
        <f>IFERROR(VLOOKUP(B528,'[1]Farmer Payment Calc'!$E$2:$J$5780,6,0),0)</f>
        <v>920.4</v>
      </c>
    </row>
    <row r="529" spans="1:6" x14ac:dyDescent="0.25">
      <c r="A529" t="str">
        <f t="shared" si="8"/>
        <v>100100760002</v>
      </c>
      <c r="B529" s="25">
        <v>10010076</v>
      </c>
      <c r="C529" s="36" t="s">
        <v>1020</v>
      </c>
      <c r="D529" s="25" t="str">
        <f>IFERROR(VLOOKUP(B529,'[1]MPG Payment'!$C$3:$F$915,4,0),0)</f>
        <v>Direct</v>
      </c>
      <c r="E529" s="55">
        <v>973.5</v>
      </c>
      <c r="F529" s="23">
        <f>IFERROR(VLOOKUP(B529,'[1]Farmer Payment Calc'!$E$2:$J$5780,6,0),0)</f>
        <v>1041</v>
      </c>
    </row>
    <row r="530" spans="1:6" x14ac:dyDescent="0.25">
      <c r="A530" t="str">
        <f t="shared" si="8"/>
        <v>101200310002</v>
      </c>
      <c r="B530" s="25">
        <v>10120031</v>
      </c>
      <c r="C530" s="36" t="s">
        <v>1020</v>
      </c>
      <c r="D530" s="25" t="str">
        <f>IFERROR(VLOOKUP(B530,'[1]MPG Payment'!$C$3:$F$915,4,0),0)</f>
        <v>Direct</v>
      </c>
      <c r="E530" s="55">
        <v>424.8</v>
      </c>
      <c r="F530" s="23">
        <f>IFERROR(VLOOKUP(B530,'[1]Farmer Payment Calc'!$E$2:$J$5780,6,0),0)</f>
        <v>0</v>
      </c>
    </row>
    <row r="531" spans="1:6" x14ac:dyDescent="0.25">
      <c r="A531" t="str">
        <f t="shared" si="8"/>
        <v>101401200002</v>
      </c>
      <c r="B531" s="25">
        <v>10140120</v>
      </c>
      <c r="C531" s="36" t="s">
        <v>1020</v>
      </c>
      <c r="D531" s="25" t="str">
        <f>IFERROR(VLOOKUP(B531,'[1]MPG Payment'!$C$3:$F$915,4,0),0)</f>
        <v>Direct</v>
      </c>
      <c r="E531" s="55">
        <v>1493.88</v>
      </c>
      <c r="F531" s="23">
        <f>IFERROR(VLOOKUP(B531,'[1]Farmer Payment Calc'!$E$2:$J$5780,6,0),0)</f>
        <v>1493.88</v>
      </c>
    </row>
    <row r="532" spans="1:6" x14ac:dyDescent="0.25">
      <c r="A532" t="str">
        <f t="shared" si="8"/>
        <v>101401310002</v>
      </c>
      <c r="B532" s="25">
        <v>10140131</v>
      </c>
      <c r="C532" s="36" t="s">
        <v>1020</v>
      </c>
      <c r="D532" s="25" t="str">
        <f>IFERROR(VLOOKUP(B532,'[1]MPG Payment'!$C$3:$F$915,4,0),0)</f>
        <v>Direct</v>
      </c>
      <c r="E532" s="55">
        <v>1062</v>
      </c>
      <c r="F532" s="23">
        <f>IFERROR(VLOOKUP(B532,'[1]Farmer Payment Calc'!$E$2:$J$5780,6,0),0)</f>
        <v>5859.88</v>
      </c>
    </row>
    <row r="533" spans="1:6" x14ac:dyDescent="0.25">
      <c r="A533" t="str">
        <f t="shared" si="8"/>
        <v>104800010002</v>
      </c>
      <c r="B533" s="26">
        <v>10480001</v>
      </c>
      <c r="C533" s="36" t="s">
        <v>1020</v>
      </c>
      <c r="D533" s="25" t="str">
        <f>IFERROR(VLOOKUP(B533,'[1]MPG Payment'!$C$3:$F$915,4,0),0)</f>
        <v>Direct</v>
      </c>
      <c r="E533" s="55">
        <v>2454.4</v>
      </c>
      <c r="F533" s="23">
        <f>IFERROR(VLOOKUP(B533,'[1]Farmer Payment Calc'!$E$2:$J$5780,6,0),0)</f>
        <v>0</v>
      </c>
    </row>
    <row r="534" spans="1:6" x14ac:dyDescent="0.25">
      <c r="A534" t="str">
        <f t="shared" si="8"/>
        <v>101400320002</v>
      </c>
      <c r="B534" s="24">
        <v>10140032</v>
      </c>
      <c r="C534" s="36" t="s">
        <v>1020</v>
      </c>
      <c r="D534" s="25" t="str">
        <f>IFERROR(VLOOKUP(B534,'[1]MPG Payment'!$C$3:$F$915,4,0),0)</f>
        <v>Direct</v>
      </c>
      <c r="E534" s="55">
        <v>1493.88</v>
      </c>
      <c r="F534" s="23">
        <f>IFERROR(VLOOKUP(B534,'[1]Farmer Payment Calc'!$E$2:$J$5780,6,0),0)</f>
        <v>3971.88</v>
      </c>
    </row>
    <row r="535" spans="1:6" x14ac:dyDescent="0.25">
      <c r="A535" t="str">
        <f t="shared" si="8"/>
        <v>101201140002</v>
      </c>
      <c r="B535" s="25">
        <v>10120114</v>
      </c>
      <c r="C535" s="36" t="s">
        <v>1020</v>
      </c>
      <c r="D535" s="25" t="str">
        <f>IFERROR(VLOOKUP(B535,'[1]MPG Payment'!$C$3:$F$915,4,0),0)</f>
        <v>Direct</v>
      </c>
      <c r="E535" s="55">
        <v>424.8</v>
      </c>
      <c r="F535" s="23">
        <f>IFERROR(VLOOKUP(B535,'[1]Farmer Payment Calc'!$E$2:$J$5780,6,0),0)</f>
        <v>2489.8000000000002</v>
      </c>
    </row>
    <row r="536" spans="1:6" x14ac:dyDescent="0.25">
      <c r="A536" t="str">
        <f t="shared" si="8"/>
        <v>101200940002</v>
      </c>
      <c r="B536" s="25">
        <v>10120094</v>
      </c>
      <c r="C536" s="36" t="s">
        <v>1020</v>
      </c>
      <c r="D536" s="25" t="str">
        <f>IFERROR(VLOOKUP(B536,'[1]MPG Payment'!$C$3:$F$915,4,0),0)</f>
        <v>Direct</v>
      </c>
      <c r="E536" s="55">
        <v>265.5</v>
      </c>
      <c r="F536" s="23">
        <f>IFERROR(VLOOKUP(B536,'[1]Farmer Payment Calc'!$E$2:$J$5780,6,0),0)</f>
        <v>2168</v>
      </c>
    </row>
    <row r="537" spans="1:6" x14ac:dyDescent="0.25">
      <c r="A537" t="str">
        <f t="shared" si="8"/>
        <v>101201070002</v>
      </c>
      <c r="B537" s="25">
        <v>10120107</v>
      </c>
      <c r="C537" s="36" t="s">
        <v>1020</v>
      </c>
      <c r="D537" s="25" t="str">
        <f>IFERROR(VLOOKUP(B537,'[1]MPG Payment'!$C$3:$F$915,4,0),0)</f>
        <v>Direct</v>
      </c>
      <c r="E537" s="55">
        <v>57.82</v>
      </c>
      <c r="F537" s="23">
        <f>IFERROR(VLOOKUP(B537,'[1]Farmer Payment Calc'!$E$2:$J$5780,6,0),0)</f>
        <v>352.82</v>
      </c>
    </row>
    <row r="538" spans="1:6" x14ac:dyDescent="0.25">
      <c r="A538" t="str">
        <f t="shared" si="8"/>
        <v>101201070002</v>
      </c>
      <c r="B538" s="25">
        <v>10120107</v>
      </c>
      <c r="C538" s="36" t="s">
        <v>1020</v>
      </c>
      <c r="D538" s="25" t="str">
        <f>IFERROR(VLOOKUP(B538,'[1]MPG Payment'!$C$3:$F$915,4,0),0)</f>
        <v>Direct</v>
      </c>
      <c r="E538" s="55">
        <v>147.5</v>
      </c>
      <c r="F538" s="23">
        <f>IFERROR(VLOOKUP(B538,'[1]Farmer Payment Calc'!$E$2:$J$5780,6,0),0)</f>
        <v>352.82</v>
      </c>
    </row>
    <row r="539" spans="1:6" x14ac:dyDescent="0.25">
      <c r="A539" t="str">
        <f t="shared" si="8"/>
        <v>101201070002</v>
      </c>
      <c r="B539" s="25">
        <v>10120107</v>
      </c>
      <c r="C539" s="36" t="s">
        <v>1020</v>
      </c>
      <c r="D539" s="25" t="str">
        <f>IFERROR(VLOOKUP(B539,'[1]MPG Payment'!$C$3:$F$915,4,0),0)</f>
        <v>Direct</v>
      </c>
      <c r="E539" s="55">
        <v>147.5</v>
      </c>
      <c r="F539" s="23">
        <f>IFERROR(VLOOKUP(B539,'[1]Farmer Payment Calc'!$E$2:$J$5780,6,0),0)</f>
        <v>352.82</v>
      </c>
    </row>
    <row r="540" spans="1:6" x14ac:dyDescent="0.25">
      <c r="A540" t="str">
        <f t="shared" si="8"/>
        <v>100200590002</v>
      </c>
      <c r="B540" s="25">
        <v>10020059</v>
      </c>
      <c r="C540" s="36" t="s">
        <v>1020</v>
      </c>
      <c r="D540" s="25" t="str">
        <f>IFERROR(VLOOKUP(B540,'[1]MPG Payment'!$C$3:$F$915,4,0),0)</f>
        <v>Direct</v>
      </c>
      <c r="E540" s="55">
        <v>1493.88</v>
      </c>
      <c r="F540" s="23">
        <f>IFERROR(VLOOKUP(B540,'[1]Farmer Payment Calc'!$E$2:$J$5780,6,0),0)</f>
        <v>0</v>
      </c>
    </row>
    <row r="541" spans="1:6" x14ac:dyDescent="0.25">
      <c r="A541" t="str">
        <f t="shared" si="8"/>
        <v>105100040002</v>
      </c>
      <c r="B541" s="25">
        <v>10510004</v>
      </c>
      <c r="C541" s="36" t="s">
        <v>1020</v>
      </c>
      <c r="D541" s="25" t="str">
        <f>IFERROR(VLOOKUP(B541,'[1]MPG Payment'!$C$3:$F$915,4,0),0)</f>
        <v>Direct</v>
      </c>
      <c r="E541" s="55">
        <v>147.5</v>
      </c>
      <c r="F541" s="23">
        <f>IFERROR(VLOOKUP(B541,'[1]Farmer Payment Calc'!$E$2:$J$5780,6,0),0)</f>
        <v>0</v>
      </c>
    </row>
    <row r="542" spans="1:6" x14ac:dyDescent="0.25">
      <c r="A542" t="str">
        <f t="shared" si="8"/>
        <v>105100040002</v>
      </c>
      <c r="B542" s="25">
        <v>10510004</v>
      </c>
      <c r="C542" s="36" t="s">
        <v>1020</v>
      </c>
      <c r="D542" s="25" t="str">
        <f>IFERROR(VLOOKUP(B542,'[1]MPG Payment'!$C$3:$F$915,4,0),0)</f>
        <v>Direct</v>
      </c>
      <c r="E542" s="55">
        <v>147.5</v>
      </c>
      <c r="F542" s="23">
        <f>IFERROR(VLOOKUP(B542,'[1]Farmer Payment Calc'!$E$2:$J$5780,6,0),0)</f>
        <v>0</v>
      </c>
    </row>
    <row r="543" spans="1:6" x14ac:dyDescent="0.25">
      <c r="A543" t="str">
        <f t="shared" si="8"/>
        <v>101100190002</v>
      </c>
      <c r="B543" s="25">
        <v>10110019</v>
      </c>
      <c r="C543" s="36" t="s">
        <v>1020</v>
      </c>
      <c r="D543" s="25" t="str">
        <f>IFERROR(VLOOKUP(B543,'[1]MPG Payment'!$C$3:$F$915,4,0),0)</f>
        <v>Direct</v>
      </c>
      <c r="E543" s="55">
        <v>3304</v>
      </c>
      <c r="F543" s="23">
        <f>IFERROR(VLOOKUP(B543,'[1]Farmer Payment Calc'!$E$2:$J$5780,6,0),0)</f>
        <v>13</v>
      </c>
    </row>
    <row r="544" spans="1:6" x14ac:dyDescent="0.25">
      <c r="A544" t="str">
        <f t="shared" si="8"/>
        <v>101400070002</v>
      </c>
      <c r="B544" s="25">
        <v>10140007</v>
      </c>
      <c r="C544" s="36" t="s">
        <v>1020</v>
      </c>
      <c r="D544" s="25" t="str">
        <f>IFERROR(VLOOKUP(B544,'[1]MPG Payment'!$C$3:$F$915,4,0),0)</f>
        <v>Direct</v>
      </c>
      <c r="E544" s="55">
        <v>1493.88</v>
      </c>
      <c r="F544" s="23">
        <f>IFERROR(VLOOKUP(B544,'[1]Farmer Payment Calc'!$E$2:$J$5780,6,0),0)</f>
        <v>0</v>
      </c>
    </row>
    <row r="545" spans="1:6" x14ac:dyDescent="0.25">
      <c r="A545" t="str">
        <f t="shared" si="8"/>
        <v>100200430002</v>
      </c>
      <c r="B545" s="25">
        <v>10020043</v>
      </c>
      <c r="C545" s="36" t="s">
        <v>1020</v>
      </c>
      <c r="D545" s="25" t="str">
        <f>IFERROR(VLOOKUP(B545,'[1]MPG Payment'!$C$3:$F$915,4,0),0)</f>
        <v>Direct</v>
      </c>
      <c r="E545" s="55">
        <v>82.6</v>
      </c>
      <c r="F545" s="23">
        <f>IFERROR(VLOOKUP(B545,'[1]Farmer Payment Calc'!$E$2:$J$5780,6,0),0)</f>
        <v>0</v>
      </c>
    </row>
    <row r="546" spans="1:6" x14ac:dyDescent="0.25">
      <c r="A546" t="str">
        <f t="shared" si="8"/>
        <v>100200430002</v>
      </c>
      <c r="B546" s="25">
        <v>10020043</v>
      </c>
      <c r="C546" s="36" t="s">
        <v>1020</v>
      </c>
      <c r="D546" s="25" t="str">
        <f>IFERROR(VLOOKUP(B546,'[1]MPG Payment'!$C$3:$F$915,4,0),0)</f>
        <v>Direct</v>
      </c>
      <c r="E546" s="55">
        <v>82.6</v>
      </c>
      <c r="F546" s="23">
        <f>IFERROR(VLOOKUP(B546,'[1]Farmer Payment Calc'!$E$2:$J$5780,6,0),0)</f>
        <v>0</v>
      </c>
    </row>
    <row r="547" spans="1:6" x14ac:dyDescent="0.25">
      <c r="A547" t="str">
        <f t="shared" si="8"/>
        <v>100600320002</v>
      </c>
      <c r="B547" s="25">
        <v>10060032</v>
      </c>
      <c r="C547" s="36" t="s">
        <v>1020</v>
      </c>
      <c r="D547" s="25" t="str">
        <f>IFERROR(VLOOKUP(B547,'[1]MPG Payment'!$C$3:$F$915,4,0),0)</f>
        <v>Direct</v>
      </c>
      <c r="E547" s="55">
        <v>147.5</v>
      </c>
      <c r="F547" s="23">
        <f>IFERROR(VLOOKUP(B547,'[1]Farmer Payment Calc'!$E$2:$J$5780,6,0),0)</f>
        <v>0</v>
      </c>
    </row>
    <row r="548" spans="1:6" x14ac:dyDescent="0.25">
      <c r="A548" t="str">
        <f t="shared" si="8"/>
        <v>100600320002</v>
      </c>
      <c r="B548" s="25">
        <v>10060032</v>
      </c>
      <c r="C548" s="36" t="s">
        <v>1020</v>
      </c>
      <c r="D548" s="25" t="str">
        <f>IFERROR(VLOOKUP(B548,'[1]MPG Payment'!$C$3:$F$915,4,0),0)</f>
        <v>Direct</v>
      </c>
      <c r="E548" s="55">
        <v>147.5</v>
      </c>
      <c r="F548" s="23">
        <f>IFERROR(VLOOKUP(B548,'[1]Farmer Payment Calc'!$E$2:$J$5780,6,0),0)</f>
        <v>0</v>
      </c>
    </row>
    <row r="549" spans="1:6" x14ac:dyDescent="0.25">
      <c r="A549" t="str">
        <f t="shared" si="8"/>
        <v>100600320002</v>
      </c>
      <c r="B549" s="25">
        <v>10060032</v>
      </c>
      <c r="C549" s="36" t="s">
        <v>1020</v>
      </c>
      <c r="D549" s="25" t="str">
        <f>IFERROR(VLOOKUP(B549,'[1]MPG Payment'!$C$3:$F$915,4,0),0)</f>
        <v>Direct</v>
      </c>
      <c r="E549" s="55">
        <v>82.6</v>
      </c>
      <c r="F549" s="23">
        <f>IFERROR(VLOOKUP(B549,'[1]Farmer Payment Calc'!$E$2:$J$5780,6,0),0)</f>
        <v>0</v>
      </c>
    </row>
    <row r="550" spans="1:6" x14ac:dyDescent="0.25">
      <c r="A550" t="str">
        <f t="shared" si="8"/>
        <v>100600320002</v>
      </c>
      <c r="B550" s="25">
        <v>10060032</v>
      </c>
      <c r="C550" s="36" t="s">
        <v>1020</v>
      </c>
      <c r="D550" s="25" t="str">
        <f>IFERROR(VLOOKUP(B550,'[1]MPG Payment'!$C$3:$F$915,4,0),0)</f>
        <v>Direct</v>
      </c>
      <c r="E550" s="55">
        <v>82.6</v>
      </c>
      <c r="F550" s="23">
        <f>IFERROR(VLOOKUP(B550,'[1]Farmer Payment Calc'!$E$2:$J$5780,6,0),0)</f>
        <v>0</v>
      </c>
    </row>
    <row r="551" spans="1:6" x14ac:dyDescent="0.25">
      <c r="A551" t="str">
        <f t="shared" si="8"/>
        <v>101300260002</v>
      </c>
      <c r="B551" s="25">
        <v>10130026</v>
      </c>
      <c r="C551" s="36" t="s">
        <v>1020</v>
      </c>
      <c r="D551" s="25" t="str">
        <f>IFERROR(VLOOKUP(B551,'[1]MPG Payment'!$C$3:$F$915,4,0),0)</f>
        <v>Direct</v>
      </c>
      <c r="E551" s="55">
        <v>82.6</v>
      </c>
      <c r="F551" s="23">
        <f>IFERROR(VLOOKUP(B551,'[1]Farmer Payment Calc'!$E$2:$J$5780,6,0),0)</f>
        <v>0</v>
      </c>
    </row>
    <row r="552" spans="1:6" x14ac:dyDescent="0.25">
      <c r="A552" t="str">
        <f t="shared" si="8"/>
        <v>101300260002</v>
      </c>
      <c r="B552" s="25">
        <v>10130026</v>
      </c>
      <c r="C552" s="36" t="s">
        <v>1020</v>
      </c>
      <c r="D552" s="25" t="str">
        <f>IFERROR(VLOOKUP(B552,'[1]MPG Payment'!$C$3:$F$915,4,0),0)</f>
        <v>Direct</v>
      </c>
      <c r="E552" s="55">
        <v>165.2</v>
      </c>
      <c r="F552" s="23">
        <f>IFERROR(VLOOKUP(B552,'[1]Farmer Payment Calc'!$E$2:$J$5780,6,0),0)</f>
        <v>0</v>
      </c>
    </row>
    <row r="553" spans="1:6" x14ac:dyDescent="0.25">
      <c r="A553" t="str">
        <f t="shared" si="8"/>
        <v>101300260002</v>
      </c>
      <c r="B553" s="25">
        <v>10130026</v>
      </c>
      <c r="C553" s="36" t="s">
        <v>1020</v>
      </c>
      <c r="D553" s="25" t="str">
        <f>IFERROR(VLOOKUP(B553,'[1]MPG Payment'!$C$3:$F$915,4,0),0)</f>
        <v>Direct</v>
      </c>
      <c r="E553" s="55">
        <v>57.82</v>
      </c>
      <c r="F553" s="23">
        <f>IFERROR(VLOOKUP(B553,'[1]Farmer Payment Calc'!$E$2:$J$5780,6,0),0)</f>
        <v>0</v>
      </c>
    </row>
    <row r="554" spans="1:6" x14ac:dyDescent="0.25">
      <c r="A554" t="str">
        <f t="shared" si="8"/>
        <v>101300980002</v>
      </c>
      <c r="B554" s="25">
        <v>10130098</v>
      </c>
      <c r="C554" s="36" t="s">
        <v>1020</v>
      </c>
      <c r="D554" s="25" t="str">
        <f>IFERROR(VLOOKUP(B554,'[1]MPG Payment'!$C$3:$F$915,4,0),0)</f>
        <v>Direct</v>
      </c>
      <c r="E554" s="55">
        <v>3304</v>
      </c>
      <c r="F554" s="23">
        <f>IFERROR(VLOOKUP(B554,'[1]Farmer Payment Calc'!$E$2:$J$5780,6,0),0)</f>
        <v>3028</v>
      </c>
    </row>
    <row r="555" spans="1:6" x14ac:dyDescent="0.25">
      <c r="A555" t="str">
        <f t="shared" si="8"/>
        <v>101000490002</v>
      </c>
      <c r="B555" s="25">
        <v>10100049</v>
      </c>
      <c r="C555" s="36" t="s">
        <v>1020</v>
      </c>
      <c r="D555" s="25" t="str">
        <f>IFERROR(VLOOKUP(B555,'[1]MPG Payment'!$C$3:$F$915,4,0),0)</f>
        <v>Direct</v>
      </c>
      <c r="E555" s="55">
        <v>1062</v>
      </c>
      <c r="F555" s="23">
        <f>IFERROR(VLOOKUP(B555,'[1]Farmer Payment Calc'!$E$2:$J$5780,6,0),0)</f>
        <v>0</v>
      </c>
    </row>
    <row r="556" spans="1:6" x14ac:dyDescent="0.25">
      <c r="A556" t="str">
        <f t="shared" si="8"/>
        <v>100300510002</v>
      </c>
      <c r="B556" s="26">
        <v>10030051</v>
      </c>
      <c r="C556" s="36" t="s">
        <v>1020</v>
      </c>
      <c r="D556" s="25" t="str">
        <f>IFERROR(VLOOKUP(B556,'[1]MPG Payment'!$C$3:$F$915,4,0),0)</f>
        <v>Direct</v>
      </c>
      <c r="E556" s="55">
        <v>141.6</v>
      </c>
      <c r="F556" s="23">
        <f>IFERROR(VLOOKUP(B556,'[1]Farmer Payment Calc'!$E$2:$J$5780,6,0),0)</f>
        <v>0</v>
      </c>
    </row>
    <row r="557" spans="1:6" x14ac:dyDescent="0.25">
      <c r="A557" t="str">
        <f t="shared" si="8"/>
        <v>100300510002</v>
      </c>
      <c r="B557" s="26">
        <v>10030051</v>
      </c>
      <c r="C557" s="36" t="s">
        <v>1020</v>
      </c>
      <c r="D557" s="25" t="str">
        <f>IFERROR(VLOOKUP(B557,'[1]MPG Payment'!$C$3:$F$915,4,0),0)</f>
        <v>Direct</v>
      </c>
      <c r="E557" s="55">
        <v>99.12</v>
      </c>
      <c r="F557" s="23">
        <f>IFERROR(VLOOKUP(B557,'[1]Farmer Payment Calc'!$E$2:$J$5780,6,0),0)</f>
        <v>0</v>
      </c>
    </row>
    <row r="558" spans="1:6" x14ac:dyDescent="0.25">
      <c r="A558" t="str">
        <f t="shared" si="8"/>
        <v>100600690002</v>
      </c>
      <c r="B558" s="25">
        <v>10060069</v>
      </c>
      <c r="C558" s="36" t="s">
        <v>1020</v>
      </c>
      <c r="D558" s="25" t="str">
        <f>IFERROR(VLOOKUP(B558,'[1]MPG Payment'!$C$3:$F$915,4,0),0)</f>
        <v>Direct</v>
      </c>
      <c r="E558" s="55">
        <v>2454.4</v>
      </c>
      <c r="F558" s="23">
        <f>IFERROR(VLOOKUP(B558,'[1]Farmer Payment Calc'!$E$2:$J$5780,6,0),0)</f>
        <v>0</v>
      </c>
    </row>
    <row r="559" spans="1:6" x14ac:dyDescent="0.25">
      <c r="A559" t="str">
        <f t="shared" si="8"/>
        <v>100900590002</v>
      </c>
      <c r="B559" s="25">
        <v>10090059</v>
      </c>
      <c r="C559" s="36" t="s">
        <v>1020</v>
      </c>
      <c r="D559" s="25" t="str">
        <f>IFERROR(VLOOKUP(B559,'[1]MPG Payment'!$C$3:$F$915,4,0),0)</f>
        <v>Direct</v>
      </c>
      <c r="E559" s="55">
        <v>1062</v>
      </c>
      <c r="F559" s="23">
        <f>IFERROR(VLOOKUP(B559,'[1]Farmer Payment Calc'!$E$2:$J$5780,6,0),0)</f>
        <v>1062</v>
      </c>
    </row>
    <row r="560" spans="1:6" x14ac:dyDescent="0.25">
      <c r="A560" t="str">
        <f t="shared" si="8"/>
        <v>100900650002</v>
      </c>
      <c r="B560" s="25">
        <v>10090065</v>
      </c>
      <c r="C560" s="36" t="s">
        <v>1020</v>
      </c>
      <c r="D560" s="25" t="str">
        <f>IFERROR(VLOOKUP(B560,'[1]MPG Payment'!$C$3:$F$915,4,0),0)</f>
        <v>Direct</v>
      </c>
      <c r="E560" s="55">
        <v>413</v>
      </c>
      <c r="F560" s="23">
        <f>IFERROR(VLOOKUP(B560,'[1]Farmer Payment Calc'!$E$2:$J$5780,6,0),0)</f>
        <v>826</v>
      </c>
    </row>
    <row r="561" spans="1:6" x14ac:dyDescent="0.25">
      <c r="A561" t="str">
        <f t="shared" si="8"/>
        <v>101200140002</v>
      </c>
      <c r="B561" s="25">
        <v>10120014</v>
      </c>
      <c r="C561" s="36" t="s">
        <v>1020</v>
      </c>
      <c r="D561" s="25" t="str">
        <f>IFERROR(VLOOKUP(B561,'[1]MPG Payment'!$C$3:$F$915,4,0),0)</f>
        <v>Direct</v>
      </c>
      <c r="E561" s="55">
        <v>82.6</v>
      </c>
      <c r="F561" s="23">
        <f>IFERROR(VLOOKUP(B561,'[1]Farmer Payment Calc'!$E$2:$J$5780,6,0),0)</f>
        <v>0</v>
      </c>
    </row>
    <row r="562" spans="1:6" x14ac:dyDescent="0.25">
      <c r="A562" t="str">
        <f t="shared" si="8"/>
        <v>101200140002</v>
      </c>
      <c r="B562" s="25">
        <v>10120014</v>
      </c>
      <c r="C562" s="36" t="s">
        <v>1020</v>
      </c>
      <c r="D562" s="25" t="str">
        <f>IFERROR(VLOOKUP(B562,'[1]MPG Payment'!$C$3:$F$915,4,0),0)</f>
        <v>Direct</v>
      </c>
      <c r="E562" s="55">
        <v>82.6</v>
      </c>
      <c r="F562" s="23">
        <f>IFERROR(VLOOKUP(B562,'[1]Farmer Payment Calc'!$E$2:$J$5780,6,0),0)</f>
        <v>0</v>
      </c>
    </row>
    <row r="563" spans="1:6" x14ac:dyDescent="0.25">
      <c r="A563" t="str">
        <f t="shared" si="8"/>
        <v>100300380002</v>
      </c>
      <c r="B563" s="26">
        <v>10030038</v>
      </c>
      <c r="C563" s="36" t="s">
        <v>1020</v>
      </c>
      <c r="D563" s="25" t="str">
        <f>IFERROR(VLOOKUP(B563,'[1]MPG Payment'!$C$3:$F$915,4,0),0)</f>
        <v>Direct</v>
      </c>
      <c r="E563" s="55">
        <v>1091.5</v>
      </c>
      <c r="F563" s="23">
        <f>IFERROR(VLOOKUP(B563,'[1]Farmer Payment Calc'!$E$2:$J$5780,6,0),0)</f>
        <v>0</v>
      </c>
    </row>
    <row r="564" spans="1:6" x14ac:dyDescent="0.25">
      <c r="A564" t="str">
        <f t="shared" si="8"/>
        <v>100200430002</v>
      </c>
      <c r="B564" s="25">
        <v>10020043</v>
      </c>
      <c r="C564" s="36" t="s">
        <v>1020</v>
      </c>
      <c r="D564" s="25" t="str">
        <f>IFERROR(VLOOKUP(B564,'[1]MPG Payment'!$C$3:$F$915,4,0),0)</f>
        <v>Direct</v>
      </c>
      <c r="E564" s="55">
        <v>82.6</v>
      </c>
      <c r="F564" s="23">
        <f>IFERROR(VLOOKUP(B564,'[1]Farmer Payment Calc'!$E$2:$J$5780,6,0),0)</f>
        <v>0</v>
      </c>
    </row>
    <row r="565" spans="1:6" x14ac:dyDescent="0.25">
      <c r="A565" t="str">
        <f t="shared" si="8"/>
        <v>100200430002</v>
      </c>
      <c r="B565" s="25">
        <v>10020043</v>
      </c>
      <c r="C565" s="36" t="s">
        <v>1020</v>
      </c>
      <c r="D565" s="25" t="str">
        <f>IFERROR(VLOOKUP(B565,'[1]MPG Payment'!$C$3:$F$915,4,0),0)</f>
        <v>Direct</v>
      </c>
      <c r="E565" s="55">
        <v>82.6</v>
      </c>
      <c r="F565" s="23">
        <f>IFERROR(VLOOKUP(B565,'[1]Farmer Payment Calc'!$E$2:$J$5780,6,0),0)</f>
        <v>0</v>
      </c>
    </row>
    <row r="566" spans="1:6" x14ac:dyDescent="0.25">
      <c r="A566" t="str">
        <f t="shared" si="8"/>
        <v>101200290002</v>
      </c>
      <c r="B566" s="25">
        <v>10120029</v>
      </c>
      <c r="C566" s="36" t="s">
        <v>1020</v>
      </c>
      <c r="D566" s="25" t="str">
        <f>IFERROR(VLOOKUP(B566,'[1]MPG Payment'!$C$3:$F$915,4,0),0)</f>
        <v>Direct</v>
      </c>
      <c r="E566" s="55">
        <v>2454.4</v>
      </c>
      <c r="F566" s="23">
        <f>IFERROR(VLOOKUP(B566,'[1]Farmer Payment Calc'!$E$2:$J$5780,6,0),0)</f>
        <v>0</v>
      </c>
    </row>
    <row r="567" spans="1:6" x14ac:dyDescent="0.25">
      <c r="A567" t="str">
        <f t="shared" si="8"/>
        <v>101200290002</v>
      </c>
      <c r="B567" s="25">
        <v>10120029</v>
      </c>
      <c r="C567" s="36" t="s">
        <v>1020</v>
      </c>
      <c r="D567" s="25" t="str">
        <f>IFERROR(VLOOKUP(B567,'[1]MPG Payment'!$C$3:$F$915,4,0),0)</f>
        <v>Direct</v>
      </c>
      <c r="E567" s="55">
        <v>2065</v>
      </c>
      <c r="F567" s="23">
        <f>IFERROR(VLOOKUP(B567,'[1]Farmer Payment Calc'!$E$2:$J$5780,6,0),0)</f>
        <v>0</v>
      </c>
    </row>
    <row r="568" spans="1:6" x14ac:dyDescent="0.25">
      <c r="A568" t="str">
        <f t="shared" si="8"/>
        <v>101200290002</v>
      </c>
      <c r="B568" s="25">
        <v>10120029</v>
      </c>
      <c r="C568" s="36" t="s">
        <v>1020</v>
      </c>
      <c r="D568" s="25" t="str">
        <f>IFERROR(VLOOKUP(B568,'[1]MPG Payment'!$C$3:$F$915,4,0),0)</f>
        <v>Direct</v>
      </c>
      <c r="E568" s="55">
        <v>1062</v>
      </c>
      <c r="F568" s="23">
        <f>IFERROR(VLOOKUP(B568,'[1]Farmer Payment Calc'!$E$2:$J$5780,6,0),0)</f>
        <v>0</v>
      </c>
    </row>
    <row r="569" spans="1:6" x14ac:dyDescent="0.25">
      <c r="A569" t="str">
        <f t="shared" si="8"/>
        <v>100600740002</v>
      </c>
      <c r="B569" s="25">
        <v>10060074</v>
      </c>
      <c r="C569" s="36" t="s">
        <v>1020</v>
      </c>
      <c r="D569" s="25" t="str">
        <f>IFERROR(VLOOKUP(B569,'[1]MPG Payment'!$C$3:$F$915,4,0),0)</f>
        <v>Direct</v>
      </c>
      <c r="E569" s="55">
        <v>147.5</v>
      </c>
      <c r="F569" s="23">
        <f>IFERROR(VLOOKUP(B569,'[1]Farmer Payment Calc'!$E$2:$J$5780,6,0),0)</f>
        <v>0</v>
      </c>
    </row>
    <row r="570" spans="1:6" x14ac:dyDescent="0.25">
      <c r="A570" t="str">
        <f t="shared" si="8"/>
        <v>100600740002</v>
      </c>
      <c r="B570" s="25">
        <v>10060074</v>
      </c>
      <c r="C570" s="36" t="s">
        <v>1020</v>
      </c>
      <c r="D570" s="25" t="str">
        <f>IFERROR(VLOOKUP(B570,'[1]MPG Payment'!$C$3:$F$915,4,0),0)</f>
        <v>Direct</v>
      </c>
      <c r="E570" s="55">
        <v>147.5</v>
      </c>
      <c r="F570" s="23">
        <f>IFERROR(VLOOKUP(B570,'[1]Farmer Payment Calc'!$E$2:$J$5780,6,0),0)</f>
        <v>0</v>
      </c>
    </row>
    <row r="571" spans="1:6" x14ac:dyDescent="0.25">
      <c r="A571" t="str">
        <f t="shared" si="8"/>
        <v>101200100002</v>
      </c>
      <c r="B571" s="24">
        <v>10120010</v>
      </c>
      <c r="C571" s="36" t="s">
        <v>1020</v>
      </c>
      <c r="D571" s="25" t="str">
        <f>IFERROR(VLOOKUP(B571,'[1]MPG Payment'!$C$3:$F$915,4,0),0)</f>
        <v>Indirect</v>
      </c>
      <c r="E571" s="55">
        <v>908.6</v>
      </c>
      <c r="F571" s="23">
        <f>IFERROR(VLOOKUP(B571,'[1]Farmer Payment Calc'!$E$2:$J$5780,6,0),0)</f>
        <v>0</v>
      </c>
    </row>
    <row r="572" spans="1:6" x14ac:dyDescent="0.25">
      <c r="A572" t="str">
        <f t="shared" si="8"/>
        <v>101200100002</v>
      </c>
      <c r="B572" s="24">
        <v>10120010</v>
      </c>
      <c r="C572" s="36" t="s">
        <v>1020</v>
      </c>
      <c r="D572" s="25" t="str">
        <f>IFERROR(VLOOKUP(B572,'[1]MPG Payment'!$C$3:$F$915,4,0),0)</f>
        <v>Indirect</v>
      </c>
      <c r="E572" s="55">
        <v>99.12</v>
      </c>
      <c r="F572" s="23">
        <f>IFERROR(VLOOKUP(B572,'[1]Farmer Payment Calc'!$E$2:$J$5780,6,0),0)</f>
        <v>0</v>
      </c>
    </row>
    <row r="573" spans="1:6" x14ac:dyDescent="0.25">
      <c r="A573" t="str">
        <f t="shared" si="8"/>
        <v>101200100002</v>
      </c>
      <c r="B573" s="24">
        <v>10120010</v>
      </c>
      <c r="C573" s="36" t="s">
        <v>1020</v>
      </c>
      <c r="D573" s="25" t="str">
        <f>IFERROR(VLOOKUP(B573,'[1]MPG Payment'!$C$3:$F$915,4,0),0)</f>
        <v>Indirect</v>
      </c>
      <c r="E573" s="55">
        <v>82.6</v>
      </c>
      <c r="F573" s="23">
        <f>IFERROR(VLOOKUP(B573,'[1]Farmer Payment Calc'!$E$2:$J$5780,6,0),0)</f>
        <v>0</v>
      </c>
    </row>
    <row r="574" spans="1:6" x14ac:dyDescent="0.25">
      <c r="A574" t="str">
        <f t="shared" si="8"/>
        <v>101800010002</v>
      </c>
      <c r="B574" s="25">
        <v>10180001</v>
      </c>
      <c r="C574" s="36" t="s">
        <v>1020</v>
      </c>
      <c r="D574" s="25" t="str">
        <f>IFERROR(VLOOKUP(B574,'[1]MPG Payment'!$C$3:$F$915,4,0),0)</f>
        <v>Indirect</v>
      </c>
      <c r="E574" s="55">
        <v>424.8</v>
      </c>
      <c r="F574" s="23">
        <f>IFERROR(VLOOKUP(B574,'[1]Farmer Payment Calc'!$E$2:$J$5780,6,0),0)</f>
        <v>0</v>
      </c>
    </row>
    <row r="575" spans="1:6" x14ac:dyDescent="0.25">
      <c r="A575" t="str">
        <f t="shared" si="8"/>
        <v>101800010002</v>
      </c>
      <c r="B575" s="25">
        <v>10180001</v>
      </c>
      <c r="C575" s="36" t="s">
        <v>1020</v>
      </c>
      <c r="D575" s="25" t="str">
        <f>IFERROR(VLOOKUP(B575,'[1]MPG Payment'!$C$3:$F$915,4,0),0)</f>
        <v>Indirect</v>
      </c>
      <c r="E575" s="55">
        <v>265.5</v>
      </c>
      <c r="F575" s="23">
        <f>IFERROR(VLOOKUP(B575,'[1]Farmer Payment Calc'!$E$2:$J$5780,6,0),0)</f>
        <v>0</v>
      </c>
    </row>
    <row r="576" spans="1:6" x14ac:dyDescent="0.25">
      <c r="A576" t="str">
        <f t="shared" si="8"/>
        <v>101300440002</v>
      </c>
      <c r="B576" s="25">
        <v>10130044</v>
      </c>
      <c r="C576" s="36" t="s">
        <v>1020</v>
      </c>
      <c r="D576" s="25" t="str">
        <f>IFERROR(VLOOKUP(B576,'[1]MPG Payment'!$C$3:$F$915,4,0),0)</f>
        <v>Indirect</v>
      </c>
      <c r="E576" s="55">
        <v>265.5</v>
      </c>
      <c r="F576" s="23">
        <f>IFERROR(VLOOKUP(B576,'[1]Farmer Payment Calc'!$E$2:$J$5780,6,0),0)</f>
        <v>0</v>
      </c>
    </row>
    <row r="577" spans="1:6" x14ac:dyDescent="0.25">
      <c r="A577" t="str">
        <f t="shared" si="8"/>
        <v>101200230002</v>
      </c>
      <c r="B577" s="24">
        <v>10120023</v>
      </c>
      <c r="C577" s="36" t="s">
        <v>1020</v>
      </c>
      <c r="D577" s="25" t="str">
        <f>IFERROR(VLOOKUP(B577,'[1]MPG Payment'!$C$3:$F$915,4,0),0)</f>
        <v>Indirect</v>
      </c>
      <c r="E577" s="55">
        <v>51.92</v>
      </c>
      <c r="F577" s="23">
        <f>IFERROR(VLOOKUP(B577,'[1]Farmer Payment Calc'!$E$2:$J$5780,6,0),0)</f>
        <v>0</v>
      </c>
    </row>
    <row r="578" spans="1:6" x14ac:dyDescent="0.25">
      <c r="A578" t="str">
        <f t="shared" si="8"/>
        <v>101200230002</v>
      </c>
      <c r="B578" s="24">
        <v>10120023</v>
      </c>
      <c r="C578" s="36" t="s">
        <v>1020</v>
      </c>
      <c r="D578" s="25" t="str">
        <f>IFERROR(VLOOKUP(B578,'[1]MPG Payment'!$C$3:$F$915,4,0),0)</f>
        <v>Indirect</v>
      </c>
      <c r="E578" s="55">
        <v>51.92</v>
      </c>
      <c r="F578" s="23">
        <f>IFERROR(VLOOKUP(B578,'[1]Farmer Payment Calc'!$E$2:$J$5780,6,0),0)</f>
        <v>0</v>
      </c>
    </row>
    <row r="579" spans="1:6" x14ac:dyDescent="0.25">
      <c r="A579" t="str">
        <f t="shared" ref="A579:A626" si="9">CONCATENATE(B579,C579)</f>
        <v>101200220002</v>
      </c>
      <c r="B579" s="25">
        <v>10120022</v>
      </c>
      <c r="C579" s="36" t="s">
        <v>1020</v>
      </c>
      <c r="D579" s="25" t="str">
        <f>IFERROR(VLOOKUP(B579,'[1]MPG Payment'!$C$3:$F$915,4,0),0)</f>
        <v>Indirect</v>
      </c>
      <c r="E579" s="55">
        <v>99.12</v>
      </c>
      <c r="F579" s="23">
        <f>IFERROR(VLOOKUP(B579,'[1]Farmer Payment Calc'!$E$2:$J$5780,6,0),0)</f>
        <v>0</v>
      </c>
    </row>
    <row r="580" spans="1:6" x14ac:dyDescent="0.25">
      <c r="A580" t="str">
        <f t="shared" si="9"/>
        <v>101200220002</v>
      </c>
      <c r="B580" s="25">
        <v>10120022</v>
      </c>
      <c r="C580" s="36" t="s">
        <v>1020</v>
      </c>
      <c r="D580" s="25" t="str">
        <f>IFERROR(VLOOKUP(B580,'[1]MPG Payment'!$C$3:$F$915,4,0),0)</f>
        <v>Indirect</v>
      </c>
      <c r="E580" s="55">
        <v>147.5</v>
      </c>
      <c r="F580" s="23">
        <f>IFERROR(VLOOKUP(B580,'[1]Farmer Payment Calc'!$E$2:$J$5780,6,0),0)</f>
        <v>0</v>
      </c>
    </row>
    <row r="581" spans="1:6" x14ac:dyDescent="0.25">
      <c r="A581" t="str">
        <f t="shared" si="9"/>
        <v>101200220002</v>
      </c>
      <c r="B581" s="25">
        <v>10120022</v>
      </c>
      <c r="C581" s="36" t="s">
        <v>1020</v>
      </c>
      <c r="D581" s="25" t="str">
        <f>IFERROR(VLOOKUP(B581,'[1]MPG Payment'!$C$3:$F$915,4,0),0)</f>
        <v>Indirect</v>
      </c>
      <c r="E581" s="55">
        <v>147.5</v>
      </c>
      <c r="F581" s="23">
        <f>IFERROR(VLOOKUP(B581,'[1]Farmer Payment Calc'!$E$2:$J$5780,6,0),0)</f>
        <v>0</v>
      </c>
    </row>
    <row r="582" spans="1:6" x14ac:dyDescent="0.25">
      <c r="A582" t="str">
        <f t="shared" si="9"/>
        <v>101200230002</v>
      </c>
      <c r="B582" s="24">
        <v>10120023</v>
      </c>
      <c r="C582" s="36" t="s">
        <v>1020</v>
      </c>
      <c r="D582" s="25" t="str">
        <f>IFERROR(VLOOKUP(B582,'[1]MPG Payment'!$C$3:$F$915,4,0),0)</f>
        <v>Indirect</v>
      </c>
      <c r="E582" s="55">
        <v>99.12</v>
      </c>
      <c r="F582" s="23">
        <f>IFERROR(VLOOKUP(B582,'[1]Farmer Payment Calc'!$E$2:$J$5780,6,0),0)</f>
        <v>0</v>
      </c>
    </row>
    <row r="583" spans="1:6" x14ac:dyDescent="0.25">
      <c r="A583" t="str">
        <f t="shared" si="9"/>
        <v>101200130002</v>
      </c>
      <c r="B583" s="24">
        <v>10120013</v>
      </c>
      <c r="C583" s="36" t="s">
        <v>1020</v>
      </c>
      <c r="D583" s="25" t="str">
        <f>IFERROR(VLOOKUP(B583,'[1]MPG Payment'!$C$3:$F$915,4,0),0)</f>
        <v>Indirect</v>
      </c>
      <c r="E583" s="55">
        <v>908.6</v>
      </c>
      <c r="F583" s="23">
        <f>IFERROR(VLOOKUP(B583,'[1]Farmer Payment Calc'!$E$2:$J$5780,6,0),0)</f>
        <v>0</v>
      </c>
    </row>
    <row r="584" spans="1:6" x14ac:dyDescent="0.25">
      <c r="A584" t="str">
        <f t="shared" si="9"/>
        <v>101200130002</v>
      </c>
      <c r="B584" s="24">
        <v>10120013</v>
      </c>
      <c r="C584" s="36" t="s">
        <v>1020</v>
      </c>
      <c r="D584" s="25" t="str">
        <f>IFERROR(VLOOKUP(B584,'[1]MPG Payment'!$C$3:$F$915,4,0),0)</f>
        <v>Indirect</v>
      </c>
      <c r="E584" s="55">
        <v>99.12</v>
      </c>
      <c r="F584" s="23">
        <f>IFERROR(VLOOKUP(B584,'[1]Farmer Payment Calc'!$E$2:$J$5780,6,0),0)</f>
        <v>0</v>
      </c>
    </row>
    <row r="585" spans="1:6" x14ac:dyDescent="0.25">
      <c r="A585" t="str">
        <f t="shared" si="9"/>
        <v>100101310002</v>
      </c>
      <c r="B585" s="24">
        <v>10010131</v>
      </c>
      <c r="C585" s="36" t="s">
        <v>1020</v>
      </c>
      <c r="D585" s="25" t="str">
        <f>IFERROR(VLOOKUP(B585,'[1]MPG Payment'!$C$3:$F$915,4,0),0)</f>
        <v>Indirect</v>
      </c>
      <c r="E585" s="55">
        <v>99.12</v>
      </c>
      <c r="F585" s="23">
        <f>IFERROR(VLOOKUP(B585,'[1]Farmer Payment Calc'!$E$2:$J$5780,6,0),0)</f>
        <v>0</v>
      </c>
    </row>
    <row r="586" spans="1:6" x14ac:dyDescent="0.25">
      <c r="A586" t="str">
        <f t="shared" si="9"/>
        <v>101200350002</v>
      </c>
      <c r="B586" s="24">
        <v>10120035</v>
      </c>
      <c r="C586" s="36" t="s">
        <v>1020</v>
      </c>
      <c r="D586" s="25" t="str">
        <f>IFERROR(VLOOKUP(B586,'[1]MPG Payment'!$C$3:$F$915,4,0),0)</f>
        <v>Indirect</v>
      </c>
      <c r="E586" s="55">
        <v>908.6</v>
      </c>
      <c r="F586" s="23">
        <f>IFERROR(VLOOKUP(B586,'[1]Farmer Payment Calc'!$E$2:$J$5780,6,0),0)</f>
        <v>0</v>
      </c>
    </row>
    <row r="587" spans="1:6" x14ac:dyDescent="0.25">
      <c r="A587" t="str">
        <f t="shared" si="9"/>
        <v>101300440002</v>
      </c>
      <c r="B587" s="25">
        <v>10130044</v>
      </c>
      <c r="C587" s="36" t="s">
        <v>1020</v>
      </c>
      <c r="D587" s="25" t="str">
        <f>IFERROR(VLOOKUP(B587,'[1]MPG Payment'!$C$3:$F$915,4,0),0)</f>
        <v>Indirect</v>
      </c>
      <c r="E587" s="55">
        <v>82.6</v>
      </c>
      <c r="F587" s="23">
        <f>IFERROR(VLOOKUP(B587,'[1]Farmer Payment Calc'!$E$2:$J$5780,6,0),0)</f>
        <v>0</v>
      </c>
    </row>
    <row r="588" spans="1:6" x14ac:dyDescent="0.25">
      <c r="A588" t="str">
        <f t="shared" si="9"/>
        <v>101300440002</v>
      </c>
      <c r="B588" s="25">
        <v>10130044</v>
      </c>
      <c r="C588" s="36" t="s">
        <v>1020</v>
      </c>
      <c r="D588" s="25" t="str">
        <f>IFERROR(VLOOKUP(B588,'[1]MPG Payment'!$C$3:$F$915,4,0),0)</f>
        <v>Indirect</v>
      </c>
      <c r="E588" s="55">
        <v>147.5</v>
      </c>
      <c r="F588" s="23">
        <f>IFERROR(VLOOKUP(B588,'[1]Farmer Payment Calc'!$E$2:$J$5780,6,0),0)</f>
        <v>0</v>
      </c>
    </row>
    <row r="589" spans="1:6" x14ac:dyDescent="0.25">
      <c r="A589" t="str">
        <f t="shared" si="9"/>
        <v>101300440002</v>
      </c>
      <c r="B589" s="25">
        <v>10130044</v>
      </c>
      <c r="C589" s="36" t="s">
        <v>1020</v>
      </c>
      <c r="D589" s="25" t="str">
        <f>IFERROR(VLOOKUP(B589,'[1]MPG Payment'!$C$3:$F$915,4,0),0)</f>
        <v>Indirect</v>
      </c>
      <c r="E589" s="55">
        <v>147.5</v>
      </c>
      <c r="F589" s="23">
        <f>IFERROR(VLOOKUP(B589,'[1]Farmer Payment Calc'!$E$2:$J$5780,6,0),0)</f>
        <v>0</v>
      </c>
    </row>
    <row r="590" spans="1:6" x14ac:dyDescent="0.25">
      <c r="A590" t="str">
        <f t="shared" si="9"/>
        <v>101300440002</v>
      </c>
      <c r="B590" s="25">
        <v>10130044</v>
      </c>
      <c r="C590" s="36" t="s">
        <v>1020</v>
      </c>
      <c r="D590" s="25" t="str">
        <f>IFERROR(VLOOKUP(B590,'[1]MPG Payment'!$C$3:$F$915,4,0),0)</f>
        <v>Indirect</v>
      </c>
      <c r="E590" s="55">
        <v>99.12</v>
      </c>
      <c r="F590" s="23">
        <f>IFERROR(VLOOKUP(B590,'[1]Farmer Payment Calc'!$E$2:$J$5780,6,0),0)</f>
        <v>0</v>
      </c>
    </row>
    <row r="591" spans="1:6" x14ac:dyDescent="0.25">
      <c r="A591" t="str">
        <f t="shared" si="9"/>
        <v>101300440002</v>
      </c>
      <c r="B591" s="25">
        <v>10130044</v>
      </c>
      <c r="C591" s="36" t="s">
        <v>1020</v>
      </c>
      <c r="D591" s="25" t="str">
        <f>IFERROR(VLOOKUP(B591,'[1]MPG Payment'!$C$3:$F$915,4,0),0)</f>
        <v>Indirect</v>
      </c>
      <c r="E591" s="55">
        <v>82.6</v>
      </c>
      <c r="F591" s="23">
        <f>IFERROR(VLOOKUP(B591,'[1]Farmer Payment Calc'!$E$2:$J$5780,6,0),0)</f>
        <v>0</v>
      </c>
    </row>
    <row r="592" spans="1:6" x14ac:dyDescent="0.25">
      <c r="A592" t="str">
        <f t="shared" si="9"/>
        <v>103300010002</v>
      </c>
      <c r="B592" s="25">
        <v>10330001</v>
      </c>
      <c r="C592" s="36" t="s">
        <v>1020</v>
      </c>
      <c r="D592" s="25" t="str">
        <f>IFERROR(VLOOKUP(B592,'[1]MPG Payment'!$C$3:$F$915,4,0),0)</f>
        <v>Indirect</v>
      </c>
      <c r="E592" s="55">
        <v>424.8</v>
      </c>
      <c r="F592" s="23">
        <f>IFERROR(VLOOKUP(B592,'[1]Farmer Payment Calc'!$E$2:$J$5780,6,0),0)</f>
        <v>0</v>
      </c>
    </row>
    <row r="593" spans="1:6" x14ac:dyDescent="0.25">
      <c r="A593" t="str">
        <f t="shared" si="9"/>
        <v>103200010002</v>
      </c>
      <c r="B593" s="25">
        <v>10320001</v>
      </c>
      <c r="C593" s="36" t="s">
        <v>1020</v>
      </c>
      <c r="D593" s="25" t="str">
        <f>IFERROR(VLOOKUP(B593,'[1]MPG Payment'!$C$3:$F$915,4,0),0)</f>
        <v>Indirect</v>
      </c>
      <c r="E593" s="55">
        <v>165.2</v>
      </c>
      <c r="F593" s="23">
        <f>IFERROR(VLOOKUP(B593,'[1]Farmer Payment Calc'!$E$2:$J$5780,6,0),0)</f>
        <v>0</v>
      </c>
    </row>
    <row r="594" spans="1:6" x14ac:dyDescent="0.25">
      <c r="A594" t="str">
        <f t="shared" si="9"/>
        <v>101200350002</v>
      </c>
      <c r="B594" s="25">
        <v>10120035</v>
      </c>
      <c r="C594" s="36" t="s">
        <v>1020</v>
      </c>
      <c r="D594" s="25" t="str">
        <f>IFERROR(VLOOKUP(B594,'[1]MPG Payment'!$C$3:$F$915,4,0),0)</f>
        <v>Indirect</v>
      </c>
      <c r="E594" s="55">
        <v>82.6</v>
      </c>
      <c r="F594" s="23">
        <f>IFERROR(VLOOKUP(B594,'[1]Farmer Payment Calc'!$E$2:$J$5780,6,0),0)</f>
        <v>0</v>
      </c>
    </row>
    <row r="595" spans="1:6" x14ac:dyDescent="0.25">
      <c r="A595" t="str">
        <f t="shared" si="9"/>
        <v>101200350002</v>
      </c>
      <c r="B595" s="25">
        <v>10120035</v>
      </c>
      <c r="C595" s="36" t="s">
        <v>1020</v>
      </c>
      <c r="D595" s="25" t="str">
        <f>IFERROR(VLOOKUP(B595,'[1]MPG Payment'!$C$3:$F$915,4,0),0)</f>
        <v>Indirect</v>
      </c>
      <c r="E595" s="55">
        <v>99.12</v>
      </c>
      <c r="F595" s="23">
        <f>IFERROR(VLOOKUP(B595,'[1]Farmer Payment Calc'!$E$2:$J$5780,6,0),0)</f>
        <v>0</v>
      </c>
    </row>
    <row r="596" spans="1:6" x14ac:dyDescent="0.25">
      <c r="A596" t="str">
        <f t="shared" si="9"/>
        <v>100600040002</v>
      </c>
      <c r="B596" s="25">
        <v>10060004</v>
      </c>
      <c r="C596" s="36" t="s">
        <v>1020</v>
      </c>
      <c r="D596" s="25" t="str">
        <f>IFERROR(VLOOKUP(B596,'[1]MPG Payment'!$C$3:$F$915,4,0),0)</f>
        <v>Indirect</v>
      </c>
      <c r="E596" s="55">
        <v>424.8</v>
      </c>
      <c r="F596" s="23">
        <f>IFERROR(VLOOKUP(B596,'[1]Farmer Payment Calc'!$E$2:$J$5780,6,0),0)</f>
        <v>0</v>
      </c>
    </row>
    <row r="597" spans="1:6" x14ac:dyDescent="0.25">
      <c r="A597" t="str">
        <f t="shared" si="9"/>
        <v>101200010002</v>
      </c>
      <c r="B597" s="25">
        <v>10120001</v>
      </c>
      <c r="C597" s="36" t="s">
        <v>1020</v>
      </c>
      <c r="D597" s="25" t="str">
        <f>IFERROR(VLOOKUP(B597,'[1]MPG Payment'!$C$3:$F$915,4,0),0)</f>
        <v>Indirect</v>
      </c>
      <c r="E597" s="55">
        <v>973.5</v>
      </c>
      <c r="F597" s="23">
        <f>IFERROR(VLOOKUP(B597,'[1]Farmer Payment Calc'!$E$2:$J$5780,6,0),0)</f>
        <v>0</v>
      </c>
    </row>
    <row r="598" spans="1:6" x14ac:dyDescent="0.25">
      <c r="A598" t="str">
        <f t="shared" si="9"/>
        <v>101200220002</v>
      </c>
      <c r="B598" s="25">
        <v>10120022</v>
      </c>
      <c r="C598" s="36" t="s">
        <v>1020</v>
      </c>
      <c r="D598" s="25" t="str">
        <f>IFERROR(VLOOKUP(B598,'[1]MPG Payment'!$C$3:$F$915,4,0),0)</f>
        <v>Indirect</v>
      </c>
      <c r="E598" s="55">
        <v>165.2</v>
      </c>
      <c r="F598" s="23">
        <f>IFERROR(VLOOKUP(B598,'[1]Farmer Payment Calc'!$E$2:$J$5780,6,0),0)</f>
        <v>0</v>
      </c>
    </row>
    <row r="599" spans="1:6" x14ac:dyDescent="0.25">
      <c r="A599" t="str">
        <f t="shared" si="9"/>
        <v>101200220002</v>
      </c>
      <c r="B599" s="25">
        <v>10120022</v>
      </c>
      <c r="C599" s="36" t="s">
        <v>1020</v>
      </c>
      <c r="D599" s="25" t="str">
        <f>IFERROR(VLOOKUP(B599,'[1]MPG Payment'!$C$3:$F$915,4,0),0)</f>
        <v>Indirect</v>
      </c>
      <c r="E599" s="55">
        <v>908.6</v>
      </c>
      <c r="F599" s="23">
        <f>IFERROR(VLOOKUP(B599,'[1]Farmer Payment Calc'!$E$2:$J$5780,6,0),0)</f>
        <v>0</v>
      </c>
    </row>
    <row r="600" spans="1:6" x14ac:dyDescent="0.25">
      <c r="A600" t="str">
        <f t="shared" si="9"/>
        <v>100900150002</v>
      </c>
      <c r="B600" s="25">
        <v>10090015</v>
      </c>
      <c r="C600" s="36" t="s">
        <v>1020</v>
      </c>
      <c r="D600" s="25" t="str">
        <f>IFERROR(VLOOKUP(B600,'[1]MPG Payment'!$C$3:$F$915,4,0),0)</f>
        <v>Indirect</v>
      </c>
      <c r="E600" s="55">
        <v>908.6</v>
      </c>
      <c r="F600" s="23">
        <f>IFERROR(VLOOKUP(B600,'[1]Farmer Payment Calc'!$E$2:$J$5780,6,0),0)</f>
        <v>0</v>
      </c>
    </row>
    <row r="601" spans="1:6" x14ac:dyDescent="0.25">
      <c r="A601" t="str">
        <f t="shared" si="9"/>
        <v>101200220002</v>
      </c>
      <c r="B601" s="25">
        <v>10120022</v>
      </c>
      <c r="C601" s="36" t="s">
        <v>1020</v>
      </c>
      <c r="D601" s="25" t="str">
        <f>IFERROR(VLOOKUP(B601,'[1]MPG Payment'!$C$3:$F$915,4,0),0)</f>
        <v>Indirect</v>
      </c>
      <c r="E601" s="55">
        <v>73.16</v>
      </c>
      <c r="F601" s="23">
        <f>IFERROR(VLOOKUP(B601,'[1]Farmer Payment Calc'!$E$2:$J$5780,6,0),0)</f>
        <v>0</v>
      </c>
    </row>
    <row r="602" spans="1:6" x14ac:dyDescent="0.25">
      <c r="A602" t="str">
        <f t="shared" si="9"/>
        <v>101200220002</v>
      </c>
      <c r="B602" s="25">
        <v>10120022</v>
      </c>
      <c r="C602" s="36" t="s">
        <v>1020</v>
      </c>
      <c r="D602" s="25" t="str">
        <f>IFERROR(VLOOKUP(B602,'[1]MPG Payment'!$C$3:$F$915,4,0),0)</f>
        <v>Indirect</v>
      </c>
      <c r="E602" s="55">
        <v>147.5</v>
      </c>
      <c r="F602" s="23">
        <f>IFERROR(VLOOKUP(B602,'[1]Farmer Payment Calc'!$E$2:$J$5780,6,0),0)</f>
        <v>0</v>
      </c>
    </row>
    <row r="603" spans="1:6" x14ac:dyDescent="0.25">
      <c r="A603" t="str">
        <f t="shared" si="9"/>
        <v>100900010002</v>
      </c>
      <c r="B603" s="25">
        <v>10090001</v>
      </c>
      <c r="C603" s="36" t="s">
        <v>1020</v>
      </c>
      <c r="D603" s="25" t="str">
        <f>IFERROR(VLOOKUP(B603,'[1]MPG Payment'!$C$3:$F$915,4,0),0)</f>
        <v>Indirect</v>
      </c>
      <c r="E603" s="55">
        <v>424.8</v>
      </c>
      <c r="F603" s="23">
        <f>IFERROR(VLOOKUP(B603,'[1]Farmer Payment Calc'!$E$2:$J$5780,6,0),0)</f>
        <v>0</v>
      </c>
    </row>
    <row r="604" spans="1:6" x14ac:dyDescent="0.25">
      <c r="A604" t="str">
        <f t="shared" si="9"/>
        <v>101300250002</v>
      </c>
      <c r="B604" s="25">
        <v>10130025</v>
      </c>
      <c r="C604" s="36" t="s">
        <v>1020</v>
      </c>
      <c r="D604" s="25" t="str">
        <f>IFERROR(VLOOKUP(B604,'[1]MPG Payment'!$C$3:$F$915,4,0),0)</f>
        <v>Indirect</v>
      </c>
      <c r="E604" s="55">
        <v>147.5</v>
      </c>
      <c r="F604" s="23">
        <f>IFERROR(VLOOKUP(B604,'[1]Farmer Payment Calc'!$E$2:$J$5780,6,0),0)</f>
        <v>0</v>
      </c>
    </row>
    <row r="605" spans="1:6" x14ac:dyDescent="0.25">
      <c r="A605" t="str">
        <f t="shared" si="9"/>
        <v>101300250002</v>
      </c>
      <c r="B605" s="25">
        <v>10130025</v>
      </c>
      <c r="C605" s="36" t="s">
        <v>1020</v>
      </c>
      <c r="D605" s="25" t="str">
        <f>IFERROR(VLOOKUP(B605,'[1]MPG Payment'!$C$3:$F$915,4,0),0)</f>
        <v>Indirect</v>
      </c>
      <c r="E605" s="55">
        <v>147.5</v>
      </c>
      <c r="F605" s="23">
        <f>IFERROR(VLOOKUP(B605,'[1]Farmer Payment Calc'!$E$2:$J$5780,6,0),0)</f>
        <v>0</v>
      </c>
    </row>
    <row r="606" spans="1:6" x14ac:dyDescent="0.25">
      <c r="A606" t="str">
        <f t="shared" si="9"/>
        <v>100200080002</v>
      </c>
      <c r="B606" s="25">
        <v>10020008</v>
      </c>
      <c r="C606" s="36" t="s">
        <v>1020</v>
      </c>
      <c r="D606" s="25" t="str">
        <f>IFERROR(VLOOKUP(B606,'[1]MPG Payment'!$C$3:$F$915,4,0),0)</f>
        <v>Indirect</v>
      </c>
      <c r="E606" s="55">
        <v>147.5</v>
      </c>
      <c r="F606" s="23">
        <f>IFERROR(VLOOKUP(B606,'[1]Farmer Payment Calc'!$E$2:$J$5780,6,0),0)</f>
        <v>0</v>
      </c>
    </row>
    <row r="607" spans="1:6" x14ac:dyDescent="0.25">
      <c r="A607" t="str">
        <f t="shared" si="9"/>
        <v>101100430002</v>
      </c>
      <c r="B607" s="26">
        <v>10110043</v>
      </c>
      <c r="C607" s="36" t="s">
        <v>1020</v>
      </c>
      <c r="D607" s="25" t="str">
        <f>IFERROR(VLOOKUP(B607,'[1]MPG Payment'!$C$3:$F$915,4,0),0)</f>
        <v>Indirect</v>
      </c>
      <c r="E607" s="55">
        <v>265.5</v>
      </c>
      <c r="F607" s="23">
        <f>IFERROR(VLOOKUP(B607,'[1]Farmer Payment Calc'!$E$2:$J$5780,6,0),0)</f>
        <v>0</v>
      </c>
    </row>
    <row r="608" spans="1:6" x14ac:dyDescent="0.25">
      <c r="A608" t="str">
        <f t="shared" si="9"/>
        <v>101300160002</v>
      </c>
      <c r="B608" s="25">
        <v>10130016</v>
      </c>
      <c r="C608" s="36" t="s">
        <v>1020</v>
      </c>
      <c r="D608" s="25" t="str">
        <f>IFERROR(VLOOKUP(B608,'[1]MPG Payment'!$C$3:$F$915,4,0),0)</f>
        <v>Indirect</v>
      </c>
      <c r="E608" s="55">
        <v>973.5</v>
      </c>
      <c r="F608" s="23">
        <f>IFERROR(VLOOKUP(B608,'[1]Farmer Payment Calc'!$E$2:$J$5780,6,0),0)</f>
        <v>0</v>
      </c>
    </row>
    <row r="609" spans="1:6" x14ac:dyDescent="0.25">
      <c r="A609" t="str">
        <f t="shared" si="9"/>
        <v>101200010002</v>
      </c>
      <c r="B609" s="25">
        <v>10120001</v>
      </c>
      <c r="C609" s="36" t="s">
        <v>1020</v>
      </c>
      <c r="D609" s="25" t="str">
        <f>IFERROR(VLOOKUP(B609,'[1]MPG Payment'!$C$3:$F$915,4,0),0)</f>
        <v>Indirect</v>
      </c>
      <c r="E609" s="55">
        <v>82.6</v>
      </c>
      <c r="F609" s="23">
        <f>IFERROR(VLOOKUP(B609,'[1]Farmer Payment Calc'!$E$2:$J$5780,6,0),0)</f>
        <v>0</v>
      </c>
    </row>
    <row r="610" spans="1:6" x14ac:dyDescent="0.25">
      <c r="A610" t="str">
        <f t="shared" si="9"/>
        <v>101200010002</v>
      </c>
      <c r="B610" s="25">
        <v>10120001</v>
      </c>
      <c r="C610" s="36" t="s">
        <v>1020</v>
      </c>
      <c r="D610" s="25" t="str">
        <f>IFERROR(VLOOKUP(B610,'[1]MPG Payment'!$C$3:$F$915,4,0),0)</f>
        <v>Indirect</v>
      </c>
      <c r="E610" s="55">
        <v>51.92</v>
      </c>
      <c r="F610" s="23">
        <f>IFERROR(VLOOKUP(B610,'[1]Farmer Payment Calc'!$E$2:$J$5780,6,0),0)</f>
        <v>0</v>
      </c>
    </row>
    <row r="611" spans="1:6" x14ac:dyDescent="0.25">
      <c r="A611" t="str">
        <f t="shared" si="9"/>
        <v>101200010002</v>
      </c>
      <c r="B611" s="25">
        <v>10120001</v>
      </c>
      <c r="C611" s="36" t="s">
        <v>1020</v>
      </c>
      <c r="D611" s="25" t="str">
        <f>IFERROR(VLOOKUP(B611,'[1]MPG Payment'!$C$3:$F$915,4,0),0)</f>
        <v>Indirect</v>
      </c>
      <c r="E611" s="55">
        <v>51.92</v>
      </c>
      <c r="F611" s="23">
        <f>IFERROR(VLOOKUP(B611,'[1]Farmer Payment Calc'!$E$2:$J$5780,6,0),0)</f>
        <v>0</v>
      </c>
    </row>
    <row r="612" spans="1:6" x14ac:dyDescent="0.25">
      <c r="A612" t="str">
        <f t="shared" si="9"/>
        <v>101100430002</v>
      </c>
      <c r="B612" s="26">
        <v>10110043</v>
      </c>
      <c r="C612" s="36" t="s">
        <v>1020</v>
      </c>
      <c r="D612" s="25" t="str">
        <f>IFERROR(VLOOKUP(B612,'[1]MPG Payment'!$C$3:$F$915,4,0),0)</f>
        <v>Indirect</v>
      </c>
      <c r="E612" s="55">
        <v>413</v>
      </c>
      <c r="F612" s="23">
        <f>IFERROR(VLOOKUP(B612,'[1]Farmer Payment Calc'!$E$2:$J$5780,6,0),0)</f>
        <v>0</v>
      </c>
    </row>
    <row r="613" spans="1:6" x14ac:dyDescent="0.25">
      <c r="A613" t="str">
        <f t="shared" si="9"/>
        <v>100900240002</v>
      </c>
      <c r="B613" s="25">
        <v>10090024</v>
      </c>
      <c r="C613" s="36" t="s">
        <v>1020</v>
      </c>
      <c r="D613" s="25" t="str">
        <f>IFERROR(VLOOKUP(B613,'[1]MPG Payment'!$C$3:$F$915,4,0),0)</f>
        <v>Indirect</v>
      </c>
      <c r="E613" s="55">
        <v>973.5</v>
      </c>
      <c r="F613" s="23">
        <f>IFERROR(VLOOKUP(B613,'[1]Farmer Payment Calc'!$E$2:$J$5780,6,0),0)</f>
        <v>0</v>
      </c>
    </row>
    <row r="614" spans="1:6" x14ac:dyDescent="0.25">
      <c r="A614" t="str">
        <f t="shared" si="9"/>
        <v>101200350002</v>
      </c>
      <c r="B614" s="25">
        <v>10120035</v>
      </c>
      <c r="C614" s="36" t="s">
        <v>1020</v>
      </c>
      <c r="D614" s="25" t="str">
        <f>IFERROR(VLOOKUP(B614,'[1]MPG Payment'!$C$3:$F$915,4,0),0)</f>
        <v>Indirect</v>
      </c>
      <c r="E614" s="55">
        <v>424.8</v>
      </c>
      <c r="F614" s="23">
        <f>IFERROR(VLOOKUP(B614,'[1]Farmer Payment Calc'!$E$2:$J$5780,6,0),0)</f>
        <v>0</v>
      </c>
    </row>
    <row r="615" spans="1:6" x14ac:dyDescent="0.25">
      <c r="A615" t="str">
        <f t="shared" si="9"/>
        <v>101300150002</v>
      </c>
      <c r="B615" s="25">
        <v>10130015</v>
      </c>
      <c r="C615" s="36" t="s">
        <v>1020</v>
      </c>
      <c r="D615" s="25" t="str">
        <f>IFERROR(VLOOKUP(B615,'[1]MPG Payment'!$C$3:$F$915,4,0),0)</f>
        <v>Indirect</v>
      </c>
      <c r="E615" s="55">
        <v>424.8</v>
      </c>
      <c r="F615" s="23">
        <f>IFERROR(VLOOKUP(B615,'[1]Farmer Payment Calc'!$E$2:$J$5780,6,0),0)</f>
        <v>0</v>
      </c>
    </row>
    <row r="616" spans="1:6" x14ac:dyDescent="0.25">
      <c r="A616" t="str">
        <f t="shared" si="9"/>
        <v>101300440002</v>
      </c>
      <c r="B616" s="25">
        <v>10130044</v>
      </c>
      <c r="C616" s="36" t="s">
        <v>1020</v>
      </c>
      <c r="D616" s="25" t="str">
        <f>IFERROR(VLOOKUP(B616,'[1]MPG Payment'!$C$3:$F$915,4,0),0)</f>
        <v>Indirect</v>
      </c>
      <c r="E616" s="55">
        <v>3304</v>
      </c>
      <c r="F616" s="23">
        <f>IFERROR(VLOOKUP(B616,'[1]Farmer Payment Calc'!$E$2:$J$5780,6,0),0)</f>
        <v>0</v>
      </c>
    </row>
    <row r="617" spans="1:6" x14ac:dyDescent="0.25">
      <c r="A617" t="str">
        <f t="shared" si="9"/>
        <v>101200010002</v>
      </c>
      <c r="B617" s="25">
        <v>10120001</v>
      </c>
      <c r="C617" s="36" t="s">
        <v>1020</v>
      </c>
      <c r="D617" s="25" t="str">
        <f>IFERROR(VLOOKUP(B617,'[1]MPG Payment'!$C$3:$F$915,4,0),0)</f>
        <v>Indirect</v>
      </c>
      <c r="E617" s="55">
        <v>2454.4</v>
      </c>
      <c r="F617" s="23">
        <f>IFERROR(VLOOKUP(B617,'[1]Farmer Payment Calc'!$E$2:$J$5780,6,0),0)</f>
        <v>0</v>
      </c>
    </row>
    <row r="618" spans="1:6" x14ac:dyDescent="0.25">
      <c r="A618" t="str">
        <f t="shared" si="9"/>
        <v>101000040002</v>
      </c>
      <c r="B618" s="26">
        <v>10100004</v>
      </c>
      <c r="C618" s="36" t="s">
        <v>1020</v>
      </c>
      <c r="D618" s="25" t="str">
        <f>IFERROR(VLOOKUP(B618,'[1]MPG Payment'!$C$3:$F$915,4,0),0)</f>
        <v>Indirect</v>
      </c>
      <c r="E618" s="55">
        <v>141.6</v>
      </c>
      <c r="F618" s="23">
        <f>IFERROR(VLOOKUP(B618,'[1]Farmer Payment Calc'!$E$2:$J$5780,6,0),0)</f>
        <v>0</v>
      </c>
    </row>
    <row r="619" spans="1:6" x14ac:dyDescent="0.25">
      <c r="A619" t="str">
        <f t="shared" si="9"/>
        <v>101300440002</v>
      </c>
      <c r="B619" s="25">
        <v>10130044</v>
      </c>
      <c r="C619" s="36" t="s">
        <v>1020</v>
      </c>
      <c r="D619" s="25" t="str">
        <f>IFERROR(VLOOKUP(B619,'[1]MPG Payment'!$C$3:$F$915,4,0),0)</f>
        <v>Indirect</v>
      </c>
      <c r="E619" s="55">
        <v>147.5</v>
      </c>
      <c r="F619" s="23">
        <f>IFERROR(VLOOKUP(B619,'[1]Farmer Payment Calc'!$E$2:$J$5780,6,0),0)</f>
        <v>0</v>
      </c>
    </row>
    <row r="620" spans="1:6" x14ac:dyDescent="0.25">
      <c r="A620" t="str">
        <f t="shared" si="9"/>
        <v>101300440002</v>
      </c>
      <c r="B620" s="25">
        <v>10130044</v>
      </c>
      <c r="C620" s="36" t="s">
        <v>1020</v>
      </c>
      <c r="D620" s="25" t="str">
        <f>IFERROR(VLOOKUP(B620,'[1]MPG Payment'!$C$3:$F$915,4,0),0)</f>
        <v>Indirect</v>
      </c>
      <c r="E620" s="55">
        <v>147.5</v>
      </c>
      <c r="F620" s="23">
        <f>IFERROR(VLOOKUP(B620,'[1]Farmer Payment Calc'!$E$2:$J$5780,6,0),0)</f>
        <v>0</v>
      </c>
    </row>
    <row r="621" spans="1:6" x14ac:dyDescent="0.25">
      <c r="A621" t="str">
        <f t="shared" si="9"/>
        <v>101300160002</v>
      </c>
      <c r="B621" s="25">
        <v>10130016</v>
      </c>
      <c r="C621" s="36" t="s">
        <v>1020</v>
      </c>
      <c r="D621" s="25" t="str">
        <f>IFERROR(VLOOKUP(B621,'[1]MPG Payment'!$C$3:$F$915,4,0),0)</f>
        <v>Indirect</v>
      </c>
      <c r="E621" s="55">
        <v>165.2</v>
      </c>
      <c r="F621" s="23">
        <f>IFERROR(VLOOKUP(B621,'[1]Farmer Payment Calc'!$E$2:$J$5780,6,0),0)</f>
        <v>0</v>
      </c>
    </row>
    <row r="622" spans="1:6" x14ac:dyDescent="0.25">
      <c r="A622" t="str">
        <f t="shared" si="9"/>
        <v>101300160002</v>
      </c>
      <c r="B622" s="25">
        <v>10130016</v>
      </c>
      <c r="C622" s="36" t="s">
        <v>1020</v>
      </c>
      <c r="D622" s="25" t="str">
        <f>IFERROR(VLOOKUP(B622,'[1]MPG Payment'!$C$3:$F$915,4,0),0)</f>
        <v>Indirect</v>
      </c>
      <c r="E622" s="55">
        <v>57.82</v>
      </c>
      <c r="F622" s="23">
        <f>IFERROR(VLOOKUP(B622,'[1]Farmer Payment Calc'!$E$2:$J$5780,6,0),0)</f>
        <v>0</v>
      </c>
    </row>
    <row r="623" spans="1:6" x14ac:dyDescent="0.25">
      <c r="A623" t="str">
        <f t="shared" si="9"/>
        <v>101300160002</v>
      </c>
      <c r="B623" s="25">
        <v>10130016</v>
      </c>
      <c r="C623" s="36" t="s">
        <v>1020</v>
      </c>
      <c r="D623" s="25" t="str">
        <f>IFERROR(VLOOKUP(B623,'[1]MPG Payment'!$C$3:$F$915,4,0),0)</f>
        <v>Indirect</v>
      </c>
      <c r="E623" s="55">
        <v>82.6</v>
      </c>
      <c r="F623" s="23">
        <f>IFERROR(VLOOKUP(B623,'[1]Farmer Payment Calc'!$E$2:$J$5780,6,0),0)</f>
        <v>0</v>
      </c>
    </row>
    <row r="624" spans="1:6" x14ac:dyDescent="0.25">
      <c r="A624" t="str">
        <f t="shared" si="9"/>
        <v>101300160002</v>
      </c>
      <c r="B624" s="25">
        <v>10130016</v>
      </c>
      <c r="C624" s="36" t="s">
        <v>1020</v>
      </c>
      <c r="D624" s="25" t="str">
        <f>IFERROR(VLOOKUP(B624,'[1]MPG Payment'!$C$3:$F$915,4,0),0)</f>
        <v>Indirect</v>
      </c>
      <c r="E624" s="55">
        <v>424.8</v>
      </c>
      <c r="F624" s="23">
        <f>IFERROR(VLOOKUP(B624,'[1]Farmer Payment Calc'!$E$2:$J$5780,6,0),0)</f>
        <v>0</v>
      </c>
    </row>
    <row r="625" spans="1:6" x14ac:dyDescent="0.25">
      <c r="A625" t="str">
        <f t="shared" si="9"/>
        <v>101000040002</v>
      </c>
      <c r="B625" s="26">
        <v>10100004</v>
      </c>
      <c r="C625" s="36" t="s">
        <v>1020</v>
      </c>
      <c r="D625" s="25" t="str">
        <f>IFERROR(VLOOKUP(B625,'[1]MPG Payment'!$C$3:$F$915,4,0),0)</f>
        <v>Indirect</v>
      </c>
      <c r="E625" s="55">
        <v>920.4</v>
      </c>
      <c r="F625" s="23">
        <f>IFERROR(VLOOKUP(B625,'[1]Farmer Payment Calc'!$E$2:$J$5780,6,0),0)</f>
        <v>0</v>
      </c>
    </row>
    <row r="626" spans="1:6" x14ac:dyDescent="0.25">
      <c r="A626" t="str">
        <f t="shared" si="9"/>
        <v>101000040002</v>
      </c>
      <c r="B626" s="26">
        <v>10100004</v>
      </c>
      <c r="C626" s="36" t="s">
        <v>1020</v>
      </c>
      <c r="D626" s="25" t="str">
        <f>IFERROR(VLOOKUP(B626,'[1]MPG Payment'!$C$3:$F$915,4,0),0)</f>
        <v>Indirect</v>
      </c>
      <c r="E626" s="55">
        <v>99.12</v>
      </c>
      <c r="F626" s="23">
        <f>IFERROR(VLOOKUP(B626,'[1]Farmer Payment Calc'!$E$2:$J$5780,6,0),0)</f>
        <v>0</v>
      </c>
    </row>
  </sheetData>
  <autoFilter ref="A1:F626" xr:uid="{CF8CD32A-B988-4145-8E9D-35A71B906C84}"/>
  <conditionalFormatting sqref="B2:B626">
    <cfRule type="duplicateValues" dxfId="34" priority="1"/>
  </conditionalFormatting>
  <conditionalFormatting sqref="B128">
    <cfRule type="duplicateValues" dxfId="33" priority="35"/>
  </conditionalFormatting>
  <conditionalFormatting sqref="B222">
    <cfRule type="duplicateValues" dxfId="32" priority="34"/>
  </conditionalFormatting>
  <conditionalFormatting sqref="B223">
    <cfRule type="duplicateValues" dxfId="31" priority="33"/>
  </conditionalFormatting>
  <conditionalFormatting sqref="B224">
    <cfRule type="duplicateValues" dxfId="30" priority="32"/>
  </conditionalFormatting>
  <conditionalFormatting sqref="B225">
    <cfRule type="duplicateValues" dxfId="29" priority="31"/>
  </conditionalFormatting>
  <conditionalFormatting sqref="B235">
    <cfRule type="duplicateValues" dxfId="28" priority="30"/>
  </conditionalFormatting>
  <conditionalFormatting sqref="B246">
    <cfRule type="duplicateValues" dxfId="27" priority="29"/>
  </conditionalFormatting>
  <conditionalFormatting sqref="B258">
    <cfRule type="duplicateValues" dxfId="26" priority="28"/>
  </conditionalFormatting>
  <conditionalFormatting sqref="B267">
    <cfRule type="duplicateValues" dxfId="25" priority="27"/>
  </conditionalFormatting>
  <conditionalFormatting sqref="B269">
    <cfRule type="duplicateValues" dxfId="24" priority="26"/>
  </conditionalFormatting>
  <conditionalFormatting sqref="B336">
    <cfRule type="duplicateValues" dxfId="23" priority="25"/>
  </conditionalFormatting>
  <conditionalFormatting sqref="B385">
    <cfRule type="duplicateValues" dxfId="22" priority="24"/>
  </conditionalFormatting>
  <conditionalFormatting sqref="B387">
    <cfRule type="duplicateValues" dxfId="21" priority="23"/>
  </conditionalFormatting>
  <conditionalFormatting sqref="B406">
    <cfRule type="duplicateValues" dxfId="20" priority="22"/>
  </conditionalFormatting>
  <conditionalFormatting sqref="B443">
    <cfRule type="duplicateValues" dxfId="19" priority="21"/>
  </conditionalFormatting>
  <conditionalFormatting sqref="B444">
    <cfRule type="duplicateValues" dxfId="18" priority="20"/>
  </conditionalFormatting>
  <conditionalFormatting sqref="B455">
    <cfRule type="duplicateValues" dxfId="17" priority="18"/>
  </conditionalFormatting>
  <conditionalFormatting sqref="B468">
    <cfRule type="duplicateValues" dxfId="16" priority="17"/>
  </conditionalFormatting>
  <conditionalFormatting sqref="B485">
    <cfRule type="duplicateValues" dxfId="15" priority="19"/>
  </conditionalFormatting>
  <conditionalFormatting sqref="B501">
    <cfRule type="duplicateValues" dxfId="14" priority="16"/>
  </conditionalFormatting>
  <conditionalFormatting sqref="B514">
    <cfRule type="duplicateValues" dxfId="13" priority="15"/>
  </conditionalFormatting>
  <conditionalFormatting sqref="B522">
    <cfRule type="duplicateValues" dxfId="12" priority="14"/>
  </conditionalFormatting>
  <conditionalFormatting sqref="B533">
    <cfRule type="duplicateValues" dxfId="11" priority="10"/>
  </conditionalFormatting>
  <conditionalFormatting sqref="B534">
    <cfRule type="duplicateValues" dxfId="10" priority="12"/>
  </conditionalFormatting>
  <conditionalFormatting sqref="B535">
    <cfRule type="duplicateValues" dxfId="9" priority="11"/>
  </conditionalFormatting>
  <conditionalFormatting sqref="B539">
    <cfRule type="duplicateValues" dxfId="8" priority="13"/>
  </conditionalFormatting>
  <conditionalFormatting sqref="B552">
    <cfRule type="duplicateValues" dxfId="7" priority="9"/>
  </conditionalFormatting>
  <conditionalFormatting sqref="B553">
    <cfRule type="duplicateValues" dxfId="6" priority="8"/>
  </conditionalFormatting>
  <conditionalFormatting sqref="B573">
    <cfRule type="duplicateValues" dxfId="5" priority="7"/>
  </conditionalFormatting>
  <conditionalFormatting sqref="B607">
    <cfRule type="duplicateValues" dxfId="4" priority="6"/>
  </conditionalFormatting>
  <conditionalFormatting sqref="B608">
    <cfRule type="duplicateValues" dxfId="3" priority="5"/>
  </conditionalFormatting>
  <conditionalFormatting sqref="B611">
    <cfRule type="duplicateValues" dxfId="2" priority="4"/>
  </conditionalFormatting>
  <conditionalFormatting sqref="B612">
    <cfRule type="duplicateValues" dxfId="1" priority="3"/>
  </conditionalFormatting>
  <conditionalFormatting sqref="B617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Sheet2</vt:lpstr>
      <vt:lpstr>Sheet4</vt:lpstr>
      <vt:lpstr>Details</vt:lpstr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 Society</dc:creator>
  <cp:lastModifiedBy>RAHUL PANDIT</cp:lastModifiedBy>
  <dcterms:created xsi:type="dcterms:W3CDTF">2025-08-16T08:48:09Z</dcterms:created>
  <dcterms:modified xsi:type="dcterms:W3CDTF">2026-03-20T14:42:15Z</dcterms:modified>
</cp:coreProperties>
</file>