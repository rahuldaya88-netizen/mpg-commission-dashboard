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3_09-Apr'26\Collection data\"/>
    </mc:Choice>
  </mc:AlternateContent>
  <xr:revisionPtr revIDLastSave="0" documentId="13_ncr:1_{BD585822-3219-4650-98E8-F4E1F78E6857}" xr6:coauthVersionLast="47" xr6:coauthVersionMax="47" xr10:uidLastSave="{00000000-0000-0000-0000-000000000000}"/>
  <bookViews>
    <workbookView xWindow="-120" yWindow="-120" windowWidth="29040" windowHeight="15720" xr2:uid="{67FA6381-5BA9-4EE1-9219-0FA6CA348532}"/>
  </bookViews>
  <sheets>
    <sheet name="Sheet2" sheetId="2" r:id="rId1"/>
    <sheet name="Sheet1" sheetId="1" r:id="rId2"/>
  </sheets>
  <definedNames>
    <definedName name="_xlnm._FilterDatabase" localSheetId="0" hidden="1">Sheet2!$J$4:$L$4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tc={7E51D18F-CEF6-40CD-8AA0-40936D33F3D9}</author>
  </authors>
  <commentList>
    <comment ref="R60" authorId="0" shapeId="0" xr:uid="{7E51D18F-CEF6-40CD-8AA0-40936D33F3D9}">
      <text>
        <t>[Threaded comment]
Your version of Excel allows you to read this threaded comment; however, any edits to it will get removed if the file is opened in a newer version of Excel. Learn more: https://go.microsoft.com/fwlink/?linkid=870924
Comment:
    Chilling Inward Feb’26 Amt-444011 Adjustment</t>
      </text>
    </comment>
  </commentList>
</comments>
</file>

<file path=xl/sharedStrings.xml><?xml version="1.0" encoding="utf-8"?>
<sst xmlns="http://schemas.openxmlformats.org/spreadsheetml/2006/main" count="537" uniqueCount="152">
  <si>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</si>
  <si>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</si>
  <si>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</si>
  <si>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</si>
  <si>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</si>
  <si>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</si>
  <si>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</si>
  <si>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</si>
  <si>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</si>
  <si>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</si>
  <si>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</si>
  <si>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</si>
  <si>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Commision Done Yes/No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</si>
  <si>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</si>
  <si>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</si>
  <si>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</si>
  <si>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</si>
  <si>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</si>
  <si>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</si>
  <si>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</si>
  <si>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</si>
  <si>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Simri</t>
  </si>
  <si>
    <t>Chhatauna East</t>
  </si>
  <si>
    <t>Gomukh Gold 50 Kgs</t>
  </si>
  <si>
    <t>Deduction from Milk Payment</t>
  </si>
  <si>
    <t>Mithun Kumar</t>
  </si>
  <si>
    <t>Jun-25</t>
  </si>
  <si>
    <t>Farmer</t>
  </si>
  <si>
    <t>06 Jun - 12 Jun &amp; 20-26 Jun</t>
  </si>
  <si>
    <t>Close Mpg</t>
  </si>
  <si>
    <t>Kalyanpur</t>
  </si>
  <si>
    <t>Gomukh Jhahuri</t>
  </si>
  <si>
    <t>Buff Spl 50 Kg</t>
  </si>
  <si>
    <t>Jul-25</t>
  </si>
  <si>
    <t>27 Mar - 31 Mar</t>
  </si>
  <si>
    <t>Muslighrarai</t>
  </si>
  <si>
    <t>Saidpur</t>
  </si>
  <si>
    <t>Deepak Kumar</t>
  </si>
  <si>
    <t>Aug-25</t>
  </si>
  <si>
    <t>26 Sep - 02 Oct</t>
  </si>
  <si>
    <t>Lakhisarai</t>
  </si>
  <si>
    <t>Kunal Local Sale</t>
  </si>
  <si>
    <t>0000</t>
  </si>
  <si>
    <t>Kunal Kumar</t>
  </si>
  <si>
    <t>Dec-25</t>
  </si>
  <si>
    <t>06 feb - 12 Feb &amp; 27-05 Mar</t>
  </si>
  <si>
    <t>As per Discussed by Kunal ji Maliya ka payment 206+2000 map Mpg  10060090 Amt-7500+7000 Map</t>
  </si>
  <si>
    <t>Suryagadha</t>
  </si>
  <si>
    <t>Pokhrama</t>
  </si>
  <si>
    <t>1204</t>
  </si>
  <si>
    <t>Umakant</t>
  </si>
  <si>
    <t>16 Jan - 22 Jan &amp; 23-29 Jan 20-26 Feb 13-19 Feb</t>
  </si>
  <si>
    <t>Dumraon</t>
  </si>
  <si>
    <t>Dullahpur</t>
  </si>
  <si>
    <t>Sriram Singh</t>
  </si>
  <si>
    <t>Jan-26</t>
  </si>
  <si>
    <t>Suresh Driver</t>
  </si>
  <si>
    <t>Dhirendra Sharma</t>
  </si>
  <si>
    <t>Feb-26</t>
  </si>
  <si>
    <t>Teghra</t>
  </si>
  <si>
    <t>Cash Sale</t>
  </si>
  <si>
    <t>Sumit Kumar Suman</t>
  </si>
  <si>
    <t>Manjhaul</t>
  </si>
  <si>
    <t>Paridah</t>
  </si>
  <si>
    <t>Gopal Kumar</t>
  </si>
  <si>
    <t>20 Feb - 26 Feb &amp; 06-12 Mar</t>
  </si>
  <si>
    <t>Asarganj</t>
  </si>
  <si>
    <t>Kathara</t>
  </si>
  <si>
    <t>Madan Mohan Gopal</t>
  </si>
  <si>
    <t>Sri Rampur</t>
  </si>
  <si>
    <t>5151</t>
  </si>
  <si>
    <t>Balram Kumar</t>
  </si>
  <si>
    <t>Sahebpur Kamal</t>
  </si>
  <si>
    <t>Rahimpur Pachkhutti</t>
  </si>
  <si>
    <t>9719</t>
  </si>
  <si>
    <t>Bittu Kumar</t>
  </si>
  <si>
    <t>20 Mar - 26 Mar</t>
  </si>
  <si>
    <t>Mar-26</t>
  </si>
  <si>
    <t>Chatmadih</t>
  </si>
  <si>
    <t>Shajadpur</t>
  </si>
  <si>
    <t>4094</t>
  </si>
  <si>
    <t>Gonai</t>
  </si>
  <si>
    <t>Kuntha</t>
  </si>
  <si>
    <t>Masudan</t>
  </si>
  <si>
    <t>Tilathi</t>
  </si>
  <si>
    <t>Chaidha</t>
  </si>
  <si>
    <t>9826</t>
  </si>
  <si>
    <t>Sikaritola</t>
  </si>
  <si>
    <t>Karhariya</t>
  </si>
  <si>
    <t>Chorgaon</t>
  </si>
  <si>
    <t>5127</t>
  </si>
  <si>
    <t>Launa</t>
  </si>
  <si>
    <t>5135</t>
  </si>
  <si>
    <t>Jangle jhakra</t>
  </si>
  <si>
    <t>Motichak</t>
  </si>
  <si>
    <t>5153</t>
  </si>
  <si>
    <t>Mahmadpur</t>
  </si>
  <si>
    <t>5131</t>
  </si>
  <si>
    <t>Singhol</t>
  </si>
  <si>
    <t>Maliya</t>
  </si>
  <si>
    <t>1312</t>
  </si>
  <si>
    <t>Ramnagar</t>
  </si>
  <si>
    <t>Basmatiya</t>
  </si>
  <si>
    <t>Bank</t>
  </si>
  <si>
    <t>Chetan Tola</t>
  </si>
  <si>
    <t>Gautam Kumar</t>
  </si>
  <si>
    <t>Morwariya</t>
  </si>
  <si>
    <t>Chautaha</t>
  </si>
  <si>
    <t>Bakhiya</t>
  </si>
  <si>
    <t>Ramchandarpur2</t>
  </si>
  <si>
    <t>Batta Rampur</t>
  </si>
  <si>
    <t>1246</t>
  </si>
  <si>
    <t>Puranidih</t>
  </si>
  <si>
    <t>0124</t>
  </si>
  <si>
    <t>Alauli</t>
  </si>
  <si>
    <t>Ghamariya</t>
  </si>
  <si>
    <t>Amit Narayan</t>
  </si>
  <si>
    <t>20 Mar - 26 Mar &amp; 27-31 Mar</t>
  </si>
  <si>
    <t>English Dubauli</t>
  </si>
  <si>
    <t>2419</t>
  </si>
  <si>
    <t>Katahri</t>
  </si>
  <si>
    <t>9812</t>
  </si>
  <si>
    <t>Beri</t>
  </si>
  <si>
    <t>Chhapra</t>
  </si>
  <si>
    <t>Jagdispur</t>
  </si>
  <si>
    <t>2067</t>
  </si>
  <si>
    <t>27 Feb - 05 Mar &amp; 06-12 Mar 27-31 Mar</t>
  </si>
  <si>
    <t>Lakshman Nagar</t>
  </si>
  <si>
    <t>Jhahuri</t>
  </si>
  <si>
    <t>Bharav</t>
  </si>
  <si>
    <t>Bakhitiyarpur</t>
  </si>
  <si>
    <t>Gopalpur Ward 1</t>
  </si>
  <si>
    <t>Arariya</t>
  </si>
  <si>
    <t>Araria-Ankesh</t>
  </si>
  <si>
    <t>Ankesh Kumar</t>
  </si>
  <si>
    <t>Other</t>
  </si>
  <si>
    <t>As per discussed by Ankesh ji Chiling Inward &amp; Tanker se adjust</t>
  </si>
  <si>
    <t>Kishanpur</t>
  </si>
  <si>
    <t>Sakhwa Ghat</t>
  </si>
  <si>
    <t>Arniyaganj</t>
  </si>
  <si>
    <t>Labharchak</t>
  </si>
  <si>
    <t>9541</t>
  </si>
  <si>
    <t>Diyaman</t>
  </si>
  <si>
    <t>Gomukh Rajpur</t>
  </si>
  <si>
    <t>(blank)</t>
  </si>
  <si>
    <t>Grand Total</t>
  </si>
  <si>
    <t>Sum of Dues</t>
  </si>
  <si>
    <t>Total</t>
  </si>
  <si>
    <t>Type</t>
  </si>
  <si>
    <t>Direct</t>
  </si>
  <si>
    <t>Indirect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</si>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</sst>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6" fontId="3" fillId="4" borderId="2" xfId="0" applyNumberFormat="1" applyFont="1" applyFill="1" applyBorder="1"/>
    <xf numFmtId="0" fontId="3" fillId="4" borderId="2" xfId="0" applyFont="1" applyFill="1" applyBorder="1"/>
    <xf numFmtId="0" fontId="2" fillId="4" borderId="3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2" fillId="0" borderId="2" xfId="0" quotePrefix="1" applyFont="1" applyBorder="1" applyAlignment="1">
      <alignment horizontal="left"/>
    </xf>
    <xf numFmtId="0" fontId="3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right"/>
    </xf>
    <xf numFmtId="0" fontId="2" fillId="0" borderId="4" xfId="0" applyFont="1" applyBorder="1"/>
    <xf numFmtId="0" fontId="2" fillId="4" borderId="2" xfId="0" quotePrefix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4" borderId="4" xfId="0" quotePrefix="1" applyFont="1" applyFill="1" applyBorder="1" applyAlignment="1">
      <alignment horizontal="left"/>
    </xf>
    <xf numFmtId="0" fontId="2" fillId="4" borderId="4" xfId="0" applyFont="1" applyFill="1" applyBorder="1"/>
    <xf numFmtId="0" fontId="2" fillId="4" borderId="4" xfId="0" quotePrefix="1" applyFont="1" applyFill="1" applyBorder="1" applyAlignment="1">
      <alignment horizontal="left"/>
    </xf>
    <xf numFmtId="0" fontId="2" fillId="0" borderId="4" xfId="0" quotePrefix="1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3" fillId="0" borderId="4" xfId="0" applyFont="1" applyBorder="1"/>
    <xf numFmtId="0" fontId="3" fillId="0" borderId="4" xfId="0" quotePrefix="1" applyFont="1" applyBorder="1" applyAlignment="1">
      <alignment horizontal="left"/>
    </xf>
    <xf numFmtId="0" fontId="2" fillId="4" borderId="5" xfId="0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4" borderId="4" xfId="0" quotePrefix="1" applyFont="1" applyFill="1" applyBorder="1"/>
    <xf numFmtId="0" fontId="0" fillId="0" borderId="0" xfId="0" pivotButton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0" xfId="0" applyFont="1" applyFill="1" applyBorder="1"/>
    <xf numFmtId="165" fontId="0" fillId="0" borderId="0" xfId="1" applyNumberFormat="1" applyFont="1"/>
    <xf numFmtId="43" fontId="4" fillId="4" borderId="7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pam Kumari" id="{54093D0B-8261-4F87-A472-2B533B1042AF}" userId="df737cdb060886e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26.603734143515" createdVersion="8" refreshedVersion="8" minRefreshableVersion="3" recordCount="68" xr:uid="{0C1FABA0-8A04-443F-BE7A-5CF0CC47B328}">
  <cacheSource type="worksheet">
    <worksheetSource ref="A1:U69" sheet="Sheet1"/>
  </cacheSource>
  <cacheFields count="21">
    <cacheField name="Date" numFmtId="14">
      <sharedItems containsSemiMixedTypes="0" containsNonDate="0" containsDate="1" containsString="0" minDate="2025-06-22T00:00:00" maxDate="2026-03-30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/>
    </cacheField>
    <cacheField name="New Code" numFmtId="0">
      <sharedItems containsString="0" containsBlank="1" containsNumber="1" containsInteger="1" minValue="10020017" maxValue="10580018" count="52">
        <n v="10120101"/>
        <n v="10530052"/>
        <n v="10130095"/>
        <m/>
        <n v="10060025"/>
        <n v="10140011"/>
        <n v="10580018"/>
        <n v="10030075"/>
        <n v="10030049"/>
        <n v="10110008"/>
        <n v="10030003"/>
        <n v="10260001"/>
        <n v="10030063"/>
        <n v="10500001"/>
        <n v="10060130"/>
        <n v="10060077"/>
        <n v="10110065"/>
        <n v="10030064"/>
        <n v="10230001"/>
        <n v="10030027"/>
        <n v="10030037"/>
        <n v="10030074"/>
        <n v="10030051"/>
        <n v="10030032"/>
        <n v="10060124"/>
        <n v="10060049"/>
        <n v="10020075"/>
        <n v="10060074"/>
        <n v="10020069"/>
        <n v="10020024"/>
        <n v="10090043"/>
        <n v="10020017"/>
        <n v="10060032"/>
        <n v="10060021"/>
        <n v="10110140"/>
        <n v="10140007"/>
        <n v="10110053"/>
        <n v="10120083"/>
        <n v="10120096"/>
        <n v="10120053"/>
        <n v="10530101"/>
        <n v="10530103"/>
        <n v="10530032"/>
        <n v="10530093"/>
        <n v="10530105"/>
        <n v="10070026"/>
        <n v="10330001"/>
        <n v="10580002"/>
        <n v="10130012"/>
        <n v="10080002"/>
        <n v="10510002"/>
        <n v="10140179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500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6950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Commision Done Yes/No" numFmtId="0">
      <sharedItems containsNonDate="0" containsString="0" containsBlank="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NonDate="0" containsDate="1" containsString="0" containsBlank="1" minDate="2025-06-12T00:00:00" maxDate="2026-04-05T00:00:00"/>
    </cacheField>
    <cacheField name="Payment Amt" numFmtId="0">
      <sharedItems containsString="0" containsBlank="1" containsNumber="1" containsInteger="1" minValue="81" maxValue="444011"/>
    </cacheField>
    <cacheField name="Dues" numFmtId="0">
      <sharedItems containsSemiMixedTypes="0" containsString="0" containsNumber="1" containsInteger="1" minValue="4" maxValue="330847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6" maxValue="2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d v="2025-06-22T00:00:00"/>
    <s v="Simri"/>
    <s v="Chhatauna East"/>
    <m/>
    <x v="0"/>
    <s v="Gomukh Gold 50 Kgs"/>
    <n v="1"/>
    <n v="1300"/>
    <n v="1300"/>
    <s v="Deduction from Milk Payment"/>
    <s v="Mithun Kumar"/>
    <n v="8539"/>
    <m/>
    <s v="Jun-25"/>
    <s v="Farmer"/>
    <s v="06 Jun - 12 Jun &amp; 20-26 Jun"/>
    <d v="2025-06-12T00:00:00"/>
    <n v="825"/>
    <n v="475"/>
    <s v="Close Mpg"/>
    <n v="296"/>
  </r>
  <r>
    <d v="2025-07-16T00:00:00"/>
    <s v="Kalyanpur"/>
    <s v="Gomukh Jhahuri"/>
    <m/>
    <x v="1"/>
    <s v="Buff Spl 50 Kg"/>
    <n v="0"/>
    <n v="0"/>
    <n v="600"/>
    <s v="Deduction from Milk Payment"/>
    <m/>
    <m/>
    <m/>
    <s v="Jul-25"/>
    <s v="Farmer"/>
    <s v="27 Mar - 31 Mar"/>
    <d v="2026-03-31T00:00:00"/>
    <n v="81"/>
    <n v="519"/>
    <m/>
    <n v="272"/>
  </r>
  <r>
    <d v="2025-08-10T00:00:00"/>
    <s v="Muslighrarai"/>
    <s v="Saidpur"/>
    <m/>
    <x v="2"/>
    <s v="Gomukh Gold 50 Kgs"/>
    <n v="1"/>
    <n v="1350"/>
    <n v="1350"/>
    <s v="Deduction from Milk Payment"/>
    <s v="Deepak Kumar"/>
    <m/>
    <m/>
    <s v="Aug-25"/>
    <s v="Farmer"/>
    <s v="26 Sep - 02 Oct"/>
    <d v="2025-10-02T00:00:00"/>
    <n v="82"/>
    <n v="1268"/>
    <s v="Close Mpg"/>
    <n v="247"/>
  </r>
  <r>
    <d v="2025-12-06T00:00:00"/>
    <s v="Lakhisarai"/>
    <s v="Kunal Local Sale"/>
    <s v="0000"/>
    <x v="3"/>
    <s v="Gomukh Gold 50 Kgs"/>
    <n v="17"/>
    <n v="1300"/>
    <n v="22100"/>
    <s v="Deduction from Milk Payment"/>
    <s v="Kunal Kumar"/>
    <m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29"/>
  </r>
  <r>
    <d v="2025-12-08T00:00:00"/>
    <s v="Suryagadha"/>
    <s v="Pokhrama"/>
    <s v="1204"/>
    <x v="4"/>
    <s v="Gomukh Gold 50 Kgs"/>
    <n v="8"/>
    <n v="1300"/>
    <n v="10400"/>
    <s v="Deduction from Milk Payment"/>
    <s v="Umakant"/>
    <n v="8904"/>
    <m/>
    <s v="Dec-25"/>
    <s v="Farmer"/>
    <s v="16 Jan - 22 Jan &amp; 23-29 Jan 20-26 Feb 13-19 Feb"/>
    <d v="2026-01-22T00:00:00"/>
    <n v="3382"/>
    <n v="7018"/>
    <m/>
    <n v="127"/>
  </r>
  <r>
    <d v="2026-01-26T00:00:00"/>
    <s v="Dumraon"/>
    <s v="Dullahpur"/>
    <m/>
    <x v="5"/>
    <s v="Gomukh Gold 50 Kgs"/>
    <n v="2"/>
    <n v="1270"/>
    <n v="2540"/>
    <s v="Deduction from Milk Payment"/>
    <s v="Sriram Singh"/>
    <m/>
    <m/>
    <s v="Jan-26"/>
    <m/>
    <m/>
    <m/>
    <m/>
    <n v="2540"/>
    <m/>
    <n v="78"/>
  </r>
  <r>
    <d v="2026-02-04T00:00:00"/>
    <s v="Dumraon"/>
    <s v="Suresh Driver"/>
    <s v="0000"/>
    <x v="3"/>
    <s v="Gomukh Gold 50 Kgs"/>
    <n v="1"/>
    <n v="1300"/>
    <n v="1300"/>
    <s v="Deduction from Milk Payment"/>
    <s v="Dhirendra Sharma"/>
    <n v="2098"/>
    <m/>
    <s v="Feb-26"/>
    <m/>
    <m/>
    <m/>
    <m/>
    <n v="1300"/>
    <m/>
    <n v="69"/>
  </r>
  <r>
    <d v="2026-02-20T00:00:00"/>
    <s v="Teghra"/>
    <s v="Cash Sale"/>
    <s v="0000"/>
    <x v="3"/>
    <s v="Buff Spl 50 Kg"/>
    <n v="2"/>
    <n v="1450"/>
    <n v="2900"/>
    <s v="Deduction from Milk Payment"/>
    <s v="Sumit Kumar Suman"/>
    <n v="8309"/>
    <m/>
    <s v="Feb-26"/>
    <m/>
    <m/>
    <m/>
    <m/>
    <n v="2900"/>
    <m/>
    <n v="53"/>
  </r>
  <r>
    <d v="2026-02-21T00:00:00"/>
    <s v="Teghra"/>
    <s v="Cash Sale"/>
    <s v="0000"/>
    <x v="3"/>
    <s v="Buff Spl 50 Kg"/>
    <n v="8"/>
    <n v="1450"/>
    <n v="11600"/>
    <s v="Deduction from Milk Payment"/>
    <s v="Sumit Kumar Suman"/>
    <n v="8310"/>
    <m/>
    <s v="Feb-26"/>
    <m/>
    <m/>
    <m/>
    <m/>
    <n v="11600"/>
    <m/>
    <n v="52"/>
  </r>
  <r>
    <d v="2026-02-23T00:00:00"/>
    <s v="Dumraon"/>
    <s v="Dullahpur"/>
    <m/>
    <x v="5"/>
    <s v="Gomukh Gold 50 Kgs"/>
    <n v="2"/>
    <n v="1270"/>
    <n v="2540"/>
    <s v="Deduction from Milk Payment"/>
    <s v="Sriram Singh"/>
    <n v="2132"/>
    <m/>
    <s v="Feb-26"/>
    <m/>
    <m/>
    <m/>
    <m/>
    <n v="2540"/>
    <m/>
    <n v="50"/>
  </r>
  <r>
    <d v="2026-02-26T00:00:00"/>
    <s v="Manjhaul"/>
    <s v="Paridah"/>
    <m/>
    <x v="6"/>
    <s v="Gomukh Gold 50 Kgs"/>
    <n v="2"/>
    <n v="1300"/>
    <n v="2600"/>
    <s v="Deduction from Milk Payment"/>
    <s v="Gopal Kumar"/>
    <m/>
    <m/>
    <s v="Feb-26"/>
    <s v="Farmer"/>
    <s v="20 Feb - 26 Feb &amp; 06-12 Mar"/>
    <d v="2026-02-26T00:00:00"/>
    <n v="2596"/>
    <n v="4"/>
    <m/>
    <n v="47"/>
  </r>
  <r>
    <d v="2026-02-27T00:00:00"/>
    <s v="Asarganj"/>
    <s v="Kathara"/>
    <m/>
    <x v="7"/>
    <s v="Buff Spl 50 Kg"/>
    <n v="4"/>
    <n v="1450"/>
    <n v="5800"/>
    <s v="Deduction from Milk Payment"/>
    <s v="Madan Mohan Gopal"/>
    <m/>
    <m/>
    <s v="Feb-26"/>
    <m/>
    <m/>
    <m/>
    <m/>
    <n v="5800"/>
    <m/>
    <n v="46"/>
  </r>
  <r>
    <d v="2026-02-27T00:00:00"/>
    <s v="Asarganj"/>
    <s v="Sri Rampur"/>
    <s v="5151"/>
    <x v="8"/>
    <s v="Buff Spl 50 Kg"/>
    <n v="10"/>
    <n v="1450"/>
    <n v="14500"/>
    <s v="Deduction from Milk Payment"/>
    <s v="Madan Mohan Gopal"/>
    <m/>
    <m/>
    <s v="Feb-26"/>
    <m/>
    <m/>
    <m/>
    <m/>
    <n v="14500"/>
    <m/>
    <n v="46"/>
  </r>
  <r>
    <d v="2026-02-28T00:00:00"/>
    <s v="Kalyanpur"/>
    <s v="Cash Sale"/>
    <s v="0000"/>
    <x v="3"/>
    <s v="Gomukh Gold 50 Kgs"/>
    <n v="1"/>
    <n v="1300"/>
    <n v="1300"/>
    <s v="Deduction from Milk Payment"/>
    <s v="Balram Kumar"/>
    <n v="3849"/>
    <m/>
    <s v="Feb-26"/>
    <m/>
    <m/>
    <m/>
    <m/>
    <n v="1300"/>
    <m/>
    <n v="45"/>
  </r>
  <r>
    <d v="2026-02-28T00:00:00"/>
    <s v="Sahebpur Kamal"/>
    <s v="Rahimpur Pachkhutti"/>
    <s v="9719"/>
    <x v="9"/>
    <s v="Buff Spl 50 Kg"/>
    <n v="500"/>
    <n v="1390"/>
    <n v="695000"/>
    <s v="Deduction from Milk Payment"/>
    <s v="Bittu Kumar"/>
    <n v="6631"/>
    <m/>
    <s v="Feb-26"/>
    <s v="Farmer"/>
    <s v="20 Mar - 26 Mar"/>
    <d v="2026-03-26T00:00:00"/>
    <n v="364153"/>
    <n v="330847"/>
    <m/>
    <n v="45"/>
  </r>
  <r>
    <d v="2026-03-10T00:00:00"/>
    <s v="Kalyanpur"/>
    <s v="Cash Sale"/>
    <s v="0000"/>
    <x v="3"/>
    <s v="Gomukh Gold 50 Kgs"/>
    <n v="1"/>
    <n v="1300"/>
    <n v="1300"/>
    <s v="Deduction from Milk Payment"/>
    <s v="Balram Kumar"/>
    <m/>
    <m/>
    <s v="Mar-26"/>
    <m/>
    <m/>
    <m/>
    <m/>
    <n v="1300"/>
    <m/>
    <n v="35"/>
  </r>
  <r>
    <d v="2026-03-03T00:00:00"/>
    <s v="Asarganj"/>
    <s v="Chatmadih"/>
    <m/>
    <x v="10"/>
    <s v="Buff Spl 50 Kg"/>
    <n v="2"/>
    <n v="1450"/>
    <n v="2900"/>
    <s v="Deduction from Milk Payment"/>
    <s v="Madan Mohan Gopal"/>
    <m/>
    <m/>
    <s v="Mar-26"/>
    <m/>
    <m/>
    <m/>
    <m/>
    <n v="2900"/>
    <m/>
    <n v="42"/>
  </r>
  <r>
    <d v="2026-03-11T00:00:00"/>
    <s v="Asarganj"/>
    <s v="Shajadpur"/>
    <s v="4094"/>
    <x v="11"/>
    <s v="Buff Spl 50 Kg"/>
    <n v="12"/>
    <n v="1450"/>
    <n v="17400"/>
    <s v="Deduction from Milk Payment"/>
    <s v="Madan Mohan Gopal"/>
    <m/>
    <m/>
    <s v="Mar-26"/>
    <m/>
    <m/>
    <m/>
    <m/>
    <n v="17400"/>
    <m/>
    <n v="34"/>
  </r>
  <r>
    <d v="2026-03-11T00:00:00"/>
    <s v="Asarganj"/>
    <s v="Gonai"/>
    <m/>
    <x v="12"/>
    <s v="Buff Spl 50 Kg"/>
    <n v="10"/>
    <n v="1450"/>
    <n v="14500"/>
    <s v="Deduction from Milk Payment"/>
    <s v="Madan Mohan Gopal"/>
    <m/>
    <m/>
    <s v="Mar-26"/>
    <m/>
    <m/>
    <m/>
    <m/>
    <n v="14500"/>
    <m/>
    <n v="34"/>
  </r>
  <r>
    <d v="2026-03-11T00:00:00"/>
    <s v="Asarganj"/>
    <s v="Kuntha"/>
    <m/>
    <x v="13"/>
    <s v="Buff Spl 50 Kg"/>
    <n v="10"/>
    <n v="1450"/>
    <n v="14500"/>
    <s v="Deduction from Milk Payment"/>
    <s v="Madan Mohan Gopal"/>
    <m/>
    <m/>
    <s v="Mar-26"/>
    <m/>
    <m/>
    <m/>
    <m/>
    <n v="14500"/>
    <m/>
    <n v="34"/>
  </r>
  <r>
    <d v="2026-03-15T00:00:00"/>
    <s v="Suryagadha"/>
    <s v="Masudan"/>
    <m/>
    <x v="14"/>
    <s v="Gomukh Gold 50 Kgs"/>
    <n v="10"/>
    <n v="1300"/>
    <n v="13000"/>
    <s v="Deduction from Milk Payment"/>
    <s v="Umakant"/>
    <m/>
    <m/>
    <s v="Mar-26"/>
    <s v="Farmer"/>
    <s v="20 Mar - 26 Mar"/>
    <d v="2026-03-26T00:00:00"/>
    <n v="5122"/>
    <n v="7878"/>
    <m/>
    <n v="30"/>
  </r>
  <r>
    <d v="2026-03-16T00:00:00"/>
    <s v="Suryagadha"/>
    <s v="Tilathi"/>
    <m/>
    <x v="15"/>
    <s v="Gomukh Gold 50 Kgs"/>
    <n v="4"/>
    <n v="1300"/>
    <n v="5200"/>
    <s v="Deduction from Milk Payment"/>
    <s v="Umakant"/>
    <n v="4408"/>
    <m/>
    <s v="Mar-26"/>
    <s v="Farmer"/>
    <s v="27 Mar - 31 Mar"/>
    <d v="2026-03-31T00:00:00"/>
    <n v="3768"/>
    <n v="1432"/>
    <m/>
    <n v="29"/>
  </r>
  <r>
    <d v="2026-03-23T00:00:00"/>
    <s v="Sahebpur Kamal"/>
    <s v="Chaidha"/>
    <s v="9826"/>
    <x v="16"/>
    <s v="Gomukh Gold 50 Kgs"/>
    <n v="5"/>
    <n v="1300"/>
    <n v="6500"/>
    <s v="Deduction from Milk Payment"/>
    <s v="Bittu Kumar"/>
    <m/>
    <m/>
    <s v="Mar-26"/>
    <m/>
    <m/>
    <m/>
    <m/>
    <n v="6500"/>
    <m/>
    <n v="22"/>
  </r>
  <r>
    <d v="2026-03-23T00:00:00"/>
    <s v="Asarganj"/>
    <s v="Sikaritola"/>
    <m/>
    <x v="17"/>
    <s v="Buff Spl 50 Kg"/>
    <n v="25"/>
    <n v="1450"/>
    <n v="36250"/>
    <s v="Deduction from Milk Payment"/>
    <s v="Madan Mohan Gopal"/>
    <m/>
    <m/>
    <s v="Mar-26"/>
    <m/>
    <m/>
    <m/>
    <m/>
    <n v="36250"/>
    <m/>
    <n v="22"/>
  </r>
  <r>
    <d v="2026-03-23T00:00:00"/>
    <s v="Asarganj"/>
    <s v="Karhariya"/>
    <m/>
    <x v="18"/>
    <s v="Buff Spl 50 Kg"/>
    <n v="2"/>
    <n v="1450"/>
    <n v="2900"/>
    <s v="Deduction from Milk Payment"/>
    <s v="Madan Mohan Gopal"/>
    <m/>
    <m/>
    <s v="Mar-26"/>
    <m/>
    <m/>
    <m/>
    <m/>
    <n v="2900"/>
    <m/>
    <n v="22"/>
  </r>
  <r>
    <d v="2026-03-23T00:00:00"/>
    <s v="Asarganj"/>
    <s v="Chorgaon"/>
    <s v="5127"/>
    <x v="19"/>
    <s v="Buff Spl 50 Kg"/>
    <n v="7"/>
    <n v="1450"/>
    <n v="10150"/>
    <s v="Deduction from Milk Payment"/>
    <s v="Madan Mohan Gopal"/>
    <m/>
    <m/>
    <s v="Mar-26"/>
    <m/>
    <m/>
    <m/>
    <m/>
    <n v="10150"/>
    <m/>
    <n v="22"/>
  </r>
  <r>
    <d v="2026-03-23T00:00:00"/>
    <s v="Asarganj"/>
    <s v="Kathara"/>
    <m/>
    <x v="7"/>
    <s v="Buff Spl 50 Kg"/>
    <n v="4"/>
    <n v="1450"/>
    <n v="5800"/>
    <s v="Deduction from Milk Payment"/>
    <s v="Madan Mohan Gopal"/>
    <m/>
    <m/>
    <s v="Mar-26"/>
    <m/>
    <m/>
    <m/>
    <m/>
    <n v="5800"/>
    <m/>
    <n v="22"/>
  </r>
  <r>
    <d v="2026-03-23T00:00:00"/>
    <s v="Asarganj"/>
    <s v="Kuntha"/>
    <m/>
    <x v="13"/>
    <s v="Buff Spl 50 Kg"/>
    <n v="10"/>
    <n v="1450"/>
    <n v="14500"/>
    <s v="Deduction from Milk Payment"/>
    <s v="Madan Mohan Gopal"/>
    <m/>
    <m/>
    <s v="Mar-26"/>
    <m/>
    <m/>
    <m/>
    <m/>
    <n v="14500"/>
    <m/>
    <n v="22"/>
  </r>
  <r>
    <d v="2026-03-23T00:00:00"/>
    <s v="Asarganj"/>
    <s v="Gonai"/>
    <m/>
    <x v="12"/>
    <s v="Buff Spl 50 Kg"/>
    <n v="10"/>
    <n v="1450"/>
    <n v="14500"/>
    <s v="Deduction from Milk Payment"/>
    <s v="Madan Mohan Gopal"/>
    <m/>
    <m/>
    <s v="Mar-26"/>
    <m/>
    <m/>
    <m/>
    <m/>
    <n v="14500"/>
    <m/>
    <n v="22"/>
  </r>
  <r>
    <d v="2026-03-23T00:00:00"/>
    <s v="Asarganj"/>
    <s v="Launa"/>
    <s v="5135"/>
    <x v="20"/>
    <s v="Buff Spl 50 Kg"/>
    <n v="10"/>
    <n v="1450"/>
    <n v="14500"/>
    <s v="Deduction from Milk Payment"/>
    <s v="Madan Mohan Gopal"/>
    <m/>
    <m/>
    <s v="Mar-26"/>
    <m/>
    <m/>
    <m/>
    <m/>
    <n v="14500"/>
    <m/>
    <n v="22"/>
  </r>
  <r>
    <d v="2026-03-23T00:00:00"/>
    <s v="Asarganj"/>
    <s v="Jangle jhakra"/>
    <m/>
    <x v="21"/>
    <s v="Buff Spl 50 Kg"/>
    <n v="20"/>
    <n v="1450"/>
    <n v="29000"/>
    <s v="Deduction from Milk Payment"/>
    <s v="Madan Mohan Gopal"/>
    <m/>
    <m/>
    <s v="Mar-26"/>
    <m/>
    <m/>
    <m/>
    <m/>
    <n v="29000"/>
    <m/>
    <n v="22"/>
  </r>
  <r>
    <d v="2026-03-23T00:00:00"/>
    <s v="Asarganj"/>
    <s v="Motichak"/>
    <s v="5153"/>
    <x v="22"/>
    <s v="Buff Spl 50 Kg"/>
    <n v="20"/>
    <n v="1450"/>
    <n v="29000"/>
    <s v="Deduction from Milk Payment"/>
    <s v="Madan Mohan Gopal"/>
    <m/>
    <m/>
    <s v="Mar-26"/>
    <m/>
    <m/>
    <m/>
    <m/>
    <n v="29000"/>
    <m/>
    <n v="22"/>
  </r>
  <r>
    <d v="2026-03-23T00:00:00"/>
    <s v="Asarganj"/>
    <s v="Mahmadpur"/>
    <s v="5131"/>
    <x v="23"/>
    <s v="Buff Spl 50 Kg"/>
    <n v="10"/>
    <n v="1450"/>
    <n v="14500"/>
    <s v="Deduction from Milk Payment"/>
    <s v="Madan Mohan Gopal"/>
    <m/>
    <m/>
    <s v="Mar-26"/>
    <m/>
    <m/>
    <m/>
    <m/>
    <n v="14500"/>
    <m/>
    <n v="22"/>
  </r>
  <r>
    <d v="2026-03-19T00:00:00"/>
    <s v="Suryagadha"/>
    <s v="Singhol"/>
    <m/>
    <x v="24"/>
    <s v="Gomukh Gold 50 Kgs"/>
    <n v="1"/>
    <n v="1300"/>
    <n v="1300"/>
    <s v="Deduction from Milk Payment"/>
    <s v="Umakant"/>
    <m/>
    <m/>
    <s v="Mar-26"/>
    <m/>
    <m/>
    <m/>
    <m/>
    <n v="1300"/>
    <m/>
    <n v="26"/>
  </r>
  <r>
    <d v="2026-03-19T00:00:00"/>
    <s v="Suryagadha"/>
    <s v="Maliya"/>
    <s v="1312"/>
    <x v="25"/>
    <s v="Gomukh Gold 50 Kgs"/>
    <n v="3"/>
    <n v="1300"/>
    <n v="3900"/>
    <s v="Deduction from Milk Payment"/>
    <s v="Umakant"/>
    <m/>
    <m/>
    <s v="Mar-26"/>
    <m/>
    <m/>
    <m/>
    <m/>
    <n v="3900"/>
    <m/>
    <n v="26"/>
  </r>
  <r>
    <d v="2026-03-19T00:00:00"/>
    <s v="Suryagadha"/>
    <s v="Ramnagar"/>
    <m/>
    <x v="26"/>
    <s v="Gomukh Gold 50 Kgs"/>
    <n v="10"/>
    <n v="1300"/>
    <n v="13000"/>
    <s v="Deduction from Milk Payment"/>
    <s v="Umakant"/>
    <m/>
    <m/>
    <s v="Mar-26"/>
    <m/>
    <m/>
    <m/>
    <m/>
    <n v="13000"/>
    <m/>
    <n v="26"/>
  </r>
  <r>
    <d v="2026-03-19T00:00:00"/>
    <s v="Suryagadha"/>
    <s v="Basmatiya"/>
    <m/>
    <x v="27"/>
    <s v="Gomukh Gold 50 Kgs"/>
    <n v="11"/>
    <n v="1300"/>
    <n v="12863"/>
    <s v="Deduction from Milk Payment"/>
    <s v="Umakant"/>
    <m/>
    <m/>
    <s v="Mar-26"/>
    <s v="Bank"/>
    <m/>
    <d v="2026-04-02T00:00:00"/>
    <n v="11000"/>
    <n v="1863"/>
    <m/>
    <n v="26"/>
  </r>
  <r>
    <d v="2026-03-19T00:00:00"/>
    <s v="Suryagadha"/>
    <s v="Chetan Tola"/>
    <m/>
    <x v="28"/>
    <s v="Gomukh Gold 50 Kgs"/>
    <n v="50"/>
    <n v="1300"/>
    <n v="65000"/>
    <s v="Deduction from Milk Payment"/>
    <s v="Gautam Kumar"/>
    <m/>
    <m/>
    <s v="Mar-26"/>
    <m/>
    <m/>
    <m/>
    <m/>
    <n v="65000"/>
    <m/>
    <n v="26"/>
  </r>
  <r>
    <d v="2026-03-19T00:00:00"/>
    <s v="Suryagadha"/>
    <s v="Morwariya"/>
    <m/>
    <x v="29"/>
    <s v="Gomukh Gold 50 Kgs"/>
    <n v="50"/>
    <n v="1300"/>
    <n v="65000"/>
    <s v="Deduction from Milk Payment"/>
    <s v="Umakant"/>
    <m/>
    <m/>
    <s v="Mar-26"/>
    <s v="Bank"/>
    <m/>
    <d v="2026-03-30T00:00:00"/>
    <n v="62500"/>
    <n v="2500"/>
    <m/>
    <n v="26"/>
  </r>
  <r>
    <d v="2026-03-19T00:00:00"/>
    <s v="Suryagadha"/>
    <s v="Chautaha"/>
    <m/>
    <x v="3"/>
    <s v="Gomukh Gold 50 Kgs"/>
    <n v="10"/>
    <n v="1300"/>
    <n v="13000"/>
    <s v="Deduction from Milk Payment"/>
    <s v="Umakant"/>
    <m/>
    <m/>
    <s v="Mar-26"/>
    <m/>
    <m/>
    <m/>
    <m/>
    <n v="13000"/>
    <m/>
    <n v="26"/>
  </r>
  <r>
    <d v="2026-03-19T00:00:00"/>
    <s v="Suryagadha"/>
    <s v="Bakhiya"/>
    <m/>
    <x v="30"/>
    <s v="Gomukh Gold 50 Kgs"/>
    <n v="5"/>
    <n v="1300"/>
    <n v="6500"/>
    <s v="Deduction from Milk Payment"/>
    <s v="Umakant"/>
    <m/>
    <m/>
    <s v="Mar-26"/>
    <m/>
    <m/>
    <m/>
    <m/>
    <n v="6500"/>
    <m/>
    <n v="26"/>
  </r>
  <r>
    <d v="2026-03-19T00:00:00"/>
    <s v="Suryagadha"/>
    <s v="Ramchandarpur2"/>
    <m/>
    <x v="31"/>
    <s v="Gomukh Gold 50 Kgs"/>
    <n v="10"/>
    <n v="1300"/>
    <n v="13000"/>
    <s v="Deduction from Milk Payment"/>
    <s v="Gautam Kumar"/>
    <m/>
    <m/>
    <s v="Mar-26"/>
    <m/>
    <m/>
    <m/>
    <m/>
    <n v="13000"/>
    <m/>
    <n v="26"/>
  </r>
  <r>
    <d v="2026-03-19T00:00:00"/>
    <s v="Suryagadha"/>
    <s v="Maliya"/>
    <s v="1312"/>
    <x v="25"/>
    <s v="Buff Spl 50 Kg"/>
    <n v="2"/>
    <n v="1450"/>
    <n v="2900"/>
    <s v="Deduction from Milk Payment"/>
    <s v="Umakant"/>
    <m/>
    <m/>
    <s v="Mar-26"/>
    <m/>
    <m/>
    <m/>
    <m/>
    <n v="2900"/>
    <m/>
    <n v="26"/>
  </r>
  <r>
    <d v="2026-03-19T00:00:00"/>
    <s v="Suryagadha"/>
    <s v="Batta Rampur"/>
    <s v="1246"/>
    <x v="32"/>
    <s v="Buff Spl 50 Kg"/>
    <n v="2"/>
    <n v="1450"/>
    <n v="2900"/>
    <s v="Deduction from Milk Payment"/>
    <s v="Umakant"/>
    <m/>
    <m/>
    <s v="Mar-26"/>
    <s v="Farmer"/>
    <s v="27 Mar - 31 Mar"/>
    <d v="2026-03-31T00:00:00"/>
    <n v="1925"/>
    <n v="975"/>
    <m/>
    <n v="26"/>
  </r>
  <r>
    <d v="2026-03-19T00:00:00"/>
    <s v="Suryagadha"/>
    <s v="Basmatiya"/>
    <m/>
    <x v="27"/>
    <s v="Buff Spl 50 Kg"/>
    <n v="4"/>
    <n v="1450"/>
    <n v="5800"/>
    <s v="Deduction from Milk Payment"/>
    <s v="Umakant"/>
    <m/>
    <m/>
    <s v="Mar-26"/>
    <m/>
    <m/>
    <m/>
    <m/>
    <n v="5800"/>
    <m/>
    <n v="26"/>
  </r>
  <r>
    <d v="2026-03-23T00:00:00"/>
    <s v="Suryagadha"/>
    <s v="Puranidih"/>
    <s v="0124"/>
    <x v="33"/>
    <s v="Gomukh Gold 50 Kgs"/>
    <n v="10"/>
    <n v="1300"/>
    <n v="13000"/>
    <s v="Deduction from Milk Payment"/>
    <s v="Umakant"/>
    <m/>
    <m/>
    <s v="Mar-26"/>
    <m/>
    <m/>
    <m/>
    <m/>
    <n v="13000"/>
    <m/>
    <n v="22"/>
  </r>
  <r>
    <d v="2026-03-22T00:00:00"/>
    <s v="Alauli"/>
    <s v="Ghamariya"/>
    <m/>
    <x v="34"/>
    <s v="Gomukh Gold 50 Kgs"/>
    <n v="5"/>
    <n v="1350"/>
    <n v="6750"/>
    <s v="Deduction from Milk Payment"/>
    <s v="Amit Narayan"/>
    <n v="2383"/>
    <m/>
    <s v="Mar-26"/>
    <s v="Farmer"/>
    <s v="20 Mar - 26 Mar &amp; 27-31 Mar"/>
    <d v="2026-03-26T00:00:00"/>
    <n v="4193"/>
    <n v="2557"/>
    <m/>
    <n v="23"/>
  </r>
  <r>
    <d v="2026-03-26T00:00:00"/>
    <s v="Dumraon"/>
    <s v="English Dubauli"/>
    <s v="2419"/>
    <x v="35"/>
    <s v="Gomukh Gold 50 Kgs"/>
    <n v="5"/>
    <n v="1250"/>
    <n v="6250"/>
    <s v="Deduction from Milk Payment"/>
    <m/>
    <m/>
    <m/>
    <s v="Mar-26"/>
    <m/>
    <m/>
    <m/>
    <m/>
    <n v="6250"/>
    <m/>
    <n v="19"/>
  </r>
  <r>
    <d v="2026-03-29T00:00:00"/>
    <s v="Sahebpur Kamal"/>
    <s v="Katahri"/>
    <s v="9812"/>
    <x v="36"/>
    <s v="Gomukh Gold 50 Kgs"/>
    <n v="4"/>
    <n v="1300"/>
    <n v="5200"/>
    <s v="Deduction from Milk Payment"/>
    <m/>
    <m/>
    <m/>
    <s v="Mar-26"/>
    <s v="Farmer"/>
    <s v="27 Mar - 31 Mar"/>
    <d v="2026-03-31T00:00:00"/>
    <n v="3628"/>
    <n v="1572"/>
    <m/>
    <n v="16"/>
  </r>
  <r>
    <d v="2026-03-27T00:00:00"/>
    <s v="Simri"/>
    <s v="Beri"/>
    <m/>
    <x v="37"/>
    <s v="Buff Spl 50 Kg"/>
    <n v="6"/>
    <n v="1500"/>
    <n v="9000"/>
    <s v="Deduction from Milk Payment"/>
    <m/>
    <m/>
    <m/>
    <s v="Mar-26"/>
    <m/>
    <m/>
    <m/>
    <m/>
    <n v="9000"/>
    <m/>
    <n v="18"/>
  </r>
  <r>
    <d v="2026-03-28T00:00:00"/>
    <s v="Simri"/>
    <s v="Chhapra"/>
    <m/>
    <x v="38"/>
    <s v="Gomukh Gold 50 Kgs"/>
    <n v="24"/>
    <n v="1250"/>
    <n v="30000"/>
    <s v="Deduction from Milk Payment"/>
    <m/>
    <m/>
    <m/>
    <s v="Mar-26"/>
    <s v="Farmer"/>
    <s v="27 Mar - 31 Mar"/>
    <d v="2026-03-31T00:00:00"/>
    <n v="19312"/>
    <n v="10688"/>
    <m/>
    <n v="17"/>
  </r>
  <r>
    <d v="2026-03-29T00:00:00"/>
    <s v="Simri"/>
    <s v="Jagdispur"/>
    <s v="2067"/>
    <x v="39"/>
    <s v="Gomukh Gold 50 Kgs"/>
    <n v="2"/>
    <n v="1350"/>
    <n v="2700"/>
    <s v="Deduction from Milk Payment"/>
    <m/>
    <m/>
    <m/>
    <s v="Mar-26"/>
    <s v="Farmer"/>
    <s v="27 Feb - 05 Mar &amp; 06-12 Mar 27-31 Mar"/>
    <d v="2026-03-05T00:00:00"/>
    <n v="2100"/>
    <n v="600"/>
    <m/>
    <n v="16"/>
  </r>
  <r>
    <d v="2026-03-29T00:00:00"/>
    <s v="Kalyanpur"/>
    <s v="Lakshman Nagar"/>
    <m/>
    <x v="40"/>
    <s v="Gomukh Gold 50 Kgs"/>
    <n v="2"/>
    <n v="1350"/>
    <n v="2700"/>
    <s v="Deduction from Milk Payment"/>
    <m/>
    <m/>
    <m/>
    <s v="Mar-26"/>
    <s v="Farmer"/>
    <s v="27 Mar - 31 Mar"/>
    <d v="2026-03-31T00:00:00"/>
    <n v="1338"/>
    <n v="1362"/>
    <m/>
    <n v="16"/>
  </r>
  <r>
    <d v="2026-03-29T00:00:00"/>
    <s v="Kalyanpur"/>
    <s v="Jhahuri"/>
    <m/>
    <x v="41"/>
    <s v="Gomukh Gold 50 Kgs"/>
    <n v="8"/>
    <n v="1350"/>
    <n v="10800"/>
    <s v="Deduction from Milk Payment"/>
    <m/>
    <m/>
    <m/>
    <s v="Mar-26"/>
    <s v="Farmer"/>
    <s v="27 Mar - 31 Mar"/>
    <d v="2026-03-31T00:00:00"/>
    <n v="10601"/>
    <n v="199"/>
    <m/>
    <n v="16"/>
  </r>
  <r>
    <d v="2026-03-25T00:00:00"/>
    <s v="Kalyanpur"/>
    <s v="Bharav"/>
    <m/>
    <x v="42"/>
    <s v="Buff Spl 50 Kg"/>
    <n v="1"/>
    <n v="1500"/>
    <n v="1500"/>
    <s v="Deduction from Milk Payment"/>
    <m/>
    <m/>
    <m/>
    <s v="Mar-26"/>
    <s v="Farmer"/>
    <s v="20 Mar - 26 Mar &amp; 27-31 Mar"/>
    <d v="2026-03-26T00:00:00"/>
    <n v="1435"/>
    <n v="65"/>
    <m/>
    <n v="20"/>
  </r>
  <r>
    <d v="2026-03-29T00:00:00"/>
    <s v="Kalyanpur"/>
    <s v="Bakhitiyarpur"/>
    <m/>
    <x v="43"/>
    <s v="Buff Spl 50 Kg"/>
    <n v="10"/>
    <n v="1500"/>
    <n v="15000"/>
    <s v="Deduction from Milk Payment"/>
    <m/>
    <m/>
    <m/>
    <s v="Mar-26"/>
    <s v="Farmer"/>
    <s v="20 Mar - 26 Mar &amp; 27-31 Mar"/>
    <d v="2026-03-26T00:00:00"/>
    <n v="14141"/>
    <n v="859"/>
    <m/>
    <n v="16"/>
  </r>
  <r>
    <d v="2026-03-29T00:00:00"/>
    <s v="Kalyanpur"/>
    <s v="Jhahuri"/>
    <m/>
    <x v="41"/>
    <s v="Buff Spl 50 Kg"/>
    <n v="8"/>
    <n v="1500"/>
    <n v="12000"/>
    <s v="Deduction from Milk Payment"/>
    <m/>
    <m/>
    <m/>
    <s v="Mar-26"/>
    <s v="Farmer"/>
    <s v="27 Mar - 31 Mar"/>
    <d v="2026-03-31T00:00:00"/>
    <n v="10909"/>
    <n v="1091"/>
    <m/>
    <n v="16"/>
  </r>
  <r>
    <d v="2026-03-29T00:00:00"/>
    <s v="Kalyanpur"/>
    <s v="Gopalpur Ward 1"/>
    <m/>
    <x v="44"/>
    <s v="Buff Spl 50 Kg"/>
    <n v="5"/>
    <n v="1500"/>
    <n v="7500"/>
    <s v="Deduction from Milk Payment"/>
    <m/>
    <m/>
    <m/>
    <s v="Mar-26"/>
    <s v="Farmer"/>
    <s v="27 Mar - 31 Mar"/>
    <d v="2026-03-31T00:00:00"/>
    <n v="3000"/>
    <n v="4500"/>
    <m/>
    <n v="16"/>
  </r>
  <r>
    <d v="2026-03-21T00:00:00"/>
    <s v="Arariya"/>
    <s v="Araria-Ankesh"/>
    <m/>
    <x v="45"/>
    <s v="Gomukh Gold 50 Kgs"/>
    <n v="360"/>
    <n v="1300"/>
    <n v="468000"/>
    <s v="Deduction from Milk Payment"/>
    <s v="Ankesh Kumar"/>
    <m/>
    <m/>
    <s v="Mar-26"/>
    <s v="Other"/>
    <m/>
    <d v="2026-04-04T00:00:00"/>
    <n v="444011"/>
    <n v="23989"/>
    <s v="As per discussed by Ankesh ji Chiling Inward &amp; Tanker se adjust"/>
    <n v="24"/>
  </r>
  <r>
    <d v="2026-03-28T00:00:00"/>
    <s v="Suryagadha"/>
    <s v="Kishanpur"/>
    <m/>
    <x v="46"/>
    <s v="Gomukh Gold 50 Kgs"/>
    <n v="5"/>
    <n v="1300"/>
    <n v="6500"/>
    <s v="Deduction from Milk Payment"/>
    <m/>
    <m/>
    <m/>
    <s v="Mar-26"/>
    <m/>
    <m/>
    <m/>
    <m/>
    <n v="6500"/>
    <m/>
    <n v="17"/>
  </r>
  <r>
    <d v="2026-03-10T00:00:00"/>
    <s v="Manjhaul"/>
    <s v="Paridah"/>
    <m/>
    <x v="6"/>
    <s v="Gomukh Gold 50 Kgs"/>
    <n v="2"/>
    <n v="1300"/>
    <n v="2600"/>
    <s v="Deduction from Milk Payment"/>
    <m/>
    <m/>
    <m/>
    <s v="Mar-26"/>
    <m/>
    <m/>
    <m/>
    <m/>
    <n v="2600"/>
    <m/>
    <n v="35"/>
  </r>
  <r>
    <d v="2026-03-26T00:00:00"/>
    <s v="Manjhaul"/>
    <s v="Sakhwa Ghat"/>
    <m/>
    <x v="47"/>
    <s v="Gomukh Gold 50 Kgs"/>
    <n v="1"/>
    <n v="1300"/>
    <n v="1300"/>
    <s v="Deduction from Milk Payment"/>
    <m/>
    <m/>
    <m/>
    <s v="Mar-26"/>
    <m/>
    <m/>
    <m/>
    <m/>
    <n v="1300"/>
    <m/>
    <n v="19"/>
  </r>
  <r>
    <d v="2026-03-28T00:00:00"/>
    <s v="Muslighrarai"/>
    <s v="Arniyaganj"/>
    <m/>
    <x v="48"/>
    <s v="Buff Spl 50 Kg"/>
    <n v="5"/>
    <n v="1500"/>
    <n v="7500"/>
    <s v="Deduction from Milk Payment"/>
    <m/>
    <m/>
    <m/>
    <s v="Mar-26"/>
    <m/>
    <m/>
    <m/>
    <m/>
    <n v="7500"/>
    <m/>
    <n v="17"/>
  </r>
  <r>
    <d v="2026-03-29T00:00:00"/>
    <s v="Muslighrarai"/>
    <s v="Arniyaganj"/>
    <m/>
    <x v="48"/>
    <s v="Gomukh Gold 50 Kgs"/>
    <n v="5"/>
    <n v="1350"/>
    <n v="6750"/>
    <s v="Deduction from Milk Payment"/>
    <m/>
    <m/>
    <m/>
    <s v="Mar-26"/>
    <m/>
    <m/>
    <m/>
    <m/>
    <n v="6750"/>
    <m/>
    <n v="16"/>
  </r>
  <r>
    <d v="2026-03-22T00:00:00"/>
    <s v="Teghra"/>
    <s v="Labharchak"/>
    <s v="9541"/>
    <x v="49"/>
    <s v="Gomukh Gold 50 Kgs"/>
    <n v="20"/>
    <n v="1300"/>
    <n v="26000"/>
    <s v="Deduction from Milk Payment"/>
    <m/>
    <m/>
    <m/>
    <s v="Mar-26"/>
    <s v="Farmer"/>
    <s v="27 Mar - 31 Mar"/>
    <d v="2026-03-31T00:00:00"/>
    <n v="7842"/>
    <n v="18158"/>
    <m/>
    <n v="23"/>
  </r>
  <r>
    <d v="2026-03-27T00:00:00"/>
    <s v="Dumraon"/>
    <s v="Diyaman"/>
    <m/>
    <x v="50"/>
    <s v="Gomukh Gold 50 Kgs"/>
    <n v="5"/>
    <n v="1280"/>
    <n v="6400"/>
    <s v="Deduction from Milk Payment"/>
    <m/>
    <m/>
    <m/>
    <s v="Mar-26"/>
    <m/>
    <m/>
    <m/>
    <m/>
    <n v="6400"/>
    <m/>
    <n v="18"/>
  </r>
  <r>
    <d v="2026-03-29T00:00:00"/>
    <s v="Dumraon"/>
    <s v="Gomukh Rajpur"/>
    <m/>
    <x v="51"/>
    <s v="Gomukh Gold 50 Kgs"/>
    <n v="10"/>
    <n v="1280"/>
    <n v="12800"/>
    <s v="Deduction from Milk Payment"/>
    <m/>
    <m/>
    <m/>
    <s v="Mar-26"/>
    <m/>
    <m/>
    <m/>
    <m/>
    <n v="12800"/>
    <m/>
    <n v="16"/>
  </r>
  <r>
    <d v="2026-03-29T00:00:00"/>
    <s v="Dumraon"/>
    <s v="Dullahpur"/>
    <m/>
    <x v="5"/>
    <s v="Gomukh Gold 50 Kgs"/>
    <n v="1"/>
    <n v="1270"/>
    <n v="1270"/>
    <s v="Deduction from Milk Payment"/>
    <m/>
    <m/>
    <m/>
    <s v="Mar-26"/>
    <m/>
    <m/>
    <m/>
    <m/>
    <n v="1270"/>
    <m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FB9F5-5440-47FD-9768-9646073B432F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57" firstHeaderRow="2" firstDataRow="2" firstDataCol="1"/>
  <pivotFields count="21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3">
        <item x="31"/>
        <item x="29"/>
        <item x="28"/>
        <item x="26"/>
        <item x="10"/>
        <item x="19"/>
        <item x="23"/>
        <item x="20"/>
        <item x="8"/>
        <item x="22"/>
        <item x="12"/>
        <item x="17"/>
        <item x="21"/>
        <item x="7"/>
        <item x="33"/>
        <item x="4"/>
        <item x="32"/>
        <item x="25"/>
        <item x="27"/>
        <item x="15"/>
        <item x="24"/>
        <item x="14"/>
        <item x="45"/>
        <item x="49"/>
        <item x="30"/>
        <item x="9"/>
        <item x="36"/>
        <item x="16"/>
        <item x="34"/>
        <item x="39"/>
        <item x="37"/>
        <item x="38"/>
        <item x="0"/>
        <item x="48"/>
        <item x="2"/>
        <item x="35"/>
        <item x="5"/>
        <item x="51"/>
        <item x="18"/>
        <item x="11"/>
        <item x="46"/>
        <item x="13"/>
        <item x="50"/>
        <item x="42"/>
        <item x="1"/>
        <item x="43"/>
        <item x="40"/>
        <item x="41"/>
        <item x="44"/>
        <item x="47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Du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60" dT="2026-04-04T12:29:01.70" personId="{54093D0B-8261-4F87-A472-2B533B1042AF}" id="{7E51D18F-CEF6-40CD-8AA0-40936D33F3D9}">
    <text>Chilling Inward Feb’26 Amt-444011 Adjustment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2D58-F43E-4C5A-A75C-A384CBBF92F1}">
  <dimension ref="A3:M57"/>
  <sheetViews>
    <sheetView tabSelected="1" topLeftCell="A3" workbookViewId="0">
      <selection activeCell="P21" sqref="P21"/>
    </sheetView>
  </sheetViews>
  <sheetFormatPr defaultRowHeight="15" x14ac:dyDescent="0.25"/>
  <cols>
    <col min="1" max="1" width="12.42578125" bestFit="1" customWidth="1"/>
    <col min="2" max="2" width="7" bestFit="1" customWidth="1"/>
    <col min="11" max="11" width="11.5703125" bestFit="1" customWidth="1"/>
    <col min="13" max="13" width="11.5703125" bestFit="1" customWidth="1"/>
  </cols>
  <sheetData>
    <row r="3" spans="1:13" x14ac:dyDescent="0.25">
      <c r="A3" s="39" t="s">
        <v>146</v>
      </c>
    </row>
    <row r="4" spans="1:13" x14ac:dyDescent="0.25">
      <c r="A4" s="39" t="s">
        <v>4</v>
      </c>
      <c r="B4" t="s">
        <v>147</v>
      </c>
      <c r="J4" s="40" t="s">
        <v>4</v>
      </c>
      <c r="K4" s="40" t="s">
        <v>147</v>
      </c>
      <c r="L4" s="40" t="s">
        <v>148</v>
      </c>
      <c r="M4" s="42" t="s">
        <v>151</v>
      </c>
    </row>
    <row r="5" spans="1:13" x14ac:dyDescent="0.25">
      <c r="A5">
        <v>10020017</v>
      </c>
      <c r="B5">
        <v>13000</v>
      </c>
      <c r="J5">
        <v>10060025</v>
      </c>
      <c r="K5">
        <v>7018</v>
      </c>
      <c r="L5">
        <v>0</v>
      </c>
      <c r="M5" s="43">
        <v>0</v>
      </c>
    </row>
    <row r="6" spans="1:13" x14ac:dyDescent="0.25">
      <c r="A6">
        <v>10020024</v>
      </c>
      <c r="B6">
        <v>2500</v>
      </c>
      <c r="J6">
        <v>10070026</v>
      </c>
      <c r="K6">
        <v>23989</v>
      </c>
      <c r="L6">
        <v>0</v>
      </c>
      <c r="M6" s="43">
        <v>0</v>
      </c>
    </row>
    <row r="7" spans="1:13" x14ac:dyDescent="0.25">
      <c r="A7">
        <v>10020069</v>
      </c>
      <c r="B7">
        <v>65000</v>
      </c>
      <c r="J7">
        <v>10120101</v>
      </c>
      <c r="K7">
        <v>475</v>
      </c>
      <c r="L7">
        <v>0</v>
      </c>
      <c r="M7" s="43">
        <v>0</v>
      </c>
    </row>
    <row r="8" spans="1:13" x14ac:dyDescent="0.25">
      <c r="A8">
        <v>10020075</v>
      </c>
      <c r="B8">
        <v>13000</v>
      </c>
      <c r="J8">
        <v>10130095</v>
      </c>
      <c r="K8">
        <v>1268</v>
      </c>
      <c r="L8">
        <v>0</v>
      </c>
      <c r="M8" s="43">
        <v>0</v>
      </c>
    </row>
    <row r="9" spans="1:13" x14ac:dyDescent="0.25">
      <c r="A9">
        <v>10030003</v>
      </c>
      <c r="B9">
        <v>2900</v>
      </c>
      <c r="J9">
        <v>10140011</v>
      </c>
      <c r="K9">
        <v>6350</v>
      </c>
      <c r="L9">
        <v>0</v>
      </c>
      <c r="M9" s="43">
        <v>0</v>
      </c>
    </row>
    <row r="10" spans="1:13" x14ac:dyDescent="0.25">
      <c r="A10">
        <v>10030027</v>
      </c>
      <c r="B10">
        <v>10150</v>
      </c>
      <c r="J10" t="s">
        <v>144</v>
      </c>
      <c r="K10">
        <v>36794</v>
      </c>
      <c r="L10">
        <v>0</v>
      </c>
      <c r="M10" s="43">
        <v>0</v>
      </c>
    </row>
    <row r="11" spans="1:13" x14ac:dyDescent="0.25">
      <c r="A11">
        <v>10030032</v>
      </c>
      <c r="B11">
        <v>14500</v>
      </c>
      <c r="J11">
        <v>10020017</v>
      </c>
      <c r="K11">
        <v>13000</v>
      </c>
      <c r="L11" t="s">
        <v>149</v>
      </c>
      <c r="M11" s="43">
        <v>0</v>
      </c>
    </row>
    <row r="12" spans="1:13" x14ac:dyDescent="0.25">
      <c r="A12">
        <v>10030037</v>
      </c>
      <c r="B12">
        <v>14500</v>
      </c>
      <c r="J12">
        <v>10020024</v>
      </c>
      <c r="K12">
        <v>2500</v>
      </c>
      <c r="L12" t="s">
        <v>149</v>
      </c>
      <c r="M12" s="43">
        <v>0</v>
      </c>
    </row>
    <row r="13" spans="1:13" x14ac:dyDescent="0.25">
      <c r="A13">
        <v>10030049</v>
      </c>
      <c r="B13">
        <v>14500</v>
      </c>
      <c r="J13">
        <v>10020069</v>
      </c>
      <c r="K13">
        <v>65000</v>
      </c>
      <c r="L13" t="s">
        <v>149</v>
      </c>
      <c r="M13" s="43">
        <v>9324</v>
      </c>
    </row>
    <row r="14" spans="1:13" x14ac:dyDescent="0.25">
      <c r="A14">
        <v>10030051</v>
      </c>
      <c r="B14">
        <v>29000</v>
      </c>
      <c r="J14">
        <v>10020075</v>
      </c>
      <c r="K14">
        <v>13000</v>
      </c>
      <c r="L14" t="s">
        <v>149</v>
      </c>
      <c r="M14" s="43">
        <v>0</v>
      </c>
    </row>
    <row r="15" spans="1:13" x14ac:dyDescent="0.25">
      <c r="A15">
        <v>10030063</v>
      </c>
      <c r="B15">
        <v>29000</v>
      </c>
      <c r="J15">
        <v>10030003</v>
      </c>
      <c r="K15">
        <v>2900</v>
      </c>
      <c r="L15" t="s">
        <v>149</v>
      </c>
      <c r="M15" s="43">
        <v>0</v>
      </c>
    </row>
    <row r="16" spans="1:13" x14ac:dyDescent="0.25">
      <c r="A16">
        <v>10030064</v>
      </c>
      <c r="B16">
        <v>36250</v>
      </c>
      <c r="J16">
        <v>10030027</v>
      </c>
      <c r="K16">
        <v>10150</v>
      </c>
      <c r="L16" t="s">
        <v>149</v>
      </c>
      <c r="M16" s="43">
        <v>0</v>
      </c>
    </row>
    <row r="17" spans="1:13" x14ac:dyDescent="0.25">
      <c r="A17">
        <v>10030074</v>
      </c>
      <c r="B17">
        <v>29000</v>
      </c>
      <c r="J17">
        <v>10030032</v>
      </c>
      <c r="K17">
        <v>14500</v>
      </c>
      <c r="L17" t="s">
        <v>149</v>
      </c>
      <c r="M17" s="43">
        <v>14500</v>
      </c>
    </row>
    <row r="18" spans="1:13" x14ac:dyDescent="0.25">
      <c r="A18">
        <v>10030075</v>
      </c>
      <c r="B18">
        <v>11600</v>
      </c>
      <c r="J18">
        <v>10030037</v>
      </c>
      <c r="K18">
        <v>14500</v>
      </c>
      <c r="L18" t="s">
        <v>149</v>
      </c>
      <c r="M18" s="43">
        <v>14500</v>
      </c>
    </row>
    <row r="19" spans="1:13" x14ac:dyDescent="0.25">
      <c r="A19">
        <v>10060021</v>
      </c>
      <c r="B19">
        <v>13000</v>
      </c>
      <c r="J19">
        <v>10030049</v>
      </c>
      <c r="K19">
        <v>14500</v>
      </c>
      <c r="L19" t="s">
        <v>149</v>
      </c>
      <c r="M19" s="43">
        <v>0</v>
      </c>
    </row>
    <row r="20" spans="1:13" x14ac:dyDescent="0.25">
      <c r="A20">
        <v>10060025</v>
      </c>
      <c r="B20">
        <v>7018</v>
      </c>
      <c r="J20">
        <v>10030051</v>
      </c>
      <c r="K20">
        <v>29000</v>
      </c>
      <c r="L20" t="s">
        <v>149</v>
      </c>
      <c r="M20" s="43">
        <v>0</v>
      </c>
    </row>
    <row r="21" spans="1:13" x14ac:dyDescent="0.25">
      <c r="A21">
        <v>10060032</v>
      </c>
      <c r="B21">
        <v>975</v>
      </c>
      <c r="J21">
        <v>10030063</v>
      </c>
      <c r="K21">
        <v>29000</v>
      </c>
      <c r="L21" t="s">
        <v>149</v>
      </c>
      <c r="M21" s="43">
        <v>0</v>
      </c>
    </row>
    <row r="22" spans="1:13" x14ac:dyDescent="0.25">
      <c r="A22">
        <v>10060049</v>
      </c>
      <c r="B22">
        <v>6800</v>
      </c>
      <c r="J22">
        <v>10030064</v>
      </c>
      <c r="K22">
        <v>36250</v>
      </c>
      <c r="L22" t="s">
        <v>149</v>
      </c>
      <c r="M22" s="43">
        <v>0</v>
      </c>
    </row>
    <row r="23" spans="1:13" x14ac:dyDescent="0.25">
      <c r="A23">
        <v>10060074</v>
      </c>
      <c r="B23">
        <v>7663</v>
      </c>
      <c r="J23">
        <v>10030074</v>
      </c>
      <c r="K23">
        <v>29000</v>
      </c>
      <c r="L23" t="s">
        <v>149</v>
      </c>
      <c r="M23" s="43">
        <v>0</v>
      </c>
    </row>
    <row r="24" spans="1:13" x14ac:dyDescent="0.25">
      <c r="A24">
        <v>10060077</v>
      </c>
      <c r="B24">
        <v>1432</v>
      </c>
      <c r="J24">
        <v>10030075</v>
      </c>
      <c r="K24">
        <v>11600</v>
      </c>
      <c r="L24" t="s">
        <v>149</v>
      </c>
      <c r="M24" s="43">
        <v>0</v>
      </c>
    </row>
    <row r="25" spans="1:13" x14ac:dyDescent="0.25">
      <c r="A25">
        <v>10060124</v>
      </c>
      <c r="B25">
        <v>1300</v>
      </c>
      <c r="J25">
        <v>10060032</v>
      </c>
      <c r="K25">
        <v>975</v>
      </c>
      <c r="L25" t="s">
        <v>149</v>
      </c>
      <c r="M25" s="43">
        <v>0</v>
      </c>
    </row>
    <row r="26" spans="1:13" x14ac:dyDescent="0.25">
      <c r="A26">
        <v>10060130</v>
      </c>
      <c r="B26">
        <v>7878</v>
      </c>
      <c r="J26">
        <v>10060049</v>
      </c>
      <c r="K26">
        <v>6800</v>
      </c>
      <c r="L26" t="s">
        <v>149</v>
      </c>
      <c r="M26" s="43">
        <v>0</v>
      </c>
    </row>
    <row r="27" spans="1:13" x14ac:dyDescent="0.25">
      <c r="A27">
        <v>10070026</v>
      </c>
      <c r="B27">
        <v>23989</v>
      </c>
      <c r="J27">
        <v>10060074</v>
      </c>
      <c r="K27">
        <v>7663</v>
      </c>
      <c r="L27" t="s">
        <v>149</v>
      </c>
      <c r="M27" s="43">
        <v>2046</v>
      </c>
    </row>
    <row r="28" spans="1:13" x14ac:dyDescent="0.25">
      <c r="A28">
        <v>10080002</v>
      </c>
      <c r="B28">
        <v>18158</v>
      </c>
      <c r="J28">
        <v>10060077</v>
      </c>
      <c r="K28">
        <v>1432</v>
      </c>
      <c r="L28" t="s">
        <v>149</v>
      </c>
      <c r="M28" s="43">
        <v>0</v>
      </c>
    </row>
    <row r="29" spans="1:13" x14ac:dyDescent="0.25">
      <c r="A29">
        <v>10090043</v>
      </c>
      <c r="B29">
        <v>6500</v>
      </c>
      <c r="J29">
        <v>10060124</v>
      </c>
      <c r="K29">
        <v>1300</v>
      </c>
      <c r="L29" t="s">
        <v>149</v>
      </c>
      <c r="M29" s="43">
        <v>0</v>
      </c>
    </row>
    <row r="30" spans="1:13" x14ac:dyDescent="0.25">
      <c r="A30">
        <v>10110008</v>
      </c>
      <c r="B30">
        <v>330847</v>
      </c>
      <c r="J30">
        <v>10060130</v>
      </c>
      <c r="K30">
        <v>7878</v>
      </c>
      <c r="L30" t="s">
        <v>149</v>
      </c>
      <c r="M30" s="43">
        <v>3432</v>
      </c>
    </row>
    <row r="31" spans="1:13" x14ac:dyDescent="0.25">
      <c r="A31">
        <v>10110053</v>
      </c>
      <c r="B31">
        <v>1572</v>
      </c>
      <c r="J31">
        <v>10090043</v>
      </c>
      <c r="K31">
        <v>6500</v>
      </c>
      <c r="L31" t="s">
        <v>149</v>
      </c>
      <c r="M31" s="43">
        <v>0</v>
      </c>
    </row>
    <row r="32" spans="1:13" x14ac:dyDescent="0.25">
      <c r="A32">
        <v>10110065</v>
      </c>
      <c r="B32">
        <v>6500</v>
      </c>
      <c r="J32">
        <v>10110008</v>
      </c>
      <c r="K32">
        <v>330847</v>
      </c>
      <c r="L32" t="s">
        <v>149</v>
      </c>
      <c r="M32" s="43">
        <v>200000</v>
      </c>
    </row>
    <row r="33" spans="1:13" x14ac:dyDescent="0.25">
      <c r="A33">
        <v>10110140</v>
      </c>
      <c r="B33">
        <v>2557</v>
      </c>
      <c r="J33">
        <v>10110053</v>
      </c>
      <c r="K33">
        <v>1572</v>
      </c>
      <c r="L33" t="s">
        <v>149</v>
      </c>
      <c r="M33" s="43">
        <v>0</v>
      </c>
    </row>
    <row r="34" spans="1:13" x14ac:dyDescent="0.25">
      <c r="A34">
        <v>10120053</v>
      </c>
      <c r="B34">
        <v>600</v>
      </c>
      <c r="J34">
        <v>10110065</v>
      </c>
      <c r="K34">
        <v>6500</v>
      </c>
      <c r="L34" t="s">
        <v>149</v>
      </c>
      <c r="M34" s="43">
        <v>0</v>
      </c>
    </row>
    <row r="35" spans="1:13" x14ac:dyDescent="0.25">
      <c r="A35">
        <v>10120083</v>
      </c>
      <c r="B35">
        <v>9000</v>
      </c>
      <c r="J35">
        <v>10110140</v>
      </c>
      <c r="K35">
        <v>2557</v>
      </c>
      <c r="L35" t="s">
        <v>149</v>
      </c>
      <c r="M35" s="43">
        <v>0</v>
      </c>
    </row>
    <row r="36" spans="1:13" x14ac:dyDescent="0.25">
      <c r="A36">
        <v>10120096</v>
      </c>
      <c r="B36">
        <v>10688</v>
      </c>
      <c r="J36">
        <v>10120053</v>
      </c>
      <c r="K36">
        <v>600</v>
      </c>
      <c r="L36" t="s">
        <v>149</v>
      </c>
      <c r="M36" s="43">
        <v>0</v>
      </c>
    </row>
    <row r="37" spans="1:13" x14ac:dyDescent="0.25">
      <c r="A37">
        <v>10120101</v>
      </c>
      <c r="B37">
        <v>475</v>
      </c>
      <c r="J37">
        <v>10120083</v>
      </c>
      <c r="K37">
        <v>9000</v>
      </c>
      <c r="L37" t="s">
        <v>149</v>
      </c>
      <c r="M37" s="43">
        <v>0</v>
      </c>
    </row>
    <row r="38" spans="1:13" x14ac:dyDescent="0.25">
      <c r="A38">
        <v>10130012</v>
      </c>
      <c r="B38">
        <v>14250</v>
      </c>
      <c r="J38">
        <v>10130012</v>
      </c>
      <c r="K38">
        <v>14250</v>
      </c>
      <c r="L38" t="s">
        <v>149</v>
      </c>
      <c r="M38" s="43">
        <v>0</v>
      </c>
    </row>
    <row r="39" spans="1:13" x14ac:dyDescent="0.25">
      <c r="A39">
        <v>10130095</v>
      </c>
      <c r="B39">
        <v>1268</v>
      </c>
      <c r="J39">
        <v>10140007</v>
      </c>
      <c r="K39">
        <v>6250</v>
      </c>
      <c r="L39" t="s">
        <v>149</v>
      </c>
      <c r="M39" s="43">
        <v>6250</v>
      </c>
    </row>
    <row r="40" spans="1:13" x14ac:dyDescent="0.25">
      <c r="A40">
        <v>10140007</v>
      </c>
      <c r="B40">
        <v>6250</v>
      </c>
      <c r="J40">
        <v>10140179</v>
      </c>
      <c r="K40">
        <v>12800</v>
      </c>
      <c r="L40" t="s">
        <v>149</v>
      </c>
      <c r="M40" s="43">
        <v>0</v>
      </c>
    </row>
    <row r="41" spans="1:13" x14ac:dyDescent="0.25">
      <c r="A41">
        <v>10140011</v>
      </c>
      <c r="B41">
        <v>6350</v>
      </c>
      <c r="J41">
        <v>10230001</v>
      </c>
      <c r="K41">
        <v>2900</v>
      </c>
      <c r="L41" t="s">
        <v>149</v>
      </c>
      <c r="M41" s="43">
        <v>0</v>
      </c>
    </row>
    <row r="42" spans="1:13" x14ac:dyDescent="0.25">
      <c r="A42">
        <v>10140179</v>
      </c>
      <c r="B42">
        <v>12800</v>
      </c>
      <c r="J42">
        <v>10260001</v>
      </c>
      <c r="K42">
        <v>17400</v>
      </c>
      <c r="L42" t="s">
        <v>149</v>
      </c>
      <c r="M42" s="43">
        <v>0</v>
      </c>
    </row>
    <row r="43" spans="1:13" x14ac:dyDescent="0.25">
      <c r="A43">
        <v>10230001</v>
      </c>
      <c r="B43">
        <v>2900</v>
      </c>
      <c r="J43">
        <v>10500001</v>
      </c>
      <c r="K43">
        <v>29000</v>
      </c>
      <c r="L43" t="s">
        <v>149</v>
      </c>
      <c r="M43" s="43">
        <v>14500</v>
      </c>
    </row>
    <row r="44" spans="1:13" x14ac:dyDescent="0.25">
      <c r="A44">
        <v>10260001</v>
      </c>
      <c r="B44">
        <v>17400</v>
      </c>
      <c r="J44">
        <v>10510002</v>
      </c>
      <c r="K44">
        <v>6400</v>
      </c>
      <c r="L44" t="s">
        <v>149</v>
      </c>
      <c r="M44" s="43">
        <v>0</v>
      </c>
    </row>
    <row r="45" spans="1:13" x14ac:dyDescent="0.25">
      <c r="A45">
        <v>10330001</v>
      </c>
      <c r="B45">
        <v>6500</v>
      </c>
      <c r="J45">
        <v>10530032</v>
      </c>
      <c r="K45">
        <v>65</v>
      </c>
      <c r="L45" t="s">
        <v>149</v>
      </c>
      <c r="M45" s="43">
        <v>0</v>
      </c>
    </row>
    <row r="46" spans="1:13" x14ac:dyDescent="0.25">
      <c r="A46">
        <v>10500001</v>
      </c>
      <c r="B46">
        <v>29000</v>
      </c>
      <c r="J46">
        <v>10530093</v>
      </c>
      <c r="K46">
        <v>859</v>
      </c>
      <c r="L46" t="s">
        <v>149</v>
      </c>
      <c r="M46" s="43">
        <v>0</v>
      </c>
    </row>
    <row r="47" spans="1:13" x14ac:dyDescent="0.25">
      <c r="A47">
        <v>10510002</v>
      </c>
      <c r="B47">
        <v>6400</v>
      </c>
      <c r="J47">
        <v>10530101</v>
      </c>
      <c r="K47">
        <v>1362</v>
      </c>
      <c r="L47" t="s">
        <v>149</v>
      </c>
      <c r="M47" s="43">
        <v>0</v>
      </c>
    </row>
    <row r="48" spans="1:13" x14ac:dyDescent="0.25">
      <c r="A48">
        <v>10530032</v>
      </c>
      <c r="B48">
        <v>65</v>
      </c>
      <c r="J48">
        <v>10530103</v>
      </c>
      <c r="K48">
        <v>1290</v>
      </c>
      <c r="L48" t="s">
        <v>149</v>
      </c>
      <c r="M48" s="43">
        <v>0</v>
      </c>
    </row>
    <row r="49" spans="1:13" x14ac:dyDescent="0.25">
      <c r="A49">
        <v>10530052</v>
      </c>
      <c r="B49">
        <v>519</v>
      </c>
      <c r="J49">
        <v>10530105</v>
      </c>
      <c r="K49">
        <v>4500</v>
      </c>
      <c r="L49" t="s">
        <v>149</v>
      </c>
      <c r="M49" s="43">
        <v>0</v>
      </c>
    </row>
    <row r="50" spans="1:13" x14ac:dyDescent="0.25">
      <c r="A50">
        <v>10530093</v>
      </c>
      <c r="B50">
        <v>859</v>
      </c>
      <c r="J50">
        <v>10580002</v>
      </c>
      <c r="K50">
        <v>1300</v>
      </c>
      <c r="L50" t="s">
        <v>149</v>
      </c>
      <c r="M50" s="43">
        <v>0</v>
      </c>
    </row>
    <row r="51" spans="1:13" x14ac:dyDescent="0.25">
      <c r="A51">
        <v>10530101</v>
      </c>
      <c r="B51">
        <v>1362</v>
      </c>
      <c r="J51">
        <v>10580018</v>
      </c>
      <c r="K51">
        <v>2604</v>
      </c>
      <c r="L51" t="s">
        <v>149</v>
      </c>
      <c r="M51" s="43">
        <v>0</v>
      </c>
    </row>
    <row r="52" spans="1:13" x14ac:dyDescent="0.25">
      <c r="A52">
        <v>10530103</v>
      </c>
      <c r="B52">
        <v>1290</v>
      </c>
      <c r="J52">
        <v>10060021</v>
      </c>
      <c r="K52">
        <v>13000</v>
      </c>
      <c r="L52" t="s">
        <v>150</v>
      </c>
      <c r="M52" s="43">
        <v>13000</v>
      </c>
    </row>
    <row r="53" spans="1:13" x14ac:dyDescent="0.25">
      <c r="A53">
        <v>10530105</v>
      </c>
      <c r="B53">
        <v>4500</v>
      </c>
      <c r="J53">
        <v>10080002</v>
      </c>
      <c r="K53">
        <v>18158</v>
      </c>
      <c r="L53" t="s">
        <v>150</v>
      </c>
      <c r="M53" s="43">
        <v>13098</v>
      </c>
    </row>
    <row r="54" spans="1:13" x14ac:dyDescent="0.25">
      <c r="A54">
        <v>10580002</v>
      </c>
      <c r="B54">
        <v>1300</v>
      </c>
      <c r="J54">
        <v>10120096</v>
      </c>
      <c r="K54">
        <v>10688</v>
      </c>
      <c r="L54" t="s">
        <v>150</v>
      </c>
      <c r="M54" s="43">
        <v>10688</v>
      </c>
    </row>
    <row r="55" spans="1:13" x14ac:dyDescent="0.25">
      <c r="A55">
        <v>10580018</v>
      </c>
      <c r="B55">
        <v>2604</v>
      </c>
      <c r="J55">
        <v>10330001</v>
      </c>
      <c r="K55">
        <v>6500</v>
      </c>
      <c r="L55" t="s">
        <v>150</v>
      </c>
      <c r="M55" s="43">
        <v>6500</v>
      </c>
    </row>
    <row r="56" spans="1:13" x14ac:dyDescent="0.25">
      <c r="A56" t="s">
        <v>144</v>
      </c>
      <c r="B56">
        <v>36794</v>
      </c>
      <c r="J56">
        <v>10530052</v>
      </c>
      <c r="K56">
        <v>519</v>
      </c>
      <c r="L56" t="s">
        <v>150</v>
      </c>
      <c r="M56" s="43">
        <v>0</v>
      </c>
    </row>
    <row r="57" spans="1:13" x14ac:dyDescent="0.25">
      <c r="A57" t="s">
        <v>145</v>
      </c>
      <c r="B57">
        <v>894263</v>
      </c>
      <c r="J57" s="41" t="s">
        <v>145</v>
      </c>
      <c r="K57" s="44">
        <v>894263</v>
      </c>
      <c r="L57" s="41"/>
      <c r="M57" s="44">
        <f>SUM(M5:M56)</f>
        <v>307838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11C7-5D83-450F-BAAC-5C7C9539EA77}">
  <dimension ref="A1:U69"/>
  <sheetViews>
    <sheetView workbookViewId="0">
      <selection sqref="A1:U69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7.5703125" bestFit="1" customWidth="1"/>
    <col min="4" max="4" width="8.28515625" bestFit="1" customWidth="1"/>
    <col min="5" max="5" width="9.140625" bestFit="1" customWidth="1"/>
    <col min="6" max="6" width="17.5703125" bestFit="1" customWidth="1"/>
    <col min="7" max="7" width="7.7109375" bestFit="1" customWidth="1"/>
    <col min="8" max="8" width="5" bestFit="1" customWidth="1"/>
    <col min="9" max="9" width="11.7109375" bestFit="1" customWidth="1"/>
    <col min="10" max="10" width="24.7109375" bestFit="1" customWidth="1"/>
    <col min="11" max="11" width="17.7109375" bestFit="1" customWidth="1"/>
    <col min="12" max="12" width="7.42578125" bestFit="1" customWidth="1"/>
    <col min="13" max="13" width="8.7109375" bestFit="1" customWidth="1"/>
    <col min="14" max="14" width="6.7109375" bestFit="1" customWidth="1"/>
    <col min="15" max="15" width="6.5703125" bestFit="1" customWidth="1"/>
    <col min="16" max="16" width="39.140625" bestFit="1" customWidth="1"/>
    <col min="17" max="17" width="12.28515625" bestFit="1" customWidth="1"/>
    <col min="18" max="18" width="11.7109375" bestFit="1" customWidth="1"/>
    <col min="19" max="19" width="7" bestFit="1" customWidth="1"/>
    <col min="20" max="20" width="81.7109375" bestFit="1" customWidth="1"/>
    <col min="21" max="21" width="6.28515625" bestFit="1" customWidth="1"/>
  </cols>
  <sheetData>
    <row r="1" spans="1:21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45830</v>
      </c>
      <c r="B2" s="6" t="s">
        <v>21</v>
      </c>
      <c r="C2" s="6" t="s">
        <v>22</v>
      </c>
      <c r="D2" s="7"/>
      <c r="E2" s="8">
        <v>10120101</v>
      </c>
      <c r="F2" s="6" t="s">
        <v>23</v>
      </c>
      <c r="G2" s="9">
        <v>1</v>
      </c>
      <c r="H2" s="6">
        <v>1300</v>
      </c>
      <c r="I2" s="6">
        <v>1300</v>
      </c>
      <c r="J2" s="6" t="s">
        <v>24</v>
      </c>
      <c r="K2" s="6" t="s">
        <v>25</v>
      </c>
      <c r="L2" s="8">
        <v>8539</v>
      </c>
      <c r="M2" s="6"/>
      <c r="N2" s="6" t="s">
        <v>26</v>
      </c>
      <c r="O2" s="6" t="s">
        <v>27</v>
      </c>
      <c r="P2" s="6" t="s">
        <v>28</v>
      </c>
      <c r="Q2" s="10">
        <v>45820</v>
      </c>
      <c r="R2" s="11">
        <v>825</v>
      </c>
      <c r="S2" s="6">
        <v>475</v>
      </c>
      <c r="T2" s="6" t="s">
        <v>29</v>
      </c>
      <c r="U2" s="12">
        <v>296</v>
      </c>
    </row>
    <row r="3" spans="1:21" x14ac:dyDescent="0.25">
      <c r="A3" s="13">
        <v>45854</v>
      </c>
      <c r="B3" s="14" t="s">
        <v>30</v>
      </c>
      <c r="C3" s="14" t="s">
        <v>31</v>
      </c>
      <c r="D3" s="15"/>
      <c r="E3" s="16">
        <v>10530052</v>
      </c>
      <c r="F3" s="6" t="s">
        <v>32</v>
      </c>
      <c r="G3" s="17">
        <v>0</v>
      </c>
      <c r="H3" s="14">
        <v>0</v>
      </c>
      <c r="I3" s="14">
        <v>600</v>
      </c>
      <c r="J3" s="14" t="s">
        <v>24</v>
      </c>
      <c r="K3" s="14"/>
      <c r="L3" s="18"/>
      <c r="M3" s="14"/>
      <c r="N3" s="14" t="s">
        <v>33</v>
      </c>
      <c r="O3" s="19" t="s">
        <v>27</v>
      </c>
      <c r="P3" s="19" t="s">
        <v>34</v>
      </c>
      <c r="Q3" s="20">
        <v>46112</v>
      </c>
      <c r="R3" s="19">
        <v>81</v>
      </c>
      <c r="S3" s="14">
        <v>519</v>
      </c>
      <c r="T3" s="14"/>
      <c r="U3" s="21">
        <v>272</v>
      </c>
    </row>
    <row r="4" spans="1:21" x14ac:dyDescent="0.25">
      <c r="A4" s="5">
        <v>45879</v>
      </c>
      <c r="B4" s="6" t="s">
        <v>35</v>
      </c>
      <c r="C4" s="6" t="s">
        <v>36</v>
      </c>
      <c r="D4" s="7"/>
      <c r="E4" s="8">
        <v>10130095</v>
      </c>
      <c r="F4" s="6" t="s">
        <v>23</v>
      </c>
      <c r="G4" s="9">
        <v>1</v>
      </c>
      <c r="H4" s="6">
        <v>1350</v>
      </c>
      <c r="I4" s="6">
        <v>1350</v>
      </c>
      <c r="J4" s="6" t="s">
        <v>24</v>
      </c>
      <c r="K4" s="6" t="s">
        <v>37</v>
      </c>
      <c r="L4" s="8"/>
      <c r="M4" s="6"/>
      <c r="N4" s="6" t="s">
        <v>38</v>
      </c>
      <c r="O4" s="11" t="s">
        <v>27</v>
      </c>
      <c r="P4" s="11" t="s">
        <v>39</v>
      </c>
      <c r="Q4" s="10">
        <v>45932</v>
      </c>
      <c r="R4" s="11">
        <v>82</v>
      </c>
      <c r="S4" s="6">
        <v>1268</v>
      </c>
      <c r="T4" s="6" t="s">
        <v>29</v>
      </c>
      <c r="U4" s="12">
        <v>247</v>
      </c>
    </row>
    <row r="5" spans="1:21" x14ac:dyDescent="0.25">
      <c r="A5" s="13">
        <v>45997</v>
      </c>
      <c r="B5" s="14" t="s">
        <v>40</v>
      </c>
      <c r="C5" s="14" t="s">
        <v>41</v>
      </c>
      <c r="D5" s="22" t="s">
        <v>42</v>
      </c>
      <c r="E5" s="18"/>
      <c r="F5" s="6" t="s">
        <v>23</v>
      </c>
      <c r="G5" s="17">
        <v>17</v>
      </c>
      <c r="H5" s="14">
        <v>1300</v>
      </c>
      <c r="I5" s="14">
        <v>22100</v>
      </c>
      <c r="J5" s="14" t="s">
        <v>24</v>
      </c>
      <c r="K5" s="14" t="s">
        <v>43</v>
      </c>
      <c r="L5" s="18"/>
      <c r="M5" s="14"/>
      <c r="N5" s="14" t="s">
        <v>44</v>
      </c>
      <c r="O5" s="14" t="s">
        <v>27</v>
      </c>
      <c r="P5" s="14" t="s">
        <v>45</v>
      </c>
      <c r="Q5" s="20">
        <v>46065</v>
      </c>
      <c r="R5" s="19">
        <v>16706</v>
      </c>
      <c r="S5" s="14">
        <v>5394</v>
      </c>
      <c r="T5" s="14" t="s">
        <v>46</v>
      </c>
      <c r="U5" s="21">
        <v>129</v>
      </c>
    </row>
    <row r="6" spans="1:21" x14ac:dyDescent="0.25">
      <c r="A6" s="5">
        <v>45999</v>
      </c>
      <c r="B6" s="6" t="s">
        <v>47</v>
      </c>
      <c r="C6" s="23" t="s">
        <v>48</v>
      </c>
      <c r="D6" s="24" t="s">
        <v>49</v>
      </c>
      <c r="E6" s="25">
        <v>10060025</v>
      </c>
      <c r="F6" s="6" t="s">
        <v>23</v>
      </c>
      <c r="G6" s="9">
        <v>8</v>
      </c>
      <c r="H6" s="6">
        <v>1300</v>
      </c>
      <c r="I6" s="6">
        <v>10400</v>
      </c>
      <c r="J6" s="6" t="s">
        <v>24</v>
      </c>
      <c r="K6" s="6" t="s">
        <v>50</v>
      </c>
      <c r="L6" s="8">
        <v>8904</v>
      </c>
      <c r="M6" s="6"/>
      <c r="N6" s="6" t="s">
        <v>44</v>
      </c>
      <c r="O6" s="11" t="s">
        <v>27</v>
      </c>
      <c r="P6" s="11" t="s">
        <v>51</v>
      </c>
      <c r="Q6" s="10">
        <v>46044</v>
      </c>
      <c r="R6" s="11">
        <v>3382</v>
      </c>
      <c r="S6" s="6">
        <v>7018</v>
      </c>
      <c r="T6" s="6"/>
      <c r="U6" s="12">
        <v>127</v>
      </c>
    </row>
    <row r="7" spans="1:21" x14ac:dyDescent="0.25">
      <c r="A7" s="13">
        <v>46048</v>
      </c>
      <c r="B7" s="14" t="s">
        <v>52</v>
      </c>
      <c r="C7" s="26" t="s">
        <v>53</v>
      </c>
      <c r="D7" s="15"/>
      <c r="E7" s="16">
        <v>10140011</v>
      </c>
      <c r="F7" s="6" t="s">
        <v>23</v>
      </c>
      <c r="G7" s="17">
        <v>2</v>
      </c>
      <c r="H7" s="14">
        <v>1270</v>
      </c>
      <c r="I7" s="14">
        <v>2540</v>
      </c>
      <c r="J7" s="14" t="s">
        <v>24</v>
      </c>
      <c r="K7" s="14" t="s">
        <v>54</v>
      </c>
      <c r="L7" s="18"/>
      <c r="M7" s="14"/>
      <c r="N7" s="14" t="s">
        <v>55</v>
      </c>
      <c r="O7" s="19"/>
      <c r="P7" s="19"/>
      <c r="Q7" s="20"/>
      <c r="R7" s="19"/>
      <c r="S7" s="14">
        <v>2540</v>
      </c>
      <c r="T7" s="14"/>
      <c r="U7" s="21">
        <v>78</v>
      </c>
    </row>
    <row r="8" spans="1:21" x14ac:dyDescent="0.25">
      <c r="A8" s="5">
        <v>46057</v>
      </c>
      <c r="B8" s="6" t="s">
        <v>52</v>
      </c>
      <c r="C8" s="6" t="s">
        <v>56</v>
      </c>
      <c r="D8" s="27" t="s">
        <v>42</v>
      </c>
      <c r="E8" s="8"/>
      <c r="F8" s="6" t="s">
        <v>23</v>
      </c>
      <c r="G8" s="9">
        <v>1</v>
      </c>
      <c r="H8" s="6">
        <v>1300</v>
      </c>
      <c r="I8" s="6">
        <v>1300</v>
      </c>
      <c r="J8" s="6" t="s">
        <v>24</v>
      </c>
      <c r="K8" s="6" t="s">
        <v>57</v>
      </c>
      <c r="L8" s="8">
        <v>2098</v>
      </c>
      <c r="M8" s="6"/>
      <c r="N8" s="6" t="s">
        <v>58</v>
      </c>
      <c r="O8" s="11"/>
      <c r="P8" s="11"/>
      <c r="Q8" s="10"/>
      <c r="R8" s="11"/>
      <c r="S8" s="6">
        <v>1300</v>
      </c>
      <c r="T8" s="6"/>
      <c r="U8" s="12">
        <v>69</v>
      </c>
    </row>
    <row r="9" spans="1:21" x14ac:dyDescent="0.25">
      <c r="A9" s="13">
        <v>46073</v>
      </c>
      <c r="B9" s="14" t="s">
        <v>59</v>
      </c>
      <c r="C9" s="14" t="s">
        <v>60</v>
      </c>
      <c r="D9" s="22" t="s">
        <v>42</v>
      </c>
      <c r="E9" s="18"/>
      <c r="F9" s="6" t="s">
        <v>32</v>
      </c>
      <c r="G9" s="17">
        <v>2</v>
      </c>
      <c r="H9" s="14">
        <v>1450</v>
      </c>
      <c r="I9" s="14">
        <v>2900</v>
      </c>
      <c r="J9" s="14" t="s">
        <v>24</v>
      </c>
      <c r="K9" s="14" t="s">
        <v>61</v>
      </c>
      <c r="L9" s="18">
        <v>8309</v>
      </c>
      <c r="M9" s="14"/>
      <c r="N9" s="14" t="s">
        <v>58</v>
      </c>
      <c r="O9" s="19"/>
      <c r="P9" s="19"/>
      <c r="Q9" s="20"/>
      <c r="R9" s="19"/>
      <c r="S9" s="14">
        <v>2900</v>
      </c>
      <c r="T9" s="14"/>
      <c r="U9" s="21">
        <v>53</v>
      </c>
    </row>
    <row r="10" spans="1:21" x14ac:dyDescent="0.25">
      <c r="A10" s="5">
        <v>46074</v>
      </c>
      <c r="B10" s="6" t="s">
        <v>59</v>
      </c>
      <c r="C10" s="6" t="s">
        <v>60</v>
      </c>
      <c r="D10" s="27" t="s">
        <v>42</v>
      </c>
      <c r="E10" s="8"/>
      <c r="F10" s="6" t="s">
        <v>32</v>
      </c>
      <c r="G10" s="9">
        <v>8</v>
      </c>
      <c r="H10" s="6">
        <v>1450</v>
      </c>
      <c r="I10" s="6">
        <v>11600</v>
      </c>
      <c r="J10" s="6" t="s">
        <v>24</v>
      </c>
      <c r="K10" s="6" t="s">
        <v>61</v>
      </c>
      <c r="L10" s="8">
        <v>8310</v>
      </c>
      <c r="M10" s="6"/>
      <c r="N10" s="6" t="s">
        <v>58</v>
      </c>
      <c r="O10" s="11"/>
      <c r="P10" s="11"/>
      <c r="Q10" s="10"/>
      <c r="R10" s="11"/>
      <c r="S10" s="6">
        <v>11600</v>
      </c>
      <c r="T10" s="6"/>
      <c r="U10" s="12">
        <v>52</v>
      </c>
    </row>
    <row r="11" spans="1:21" x14ac:dyDescent="0.25">
      <c r="A11" s="13">
        <v>46076</v>
      </c>
      <c r="B11" s="14" t="s">
        <v>52</v>
      </c>
      <c r="C11" s="26" t="s">
        <v>53</v>
      </c>
      <c r="D11" s="15"/>
      <c r="E11" s="16">
        <v>10140011</v>
      </c>
      <c r="F11" s="6" t="s">
        <v>23</v>
      </c>
      <c r="G11" s="17">
        <v>2</v>
      </c>
      <c r="H11" s="14">
        <v>1270</v>
      </c>
      <c r="I11" s="14">
        <v>2540</v>
      </c>
      <c r="J11" s="14" t="s">
        <v>24</v>
      </c>
      <c r="K11" s="14" t="s">
        <v>54</v>
      </c>
      <c r="L11" s="18">
        <v>2132</v>
      </c>
      <c r="M11" s="14"/>
      <c r="N11" s="14" t="s">
        <v>58</v>
      </c>
      <c r="O11" s="19"/>
      <c r="P11" s="19"/>
      <c r="Q11" s="20"/>
      <c r="R11" s="19"/>
      <c r="S11" s="14">
        <v>2540</v>
      </c>
      <c r="T11" s="14"/>
      <c r="U11" s="21">
        <v>50</v>
      </c>
    </row>
    <row r="12" spans="1:21" x14ac:dyDescent="0.25">
      <c r="A12" s="5">
        <v>46079</v>
      </c>
      <c r="B12" s="6" t="s">
        <v>62</v>
      </c>
      <c r="C12" s="6" t="s">
        <v>63</v>
      </c>
      <c r="D12" s="7"/>
      <c r="E12" s="8">
        <v>10580018</v>
      </c>
      <c r="F12" s="6" t="s">
        <v>23</v>
      </c>
      <c r="G12" s="9">
        <v>2</v>
      </c>
      <c r="H12" s="6">
        <v>1300</v>
      </c>
      <c r="I12" s="6">
        <v>2600</v>
      </c>
      <c r="J12" s="6" t="s">
        <v>24</v>
      </c>
      <c r="K12" s="6" t="s">
        <v>64</v>
      </c>
      <c r="L12" s="8"/>
      <c r="M12" s="6"/>
      <c r="N12" s="6" t="s">
        <v>58</v>
      </c>
      <c r="O12" s="6" t="s">
        <v>27</v>
      </c>
      <c r="P12" s="6" t="s">
        <v>65</v>
      </c>
      <c r="Q12" s="10">
        <v>46079</v>
      </c>
      <c r="R12" s="11">
        <v>2596</v>
      </c>
      <c r="S12" s="6">
        <v>4</v>
      </c>
      <c r="T12" s="6"/>
      <c r="U12" s="12">
        <v>47</v>
      </c>
    </row>
    <row r="13" spans="1:21" x14ac:dyDescent="0.25">
      <c r="A13" s="13">
        <v>46080</v>
      </c>
      <c r="B13" s="14" t="s">
        <v>66</v>
      </c>
      <c r="C13" s="14" t="s">
        <v>67</v>
      </c>
      <c r="D13" s="28"/>
      <c r="E13" s="18">
        <v>10030075</v>
      </c>
      <c r="F13" s="6" t="s">
        <v>32</v>
      </c>
      <c r="G13" s="17">
        <v>4</v>
      </c>
      <c r="H13" s="14">
        <v>1450</v>
      </c>
      <c r="I13" s="14">
        <v>5800</v>
      </c>
      <c r="J13" s="14" t="s">
        <v>24</v>
      </c>
      <c r="K13" s="14" t="s">
        <v>68</v>
      </c>
      <c r="L13" s="18"/>
      <c r="M13" s="14"/>
      <c r="N13" s="14" t="s">
        <v>58</v>
      </c>
      <c r="O13" s="19"/>
      <c r="P13" s="19"/>
      <c r="Q13" s="20"/>
      <c r="R13" s="19"/>
      <c r="S13" s="14">
        <v>5800</v>
      </c>
      <c r="T13" s="14"/>
      <c r="U13" s="21">
        <v>46</v>
      </c>
    </row>
    <row r="14" spans="1:21" x14ac:dyDescent="0.25">
      <c r="A14" s="5">
        <v>46080</v>
      </c>
      <c r="B14" s="6" t="s">
        <v>66</v>
      </c>
      <c r="C14" s="23" t="s">
        <v>69</v>
      </c>
      <c r="D14" s="29" t="s">
        <v>70</v>
      </c>
      <c r="E14" s="25">
        <v>10030049</v>
      </c>
      <c r="F14" s="6" t="s">
        <v>32</v>
      </c>
      <c r="G14" s="9">
        <v>10</v>
      </c>
      <c r="H14" s="6">
        <v>1450</v>
      </c>
      <c r="I14" s="6">
        <v>14500</v>
      </c>
      <c r="J14" s="6" t="s">
        <v>24</v>
      </c>
      <c r="K14" s="6" t="s">
        <v>68</v>
      </c>
      <c r="L14" s="8"/>
      <c r="M14" s="6"/>
      <c r="N14" s="6" t="s">
        <v>58</v>
      </c>
      <c r="O14" s="11"/>
      <c r="P14" s="11"/>
      <c r="Q14" s="10"/>
      <c r="R14" s="11"/>
      <c r="S14" s="6">
        <v>14500</v>
      </c>
      <c r="T14" s="6"/>
      <c r="U14" s="12">
        <v>46</v>
      </c>
    </row>
    <row r="15" spans="1:21" x14ac:dyDescent="0.25">
      <c r="A15" s="13">
        <v>46081</v>
      </c>
      <c r="B15" s="14" t="s">
        <v>30</v>
      </c>
      <c r="C15" s="14" t="s">
        <v>60</v>
      </c>
      <c r="D15" s="22" t="s">
        <v>42</v>
      </c>
      <c r="E15" s="18"/>
      <c r="F15" s="6" t="s">
        <v>23</v>
      </c>
      <c r="G15" s="17">
        <v>1</v>
      </c>
      <c r="H15" s="14">
        <v>1300</v>
      </c>
      <c r="I15" s="14">
        <v>1300</v>
      </c>
      <c r="J15" s="14" t="s">
        <v>24</v>
      </c>
      <c r="K15" s="14" t="s">
        <v>71</v>
      </c>
      <c r="L15" s="18">
        <v>3849</v>
      </c>
      <c r="M15" s="14"/>
      <c r="N15" s="14" t="s">
        <v>58</v>
      </c>
      <c r="O15" s="19"/>
      <c r="P15" s="19"/>
      <c r="Q15" s="20"/>
      <c r="R15" s="19"/>
      <c r="S15" s="14">
        <v>1300</v>
      </c>
      <c r="T15" s="14"/>
      <c r="U15" s="21">
        <v>45</v>
      </c>
    </row>
    <row r="16" spans="1:21" x14ac:dyDescent="0.25">
      <c r="A16" s="5">
        <v>46081</v>
      </c>
      <c r="B16" s="6" t="s">
        <v>72</v>
      </c>
      <c r="C16" s="30" t="s">
        <v>73</v>
      </c>
      <c r="D16" s="31" t="s">
        <v>74</v>
      </c>
      <c r="E16" s="25">
        <v>10110008</v>
      </c>
      <c r="F16" s="6" t="s">
        <v>32</v>
      </c>
      <c r="G16" s="9">
        <v>500</v>
      </c>
      <c r="H16" s="6">
        <v>1390</v>
      </c>
      <c r="I16" s="6">
        <v>695000</v>
      </c>
      <c r="J16" s="6" t="s">
        <v>24</v>
      </c>
      <c r="K16" s="6" t="s">
        <v>75</v>
      </c>
      <c r="L16" s="8">
        <v>6631</v>
      </c>
      <c r="M16" s="6"/>
      <c r="N16" s="6" t="s">
        <v>58</v>
      </c>
      <c r="O16" s="11" t="s">
        <v>27</v>
      </c>
      <c r="P16" s="11" t="s">
        <v>76</v>
      </c>
      <c r="Q16" s="10">
        <v>46107</v>
      </c>
      <c r="R16" s="11">
        <v>364153</v>
      </c>
      <c r="S16" s="6">
        <v>330847</v>
      </c>
      <c r="T16" s="6"/>
      <c r="U16" s="12">
        <v>45</v>
      </c>
    </row>
    <row r="17" spans="1:21" x14ac:dyDescent="0.25">
      <c r="A17" s="13">
        <v>46091</v>
      </c>
      <c r="B17" s="14" t="s">
        <v>30</v>
      </c>
      <c r="C17" s="14" t="s">
        <v>60</v>
      </c>
      <c r="D17" s="22" t="s">
        <v>42</v>
      </c>
      <c r="E17" s="18"/>
      <c r="F17" s="6" t="s">
        <v>23</v>
      </c>
      <c r="G17" s="17">
        <v>1</v>
      </c>
      <c r="H17" s="14">
        <v>1300</v>
      </c>
      <c r="I17" s="14">
        <v>1300</v>
      </c>
      <c r="J17" s="14" t="s">
        <v>24</v>
      </c>
      <c r="K17" s="14" t="s">
        <v>71</v>
      </c>
      <c r="L17" s="18"/>
      <c r="M17" s="14"/>
      <c r="N17" s="14" t="s">
        <v>77</v>
      </c>
      <c r="O17" s="19"/>
      <c r="P17" s="19"/>
      <c r="Q17" s="20"/>
      <c r="R17" s="19"/>
      <c r="S17" s="14">
        <v>1300</v>
      </c>
      <c r="T17" s="14"/>
      <c r="U17" s="21">
        <v>35</v>
      </c>
    </row>
    <row r="18" spans="1:21" x14ac:dyDescent="0.25">
      <c r="A18" s="5">
        <v>46084</v>
      </c>
      <c r="B18" s="6" t="s">
        <v>66</v>
      </c>
      <c r="C18" s="30" t="s">
        <v>78</v>
      </c>
      <c r="D18" s="24"/>
      <c r="E18" s="25">
        <v>10030003</v>
      </c>
      <c r="F18" s="6" t="s">
        <v>32</v>
      </c>
      <c r="G18" s="9">
        <v>2</v>
      </c>
      <c r="H18" s="6">
        <v>1450</v>
      </c>
      <c r="I18" s="6">
        <v>2900</v>
      </c>
      <c r="J18" s="6" t="s">
        <v>24</v>
      </c>
      <c r="K18" s="6" t="s">
        <v>68</v>
      </c>
      <c r="L18" s="8"/>
      <c r="M18" s="6"/>
      <c r="N18" s="6" t="s">
        <v>77</v>
      </c>
      <c r="O18" s="11"/>
      <c r="P18" s="11"/>
      <c r="Q18" s="10"/>
      <c r="R18" s="11"/>
      <c r="S18" s="6">
        <v>2900</v>
      </c>
      <c r="T18" s="6"/>
      <c r="U18" s="12">
        <v>42</v>
      </c>
    </row>
    <row r="19" spans="1:21" x14ac:dyDescent="0.25">
      <c r="A19" s="13">
        <v>46092</v>
      </c>
      <c r="B19" s="14" t="s">
        <v>66</v>
      </c>
      <c r="C19" s="14" t="s">
        <v>79</v>
      </c>
      <c r="D19" s="22" t="s">
        <v>80</v>
      </c>
      <c r="E19" s="18">
        <v>10260001</v>
      </c>
      <c r="F19" s="6" t="s">
        <v>32</v>
      </c>
      <c r="G19" s="17">
        <v>12</v>
      </c>
      <c r="H19" s="14">
        <v>1450</v>
      </c>
      <c r="I19" s="14">
        <v>17400</v>
      </c>
      <c r="J19" s="14" t="s">
        <v>24</v>
      </c>
      <c r="K19" s="14" t="s">
        <v>68</v>
      </c>
      <c r="L19" s="18"/>
      <c r="M19" s="14"/>
      <c r="N19" s="14" t="s">
        <v>77</v>
      </c>
      <c r="O19" s="19"/>
      <c r="P19" s="19"/>
      <c r="Q19" s="20"/>
      <c r="R19" s="19"/>
      <c r="S19" s="14">
        <v>17400</v>
      </c>
      <c r="T19" s="14"/>
      <c r="U19" s="21">
        <v>34</v>
      </c>
    </row>
    <row r="20" spans="1:21" x14ac:dyDescent="0.25">
      <c r="A20" s="5">
        <v>46092</v>
      </c>
      <c r="B20" s="6" t="s">
        <v>66</v>
      </c>
      <c r="C20" s="30" t="s">
        <v>81</v>
      </c>
      <c r="D20" s="24"/>
      <c r="E20" s="25">
        <v>10030063</v>
      </c>
      <c r="F20" s="6" t="s">
        <v>32</v>
      </c>
      <c r="G20" s="9">
        <v>10</v>
      </c>
      <c r="H20" s="6">
        <v>1450</v>
      </c>
      <c r="I20" s="6">
        <v>14500</v>
      </c>
      <c r="J20" s="6" t="s">
        <v>24</v>
      </c>
      <c r="K20" s="6" t="s">
        <v>68</v>
      </c>
      <c r="L20" s="8"/>
      <c r="M20" s="6"/>
      <c r="N20" s="6" t="s">
        <v>77</v>
      </c>
      <c r="O20" s="11"/>
      <c r="P20" s="11"/>
      <c r="Q20" s="10"/>
      <c r="R20" s="11"/>
      <c r="S20" s="6">
        <v>14500</v>
      </c>
      <c r="T20" s="6"/>
      <c r="U20" s="12">
        <v>34</v>
      </c>
    </row>
    <row r="21" spans="1:21" x14ac:dyDescent="0.25">
      <c r="A21" s="13">
        <v>46092</v>
      </c>
      <c r="B21" s="14" t="s">
        <v>66</v>
      </c>
      <c r="C21" s="26" t="s">
        <v>82</v>
      </c>
      <c r="D21" s="15"/>
      <c r="E21" s="16">
        <v>10500001</v>
      </c>
      <c r="F21" s="6" t="s">
        <v>32</v>
      </c>
      <c r="G21" s="17">
        <v>10</v>
      </c>
      <c r="H21" s="14">
        <v>1450</v>
      </c>
      <c r="I21" s="14">
        <v>14500</v>
      </c>
      <c r="J21" s="14" t="s">
        <v>24</v>
      </c>
      <c r="K21" s="14" t="s">
        <v>68</v>
      </c>
      <c r="L21" s="18"/>
      <c r="M21" s="14"/>
      <c r="N21" s="14" t="s">
        <v>77</v>
      </c>
      <c r="O21" s="19"/>
      <c r="P21" s="19"/>
      <c r="Q21" s="20"/>
      <c r="R21" s="19"/>
      <c r="S21" s="14">
        <v>14500</v>
      </c>
      <c r="T21" s="14"/>
      <c r="U21" s="21">
        <v>34</v>
      </c>
    </row>
    <row r="22" spans="1:21" x14ac:dyDescent="0.25">
      <c r="A22" s="5">
        <v>46096</v>
      </c>
      <c r="B22" s="6" t="s">
        <v>47</v>
      </c>
      <c r="C22" s="6" t="s">
        <v>83</v>
      </c>
      <c r="D22" s="7"/>
      <c r="E22" s="8">
        <v>10060130</v>
      </c>
      <c r="F22" s="6" t="s">
        <v>23</v>
      </c>
      <c r="G22" s="9">
        <v>10</v>
      </c>
      <c r="H22" s="6">
        <v>1300</v>
      </c>
      <c r="I22" s="6">
        <v>13000</v>
      </c>
      <c r="J22" s="6" t="s">
        <v>24</v>
      </c>
      <c r="K22" s="6" t="s">
        <v>50</v>
      </c>
      <c r="L22" s="8"/>
      <c r="M22" s="6"/>
      <c r="N22" s="6" t="s">
        <v>77</v>
      </c>
      <c r="O22" s="11" t="s">
        <v>27</v>
      </c>
      <c r="P22" s="11" t="s">
        <v>76</v>
      </c>
      <c r="Q22" s="10">
        <v>46107</v>
      </c>
      <c r="R22" s="11">
        <v>5122</v>
      </c>
      <c r="S22" s="6">
        <v>7878</v>
      </c>
      <c r="T22" s="6"/>
      <c r="U22" s="12">
        <v>30</v>
      </c>
    </row>
    <row r="23" spans="1:21" x14ac:dyDescent="0.25">
      <c r="A23" s="13">
        <v>46097</v>
      </c>
      <c r="B23" s="14" t="s">
        <v>47</v>
      </c>
      <c r="C23" s="26" t="s">
        <v>84</v>
      </c>
      <c r="D23" s="32"/>
      <c r="E23" s="16">
        <v>10060077</v>
      </c>
      <c r="F23" s="6" t="s">
        <v>23</v>
      </c>
      <c r="G23" s="17">
        <v>4</v>
      </c>
      <c r="H23" s="14">
        <v>1300</v>
      </c>
      <c r="I23" s="14">
        <v>5200</v>
      </c>
      <c r="J23" s="14" t="s">
        <v>24</v>
      </c>
      <c r="K23" s="14" t="s">
        <v>50</v>
      </c>
      <c r="L23" s="18">
        <v>4408</v>
      </c>
      <c r="M23" s="14"/>
      <c r="N23" s="14" t="s">
        <v>77</v>
      </c>
      <c r="O23" s="19" t="s">
        <v>27</v>
      </c>
      <c r="P23" s="19" t="s">
        <v>34</v>
      </c>
      <c r="Q23" s="20">
        <v>46112</v>
      </c>
      <c r="R23" s="19">
        <v>3768</v>
      </c>
      <c r="S23" s="14">
        <v>1432</v>
      </c>
      <c r="T23" s="14"/>
      <c r="U23" s="21">
        <v>29</v>
      </c>
    </row>
    <row r="24" spans="1:21" x14ac:dyDescent="0.25">
      <c r="A24" s="5">
        <v>46104</v>
      </c>
      <c r="B24" s="6" t="s">
        <v>72</v>
      </c>
      <c r="C24" s="23" t="s">
        <v>85</v>
      </c>
      <c r="D24" s="24" t="s">
        <v>86</v>
      </c>
      <c r="E24" s="25">
        <v>10110065</v>
      </c>
      <c r="F24" s="6" t="s">
        <v>23</v>
      </c>
      <c r="G24" s="9">
        <v>5</v>
      </c>
      <c r="H24" s="6">
        <v>1300</v>
      </c>
      <c r="I24" s="6">
        <v>6500</v>
      </c>
      <c r="J24" s="6" t="s">
        <v>24</v>
      </c>
      <c r="K24" s="6" t="s">
        <v>75</v>
      </c>
      <c r="L24" s="8"/>
      <c r="M24" s="6"/>
      <c r="N24" s="6" t="s">
        <v>77</v>
      </c>
      <c r="O24" s="11"/>
      <c r="P24" s="11"/>
      <c r="Q24" s="10"/>
      <c r="R24" s="11"/>
      <c r="S24" s="6">
        <v>6500</v>
      </c>
      <c r="T24" s="6"/>
      <c r="U24" s="12">
        <v>22</v>
      </c>
    </row>
    <row r="25" spans="1:21" x14ac:dyDescent="0.25">
      <c r="A25" s="13">
        <v>46104</v>
      </c>
      <c r="B25" s="14" t="s">
        <v>66</v>
      </c>
      <c r="C25" s="26" t="s">
        <v>87</v>
      </c>
      <c r="D25" s="32"/>
      <c r="E25" s="16">
        <v>10030064</v>
      </c>
      <c r="F25" s="6" t="s">
        <v>32</v>
      </c>
      <c r="G25" s="17">
        <v>25</v>
      </c>
      <c r="H25" s="14">
        <v>1450</v>
      </c>
      <c r="I25" s="14">
        <v>36250</v>
      </c>
      <c r="J25" s="14" t="s">
        <v>24</v>
      </c>
      <c r="K25" s="14" t="s">
        <v>68</v>
      </c>
      <c r="L25" s="18"/>
      <c r="M25" s="14"/>
      <c r="N25" s="14" t="s">
        <v>77</v>
      </c>
      <c r="O25" s="19"/>
      <c r="P25" s="19"/>
      <c r="Q25" s="20"/>
      <c r="R25" s="19"/>
      <c r="S25" s="14">
        <v>36250</v>
      </c>
      <c r="T25" s="14"/>
      <c r="U25" s="21">
        <v>22</v>
      </c>
    </row>
    <row r="26" spans="1:21" x14ac:dyDescent="0.25">
      <c r="A26" s="5">
        <v>46104</v>
      </c>
      <c r="B26" s="6" t="s">
        <v>66</v>
      </c>
      <c r="C26" s="6" t="s">
        <v>88</v>
      </c>
      <c r="D26" s="7"/>
      <c r="E26" s="8">
        <v>10230001</v>
      </c>
      <c r="F26" s="6" t="s">
        <v>32</v>
      </c>
      <c r="G26" s="9">
        <v>2</v>
      </c>
      <c r="H26" s="6">
        <v>1450</v>
      </c>
      <c r="I26" s="6">
        <v>2900</v>
      </c>
      <c r="J26" s="6" t="s">
        <v>24</v>
      </c>
      <c r="K26" s="6" t="s">
        <v>68</v>
      </c>
      <c r="L26" s="8"/>
      <c r="M26" s="6"/>
      <c r="N26" s="6" t="s">
        <v>77</v>
      </c>
      <c r="O26" s="11"/>
      <c r="P26" s="11"/>
      <c r="Q26" s="10"/>
      <c r="R26" s="11"/>
      <c r="S26" s="6">
        <v>2900</v>
      </c>
      <c r="T26" s="6"/>
      <c r="U26" s="12">
        <v>22</v>
      </c>
    </row>
    <row r="27" spans="1:21" x14ac:dyDescent="0.25">
      <c r="A27" s="13">
        <v>46104</v>
      </c>
      <c r="B27" s="14" t="s">
        <v>66</v>
      </c>
      <c r="C27" s="14" t="s">
        <v>89</v>
      </c>
      <c r="D27" s="33" t="s">
        <v>90</v>
      </c>
      <c r="E27" s="18">
        <v>10030027</v>
      </c>
      <c r="F27" s="6" t="s">
        <v>32</v>
      </c>
      <c r="G27" s="17">
        <v>7</v>
      </c>
      <c r="H27" s="14">
        <v>1450</v>
      </c>
      <c r="I27" s="14">
        <v>10150</v>
      </c>
      <c r="J27" s="14" t="s">
        <v>24</v>
      </c>
      <c r="K27" s="14" t="s">
        <v>68</v>
      </c>
      <c r="L27" s="18"/>
      <c r="M27" s="14"/>
      <c r="N27" s="14" t="s">
        <v>77</v>
      </c>
      <c r="O27" s="19"/>
      <c r="P27" s="19"/>
      <c r="Q27" s="20"/>
      <c r="R27" s="19"/>
      <c r="S27" s="14">
        <v>10150</v>
      </c>
      <c r="T27" s="14"/>
      <c r="U27" s="21">
        <v>22</v>
      </c>
    </row>
    <row r="28" spans="1:21" x14ac:dyDescent="0.25">
      <c r="A28" s="5">
        <v>46104</v>
      </c>
      <c r="B28" s="6" t="s">
        <v>66</v>
      </c>
      <c r="C28" s="6" t="s">
        <v>67</v>
      </c>
      <c r="D28" s="7"/>
      <c r="E28" s="8">
        <v>10030075</v>
      </c>
      <c r="F28" s="6" t="s">
        <v>32</v>
      </c>
      <c r="G28" s="9">
        <v>4</v>
      </c>
      <c r="H28" s="6">
        <v>1450</v>
      </c>
      <c r="I28" s="6">
        <v>5800</v>
      </c>
      <c r="J28" s="6" t="s">
        <v>24</v>
      </c>
      <c r="K28" s="6" t="s">
        <v>68</v>
      </c>
      <c r="L28" s="8"/>
      <c r="M28" s="6"/>
      <c r="N28" s="6" t="s">
        <v>77</v>
      </c>
      <c r="O28" s="11"/>
      <c r="P28" s="11"/>
      <c r="Q28" s="10"/>
      <c r="R28" s="11"/>
      <c r="S28" s="6">
        <v>5800</v>
      </c>
      <c r="T28" s="6"/>
      <c r="U28" s="12">
        <v>22</v>
      </c>
    </row>
    <row r="29" spans="1:21" x14ac:dyDescent="0.25">
      <c r="A29" s="13">
        <v>46104</v>
      </c>
      <c r="B29" s="14" t="s">
        <v>66</v>
      </c>
      <c r="C29" s="26" t="s">
        <v>82</v>
      </c>
      <c r="D29" s="15"/>
      <c r="E29" s="16">
        <v>10500001</v>
      </c>
      <c r="F29" s="6" t="s">
        <v>32</v>
      </c>
      <c r="G29" s="17">
        <v>10</v>
      </c>
      <c r="H29" s="14">
        <v>1450</v>
      </c>
      <c r="I29" s="14">
        <v>14500</v>
      </c>
      <c r="J29" s="14" t="s">
        <v>24</v>
      </c>
      <c r="K29" s="14" t="s">
        <v>68</v>
      </c>
      <c r="L29" s="18"/>
      <c r="M29" s="14"/>
      <c r="N29" s="14" t="s">
        <v>77</v>
      </c>
      <c r="O29" s="19"/>
      <c r="P29" s="19"/>
      <c r="Q29" s="20"/>
      <c r="R29" s="19"/>
      <c r="S29" s="14">
        <v>14500</v>
      </c>
      <c r="T29" s="14"/>
      <c r="U29" s="21">
        <v>22</v>
      </c>
    </row>
    <row r="30" spans="1:21" x14ac:dyDescent="0.25">
      <c r="A30" s="5">
        <v>46104</v>
      </c>
      <c r="B30" s="6" t="s">
        <v>66</v>
      </c>
      <c r="C30" s="30" t="s">
        <v>81</v>
      </c>
      <c r="D30" s="24"/>
      <c r="E30" s="25">
        <v>10030063</v>
      </c>
      <c r="F30" s="6" t="s">
        <v>32</v>
      </c>
      <c r="G30" s="9">
        <v>10</v>
      </c>
      <c r="H30" s="6">
        <v>1450</v>
      </c>
      <c r="I30" s="6">
        <v>14500</v>
      </c>
      <c r="J30" s="6" t="s">
        <v>24</v>
      </c>
      <c r="K30" s="6" t="s">
        <v>68</v>
      </c>
      <c r="L30" s="8"/>
      <c r="M30" s="6"/>
      <c r="N30" s="6" t="s">
        <v>77</v>
      </c>
      <c r="O30" s="11"/>
      <c r="P30" s="11"/>
      <c r="Q30" s="10"/>
      <c r="R30" s="11"/>
      <c r="S30" s="6">
        <v>14500</v>
      </c>
      <c r="T30" s="6"/>
      <c r="U30" s="12">
        <v>22</v>
      </c>
    </row>
    <row r="31" spans="1:21" x14ac:dyDescent="0.25">
      <c r="A31" s="13">
        <v>46104</v>
      </c>
      <c r="B31" s="14" t="s">
        <v>66</v>
      </c>
      <c r="C31" s="26" t="s">
        <v>91</v>
      </c>
      <c r="D31" s="32" t="s">
        <v>92</v>
      </c>
      <c r="E31" s="16">
        <v>10030037</v>
      </c>
      <c r="F31" s="6" t="s">
        <v>32</v>
      </c>
      <c r="G31" s="17">
        <v>10</v>
      </c>
      <c r="H31" s="14">
        <v>1450</v>
      </c>
      <c r="I31" s="14">
        <v>14500</v>
      </c>
      <c r="J31" s="14" t="s">
        <v>24</v>
      </c>
      <c r="K31" s="14" t="s">
        <v>68</v>
      </c>
      <c r="L31" s="18"/>
      <c r="M31" s="14"/>
      <c r="N31" s="14" t="s">
        <v>77</v>
      </c>
      <c r="O31" s="19"/>
      <c r="P31" s="19"/>
      <c r="Q31" s="20"/>
      <c r="R31" s="19"/>
      <c r="S31" s="14">
        <v>14500</v>
      </c>
      <c r="T31" s="14"/>
      <c r="U31" s="21">
        <v>22</v>
      </c>
    </row>
    <row r="32" spans="1:21" x14ac:dyDescent="0.25">
      <c r="A32" s="5">
        <v>46104</v>
      </c>
      <c r="B32" s="6" t="s">
        <v>66</v>
      </c>
      <c r="C32" s="6" t="s">
        <v>93</v>
      </c>
      <c r="D32" s="7"/>
      <c r="E32" s="8">
        <v>10030074</v>
      </c>
      <c r="F32" s="6" t="s">
        <v>32</v>
      </c>
      <c r="G32" s="9">
        <v>20</v>
      </c>
      <c r="H32" s="6">
        <v>1450</v>
      </c>
      <c r="I32" s="6">
        <v>29000</v>
      </c>
      <c r="J32" s="6" t="s">
        <v>24</v>
      </c>
      <c r="K32" s="6" t="s">
        <v>68</v>
      </c>
      <c r="L32" s="8"/>
      <c r="M32" s="6"/>
      <c r="N32" s="6" t="s">
        <v>77</v>
      </c>
      <c r="O32" s="11"/>
      <c r="P32" s="11"/>
      <c r="Q32" s="10"/>
      <c r="R32" s="11"/>
      <c r="S32" s="6">
        <v>29000</v>
      </c>
      <c r="T32" s="6"/>
      <c r="U32" s="12">
        <v>22</v>
      </c>
    </row>
    <row r="33" spans="1:21" x14ac:dyDescent="0.25">
      <c r="A33" s="13">
        <v>46104</v>
      </c>
      <c r="B33" s="14" t="s">
        <v>66</v>
      </c>
      <c r="C33" s="34" t="s">
        <v>94</v>
      </c>
      <c r="D33" s="35" t="s">
        <v>95</v>
      </c>
      <c r="E33" s="16">
        <v>10030051</v>
      </c>
      <c r="F33" s="6" t="s">
        <v>32</v>
      </c>
      <c r="G33" s="17">
        <v>20</v>
      </c>
      <c r="H33" s="14">
        <v>1450</v>
      </c>
      <c r="I33" s="14">
        <v>29000</v>
      </c>
      <c r="J33" s="14" t="s">
        <v>24</v>
      </c>
      <c r="K33" s="14" t="s">
        <v>68</v>
      </c>
      <c r="L33" s="18"/>
      <c r="M33" s="14"/>
      <c r="N33" s="14" t="s">
        <v>77</v>
      </c>
      <c r="O33" s="19"/>
      <c r="P33" s="19"/>
      <c r="Q33" s="20"/>
      <c r="R33" s="19"/>
      <c r="S33" s="14">
        <v>29000</v>
      </c>
      <c r="T33" s="14"/>
      <c r="U33" s="21">
        <v>22</v>
      </c>
    </row>
    <row r="34" spans="1:21" x14ac:dyDescent="0.25">
      <c r="A34" s="5">
        <v>46104</v>
      </c>
      <c r="B34" s="6" t="s">
        <v>66</v>
      </c>
      <c r="C34" s="30" t="s">
        <v>96</v>
      </c>
      <c r="D34" s="31" t="s">
        <v>97</v>
      </c>
      <c r="E34" s="25">
        <v>10030032</v>
      </c>
      <c r="F34" s="6" t="s">
        <v>32</v>
      </c>
      <c r="G34" s="9">
        <v>10</v>
      </c>
      <c r="H34" s="6">
        <v>1450</v>
      </c>
      <c r="I34" s="6">
        <v>14500</v>
      </c>
      <c r="J34" s="6" t="s">
        <v>24</v>
      </c>
      <c r="K34" s="6" t="s">
        <v>68</v>
      </c>
      <c r="L34" s="8"/>
      <c r="M34" s="6"/>
      <c r="N34" s="6" t="s">
        <v>77</v>
      </c>
      <c r="O34" s="11"/>
      <c r="P34" s="11"/>
      <c r="Q34" s="10"/>
      <c r="R34" s="11"/>
      <c r="S34" s="6">
        <v>14500</v>
      </c>
      <c r="T34" s="6"/>
      <c r="U34" s="12">
        <v>22</v>
      </c>
    </row>
    <row r="35" spans="1:21" x14ac:dyDescent="0.25">
      <c r="A35" s="13">
        <v>46100</v>
      </c>
      <c r="B35" s="14" t="s">
        <v>47</v>
      </c>
      <c r="C35" s="14" t="s">
        <v>98</v>
      </c>
      <c r="D35" s="28"/>
      <c r="E35" s="18">
        <v>10060124</v>
      </c>
      <c r="F35" s="6" t="s">
        <v>23</v>
      </c>
      <c r="G35" s="17">
        <v>1</v>
      </c>
      <c r="H35" s="14">
        <v>1300</v>
      </c>
      <c r="I35" s="14">
        <v>1300</v>
      </c>
      <c r="J35" s="14" t="s">
        <v>24</v>
      </c>
      <c r="K35" s="14" t="s">
        <v>50</v>
      </c>
      <c r="L35" s="18"/>
      <c r="M35" s="14"/>
      <c r="N35" s="14" t="s">
        <v>77</v>
      </c>
      <c r="O35" s="19"/>
      <c r="P35" s="19"/>
      <c r="Q35" s="20"/>
      <c r="R35" s="19"/>
      <c r="S35" s="14">
        <v>1300</v>
      </c>
      <c r="T35" s="14"/>
      <c r="U35" s="21">
        <v>26</v>
      </c>
    </row>
    <row r="36" spans="1:21" x14ac:dyDescent="0.25">
      <c r="A36" s="5">
        <v>46100</v>
      </c>
      <c r="B36" s="6" t="s">
        <v>47</v>
      </c>
      <c r="C36" s="23" t="s">
        <v>99</v>
      </c>
      <c r="D36" s="31" t="s">
        <v>100</v>
      </c>
      <c r="E36" s="36">
        <v>10060049</v>
      </c>
      <c r="F36" s="6" t="s">
        <v>23</v>
      </c>
      <c r="G36" s="9">
        <v>3</v>
      </c>
      <c r="H36" s="6">
        <v>1300</v>
      </c>
      <c r="I36" s="6">
        <v>3900</v>
      </c>
      <c r="J36" s="6" t="s">
        <v>24</v>
      </c>
      <c r="K36" s="6" t="s">
        <v>50</v>
      </c>
      <c r="L36" s="8"/>
      <c r="M36" s="6"/>
      <c r="N36" s="6" t="s">
        <v>77</v>
      </c>
      <c r="O36" s="11"/>
      <c r="P36" s="11"/>
      <c r="Q36" s="10"/>
      <c r="R36" s="11"/>
      <c r="S36" s="6">
        <v>3900</v>
      </c>
      <c r="T36" s="6"/>
      <c r="U36" s="12">
        <v>26</v>
      </c>
    </row>
    <row r="37" spans="1:21" x14ac:dyDescent="0.25">
      <c r="A37" s="13">
        <v>46100</v>
      </c>
      <c r="B37" s="14" t="s">
        <v>47</v>
      </c>
      <c r="C37" s="26" t="s">
        <v>101</v>
      </c>
      <c r="D37" s="15"/>
      <c r="E37" s="16">
        <v>10020075</v>
      </c>
      <c r="F37" s="6" t="s">
        <v>23</v>
      </c>
      <c r="G37" s="17">
        <v>10</v>
      </c>
      <c r="H37" s="14">
        <v>1300</v>
      </c>
      <c r="I37" s="14">
        <v>13000</v>
      </c>
      <c r="J37" s="14" t="s">
        <v>24</v>
      </c>
      <c r="K37" s="14" t="s">
        <v>50</v>
      </c>
      <c r="L37" s="18"/>
      <c r="M37" s="14"/>
      <c r="N37" s="14" t="s">
        <v>77</v>
      </c>
      <c r="O37" s="19"/>
      <c r="P37" s="19"/>
      <c r="Q37" s="20"/>
      <c r="R37" s="19"/>
      <c r="S37" s="14">
        <v>13000</v>
      </c>
      <c r="T37" s="14"/>
      <c r="U37" s="21">
        <v>26</v>
      </c>
    </row>
    <row r="38" spans="1:21" x14ac:dyDescent="0.25">
      <c r="A38" s="5">
        <v>46100</v>
      </c>
      <c r="B38" s="6" t="s">
        <v>47</v>
      </c>
      <c r="C38" s="30" t="s">
        <v>102</v>
      </c>
      <c r="D38" s="31"/>
      <c r="E38" s="25">
        <v>10060074</v>
      </c>
      <c r="F38" s="6" t="s">
        <v>23</v>
      </c>
      <c r="G38" s="9">
        <v>11</v>
      </c>
      <c r="H38" s="6">
        <v>1300</v>
      </c>
      <c r="I38" s="6">
        <v>12863</v>
      </c>
      <c r="J38" s="6" t="s">
        <v>24</v>
      </c>
      <c r="K38" s="6" t="s">
        <v>50</v>
      </c>
      <c r="L38" s="8"/>
      <c r="M38" s="6"/>
      <c r="N38" s="6" t="s">
        <v>77</v>
      </c>
      <c r="O38" s="11" t="s">
        <v>103</v>
      </c>
      <c r="P38" s="11"/>
      <c r="Q38" s="10">
        <v>46114</v>
      </c>
      <c r="R38" s="11">
        <v>11000</v>
      </c>
      <c r="S38" s="6">
        <v>1863</v>
      </c>
      <c r="T38" s="6"/>
      <c r="U38" s="12">
        <v>26</v>
      </c>
    </row>
    <row r="39" spans="1:21" x14ac:dyDescent="0.25">
      <c r="A39" s="13">
        <v>46100</v>
      </c>
      <c r="B39" s="14" t="s">
        <v>47</v>
      </c>
      <c r="C39" s="14" t="s">
        <v>104</v>
      </c>
      <c r="D39" s="28"/>
      <c r="E39" s="18">
        <v>10020069</v>
      </c>
      <c r="F39" s="6" t="s">
        <v>23</v>
      </c>
      <c r="G39" s="17">
        <v>50</v>
      </c>
      <c r="H39" s="14">
        <v>1300</v>
      </c>
      <c r="I39" s="14">
        <v>65000</v>
      </c>
      <c r="J39" s="14" t="s">
        <v>24</v>
      </c>
      <c r="K39" s="14" t="s">
        <v>105</v>
      </c>
      <c r="L39" s="18"/>
      <c r="M39" s="14"/>
      <c r="N39" s="14" t="s">
        <v>77</v>
      </c>
      <c r="O39" s="19"/>
      <c r="P39" s="19"/>
      <c r="Q39" s="20"/>
      <c r="R39" s="19"/>
      <c r="S39" s="14">
        <v>65000</v>
      </c>
      <c r="T39" s="14"/>
      <c r="U39" s="21">
        <v>26</v>
      </c>
    </row>
    <row r="40" spans="1:21" x14ac:dyDescent="0.25">
      <c r="A40" s="5">
        <v>46100</v>
      </c>
      <c r="B40" s="6" t="s">
        <v>47</v>
      </c>
      <c r="C40" s="30" t="s">
        <v>106</v>
      </c>
      <c r="D40" s="24"/>
      <c r="E40" s="25">
        <v>10020024</v>
      </c>
      <c r="F40" s="6" t="s">
        <v>23</v>
      </c>
      <c r="G40" s="9">
        <v>50</v>
      </c>
      <c r="H40" s="6">
        <v>1300</v>
      </c>
      <c r="I40" s="6">
        <v>65000</v>
      </c>
      <c r="J40" s="6" t="s">
        <v>24</v>
      </c>
      <c r="K40" s="6" t="s">
        <v>50</v>
      </c>
      <c r="L40" s="8"/>
      <c r="M40" s="6"/>
      <c r="N40" s="6" t="s">
        <v>77</v>
      </c>
      <c r="O40" s="6" t="s">
        <v>103</v>
      </c>
      <c r="P40" s="11"/>
      <c r="Q40" s="10">
        <v>46111</v>
      </c>
      <c r="R40" s="11">
        <v>62500</v>
      </c>
      <c r="S40" s="6">
        <v>2500</v>
      </c>
      <c r="T40" s="6"/>
      <c r="U40" s="12">
        <v>26</v>
      </c>
    </row>
    <row r="41" spans="1:21" x14ac:dyDescent="0.25">
      <c r="A41" s="13">
        <v>46100</v>
      </c>
      <c r="B41" s="14" t="s">
        <v>47</v>
      </c>
      <c r="C41" s="14" t="s">
        <v>107</v>
      </c>
      <c r="D41" s="28"/>
      <c r="E41" s="18"/>
      <c r="F41" s="6" t="s">
        <v>23</v>
      </c>
      <c r="G41" s="17">
        <v>10</v>
      </c>
      <c r="H41" s="14">
        <v>1300</v>
      </c>
      <c r="I41" s="14">
        <v>13000</v>
      </c>
      <c r="J41" s="14" t="s">
        <v>24</v>
      </c>
      <c r="K41" s="14" t="s">
        <v>50</v>
      </c>
      <c r="L41" s="18"/>
      <c r="M41" s="14"/>
      <c r="N41" s="14" t="s">
        <v>77</v>
      </c>
      <c r="O41" s="19"/>
      <c r="P41" s="19"/>
      <c r="Q41" s="20"/>
      <c r="R41" s="19"/>
      <c r="S41" s="14">
        <v>13000</v>
      </c>
      <c r="T41" s="14"/>
      <c r="U41" s="21">
        <v>26</v>
      </c>
    </row>
    <row r="42" spans="1:21" x14ac:dyDescent="0.25">
      <c r="A42" s="5">
        <v>46100</v>
      </c>
      <c r="B42" s="6" t="s">
        <v>47</v>
      </c>
      <c r="C42" s="6" t="s">
        <v>108</v>
      </c>
      <c r="D42" s="7"/>
      <c r="E42" s="8">
        <v>10090043</v>
      </c>
      <c r="F42" s="6" t="s">
        <v>23</v>
      </c>
      <c r="G42" s="9">
        <v>5</v>
      </c>
      <c r="H42" s="6">
        <v>1300</v>
      </c>
      <c r="I42" s="6">
        <v>6500</v>
      </c>
      <c r="J42" s="6" t="s">
        <v>24</v>
      </c>
      <c r="K42" s="6" t="s">
        <v>50</v>
      </c>
      <c r="L42" s="8"/>
      <c r="M42" s="6"/>
      <c r="N42" s="6" t="s">
        <v>77</v>
      </c>
      <c r="O42" s="11"/>
      <c r="P42" s="11"/>
      <c r="Q42" s="10"/>
      <c r="R42" s="11"/>
      <c r="S42" s="6">
        <v>6500</v>
      </c>
      <c r="T42" s="6"/>
      <c r="U42" s="12">
        <v>26</v>
      </c>
    </row>
    <row r="43" spans="1:21" x14ac:dyDescent="0.25">
      <c r="A43" s="13">
        <v>46100</v>
      </c>
      <c r="B43" s="14" t="s">
        <v>47</v>
      </c>
      <c r="C43" s="26" t="s">
        <v>109</v>
      </c>
      <c r="D43" s="15"/>
      <c r="E43" s="16">
        <v>10020017</v>
      </c>
      <c r="F43" s="6" t="s">
        <v>23</v>
      </c>
      <c r="G43" s="17">
        <v>10</v>
      </c>
      <c r="H43" s="14">
        <v>1300</v>
      </c>
      <c r="I43" s="14">
        <v>13000</v>
      </c>
      <c r="J43" s="14" t="s">
        <v>24</v>
      </c>
      <c r="K43" s="14" t="s">
        <v>105</v>
      </c>
      <c r="L43" s="18"/>
      <c r="M43" s="14"/>
      <c r="N43" s="14" t="s">
        <v>77</v>
      </c>
      <c r="O43" s="19"/>
      <c r="P43" s="19"/>
      <c r="Q43" s="20"/>
      <c r="R43" s="19"/>
      <c r="S43" s="14">
        <v>13000</v>
      </c>
      <c r="T43" s="14"/>
      <c r="U43" s="21">
        <v>26</v>
      </c>
    </row>
    <row r="44" spans="1:21" x14ac:dyDescent="0.25">
      <c r="A44" s="5">
        <v>46100</v>
      </c>
      <c r="B44" s="6" t="s">
        <v>47</v>
      </c>
      <c r="C44" s="23" t="s">
        <v>99</v>
      </c>
      <c r="D44" s="31" t="s">
        <v>100</v>
      </c>
      <c r="E44" s="36">
        <v>10060049</v>
      </c>
      <c r="F44" s="6" t="s">
        <v>32</v>
      </c>
      <c r="G44" s="9">
        <v>2</v>
      </c>
      <c r="H44" s="6">
        <v>1450</v>
      </c>
      <c r="I44" s="6">
        <v>2900</v>
      </c>
      <c r="J44" s="6" t="s">
        <v>24</v>
      </c>
      <c r="K44" s="6" t="s">
        <v>50</v>
      </c>
      <c r="L44" s="8"/>
      <c r="M44" s="6"/>
      <c r="N44" s="6" t="s">
        <v>77</v>
      </c>
      <c r="O44" s="11"/>
      <c r="P44" s="11"/>
      <c r="Q44" s="10"/>
      <c r="R44" s="11"/>
      <c r="S44" s="6">
        <v>2900</v>
      </c>
      <c r="T44" s="6"/>
      <c r="U44" s="12">
        <v>26</v>
      </c>
    </row>
    <row r="45" spans="1:21" x14ac:dyDescent="0.25">
      <c r="A45" s="13">
        <v>46100</v>
      </c>
      <c r="B45" s="14" t="s">
        <v>47</v>
      </c>
      <c r="C45" s="34" t="s">
        <v>110</v>
      </c>
      <c r="D45" s="32" t="s">
        <v>111</v>
      </c>
      <c r="E45" s="16">
        <v>10060032</v>
      </c>
      <c r="F45" s="6" t="s">
        <v>32</v>
      </c>
      <c r="G45" s="17">
        <v>2</v>
      </c>
      <c r="H45" s="14">
        <v>1450</v>
      </c>
      <c r="I45" s="14">
        <v>2900</v>
      </c>
      <c r="J45" s="14" t="s">
        <v>24</v>
      </c>
      <c r="K45" s="14" t="s">
        <v>50</v>
      </c>
      <c r="L45" s="18"/>
      <c r="M45" s="14"/>
      <c r="N45" s="14" t="s">
        <v>77</v>
      </c>
      <c r="O45" s="19" t="s">
        <v>27</v>
      </c>
      <c r="P45" s="19" t="s">
        <v>34</v>
      </c>
      <c r="Q45" s="20">
        <v>46112</v>
      </c>
      <c r="R45" s="19">
        <v>1925</v>
      </c>
      <c r="S45" s="14">
        <v>975</v>
      </c>
      <c r="T45" s="14"/>
      <c r="U45" s="21">
        <v>26</v>
      </c>
    </row>
    <row r="46" spans="1:21" x14ac:dyDescent="0.25">
      <c r="A46" s="5">
        <v>46100</v>
      </c>
      <c r="B46" s="6" t="s">
        <v>47</v>
      </c>
      <c r="C46" s="30" t="s">
        <v>102</v>
      </c>
      <c r="D46" s="31"/>
      <c r="E46" s="25">
        <v>10060074</v>
      </c>
      <c r="F46" s="6" t="s">
        <v>32</v>
      </c>
      <c r="G46" s="9">
        <v>4</v>
      </c>
      <c r="H46" s="6">
        <v>1450</v>
      </c>
      <c r="I46" s="6">
        <v>5800</v>
      </c>
      <c r="J46" s="6" t="s">
        <v>24</v>
      </c>
      <c r="K46" s="6" t="s">
        <v>50</v>
      </c>
      <c r="L46" s="8"/>
      <c r="M46" s="6"/>
      <c r="N46" s="6" t="s">
        <v>77</v>
      </c>
      <c r="O46" s="11"/>
      <c r="P46" s="11"/>
      <c r="Q46" s="10"/>
      <c r="R46" s="11"/>
      <c r="S46" s="6">
        <v>5800</v>
      </c>
      <c r="T46" s="6"/>
      <c r="U46" s="12">
        <v>26</v>
      </c>
    </row>
    <row r="47" spans="1:21" x14ac:dyDescent="0.25">
      <c r="A47" s="13">
        <v>46104</v>
      </c>
      <c r="B47" s="14" t="s">
        <v>47</v>
      </c>
      <c r="C47" s="14" t="s">
        <v>112</v>
      </c>
      <c r="D47" s="15" t="s">
        <v>113</v>
      </c>
      <c r="E47" s="18">
        <v>10060021</v>
      </c>
      <c r="F47" s="6" t="s">
        <v>23</v>
      </c>
      <c r="G47" s="17">
        <v>10</v>
      </c>
      <c r="H47" s="14">
        <v>1300</v>
      </c>
      <c r="I47" s="14">
        <v>13000</v>
      </c>
      <c r="J47" s="14" t="s">
        <v>24</v>
      </c>
      <c r="K47" s="14" t="s">
        <v>50</v>
      </c>
      <c r="L47" s="18"/>
      <c r="M47" s="14"/>
      <c r="N47" s="14" t="s">
        <v>77</v>
      </c>
      <c r="O47" s="19"/>
      <c r="P47" s="19"/>
      <c r="Q47" s="20"/>
      <c r="R47" s="19"/>
      <c r="S47" s="14">
        <v>13000</v>
      </c>
      <c r="T47" s="14"/>
      <c r="U47" s="21">
        <v>22</v>
      </c>
    </row>
    <row r="48" spans="1:21" x14ac:dyDescent="0.25">
      <c r="A48" s="5">
        <v>46103</v>
      </c>
      <c r="B48" s="6" t="s">
        <v>114</v>
      </c>
      <c r="C48" s="6" t="s">
        <v>115</v>
      </c>
      <c r="D48" s="7"/>
      <c r="E48" s="8">
        <v>10110140</v>
      </c>
      <c r="F48" s="6" t="s">
        <v>23</v>
      </c>
      <c r="G48" s="9">
        <v>5</v>
      </c>
      <c r="H48" s="6">
        <v>1350</v>
      </c>
      <c r="I48" s="6">
        <v>6750</v>
      </c>
      <c r="J48" s="6" t="s">
        <v>24</v>
      </c>
      <c r="K48" s="6" t="s">
        <v>116</v>
      </c>
      <c r="L48" s="8">
        <v>2383</v>
      </c>
      <c r="M48" s="6"/>
      <c r="N48" s="6" t="s">
        <v>77</v>
      </c>
      <c r="O48" s="11" t="s">
        <v>27</v>
      </c>
      <c r="P48" s="11" t="s">
        <v>117</v>
      </c>
      <c r="Q48" s="10">
        <v>46107</v>
      </c>
      <c r="R48" s="11">
        <v>4193</v>
      </c>
      <c r="S48" s="6">
        <v>2557</v>
      </c>
      <c r="T48" s="6"/>
      <c r="U48" s="12">
        <v>23</v>
      </c>
    </row>
    <row r="49" spans="1:21" x14ac:dyDescent="0.25">
      <c r="A49" s="13">
        <v>46107</v>
      </c>
      <c r="B49" s="14" t="s">
        <v>52</v>
      </c>
      <c r="C49" s="37" t="s">
        <v>118</v>
      </c>
      <c r="D49" s="32" t="s">
        <v>119</v>
      </c>
      <c r="E49" s="16">
        <v>10140007</v>
      </c>
      <c r="F49" s="6" t="s">
        <v>23</v>
      </c>
      <c r="G49" s="17">
        <v>5</v>
      </c>
      <c r="H49" s="14">
        <v>1250</v>
      </c>
      <c r="I49" s="14">
        <v>6250</v>
      </c>
      <c r="J49" s="14" t="s">
        <v>24</v>
      </c>
      <c r="K49" s="14"/>
      <c r="L49" s="18"/>
      <c r="M49" s="14"/>
      <c r="N49" s="14" t="s">
        <v>77</v>
      </c>
      <c r="O49" s="19"/>
      <c r="P49" s="19"/>
      <c r="Q49" s="20"/>
      <c r="R49" s="19"/>
      <c r="S49" s="14">
        <v>6250</v>
      </c>
      <c r="T49" s="14"/>
      <c r="U49" s="21">
        <v>19</v>
      </c>
    </row>
    <row r="50" spans="1:21" x14ac:dyDescent="0.25">
      <c r="A50" s="5">
        <v>46110</v>
      </c>
      <c r="B50" s="6" t="s">
        <v>72</v>
      </c>
      <c r="C50" s="23" t="s">
        <v>120</v>
      </c>
      <c r="D50" s="38" t="s">
        <v>121</v>
      </c>
      <c r="E50" s="25">
        <v>10110053</v>
      </c>
      <c r="F50" s="6" t="s">
        <v>23</v>
      </c>
      <c r="G50" s="9">
        <v>4</v>
      </c>
      <c r="H50" s="6">
        <v>1300</v>
      </c>
      <c r="I50" s="6">
        <v>5200</v>
      </c>
      <c r="J50" s="6" t="s">
        <v>24</v>
      </c>
      <c r="K50" s="6"/>
      <c r="L50" s="8"/>
      <c r="M50" s="6"/>
      <c r="N50" s="6" t="s">
        <v>77</v>
      </c>
      <c r="O50" s="11" t="s">
        <v>27</v>
      </c>
      <c r="P50" s="11" t="s">
        <v>34</v>
      </c>
      <c r="Q50" s="10">
        <v>46112</v>
      </c>
      <c r="R50" s="11">
        <v>3628</v>
      </c>
      <c r="S50" s="6">
        <v>1572</v>
      </c>
      <c r="T50" s="6"/>
      <c r="U50" s="12">
        <v>16</v>
      </c>
    </row>
    <row r="51" spans="1:21" x14ac:dyDescent="0.25">
      <c r="A51" s="13">
        <v>46108</v>
      </c>
      <c r="B51" s="14" t="s">
        <v>21</v>
      </c>
      <c r="C51" s="26" t="s">
        <v>122</v>
      </c>
      <c r="D51" s="32"/>
      <c r="E51" s="16">
        <v>10120083</v>
      </c>
      <c r="F51" s="6" t="s">
        <v>32</v>
      </c>
      <c r="G51" s="17">
        <v>6</v>
      </c>
      <c r="H51" s="14">
        <v>1500</v>
      </c>
      <c r="I51" s="14">
        <v>9000</v>
      </c>
      <c r="J51" s="14" t="s">
        <v>24</v>
      </c>
      <c r="K51" s="14"/>
      <c r="L51" s="18"/>
      <c r="M51" s="14"/>
      <c r="N51" s="14" t="s">
        <v>77</v>
      </c>
      <c r="O51" s="19"/>
      <c r="P51" s="19"/>
      <c r="Q51" s="20"/>
      <c r="R51" s="19"/>
      <c r="S51" s="14">
        <v>9000</v>
      </c>
      <c r="T51" s="14"/>
      <c r="U51" s="21">
        <v>18</v>
      </c>
    </row>
    <row r="52" spans="1:21" x14ac:dyDescent="0.25">
      <c r="A52" s="5">
        <v>46109</v>
      </c>
      <c r="B52" s="6" t="s">
        <v>21</v>
      </c>
      <c r="C52" s="30" t="s">
        <v>123</v>
      </c>
      <c r="D52" s="24"/>
      <c r="E52" s="25">
        <v>10120096</v>
      </c>
      <c r="F52" s="6" t="s">
        <v>23</v>
      </c>
      <c r="G52" s="9">
        <v>24</v>
      </c>
      <c r="H52" s="6">
        <v>1250</v>
      </c>
      <c r="I52" s="6">
        <v>30000</v>
      </c>
      <c r="J52" s="6" t="s">
        <v>24</v>
      </c>
      <c r="K52" s="6"/>
      <c r="L52" s="8"/>
      <c r="M52" s="6"/>
      <c r="N52" s="6" t="s">
        <v>77</v>
      </c>
      <c r="O52" s="11" t="s">
        <v>27</v>
      </c>
      <c r="P52" s="11" t="s">
        <v>34</v>
      </c>
      <c r="Q52" s="10">
        <v>46112</v>
      </c>
      <c r="R52" s="11">
        <v>19312</v>
      </c>
      <c r="S52" s="6">
        <v>10688</v>
      </c>
      <c r="T52" s="6"/>
      <c r="U52" s="12">
        <v>17</v>
      </c>
    </row>
    <row r="53" spans="1:21" x14ac:dyDescent="0.25">
      <c r="A53" s="13">
        <v>46110</v>
      </c>
      <c r="B53" s="14" t="s">
        <v>21</v>
      </c>
      <c r="C53" s="19" t="s">
        <v>124</v>
      </c>
      <c r="D53" s="33" t="s">
        <v>125</v>
      </c>
      <c r="E53" s="18">
        <v>10120053</v>
      </c>
      <c r="F53" s="6" t="s">
        <v>23</v>
      </c>
      <c r="G53" s="17">
        <v>2</v>
      </c>
      <c r="H53" s="14">
        <v>1350</v>
      </c>
      <c r="I53" s="14">
        <v>2700</v>
      </c>
      <c r="J53" s="14" t="s">
        <v>24</v>
      </c>
      <c r="K53" s="14"/>
      <c r="L53" s="18"/>
      <c r="M53" s="14"/>
      <c r="N53" s="14" t="s">
        <v>77</v>
      </c>
      <c r="O53" s="19" t="s">
        <v>27</v>
      </c>
      <c r="P53" s="19" t="s">
        <v>126</v>
      </c>
      <c r="Q53" s="20">
        <v>46086</v>
      </c>
      <c r="R53" s="19">
        <v>2100</v>
      </c>
      <c r="S53" s="14">
        <v>600</v>
      </c>
      <c r="T53" s="14"/>
      <c r="U53" s="21">
        <v>16</v>
      </c>
    </row>
    <row r="54" spans="1:21" x14ac:dyDescent="0.25">
      <c r="A54" s="5">
        <v>46110</v>
      </c>
      <c r="B54" s="6" t="s">
        <v>30</v>
      </c>
      <c r="C54" s="6" t="s">
        <v>127</v>
      </c>
      <c r="D54" s="7"/>
      <c r="E54" s="8">
        <v>10530101</v>
      </c>
      <c r="F54" s="6" t="s">
        <v>23</v>
      </c>
      <c r="G54" s="9">
        <v>2</v>
      </c>
      <c r="H54" s="6">
        <v>1350</v>
      </c>
      <c r="I54" s="6">
        <v>2700</v>
      </c>
      <c r="J54" s="6" t="s">
        <v>24</v>
      </c>
      <c r="K54" s="6"/>
      <c r="L54" s="8"/>
      <c r="M54" s="6"/>
      <c r="N54" s="6" t="s">
        <v>77</v>
      </c>
      <c r="O54" s="11" t="s">
        <v>27</v>
      </c>
      <c r="P54" s="11" t="s">
        <v>34</v>
      </c>
      <c r="Q54" s="10">
        <v>46112</v>
      </c>
      <c r="R54" s="11">
        <v>1338</v>
      </c>
      <c r="S54" s="6">
        <v>1362</v>
      </c>
      <c r="T54" s="6"/>
      <c r="U54" s="12">
        <v>16</v>
      </c>
    </row>
    <row r="55" spans="1:21" x14ac:dyDescent="0.25">
      <c r="A55" s="13">
        <v>46110</v>
      </c>
      <c r="B55" s="14" t="s">
        <v>30</v>
      </c>
      <c r="C55" s="14" t="s">
        <v>128</v>
      </c>
      <c r="D55" s="28"/>
      <c r="E55" s="18">
        <v>10530103</v>
      </c>
      <c r="F55" s="6" t="s">
        <v>23</v>
      </c>
      <c r="G55" s="17">
        <v>8</v>
      </c>
      <c r="H55" s="14">
        <v>1350</v>
      </c>
      <c r="I55" s="14">
        <v>10800</v>
      </c>
      <c r="J55" s="14" t="s">
        <v>24</v>
      </c>
      <c r="K55" s="14"/>
      <c r="L55" s="18"/>
      <c r="M55" s="14"/>
      <c r="N55" s="14" t="s">
        <v>77</v>
      </c>
      <c r="O55" s="19" t="s">
        <v>27</v>
      </c>
      <c r="P55" s="19" t="s">
        <v>34</v>
      </c>
      <c r="Q55" s="20">
        <v>46112</v>
      </c>
      <c r="R55" s="19">
        <v>10601</v>
      </c>
      <c r="S55" s="14">
        <v>199</v>
      </c>
      <c r="T55" s="14"/>
      <c r="U55" s="21">
        <v>16</v>
      </c>
    </row>
    <row r="56" spans="1:21" x14ac:dyDescent="0.25">
      <c r="A56" s="5">
        <v>46106</v>
      </c>
      <c r="B56" s="6" t="s">
        <v>30</v>
      </c>
      <c r="C56" s="30" t="s">
        <v>129</v>
      </c>
      <c r="D56" s="24"/>
      <c r="E56" s="25">
        <v>10530032</v>
      </c>
      <c r="F56" s="6" t="s">
        <v>32</v>
      </c>
      <c r="G56" s="9">
        <v>1</v>
      </c>
      <c r="H56" s="6">
        <v>1500</v>
      </c>
      <c r="I56" s="6">
        <v>1500</v>
      </c>
      <c r="J56" s="6" t="s">
        <v>24</v>
      </c>
      <c r="K56" s="6"/>
      <c r="L56" s="8"/>
      <c r="M56" s="6"/>
      <c r="N56" s="6" t="s">
        <v>77</v>
      </c>
      <c r="O56" s="11" t="s">
        <v>27</v>
      </c>
      <c r="P56" s="11" t="s">
        <v>117</v>
      </c>
      <c r="Q56" s="10">
        <v>46107</v>
      </c>
      <c r="R56" s="11">
        <v>1435</v>
      </c>
      <c r="S56" s="6">
        <v>65</v>
      </c>
      <c r="T56" s="6"/>
      <c r="U56" s="12">
        <v>20</v>
      </c>
    </row>
    <row r="57" spans="1:21" x14ac:dyDescent="0.25">
      <c r="A57" s="13">
        <v>46110</v>
      </c>
      <c r="B57" s="14" t="s">
        <v>30</v>
      </c>
      <c r="C57" s="26" t="s">
        <v>130</v>
      </c>
      <c r="D57" s="28"/>
      <c r="E57" s="18">
        <v>10530093</v>
      </c>
      <c r="F57" s="6" t="s">
        <v>32</v>
      </c>
      <c r="G57" s="17">
        <v>10</v>
      </c>
      <c r="H57" s="14">
        <v>1500</v>
      </c>
      <c r="I57" s="14">
        <v>15000</v>
      </c>
      <c r="J57" s="14" t="s">
        <v>24</v>
      </c>
      <c r="K57" s="14"/>
      <c r="L57" s="18"/>
      <c r="M57" s="14"/>
      <c r="N57" s="14" t="s">
        <v>77</v>
      </c>
      <c r="O57" s="19" t="s">
        <v>27</v>
      </c>
      <c r="P57" s="19" t="s">
        <v>117</v>
      </c>
      <c r="Q57" s="20">
        <v>46107</v>
      </c>
      <c r="R57" s="19">
        <v>14141</v>
      </c>
      <c r="S57" s="14">
        <v>859</v>
      </c>
      <c r="T57" s="14"/>
      <c r="U57" s="21">
        <v>16</v>
      </c>
    </row>
    <row r="58" spans="1:21" x14ac:dyDescent="0.25">
      <c r="A58" s="5">
        <v>46110</v>
      </c>
      <c r="B58" s="6" t="s">
        <v>30</v>
      </c>
      <c r="C58" s="6" t="s">
        <v>128</v>
      </c>
      <c r="D58" s="7"/>
      <c r="E58" s="8">
        <v>10530103</v>
      </c>
      <c r="F58" s="6" t="s">
        <v>32</v>
      </c>
      <c r="G58" s="9">
        <v>8</v>
      </c>
      <c r="H58" s="6">
        <v>1500</v>
      </c>
      <c r="I58" s="6">
        <v>12000</v>
      </c>
      <c r="J58" s="6" t="s">
        <v>24</v>
      </c>
      <c r="K58" s="6"/>
      <c r="L58" s="8"/>
      <c r="M58" s="6"/>
      <c r="N58" s="6" t="s">
        <v>77</v>
      </c>
      <c r="O58" s="11" t="s">
        <v>27</v>
      </c>
      <c r="P58" s="11" t="s">
        <v>34</v>
      </c>
      <c r="Q58" s="10">
        <v>46112</v>
      </c>
      <c r="R58" s="11">
        <v>10909</v>
      </c>
      <c r="S58" s="6">
        <v>1091</v>
      </c>
      <c r="T58" s="6"/>
      <c r="U58" s="12">
        <v>16</v>
      </c>
    </row>
    <row r="59" spans="1:21" x14ac:dyDescent="0.25">
      <c r="A59" s="13">
        <v>46110</v>
      </c>
      <c r="B59" s="14" t="s">
        <v>30</v>
      </c>
      <c r="C59" s="14" t="s">
        <v>131</v>
      </c>
      <c r="D59" s="28"/>
      <c r="E59" s="18">
        <v>10530105</v>
      </c>
      <c r="F59" s="6" t="s">
        <v>32</v>
      </c>
      <c r="G59" s="17">
        <v>5</v>
      </c>
      <c r="H59" s="14">
        <v>1500</v>
      </c>
      <c r="I59" s="14">
        <v>7500</v>
      </c>
      <c r="J59" s="14" t="s">
        <v>24</v>
      </c>
      <c r="K59" s="14"/>
      <c r="L59" s="18"/>
      <c r="M59" s="14"/>
      <c r="N59" s="14" t="s">
        <v>77</v>
      </c>
      <c r="O59" s="19" t="s">
        <v>27</v>
      </c>
      <c r="P59" s="19" t="s">
        <v>34</v>
      </c>
      <c r="Q59" s="20">
        <v>46112</v>
      </c>
      <c r="R59" s="19">
        <v>3000</v>
      </c>
      <c r="S59" s="14">
        <v>4500</v>
      </c>
      <c r="T59" s="14"/>
      <c r="U59" s="21">
        <v>16</v>
      </c>
    </row>
    <row r="60" spans="1:21" x14ac:dyDescent="0.25">
      <c r="A60" s="5">
        <v>46102</v>
      </c>
      <c r="B60" s="6" t="s">
        <v>132</v>
      </c>
      <c r="C60" s="6" t="s">
        <v>133</v>
      </c>
      <c r="D60" s="7"/>
      <c r="E60" s="8">
        <v>10070026</v>
      </c>
      <c r="F60" s="6" t="s">
        <v>23</v>
      </c>
      <c r="G60" s="9">
        <v>360</v>
      </c>
      <c r="H60" s="6">
        <v>1300</v>
      </c>
      <c r="I60" s="6">
        <v>468000</v>
      </c>
      <c r="J60" s="6" t="s">
        <v>24</v>
      </c>
      <c r="K60" s="6" t="s">
        <v>134</v>
      </c>
      <c r="L60" s="8"/>
      <c r="M60" s="6"/>
      <c r="N60" s="6" t="s">
        <v>77</v>
      </c>
      <c r="O60" s="11" t="s">
        <v>135</v>
      </c>
      <c r="P60" s="11"/>
      <c r="Q60" s="10">
        <v>46116</v>
      </c>
      <c r="R60" s="11">
        <v>444011</v>
      </c>
      <c r="S60" s="6">
        <v>23989</v>
      </c>
      <c r="T60" s="6" t="s">
        <v>136</v>
      </c>
      <c r="U60" s="12">
        <v>24</v>
      </c>
    </row>
    <row r="61" spans="1:21" x14ac:dyDescent="0.25">
      <c r="A61" s="13">
        <v>46109</v>
      </c>
      <c r="B61" s="14" t="s">
        <v>47</v>
      </c>
      <c r="C61" s="26" t="s">
        <v>137</v>
      </c>
      <c r="D61" s="32"/>
      <c r="E61" s="16">
        <v>10330001</v>
      </c>
      <c r="F61" s="6" t="s">
        <v>23</v>
      </c>
      <c r="G61" s="17">
        <v>5</v>
      </c>
      <c r="H61" s="14">
        <v>1300</v>
      </c>
      <c r="I61" s="14">
        <v>6500</v>
      </c>
      <c r="J61" s="14" t="s">
        <v>24</v>
      </c>
      <c r="K61" s="14"/>
      <c r="L61" s="18"/>
      <c r="M61" s="14"/>
      <c r="N61" s="14" t="s">
        <v>77</v>
      </c>
      <c r="O61" s="19"/>
      <c r="P61" s="19"/>
      <c r="Q61" s="20"/>
      <c r="R61" s="19"/>
      <c r="S61" s="14">
        <v>6500</v>
      </c>
      <c r="T61" s="14"/>
      <c r="U61" s="21">
        <v>17</v>
      </c>
    </row>
    <row r="62" spans="1:21" x14ac:dyDescent="0.25">
      <c r="A62" s="5">
        <v>46091</v>
      </c>
      <c r="B62" s="6" t="s">
        <v>62</v>
      </c>
      <c r="C62" s="6" t="s">
        <v>63</v>
      </c>
      <c r="D62" s="7"/>
      <c r="E62" s="8">
        <v>10580018</v>
      </c>
      <c r="F62" s="6" t="s">
        <v>23</v>
      </c>
      <c r="G62" s="9">
        <v>2</v>
      </c>
      <c r="H62" s="6">
        <v>1300</v>
      </c>
      <c r="I62" s="6">
        <v>2600</v>
      </c>
      <c r="J62" s="6" t="s">
        <v>24</v>
      </c>
      <c r="K62" s="6"/>
      <c r="L62" s="8"/>
      <c r="M62" s="6"/>
      <c r="N62" s="6" t="s">
        <v>77</v>
      </c>
      <c r="O62" s="11"/>
      <c r="P62" s="11"/>
      <c r="Q62" s="10"/>
      <c r="R62" s="11"/>
      <c r="S62" s="6">
        <v>2600</v>
      </c>
      <c r="T62" s="6"/>
      <c r="U62" s="12">
        <v>35</v>
      </c>
    </row>
    <row r="63" spans="1:21" x14ac:dyDescent="0.25">
      <c r="A63" s="13">
        <v>46107</v>
      </c>
      <c r="B63" s="14" t="s">
        <v>62</v>
      </c>
      <c r="C63" s="14" t="s">
        <v>138</v>
      </c>
      <c r="D63" s="28"/>
      <c r="E63" s="18">
        <v>10580002</v>
      </c>
      <c r="F63" s="6" t="s">
        <v>23</v>
      </c>
      <c r="G63" s="17">
        <v>1</v>
      </c>
      <c r="H63" s="14">
        <v>1300</v>
      </c>
      <c r="I63" s="14">
        <v>1300</v>
      </c>
      <c r="J63" s="14" t="s">
        <v>24</v>
      </c>
      <c r="K63" s="14"/>
      <c r="L63" s="18"/>
      <c r="M63" s="14"/>
      <c r="N63" s="14" t="s">
        <v>77</v>
      </c>
      <c r="O63" s="19"/>
      <c r="P63" s="19"/>
      <c r="Q63" s="20"/>
      <c r="R63" s="19"/>
      <c r="S63" s="14">
        <v>1300</v>
      </c>
      <c r="T63" s="14"/>
      <c r="U63" s="21">
        <v>19</v>
      </c>
    </row>
    <row r="64" spans="1:21" x14ac:dyDescent="0.25">
      <c r="A64" s="5">
        <v>46109</v>
      </c>
      <c r="B64" s="6" t="s">
        <v>35</v>
      </c>
      <c r="C64" s="30" t="s">
        <v>139</v>
      </c>
      <c r="D64" s="24"/>
      <c r="E64" s="25">
        <v>10130012</v>
      </c>
      <c r="F64" s="6" t="s">
        <v>32</v>
      </c>
      <c r="G64" s="9">
        <v>5</v>
      </c>
      <c r="H64" s="6">
        <v>1500</v>
      </c>
      <c r="I64" s="6">
        <v>7500</v>
      </c>
      <c r="J64" s="6" t="s">
        <v>24</v>
      </c>
      <c r="K64" s="6"/>
      <c r="L64" s="8"/>
      <c r="M64" s="6"/>
      <c r="N64" s="6" t="s">
        <v>77</v>
      </c>
      <c r="O64" s="11"/>
      <c r="P64" s="11"/>
      <c r="Q64" s="10"/>
      <c r="R64" s="11"/>
      <c r="S64" s="6">
        <v>7500</v>
      </c>
      <c r="T64" s="6"/>
      <c r="U64" s="12">
        <v>17</v>
      </c>
    </row>
    <row r="65" spans="1:21" x14ac:dyDescent="0.25">
      <c r="A65" s="13">
        <v>46110</v>
      </c>
      <c r="B65" s="14" t="s">
        <v>35</v>
      </c>
      <c r="C65" s="26" t="s">
        <v>139</v>
      </c>
      <c r="D65" s="15"/>
      <c r="E65" s="16">
        <v>10130012</v>
      </c>
      <c r="F65" s="6" t="s">
        <v>23</v>
      </c>
      <c r="G65" s="17">
        <v>5</v>
      </c>
      <c r="H65" s="14">
        <v>1350</v>
      </c>
      <c r="I65" s="14">
        <v>6750</v>
      </c>
      <c r="J65" s="14" t="s">
        <v>24</v>
      </c>
      <c r="K65" s="14"/>
      <c r="L65" s="18"/>
      <c r="M65" s="14"/>
      <c r="N65" s="14" t="s">
        <v>77</v>
      </c>
      <c r="O65" s="19"/>
      <c r="P65" s="19"/>
      <c r="Q65" s="20"/>
      <c r="R65" s="19"/>
      <c r="S65" s="14">
        <v>6750</v>
      </c>
      <c r="T65" s="14"/>
      <c r="U65" s="21">
        <v>16</v>
      </c>
    </row>
    <row r="66" spans="1:21" x14ac:dyDescent="0.25">
      <c r="A66" s="5">
        <v>46103</v>
      </c>
      <c r="B66" s="6" t="s">
        <v>59</v>
      </c>
      <c r="C66" s="30" t="s">
        <v>140</v>
      </c>
      <c r="D66" s="31" t="s">
        <v>141</v>
      </c>
      <c r="E66" s="25">
        <v>10080002</v>
      </c>
      <c r="F66" s="6" t="s">
        <v>23</v>
      </c>
      <c r="G66" s="9">
        <v>20</v>
      </c>
      <c r="H66" s="6">
        <v>1300</v>
      </c>
      <c r="I66" s="6">
        <v>26000</v>
      </c>
      <c r="J66" s="6" t="s">
        <v>24</v>
      </c>
      <c r="K66" s="6"/>
      <c r="L66" s="8"/>
      <c r="M66" s="6"/>
      <c r="N66" s="6" t="s">
        <v>77</v>
      </c>
      <c r="O66" s="11" t="s">
        <v>27</v>
      </c>
      <c r="P66" s="11" t="s">
        <v>34</v>
      </c>
      <c r="Q66" s="10">
        <v>46112</v>
      </c>
      <c r="R66" s="11">
        <v>7842</v>
      </c>
      <c r="S66" s="6">
        <v>18158</v>
      </c>
      <c r="T66" s="6"/>
      <c r="U66" s="12">
        <v>23</v>
      </c>
    </row>
    <row r="67" spans="1:21" x14ac:dyDescent="0.25">
      <c r="A67" s="13">
        <v>46108</v>
      </c>
      <c r="B67" s="14" t="s">
        <v>52</v>
      </c>
      <c r="C67" s="14" t="s">
        <v>142</v>
      </c>
      <c r="D67" s="28"/>
      <c r="E67" s="18">
        <v>10510002</v>
      </c>
      <c r="F67" s="6" t="s">
        <v>23</v>
      </c>
      <c r="G67" s="17">
        <v>5</v>
      </c>
      <c r="H67" s="14">
        <v>1280</v>
      </c>
      <c r="I67" s="14">
        <v>6400</v>
      </c>
      <c r="J67" s="14" t="s">
        <v>24</v>
      </c>
      <c r="K67" s="14"/>
      <c r="L67" s="18"/>
      <c r="M67" s="14"/>
      <c r="N67" s="14" t="s">
        <v>77</v>
      </c>
      <c r="O67" s="19"/>
      <c r="P67" s="19"/>
      <c r="Q67" s="20"/>
      <c r="R67" s="19"/>
      <c r="S67" s="14">
        <v>6400</v>
      </c>
      <c r="T67" s="14"/>
      <c r="U67" s="21">
        <v>18</v>
      </c>
    </row>
    <row r="68" spans="1:21" x14ac:dyDescent="0.25">
      <c r="A68" s="5">
        <v>46110</v>
      </c>
      <c r="B68" s="6" t="s">
        <v>52</v>
      </c>
      <c r="C68" s="6" t="s">
        <v>143</v>
      </c>
      <c r="D68" s="7"/>
      <c r="E68" s="8">
        <v>10140179</v>
      </c>
      <c r="F68" s="6" t="s">
        <v>23</v>
      </c>
      <c r="G68" s="9">
        <v>10</v>
      </c>
      <c r="H68" s="6">
        <v>1280</v>
      </c>
      <c r="I68" s="6">
        <v>12800</v>
      </c>
      <c r="J68" s="6" t="s">
        <v>24</v>
      </c>
      <c r="K68" s="6"/>
      <c r="L68" s="8"/>
      <c r="M68" s="6"/>
      <c r="N68" s="6" t="s">
        <v>77</v>
      </c>
      <c r="O68" s="11"/>
      <c r="P68" s="11"/>
      <c r="Q68" s="10"/>
      <c r="R68" s="11"/>
      <c r="S68" s="6">
        <v>12800</v>
      </c>
      <c r="T68" s="6"/>
      <c r="U68" s="12">
        <v>16</v>
      </c>
    </row>
    <row r="69" spans="1:21" x14ac:dyDescent="0.25">
      <c r="A69" s="13">
        <v>46110</v>
      </c>
      <c r="B69" s="14" t="s">
        <v>52</v>
      </c>
      <c r="C69" s="26" t="s">
        <v>53</v>
      </c>
      <c r="D69" s="15"/>
      <c r="E69" s="16">
        <v>10140011</v>
      </c>
      <c r="F69" s="6" t="s">
        <v>23</v>
      </c>
      <c r="G69" s="17">
        <v>1</v>
      </c>
      <c r="H69" s="14">
        <v>1270</v>
      </c>
      <c r="I69" s="14">
        <v>1270</v>
      </c>
      <c r="J69" s="14" t="s">
        <v>24</v>
      </c>
      <c r="K69" s="14"/>
      <c r="L69" s="18"/>
      <c r="M69" s="14"/>
      <c r="N69" s="14" t="s">
        <v>77</v>
      </c>
      <c r="O69" s="19"/>
      <c r="P69" s="19"/>
      <c r="Q69" s="20"/>
      <c r="R69" s="19"/>
      <c r="S69" s="14">
        <v>1270</v>
      </c>
      <c r="T69" s="14"/>
      <c r="U69" s="21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2026-04-14T08:38:08Z</dcterms:created>
  <dcterms:modified xsi:type="dcterms:W3CDTF">2026-04-17T09:31:50Z</dcterms:modified>
</cp:coreProperties>
</file>