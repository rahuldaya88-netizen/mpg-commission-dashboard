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2-18 Jun'26\Collection Data\"/>
    </mc:Choice>
  </mc:AlternateContent>
  <xr:revisionPtr revIDLastSave="0" documentId="13_ncr:1_{EDDDA45E-3919-427F-B459-E7DEB26DB4F0}" xr6:coauthVersionLast="47" xr6:coauthVersionMax="47" xr10:uidLastSave="{00000000-0000-0000-0000-000000000000}"/>
  <bookViews>
    <workbookView xWindow="-120" yWindow="-120" windowWidth="29040" windowHeight="15720" xr2:uid="{BB8A47D1-E7F0-4C4A-A6BD-385DC32F6598}"/>
  </bookViews>
  <sheets>
    <sheet name="Sheet2" sheetId="2" r:id="rId1"/>
    <sheet name="Sheet1" sheetId="1" r:id="rId2"/>
  </sheets>
  <calcPr calcId="191029"/>
  <pivotCaches>
    <pivotCache cacheId="10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<sst xmlns="http://schemas.openxmlformats.org/spreadsheetml/2006/main" count="76" uniqueCount="43">
  <si>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</si>
  <si>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</si>
  <si>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</si>
  <si>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</si>
  <si>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</si>
  <si>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</si>
  <si>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</si>
  <si>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</si>
  <si>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</si>
  <si>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</si>
  <si>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</si>
  <si>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</si>
  <si>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</si>
  <si>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</si>
  <si>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</si>
  <si>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</si>
  <si>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</si>
  <si>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</si>
  <si>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Chanho</t>
  </si>
  <si>
    <t>Gomukh Gold 50KG</t>
  </si>
  <si>
    <t>Bag</t>
  </si>
  <si>
    <t>Naudi</t>
  </si>
  <si>
    <t>Daya Society</t>
  </si>
  <si>
    <t>Farmer Payment</t>
  </si>
  <si>
    <t>27 Feb - 05 Mar &amp; 06-12 Mar 13-19 Mar 20-26 Mar, 27-31 Mar</t>
  </si>
  <si>
    <t>Pali</t>
  </si>
  <si>
    <t>DHONTHA TOLI</t>
  </si>
  <si>
    <t>Paali</t>
  </si>
  <si>
    <t>05-06-2026 to 11-06-2026</t>
  </si>
  <si>
    <t>22-5-2026 to 28-5-2026 &amp; 29-04 june &amp; 5-11 June</t>
  </si>
  <si>
    <t>28-May-2026 &amp; 11-6-2026</t>
  </si>
  <si>
    <t>Chuttu</t>
  </si>
  <si>
    <t>CHUTTU</t>
  </si>
  <si>
    <t>ORMANJHI</t>
  </si>
  <si>
    <t>Piragutu</t>
  </si>
  <si>
    <t>PIRAGUTU</t>
  </si>
  <si>
    <t>ITKI</t>
  </si>
  <si>
    <t>Itki</t>
  </si>
  <si>
    <t>Erchoro</t>
  </si>
  <si>
    <t>29-05-2026 to 04-06-2026</t>
  </si>
  <si>
    <t>Total</t>
  </si>
  <si>
    <t>Grand Total</t>
  </si>
  <si>
    <t>Sum of Balance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</si>
</sst>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535FC1"/>
      <name val="Roboto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35FC1"/>
        <bgColor rgb="FF535FC1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vertical="center"/>
    </xf>
    <xf numFmtId="0" fontId="0" fillId="0" borderId="0" xfId="0" pivotButton="1"/>
    <xf numFmtId="0" fontId="0" fillId="0" borderId="0" xfId="0" applyNumberFormat="1"/>
    <xf numFmtId="0" fontId="7" fillId="6" borderId="2" xfId="0" applyFont="1" applyFill="1" applyBorder="1"/>
    <xf numFmtId="0" fontId="7" fillId="6" borderId="3" xfId="0" applyFont="1" applyFill="1" applyBorder="1"/>
    <xf numFmtId="0" fontId="7" fillId="6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95.692951157405" createdVersion="8" refreshedVersion="8" minRefreshableVersion="3" recordCount="7" xr:uid="{A4F509C6-9881-42F8-8597-A76D9DD8893D}">
  <cacheSource type="worksheet">
    <worksheetSource ref="A1:R8" sheet="Sheet1"/>
  </cacheSource>
  <cacheFields count="18"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20010001" maxValue="20090003" count="7">
        <n v="20090003"/>
        <n v="20020011"/>
        <n v="20020001"/>
        <n v="20060004"/>
        <n v="20070001"/>
        <n v="20010001"/>
        <n v="20010008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String="0" containsBlank="1" containsNumber="1" containsInteger="1" minValue="0" maxValue="0"/>
    </cacheField>
    <cacheField name="Qty" numFmtId="0">
      <sharedItems containsSemiMixedTypes="0" containsString="0" containsNumber="1" containsInteger="1" minValue="2" maxValue="100"/>
    </cacheField>
    <cacheField name="Rate" numFmtId="0">
      <sharedItems containsSemiMixedTypes="0" containsString="0" containsNumber="1" containsInteger="1" minValue="1200" maxValue="1250"/>
    </cacheField>
    <cacheField name="Total Amount" numFmtId="0">
      <sharedItems containsSemiMixedTypes="0" containsString="0" containsNumber="1" containsInteger="1" minValue="2500" maxValue="120000"/>
    </cacheField>
    <cacheField name="Payment Mode" numFmtId="0">
      <sharedItems containsBlank="1"/>
    </cacheField>
    <cacheField name="Cycle" numFmtId="0">
      <sharedItems containsBlank="1"/>
    </cacheField>
    <cacheField name="Payment Date" numFmtId="0">
      <sharedItems containsDate="1" containsBlank="1" containsMixedTypes="1" minDate="2026-03-05T00:00:00" maxDate="2026-06-12T00:00:00"/>
    </cacheField>
    <cacheField name="Payment Amount" numFmtId="0">
      <sharedItems containsString="0" containsBlank="1" containsNumber="1" containsInteger="1" minValue="1812" maxValue="28344"/>
    </cacheField>
    <cacheField name="Balance Due" numFmtId="0">
      <sharedItems containsSemiMixedTypes="0" containsString="0" containsNumber="1" containsInteger="1" minValue="688" maxValue="120000"/>
    </cacheField>
    <cacheField name="Remarks" numFmtId="0">
      <sharedItems containsNonDate="0" containsString="0" containsBlank="1"/>
    </cacheField>
    <cacheField name="Agening" numFmtId="0">
      <sharedItems containsSemiMixedTypes="0" containsString="0" containsNumber="1" containsInteger="1" minValue="21" maxValue="1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Chanho"/>
    <s v="Gomukh Gold 50KG"/>
    <s v="Bag"/>
    <x v="0"/>
    <s v="Naudi"/>
    <s v="Chanho"/>
    <s v="Daya Society"/>
    <m/>
    <n v="10"/>
    <n v="1250"/>
    <n v="12500"/>
    <s v="Farmer Payment"/>
    <s v="27 Feb - 05 Mar &amp; 06-12 Mar 13-19 Mar 20-26 Mar, 27-31 Mar"/>
    <d v="2026-03-05T00:00:00"/>
    <n v="9956"/>
    <n v="2544"/>
    <m/>
    <n v="106"/>
  </r>
  <r>
    <s v="Pali"/>
    <s v="Gomukh Gold 50KG"/>
    <s v="Bag"/>
    <x v="1"/>
    <s v="DHONTHA TOLI"/>
    <s v="Paali"/>
    <s v="Daya Society"/>
    <m/>
    <n v="2"/>
    <n v="1250"/>
    <n v="2500"/>
    <s v="Farmer Payment"/>
    <s v="05-06-2026 to 11-06-2026"/>
    <d v="2026-06-11T00:00:00"/>
    <n v="1812"/>
    <n v="688"/>
    <m/>
    <n v="24"/>
  </r>
  <r>
    <s v="Pali"/>
    <s v="Gomukh Gold 50KG"/>
    <s v="Bag"/>
    <x v="2"/>
    <s v="Paali"/>
    <s v="Paali"/>
    <s v="Daya Society"/>
    <m/>
    <n v="26"/>
    <n v="1250"/>
    <n v="32500"/>
    <s v="Farmer Payment"/>
    <s v="22-5-2026 to 28-5-2026 &amp; 29-04 june &amp; 5-11 June"/>
    <s v="28-May-2026 &amp; 11-6-2026"/>
    <n v="28344"/>
    <n v="4156"/>
    <m/>
    <n v="24"/>
  </r>
  <r>
    <s v="Chuttu"/>
    <s v="Gomukh Gold 50KG"/>
    <s v="Bag"/>
    <x v="3"/>
    <s v="CHUTTU"/>
    <s v="ORMANJHI"/>
    <s v="Daya Society"/>
    <n v="0"/>
    <n v="20"/>
    <n v="1250"/>
    <n v="25000"/>
    <m/>
    <m/>
    <m/>
    <m/>
    <n v="25000"/>
    <m/>
    <n v="21"/>
  </r>
  <r>
    <s v="Piragutu"/>
    <s v="Gomukh Gold 50KG"/>
    <s v="Bag"/>
    <x v="4"/>
    <s v="PIRAGUTU"/>
    <s v="PIRAGUTU"/>
    <s v="Daya Society"/>
    <n v="0"/>
    <n v="10"/>
    <n v="1250"/>
    <n v="12500"/>
    <m/>
    <m/>
    <m/>
    <m/>
    <n v="12500"/>
    <m/>
    <n v="21"/>
  </r>
  <r>
    <s v="ITKI"/>
    <s v="Gomukh Gold 50KG"/>
    <s v="Bag"/>
    <x v="5"/>
    <s v="Itki"/>
    <s v="Itki"/>
    <s v="Daya Society"/>
    <n v="0"/>
    <n v="100"/>
    <n v="1200"/>
    <n v="120000"/>
    <m/>
    <m/>
    <m/>
    <m/>
    <n v="120000"/>
    <m/>
    <n v="21"/>
  </r>
  <r>
    <s v="Erchoro"/>
    <s v="Gomukh Gold 50KG"/>
    <s v="Bag"/>
    <x v="6"/>
    <s v="Erchoro"/>
    <s v="Itki"/>
    <s v="Daya Society"/>
    <n v="0"/>
    <n v="20"/>
    <n v="1250"/>
    <n v="25000"/>
    <s v="Farmer Payment"/>
    <s v="29-05-2026 to 04-06-2026"/>
    <d v="2026-06-04T00:00:00"/>
    <n v="11250"/>
    <n v="13750"/>
    <m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B47C9-6A98-4CF7-BF20-E11AC78BF970}" name="PivotTable5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2" firstHeaderRow="2" firstDataRow="2" firstDataCol="1"/>
  <pivotFields count="18"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6"/>
        <item x="2"/>
        <item x="1"/>
        <item x="3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Balance Du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60AB-64C0-4425-B998-667B3D0F97B7}">
  <dimension ref="A3:F12"/>
  <sheetViews>
    <sheetView tabSelected="1" workbookViewId="0">
      <selection activeCell="F5" sqref="F5"/>
    </sheetView>
  </sheetViews>
  <sheetFormatPr defaultRowHeight="15" x14ac:dyDescent="0.25"/>
  <cols>
    <col min="1" max="1" width="18.7109375" bestFit="1" customWidth="1"/>
    <col min="2" max="2" width="7" bestFit="1" customWidth="1"/>
  </cols>
  <sheetData>
    <row r="3" spans="1:6" x14ac:dyDescent="0.25">
      <c r="A3" s="11" t="s">
        <v>42</v>
      </c>
    </row>
    <row r="4" spans="1:6" x14ac:dyDescent="0.25">
      <c r="A4" s="11" t="s">
        <v>3</v>
      </c>
      <c r="B4" t="s">
        <v>40</v>
      </c>
      <c r="E4" s="13" t="s">
        <v>3</v>
      </c>
      <c r="F4" s="13" t="s">
        <v>40</v>
      </c>
    </row>
    <row r="5" spans="1:6" x14ac:dyDescent="0.25">
      <c r="A5">
        <v>20010001</v>
      </c>
      <c r="B5" s="12">
        <v>120000</v>
      </c>
      <c r="E5">
        <v>20010001</v>
      </c>
      <c r="F5" s="12">
        <v>120000</v>
      </c>
    </row>
    <row r="6" spans="1:6" x14ac:dyDescent="0.25">
      <c r="A6">
        <v>20010008</v>
      </c>
      <c r="B6" s="12">
        <v>13750</v>
      </c>
      <c r="E6">
        <v>20010008</v>
      </c>
      <c r="F6" s="12">
        <v>13750</v>
      </c>
    </row>
    <row r="7" spans="1:6" x14ac:dyDescent="0.25">
      <c r="A7">
        <v>20020001</v>
      </c>
      <c r="B7" s="12">
        <v>4156</v>
      </c>
      <c r="E7">
        <v>20020001</v>
      </c>
      <c r="F7" s="12">
        <v>4156</v>
      </c>
    </row>
    <row r="8" spans="1:6" x14ac:dyDescent="0.25">
      <c r="A8">
        <v>20020011</v>
      </c>
      <c r="B8" s="12">
        <v>688</v>
      </c>
      <c r="E8">
        <v>20020011</v>
      </c>
      <c r="F8" s="12">
        <v>688</v>
      </c>
    </row>
    <row r="9" spans="1:6" x14ac:dyDescent="0.25">
      <c r="A9">
        <v>20060004</v>
      </c>
      <c r="B9" s="12">
        <v>25000</v>
      </c>
      <c r="E9">
        <v>20060004</v>
      </c>
      <c r="F9" s="12">
        <v>25000</v>
      </c>
    </row>
    <row r="10" spans="1:6" x14ac:dyDescent="0.25">
      <c r="A10">
        <v>20070001</v>
      </c>
      <c r="B10" s="12">
        <v>12500</v>
      </c>
      <c r="E10">
        <v>20070001</v>
      </c>
      <c r="F10" s="12">
        <v>12500</v>
      </c>
    </row>
    <row r="11" spans="1:6" x14ac:dyDescent="0.25">
      <c r="A11">
        <v>20090003</v>
      </c>
      <c r="B11" s="12">
        <v>2544</v>
      </c>
      <c r="E11">
        <v>20090003</v>
      </c>
      <c r="F11" s="12">
        <v>2544</v>
      </c>
    </row>
    <row r="12" spans="1:6" x14ac:dyDescent="0.25">
      <c r="A12" t="s">
        <v>41</v>
      </c>
      <c r="B12" s="12">
        <v>178638</v>
      </c>
      <c r="E12" s="14" t="s">
        <v>41</v>
      </c>
      <c r="F12" s="15">
        <v>178638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D561-3602-41C2-86F5-F23B7EFED847}">
  <dimension ref="A1:R8"/>
  <sheetViews>
    <sheetView workbookViewId="0">
      <selection activeCell="P2" sqref="P2:P8"/>
    </sheetView>
  </sheetViews>
  <sheetFormatPr defaultRowHeight="15" x14ac:dyDescent="0.25"/>
  <cols>
    <col min="1" max="1" width="7.85546875" bestFit="1" customWidth="1"/>
    <col min="2" max="2" width="18" bestFit="1" customWidth="1"/>
    <col min="3" max="3" width="4.85546875" bestFit="1" customWidth="1"/>
    <col min="4" max="4" width="9.5703125" bestFit="1" customWidth="1"/>
    <col min="5" max="5" width="14.42578125" bestFit="1" customWidth="1"/>
    <col min="6" max="6" width="10.42578125" bestFit="1" customWidth="1"/>
    <col min="7" max="7" width="12.140625" bestFit="1" customWidth="1"/>
    <col min="8" max="8" width="9.85546875" bestFit="1" customWidth="1"/>
    <col min="9" max="9" width="4" bestFit="1" customWidth="1"/>
    <col min="10" max="10" width="5" bestFit="1" customWidth="1"/>
    <col min="11" max="11" width="12" bestFit="1" customWidth="1"/>
    <col min="12" max="12" width="15" bestFit="1" customWidth="1"/>
    <col min="13" max="13" width="53.42578125" bestFit="1" customWidth="1"/>
    <col min="14" max="14" width="22.7109375" bestFit="1" customWidth="1"/>
    <col min="15" max="15" width="15" bestFit="1" customWidth="1"/>
    <col min="16" max="16" width="11.28515625" bestFit="1" customWidth="1"/>
    <col min="17" max="17" width="8.28515625" bestFit="1" customWidth="1"/>
    <col min="18" max="18" width="7.5703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5" t="s">
        <v>18</v>
      </c>
      <c r="B2" s="5" t="s">
        <v>19</v>
      </c>
      <c r="C2" s="5" t="s">
        <v>20</v>
      </c>
      <c r="D2" s="5">
        <v>20090003</v>
      </c>
      <c r="E2" s="5" t="s">
        <v>21</v>
      </c>
      <c r="F2" s="5" t="s">
        <v>18</v>
      </c>
      <c r="G2" s="5" t="s">
        <v>22</v>
      </c>
      <c r="H2" s="5"/>
      <c r="I2" s="5">
        <v>10</v>
      </c>
      <c r="J2" s="7">
        <v>1250</v>
      </c>
      <c r="K2" s="5">
        <v>12500</v>
      </c>
      <c r="L2" s="5" t="s">
        <v>23</v>
      </c>
      <c r="M2" s="5" t="s">
        <v>24</v>
      </c>
      <c r="N2" s="6">
        <v>46086</v>
      </c>
      <c r="O2" s="5">
        <v>9956</v>
      </c>
      <c r="P2" s="5">
        <v>2544</v>
      </c>
      <c r="Q2" s="5"/>
      <c r="R2" s="5">
        <v>106</v>
      </c>
    </row>
    <row r="3" spans="1:18" x14ac:dyDescent="0.25">
      <c r="A3" s="5" t="s">
        <v>25</v>
      </c>
      <c r="B3" s="5" t="s">
        <v>19</v>
      </c>
      <c r="C3" s="5" t="s">
        <v>20</v>
      </c>
      <c r="D3" s="5">
        <v>20020011</v>
      </c>
      <c r="E3" s="5" t="s">
        <v>26</v>
      </c>
      <c r="F3" s="5" t="s">
        <v>27</v>
      </c>
      <c r="G3" s="5" t="s">
        <v>22</v>
      </c>
      <c r="H3" s="5"/>
      <c r="I3" s="5">
        <v>2</v>
      </c>
      <c r="J3" s="7">
        <v>1250</v>
      </c>
      <c r="K3" s="5">
        <v>2500</v>
      </c>
      <c r="L3" s="5" t="s">
        <v>23</v>
      </c>
      <c r="M3" s="8" t="s">
        <v>28</v>
      </c>
      <c r="N3" s="6">
        <v>46184</v>
      </c>
      <c r="O3" s="5">
        <v>1812</v>
      </c>
      <c r="P3" s="5">
        <v>688</v>
      </c>
      <c r="Q3" s="5"/>
      <c r="R3" s="5">
        <v>24</v>
      </c>
    </row>
    <row r="4" spans="1:18" x14ac:dyDescent="0.25">
      <c r="A4" s="5" t="s">
        <v>25</v>
      </c>
      <c r="B4" s="5" t="s">
        <v>19</v>
      </c>
      <c r="C4" s="5" t="s">
        <v>20</v>
      </c>
      <c r="D4" s="5">
        <v>20020001</v>
      </c>
      <c r="E4" s="5" t="s">
        <v>27</v>
      </c>
      <c r="F4" s="5" t="s">
        <v>27</v>
      </c>
      <c r="G4" s="5" t="s">
        <v>22</v>
      </c>
      <c r="H4" s="5"/>
      <c r="I4" s="5">
        <v>26</v>
      </c>
      <c r="J4" s="7">
        <v>1250</v>
      </c>
      <c r="K4" s="5">
        <v>32500</v>
      </c>
      <c r="L4" s="5" t="s">
        <v>23</v>
      </c>
      <c r="M4" s="9" t="s">
        <v>29</v>
      </c>
      <c r="N4" s="5" t="s">
        <v>30</v>
      </c>
      <c r="O4" s="5">
        <v>28344</v>
      </c>
      <c r="P4" s="5">
        <v>4156</v>
      </c>
      <c r="Q4" s="5"/>
      <c r="R4" s="5">
        <v>24</v>
      </c>
    </row>
    <row r="5" spans="1:18" x14ac:dyDescent="0.25">
      <c r="A5" s="5" t="s">
        <v>31</v>
      </c>
      <c r="B5" s="5" t="s">
        <v>19</v>
      </c>
      <c r="C5" s="5" t="s">
        <v>20</v>
      </c>
      <c r="D5" s="5">
        <v>20060004</v>
      </c>
      <c r="E5" s="5" t="s">
        <v>32</v>
      </c>
      <c r="F5" s="5" t="s">
        <v>33</v>
      </c>
      <c r="G5" s="5" t="s">
        <v>22</v>
      </c>
      <c r="H5" s="5">
        <v>0</v>
      </c>
      <c r="I5" s="5">
        <v>20</v>
      </c>
      <c r="J5" s="7">
        <v>1250</v>
      </c>
      <c r="K5" s="5">
        <v>25000</v>
      </c>
      <c r="L5" s="5"/>
      <c r="M5" s="5"/>
      <c r="N5" s="6"/>
      <c r="O5" s="5"/>
      <c r="P5" s="5">
        <v>25000</v>
      </c>
      <c r="Q5" s="5"/>
      <c r="R5" s="5">
        <v>21</v>
      </c>
    </row>
    <row r="6" spans="1:18" x14ac:dyDescent="0.25">
      <c r="A6" s="5" t="s">
        <v>34</v>
      </c>
      <c r="B6" s="5" t="s">
        <v>19</v>
      </c>
      <c r="C6" s="5" t="s">
        <v>20</v>
      </c>
      <c r="D6" s="5">
        <v>20070001</v>
      </c>
      <c r="E6" s="5" t="s">
        <v>35</v>
      </c>
      <c r="F6" s="5" t="s">
        <v>35</v>
      </c>
      <c r="G6" s="5" t="s">
        <v>22</v>
      </c>
      <c r="H6" s="5">
        <v>0</v>
      </c>
      <c r="I6" s="5">
        <v>10</v>
      </c>
      <c r="J6" s="7">
        <v>1250</v>
      </c>
      <c r="K6" s="5">
        <v>12500</v>
      </c>
      <c r="L6" s="5"/>
      <c r="M6" s="5"/>
      <c r="N6" s="6"/>
      <c r="O6" s="5"/>
      <c r="P6" s="5">
        <v>12500</v>
      </c>
      <c r="Q6" s="5"/>
      <c r="R6" s="5">
        <v>21</v>
      </c>
    </row>
    <row r="7" spans="1:18" x14ac:dyDescent="0.25">
      <c r="A7" s="5" t="s">
        <v>36</v>
      </c>
      <c r="B7" s="5" t="s">
        <v>19</v>
      </c>
      <c r="C7" s="5" t="s">
        <v>20</v>
      </c>
      <c r="D7" s="5">
        <v>20010001</v>
      </c>
      <c r="E7" s="5" t="s">
        <v>37</v>
      </c>
      <c r="F7" s="5" t="s">
        <v>37</v>
      </c>
      <c r="G7" s="5" t="s">
        <v>22</v>
      </c>
      <c r="H7" s="5">
        <v>0</v>
      </c>
      <c r="I7" s="5">
        <v>100</v>
      </c>
      <c r="J7" s="7">
        <v>1200</v>
      </c>
      <c r="K7" s="5">
        <v>120000</v>
      </c>
      <c r="L7" s="5"/>
      <c r="M7" s="5"/>
      <c r="N7" s="6"/>
      <c r="O7" s="5"/>
      <c r="P7" s="5">
        <v>120000</v>
      </c>
      <c r="Q7" s="5"/>
      <c r="R7" s="5">
        <v>21</v>
      </c>
    </row>
    <row r="8" spans="1:18" x14ac:dyDescent="0.25">
      <c r="A8" s="5" t="s">
        <v>38</v>
      </c>
      <c r="B8" s="5" t="s">
        <v>19</v>
      </c>
      <c r="C8" s="5" t="s">
        <v>20</v>
      </c>
      <c r="D8" s="5">
        <v>20010008</v>
      </c>
      <c r="E8" s="5" t="s">
        <v>38</v>
      </c>
      <c r="F8" s="5" t="s">
        <v>37</v>
      </c>
      <c r="G8" s="5" t="s">
        <v>22</v>
      </c>
      <c r="H8" s="5">
        <v>0</v>
      </c>
      <c r="I8" s="5">
        <v>20</v>
      </c>
      <c r="J8" s="7">
        <v>1250</v>
      </c>
      <c r="K8" s="5">
        <v>25000</v>
      </c>
      <c r="L8" s="5" t="s">
        <v>23</v>
      </c>
      <c r="M8" s="10" t="s">
        <v>39</v>
      </c>
      <c r="N8" s="6">
        <v>46177</v>
      </c>
      <c r="O8" s="5">
        <v>11250</v>
      </c>
      <c r="P8" s="5">
        <v>13750</v>
      </c>
      <c r="Q8" s="5"/>
      <c r="R8" s="5">
        <v>21</v>
      </c>
    </row>
  </sheetData>
  <dataValidations count="2">
    <dataValidation type="list" allowBlank="1" sqref="B2:B8 L2:L8" xr:uid="{74FA75DC-2977-4440-8051-AA773F4F2620}">
      <formula1>#REF!</formula1>
    </dataValidation>
    <dataValidation type="custom" allowBlank="1" showDropDown="1" sqref="N2:N8" xr:uid="{02805EBD-62DC-41F9-9F3B-E7E6F997558A}">
      <formula1>OR(NOT(ISERROR(DATEVALUE(N2))), AND(ISNUMBER(N2), LEFT(CELL("format", N2))="D"))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2026-06-20T12:38:49Z</dcterms:created>
  <dcterms:modified xsi:type="dcterms:W3CDTF">2026-06-22T11:10:08Z</dcterms:modified>
</cp:coreProperties>
</file>