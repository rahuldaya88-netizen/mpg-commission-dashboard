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2-18 Jun'26\Collection Data\"/>
    </mc:Choice>
  </mc:AlternateContent>
  <xr:revisionPtr revIDLastSave="0" documentId="13_ncr:1_{2F599BB8-CEDA-49DC-B53D-262A572CAB22}" xr6:coauthVersionLast="47" xr6:coauthVersionMax="47" xr10:uidLastSave="{00000000-0000-0000-0000-000000000000}"/>
  <bookViews>
    <workbookView xWindow="-120" yWindow="-120" windowWidth="29040" windowHeight="15720" xr2:uid="{29520E85-70EC-48C2-8334-B497BCEF5AD5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0" hidden="1">Sheet2!$J$4:$O$4</definedName>
  </definedNames>
  <calcPr calcId="191029"/>
  <pivotCaches>
    <pivotCache cacheId="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1" i="2" l="1"/>
  <c r="N51" i="2"/>
  <c r="O49" i="2"/>
  <c r="N49" i="2"/>
  <c r="J40" i="2"/>
  <c r="J39" i="2"/>
  <c r="J42" i="2"/>
  <c r="J38" i="2"/>
  <c r="J37" i="2"/>
  <c r="J36" i="2"/>
  <c r="J35" i="2"/>
  <c r="J34" i="2"/>
  <c r="J33" i="2"/>
  <c r="J41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R40" i="1"/>
  <c r="O43" i="2" l="1"/>
  <c r="M38" i="2" l="1"/>
  <c r="M37" i="2"/>
  <c r="M42" i="2" l="1"/>
  <c r="M40" i="2" l="1"/>
  <c r="M39" i="2"/>
  <c r="M21" i="2" l="1"/>
  <c r="M34" i="2"/>
  <c r="M41" i="2"/>
  <c r="M32" i="2"/>
  <c r="M30" i="2"/>
  <c r="M33" i="2"/>
  <c r="M22" i="2"/>
  <c r="M26" i="2"/>
  <c r="M20" i="2"/>
  <c r="M15" i="2"/>
  <c r="M23" i="2"/>
  <c r="M16" i="2"/>
  <c r="M27" i="2"/>
  <c r="M31" i="2"/>
  <c r="M25" i="2" l="1"/>
  <c r="M24" i="2"/>
  <c r="M14" i="2"/>
  <c r="M13" i="2"/>
  <c r="M36" i="2"/>
  <c r="M35" i="2"/>
  <c r="M11" i="2"/>
  <c r="M12" i="2"/>
  <c r="M28" i="2"/>
  <c r="M29" i="2"/>
  <c r="M6" i="2"/>
  <c r="M7" i="2"/>
  <c r="M5" i="2"/>
  <c r="M8" i="2"/>
  <c r="M18" i="2"/>
  <c r="M17" i="2"/>
  <c r="M19" i="2"/>
  <c r="M9" i="2"/>
  <c r="M10" i="2"/>
</calcChain>
</file>

<file path=xl/sharedStrings.xml><?xml version="1.0" encoding="utf-8"?>
<sst xmlns="http://schemas.openxmlformats.org/spreadsheetml/2006/main" count="417" uniqueCount="120">
  <si>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</si>
  <si>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</si>
  <si>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</si>
  <si>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</si>
  <si>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</si>
  <si>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</si>
  <si>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</si>
  <si>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</si>
  <si>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</si>
  <si>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</si>
  <si>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</si>
  <si>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</si>
  <si>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</si>
  <si>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</si>
  <si>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</si>
  <si>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</si>
  <si>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</si>
  <si>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</si>
  <si>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</si>
  <si>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Amar sahu</t>
  </si>
  <si>
    <t>12-06-2026 to 18-06-2026</t>
  </si>
  <si>
    <t>Gomukh Gold 50KG</t>
  </si>
  <si>
    <t>200900230002</t>
  </si>
  <si>
    <t>KOKAR</t>
  </si>
  <si>
    <t>0002</t>
  </si>
  <si>
    <t>Chanho</t>
  </si>
  <si>
    <t>Daya Society</t>
  </si>
  <si>
    <t>200900230003</t>
  </si>
  <si>
    <t>0003</t>
  </si>
  <si>
    <t>200900080005</t>
  </si>
  <si>
    <t>GANESHPUR</t>
  </si>
  <si>
    <t>0005</t>
  </si>
  <si>
    <t>200900220002</t>
  </si>
  <si>
    <t>KATAIYA 2</t>
  </si>
  <si>
    <t>200900150002</t>
  </si>
  <si>
    <t>PAKARIYO</t>
  </si>
  <si>
    <t>200900150022</t>
  </si>
  <si>
    <t>0022</t>
  </si>
  <si>
    <t>200400010002</t>
  </si>
  <si>
    <t>CHOREYA</t>
  </si>
  <si>
    <t>200900200005</t>
  </si>
  <si>
    <t>PAKARIYO 2</t>
  </si>
  <si>
    <t>200900200002</t>
  </si>
  <si>
    <t>200100540017</t>
  </si>
  <si>
    <t>NARKOPI</t>
  </si>
  <si>
    <t>0017</t>
  </si>
  <si>
    <t>200100540021</t>
  </si>
  <si>
    <t>0021</t>
  </si>
  <si>
    <t>200900040023</t>
  </si>
  <si>
    <t>DUMRI</t>
  </si>
  <si>
    <t>0023</t>
  </si>
  <si>
    <t>Satendra kumar</t>
  </si>
  <si>
    <t>200600080002</t>
  </si>
  <si>
    <t>ADELHATU</t>
  </si>
  <si>
    <t>ORMANJHI</t>
  </si>
  <si>
    <t>200600030002</t>
  </si>
  <si>
    <t>DUMARDAGA</t>
  </si>
  <si>
    <t>200600090031</t>
  </si>
  <si>
    <t>KUCHU</t>
  </si>
  <si>
    <t>0031</t>
  </si>
  <si>
    <t>200600050003</t>
  </si>
  <si>
    <t>JIRABAR</t>
  </si>
  <si>
    <t>200600020011</t>
  </si>
  <si>
    <t>MANDRO</t>
  </si>
  <si>
    <t>0011</t>
  </si>
  <si>
    <t>200100080041</t>
  </si>
  <si>
    <t>Erchoro</t>
  </si>
  <si>
    <t>0041</t>
  </si>
  <si>
    <t>Itki</t>
  </si>
  <si>
    <t>200100080048</t>
  </si>
  <si>
    <t>0048</t>
  </si>
  <si>
    <t>200100080059</t>
  </si>
  <si>
    <t>0059</t>
  </si>
  <si>
    <t>200100080035</t>
  </si>
  <si>
    <t>0035</t>
  </si>
  <si>
    <t>200600010023</t>
  </si>
  <si>
    <t>200600010024</t>
  </si>
  <si>
    <t>0024</t>
  </si>
  <si>
    <t>200600040028</t>
  </si>
  <si>
    <t>CHUTTU</t>
  </si>
  <si>
    <t>0028</t>
  </si>
  <si>
    <t>200600040002</t>
  </si>
  <si>
    <t>Vikash</t>
  </si>
  <si>
    <t>200200020013</t>
  </si>
  <si>
    <t>Jari</t>
  </si>
  <si>
    <t>0013</t>
  </si>
  <si>
    <t>Paali</t>
  </si>
  <si>
    <t>200200020024</t>
  </si>
  <si>
    <t>200200250004</t>
  </si>
  <si>
    <t>AGRU</t>
  </si>
  <si>
    <t>0004</t>
  </si>
  <si>
    <t>200200250008</t>
  </si>
  <si>
    <t>0008</t>
  </si>
  <si>
    <t>200200250022</t>
  </si>
  <si>
    <t>200200060002</t>
  </si>
  <si>
    <t>RANIKHATANGA</t>
  </si>
  <si>
    <t>200500020056</t>
  </si>
  <si>
    <t>KANBHITHA</t>
  </si>
  <si>
    <t>0056</t>
  </si>
  <si>
    <t>200500030002</t>
  </si>
  <si>
    <t>UCHARI</t>
  </si>
  <si>
    <t>200200030002</t>
  </si>
  <si>
    <t>Bijuliya</t>
  </si>
  <si>
    <t>200300010002</t>
  </si>
  <si>
    <t>Hisri Thakurgaon</t>
  </si>
  <si>
    <t>ONLY DUE ADJUSTMENT</t>
  </si>
  <si>
    <t>200200010128</t>
  </si>
  <si>
    <t>0128</t>
  </si>
  <si>
    <t>200200010121</t>
  </si>
  <si>
    <t>0121</t>
  </si>
  <si>
    <t>200600140002</t>
  </si>
  <si>
    <t>Chiriyaghar</t>
  </si>
  <si>
    <t>Grand Total</t>
  </si>
  <si>
    <t>Sum of Final Amount</t>
  </si>
  <si>
    <t>Total</t>
  </si>
  <si>
    <t>Deduction</t>
  </si>
  <si>
    <t>Type</t>
  </si>
  <si>
    <t>Outstanding</t>
  </si>
  <si>
    <t>"A" Total</t>
  </si>
  <si>
    <t>"B"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</si>
</sst>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3E4791"/>
      </left>
      <right style="medium">
        <color rgb="FFFFFFFF"/>
      </right>
      <top style="medium">
        <color rgb="FFF6F8F9"/>
      </top>
      <bottom style="medium">
        <color rgb="FF3E4791"/>
      </bottom>
      <diagonal/>
    </border>
    <border>
      <left style="medium">
        <color rgb="FFCCCCCC"/>
      </left>
      <right style="medium">
        <color rgb="FFFFFFFF"/>
      </right>
      <top style="medium">
        <color rgb="FFF6F8F9"/>
      </top>
      <bottom style="medium">
        <color rgb="FF3E4791"/>
      </bottom>
      <diagonal/>
    </border>
    <border>
      <left style="medium">
        <color rgb="FFCCCCCC"/>
      </left>
      <right style="medium">
        <color rgb="FF3E4791"/>
      </right>
      <top style="medium">
        <color rgb="FFF6F8F9"/>
      </top>
      <bottom style="medium">
        <color rgb="FF3E479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2" fillId="2" borderId="4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165" fontId="2" fillId="2" borderId="5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49" fontId="2" fillId="2" borderId="5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2" fillId="2" borderId="5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2" fillId="2" borderId="8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22" fontId="2" fillId="4" borderId="10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14" fontId="2" fillId="4" borderId="11" xfId="0" applyNumberFormat="1" applyFont="1" applyFill="1" applyBorder="1" applyAlignment="1">
      <alignment horizontal="right" vertical="center" wrapText="1"/>
    </xf>
    <xf numFmtId="0" fontId="2" fillId="4" borderId="11" xfId="0" quotePrefix="1" applyFont="1" applyFill="1" applyBorder="1" applyAlignment="1">
      <alignment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4" fillId="4" borderId="12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0" fillId="5" borderId="0" xfId="0" applyFill="1"/>
    <xf numFmtId="0" fontId="0" fillId="0" borderId="0" xfId="0" pivotButton="1"/>
    <xf numFmtId="0" fontId="5" fillId="6" borderId="13" xfId="0" applyFont="1" applyFill="1" applyBorder="1"/>
    <xf numFmtId="0" fontId="5" fillId="6" borderId="14" xfId="0" applyFont="1" applyFill="1" applyBorder="1"/>
    <xf numFmtId="0" fontId="5" fillId="0" borderId="0" xfId="0" applyFont="1"/>
    <xf numFmtId="0" fontId="5" fillId="0" borderId="13" xfId="0" applyFont="1" applyBorder="1"/>
    <xf numFmtId="0" fontId="0" fillId="0" borderId="15" xfId="0" applyBorder="1"/>
  </cellXfs>
  <cellStyles count="1">
    <cellStyle name="Normal" xfId="0" builtinId="0"/>
  </cellStyles>
  <dxfs count="2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6ECB12F2-8C12-4AD6-9F5C-83CDBA0D9056}">
      <tableStyleElement type="wholeTable" size="0" dxfId="26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%20JH%20Farmer%20Payment-12-18%20Jun.xlsx" TargetMode="External"/><Relationship Id="rId2" Type="http://schemas.openxmlformats.org/officeDocument/2006/relationships/externalLinkPath" Target="file:///C:\Users\rahul\Desktop\Rahul%20Backup\Farmer%20Payment\FYI-26-27\Jharkhand\Farmer%20Payment\JHFRAMERPAYMENT%20%2012-18%20Jun'26\12.%20JH%20Farmer%20Payment-12-18%20Jun.xlsx" TargetMode="External"/><Relationship Id="rId1" Type="http://schemas.openxmlformats.org/officeDocument/2006/relationships/externalLinkPath" Target="/Users/rahul/Desktop/Rahul%20Backup/Farmer%20Payment/FYI-26-27/Jharkhand/Farmer%20Payment/JHFRAMERPAYMENT%20%2012-18%20Jun'26/12.%20JH%20Farmer%20Payment-12-18%20J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20010003</v>
          </cell>
          <cell r="C5" t="str">
            <v>Bero</v>
          </cell>
          <cell r="D5" t="str">
            <v>MPG</v>
          </cell>
          <cell r="E5" t="str">
            <v>Direct</v>
          </cell>
        </row>
        <row r="6">
          <cell r="B6">
            <v>20010005</v>
          </cell>
          <cell r="C6" t="str">
            <v>Basila</v>
          </cell>
          <cell r="D6" t="str">
            <v>MPG</v>
          </cell>
          <cell r="E6" t="str">
            <v>Direct</v>
          </cell>
        </row>
        <row r="7">
          <cell r="B7">
            <v>20010008</v>
          </cell>
          <cell r="C7" t="str">
            <v>Erchoro</v>
          </cell>
          <cell r="D7" t="str">
            <v>MPG</v>
          </cell>
          <cell r="E7" t="str">
            <v>Direct</v>
          </cell>
        </row>
        <row r="8">
          <cell r="B8">
            <v>20010009</v>
          </cell>
          <cell r="C8" t="str">
            <v>Makunda</v>
          </cell>
          <cell r="D8" t="str">
            <v>MPG</v>
          </cell>
          <cell r="E8" t="str">
            <v>Direct</v>
          </cell>
        </row>
        <row r="9">
          <cell r="B9">
            <v>20010012</v>
          </cell>
          <cell r="C9" t="str">
            <v>NAGRI</v>
          </cell>
          <cell r="D9" t="str">
            <v>VLC</v>
          </cell>
          <cell r="E9" t="str">
            <v>Indirect</v>
          </cell>
        </row>
        <row r="10">
          <cell r="B10">
            <v>20010015</v>
          </cell>
          <cell r="C10" t="str">
            <v>BOREYA</v>
          </cell>
          <cell r="D10" t="str">
            <v>MPG</v>
          </cell>
          <cell r="E10" t="str">
            <v>Direct</v>
          </cell>
        </row>
        <row r="11">
          <cell r="B11">
            <v>20010017</v>
          </cell>
          <cell r="C11" t="str">
            <v>DIGHIYA</v>
          </cell>
          <cell r="D11" t="str">
            <v>MPG</v>
          </cell>
          <cell r="E11" t="str">
            <v>Direct</v>
          </cell>
        </row>
        <row r="12">
          <cell r="B12">
            <v>20010023</v>
          </cell>
          <cell r="C12" t="str">
            <v>KATARPA</v>
          </cell>
          <cell r="D12" t="str">
            <v>MPG</v>
          </cell>
          <cell r="E12" t="str">
            <v>Direct</v>
          </cell>
        </row>
        <row r="13">
          <cell r="B13">
            <v>20010027</v>
          </cell>
          <cell r="C13" t="str">
            <v>MURTO</v>
          </cell>
          <cell r="D13" t="str">
            <v>MPG</v>
          </cell>
          <cell r="E13" t="str">
            <v>Direct</v>
          </cell>
        </row>
        <row r="14">
          <cell r="B14">
            <v>20010033</v>
          </cell>
          <cell r="C14" t="str">
            <v>KHATRIKHATANGA</v>
          </cell>
          <cell r="D14" t="str">
            <v>MPG</v>
          </cell>
          <cell r="E14" t="str">
            <v>Direct</v>
          </cell>
        </row>
        <row r="15">
          <cell r="B15">
            <v>20010034</v>
          </cell>
          <cell r="C15" t="str">
            <v>GARGAON</v>
          </cell>
          <cell r="D15" t="str">
            <v>MPG</v>
          </cell>
          <cell r="E15" t="str">
            <v>Indirect</v>
          </cell>
        </row>
        <row r="16">
          <cell r="B16">
            <v>20010036</v>
          </cell>
          <cell r="C16" t="str">
            <v>GHAGHRA</v>
          </cell>
          <cell r="D16" t="str">
            <v>MPG</v>
          </cell>
          <cell r="E16" t="str">
            <v>Direct</v>
          </cell>
        </row>
        <row r="17">
          <cell r="B17">
            <v>20010037</v>
          </cell>
          <cell r="C17" t="str">
            <v>CHACHGURA</v>
          </cell>
          <cell r="D17" t="str">
            <v>MPG</v>
          </cell>
          <cell r="E17" t="str">
            <v>Indirect</v>
          </cell>
        </row>
        <row r="18">
          <cell r="B18">
            <v>20010038</v>
          </cell>
          <cell r="C18" t="str">
            <v>TIKRA TOLI</v>
          </cell>
          <cell r="D18" t="str">
            <v>MPG</v>
          </cell>
          <cell r="E18" t="str">
            <v>Direct</v>
          </cell>
        </row>
        <row r="19">
          <cell r="B19">
            <v>20010040</v>
          </cell>
          <cell r="C19" t="str">
            <v>Gargaon2</v>
          </cell>
          <cell r="D19" t="str">
            <v>MPG</v>
          </cell>
          <cell r="E19" t="str">
            <v>Direct</v>
          </cell>
        </row>
        <row r="20">
          <cell r="B20">
            <v>20010041</v>
          </cell>
          <cell r="C20" t="str">
            <v>TERO</v>
          </cell>
          <cell r="D20" t="str">
            <v>MPG</v>
          </cell>
          <cell r="E20" t="str">
            <v>Direct</v>
          </cell>
        </row>
        <row r="21">
          <cell r="B21">
            <v>20010042</v>
          </cell>
          <cell r="C21" t="str">
            <v>RONHE</v>
          </cell>
          <cell r="D21" t="str">
            <v>MPG</v>
          </cell>
          <cell r="E21" t="str">
            <v>Direct</v>
          </cell>
        </row>
        <row r="22">
          <cell r="B22">
            <v>20010043</v>
          </cell>
          <cell r="C22" t="str">
            <v>DARKHANDREY</v>
          </cell>
          <cell r="D22" t="str">
            <v>MPG</v>
          </cell>
          <cell r="E22" t="str">
            <v>Direct</v>
          </cell>
        </row>
        <row r="23">
          <cell r="B23">
            <v>20010052</v>
          </cell>
          <cell r="C23" t="str">
            <v>Kumbatoli</v>
          </cell>
          <cell r="D23" t="str">
            <v>MPG</v>
          </cell>
          <cell r="E23" t="str">
            <v>Direct</v>
          </cell>
        </row>
        <row r="24">
          <cell r="B24">
            <v>20010054</v>
          </cell>
          <cell r="C24" t="str">
            <v>NARKOPI</v>
          </cell>
          <cell r="D24" t="str">
            <v>MPG</v>
          </cell>
          <cell r="E24" t="str">
            <v>Direct</v>
          </cell>
        </row>
        <row r="25">
          <cell r="B25">
            <v>20010055</v>
          </cell>
          <cell r="C25" t="str">
            <v>MASU</v>
          </cell>
          <cell r="D25" t="str">
            <v>MPG</v>
          </cell>
          <cell r="E25" t="str">
            <v>Direct</v>
          </cell>
        </row>
        <row r="26">
          <cell r="B26">
            <v>20010057</v>
          </cell>
          <cell r="C26" t="str">
            <v>PANDEPARA</v>
          </cell>
          <cell r="D26" t="str">
            <v>VLC</v>
          </cell>
          <cell r="E26" t="str">
            <v>Indirect</v>
          </cell>
        </row>
        <row r="27">
          <cell r="B27">
            <v>20010059</v>
          </cell>
          <cell r="C27" t="str">
            <v>KARANJI 2</v>
          </cell>
          <cell r="D27" t="str">
            <v>MPG</v>
          </cell>
          <cell r="E27" t="str">
            <v>Direct</v>
          </cell>
        </row>
        <row r="28">
          <cell r="B28">
            <v>20010060</v>
          </cell>
          <cell r="C28" t="str">
            <v>ITKI 2</v>
          </cell>
          <cell r="D28" t="str">
            <v>VLC</v>
          </cell>
          <cell r="E28" t="str">
            <v>Indirect</v>
          </cell>
        </row>
        <row r="29">
          <cell r="B29">
            <v>20010061</v>
          </cell>
          <cell r="C29" t="str">
            <v>SEMRA</v>
          </cell>
          <cell r="D29" t="str">
            <v>MPG</v>
          </cell>
          <cell r="E29" t="str">
            <v>Direct</v>
          </cell>
        </row>
        <row r="30">
          <cell r="B30">
            <v>20010062</v>
          </cell>
          <cell r="C30" t="str">
            <v>PISKA</v>
          </cell>
          <cell r="D30" t="str">
            <v>MPG</v>
          </cell>
          <cell r="E30" t="str">
            <v>Direct</v>
          </cell>
        </row>
        <row r="31">
          <cell r="B31">
            <v>20020001</v>
          </cell>
          <cell r="C31" t="str">
            <v>Paali</v>
          </cell>
          <cell r="D31" t="str">
            <v>RMC</v>
          </cell>
          <cell r="E31" t="str">
            <v>Direct</v>
          </cell>
        </row>
        <row r="32">
          <cell r="B32">
            <v>20020002</v>
          </cell>
          <cell r="C32" t="str">
            <v>Jari</v>
          </cell>
          <cell r="D32" t="str">
            <v>MPG</v>
          </cell>
          <cell r="E32" t="str">
            <v>Direct</v>
          </cell>
        </row>
        <row r="33">
          <cell r="B33">
            <v>20020003</v>
          </cell>
          <cell r="C33" t="str">
            <v>Bijuliya</v>
          </cell>
          <cell r="D33" t="str">
            <v>MPG</v>
          </cell>
          <cell r="E33" t="str">
            <v>Direct</v>
          </cell>
        </row>
        <row r="34">
          <cell r="B34">
            <v>20020004</v>
          </cell>
          <cell r="C34" t="str">
            <v>Pandra</v>
          </cell>
          <cell r="D34" t="str">
            <v>MPG</v>
          </cell>
          <cell r="E34" t="str">
            <v>Direct</v>
          </cell>
        </row>
        <row r="35">
          <cell r="B35">
            <v>20020005</v>
          </cell>
          <cell r="C35" t="str">
            <v>BASKI</v>
          </cell>
          <cell r="D35" t="str">
            <v>MPG</v>
          </cell>
          <cell r="E35" t="str">
            <v>Direct</v>
          </cell>
        </row>
        <row r="36">
          <cell r="B36">
            <v>20020006</v>
          </cell>
          <cell r="C36" t="str">
            <v>RANIKHATANGA</v>
          </cell>
          <cell r="D36" t="str">
            <v>MPG</v>
          </cell>
          <cell r="E36" t="str">
            <v>Direct</v>
          </cell>
        </row>
        <row r="37">
          <cell r="B37">
            <v>20020007</v>
          </cell>
          <cell r="C37" t="str">
            <v>SURSA</v>
          </cell>
          <cell r="D37" t="str">
            <v>MPG</v>
          </cell>
          <cell r="E37" t="str">
            <v>Direct</v>
          </cell>
        </row>
        <row r="38">
          <cell r="B38">
            <v>20020011</v>
          </cell>
          <cell r="C38" t="str">
            <v>DHONTHA TOLI</v>
          </cell>
          <cell r="D38" t="str">
            <v>MPG</v>
          </cell>
          <cell r="E38" t="str">
            <v>Direct</v>
          </cell>
        </row>
        <row r="39">
          <cell r="B39">
            <v>20020013</v>
          </cell>
          <cell r="C39" t="str">
            <v>BAJPUR</v>
          </cell>
          <cell r="D39" t="str">
            <v>VLC</v>
          </cell>
          <cell r="E39" t="str">
            <v>Indirect</v>
          </cell>
        </row>
        <row r="40">
          <cell r="B40">
            <v>20020014</v>
          </cell>
          <cell r="C40" t="str">
            <v>BARGARI</v>
          </cell>
          <cell r="D40" t="str">
            <v>MPG</v>
          </cell>
          <cell r="E40" t="str">
            <v>Direct</v>
          </cell>
        </row>
        <row r="41">
          <cell r="B41">
            <v>20020015</v>
          </cell>
          <cell r="C41" t="str">
            <v>PATRATOLI</v>
          </cell>
          <cell r="D41" t="str">
            <v>MPG</v>
          </cell>
          <cell r="E41" t="str">
            <v>Direct</v>
          </cell>
        </row>
        <row r="42">
          <cell r="B42">
            <v>20020016</v>
          </cell>
          <cell r="C42" t="str">
            <v>BANAPIRI</v>
          </cell>
          <cell r="D42" t="str">
            <v>MPG</v>
          </cell>
          <cell r="E42" t="str">
            <v>Indirect</v>
          </cell>
        </row>
        <row r="43">
          <cell r="B43">
            <v>20020020</v>
          </cell>
          <cell r="C43" t="str">
            <v>TIKO TOLI</v>
          </cell>
          <cell r="D43" t="str">
            <v>MPG</v>
          </cell>
          <cell r="E43" t="str">
            <v>Direct</v>
          </cell>
        </row>
        <row r="44">
          <cell r="B44">
            <v>20020021</v>
          </cell>
          <cell r="C44" t="str">
            <v>PUNGI</v>
          </cell>
          <cell r="D44" t="str">
            <v>MPG</v>
          </cell>
          <cell r="E44" t="str">
            <v>Direct</v>
          </cell>
        </row>
        <row r="45">
          <cell r="B45">
            <v>20020023</v>
          </cell>
          <cell r="C45" t="str">
            <v>BARTOLI</v>
          </cell>
          <cell r="D45" t="str">
            <v>MPG</v>
          </cell>
          <cell r="E45" t="str">
            <v>Direct</v>
          </cell>
        </row>
        <row r="46">
          <cell r="B46">
            <v>20020025</v>
          </cell>
          <cell r="C46" t="str">
            <v>AGRU</v>
          </cell>
          <cell r="D46" t="str">
            <v>VLC</v>
          </cell>
          <cell r="E46" t="str">
            <v>Direct</v>
          </cell>
        </row>
        <row r="47">
          <cell r="B47">
            <v>20020026</v>
          </cell>
          <cell r="C47" t="str">
            <v>TIGRA</v>
          </cell>
          <cell r="D47" t="str">
            <v>MPG</v>
          </cell>
          <cell r="E47" t="str">
            <v>Direct</v>
          </cell>
        </row>
        <row r="48">
          <cell r="B48">
            <v>20020027</v>
          </cell>
          <cell r="C48" t="str">
            <v>GARRI</v>
          </cell>
          <cell r="D48" t="str">
            <v>VLC</v>
          </cell>
          <cell r="E48" t="str">
            <v>Direct</v>
          </cell>
        </row>
        <row r="49">
          <cell r="B49">
            <v>20020028</v>
          </cell>
          <cell r="C49" t="str">
            <v xml:space="preserve">HISRI </v>
          </cell>
          <cell r="D49" t="str">
            <v>VLC</v>
          </cell>
          <cell r="E49" t="str">
            <v>Direct</v>
          </cell>
        </row>
        <row r="50">
          <cell r="B50">
            <v>20030001</v>
          </cell>
          <cell r="C50" t="str">
            <v>Hisri Thakurgaon</v>
          </cell>
          <cell r="D50" t="str">
            <v>RMC</v>
          </cell>
          <cell r="E50" t="str">
            <v>Direct</v>
          </cell>
        </row>
        <row r="51">
          <cell r="B51">
            <v>20030002</v>
          </cell>
          <cell r="C51" t="str">
            <v>UMEDANDA</v>
          </cell>
          <cell r="D51" t="str">
            <v>MPG</v>
          </cell>
          <cell r="E51" t="str">
            <v>Direct</v>
          </cell>
        </row>
        <row r="52">
          <cell r="B52">
            <v>20030005</v>
          </cell>
          <cell r="C52" t="str">
            <v>THAKURGAON</v>
          </cell>
          <cell r="D52" t="str">
            <v>VLC</v>
          </cell>
          <cell r="E52" t="str">
            <v>Indirect</v>
          </cell>
        </row>
        <row r="53">
          <cell r="B53">
            <v>20030009</v>
          </cell>
          <cell r="C53" t="str">
            <v>SURID</v>
          </cell>
          <cell r="D53" t="str">
            <v>MPG</v>
          </cell>
          <cell r="E53" t="str">
            <v>Direct</v>
          </cell>
        </row>
        <row r="54">
          <cell r="B54">
            <v>20030012</v>
          </cell>
          <cell r="C54" t="str">
            <v>URUGUTU</v>
          </cell>
          <cell r="D54" t="str">
            <v>VLC</v>
          </cell>
          <cell r="E54" t="str">
            <v>Indirect</v>
          </cell>
        </row>
        <row r="55">
          <cell r="B55">
            <v>20040001</v>
          </cell>
          <cell r="C55" t="str">
            <v>CHOREYA</v>
          </cell>
          <cell r="D55" t="str">
            <v>RMC</v>
          </cell>
          <cell r="E55" t="str">
            <v>Direct</v>
          </cell>
        </row>
        <row r="56">
          <cell r="B56">
            <v>20040006</v>
          </cell>
          <cell r="C56" t="str">
            <v>KADAM TOLI</v>
          </cell>
          <cell r="D56" t="str">
            <v>MPG</v>
          </cell>
          <cell r="E56" t="str">
            <v>Direct</v>
          </cell>
        </row>
        <row r="57">
          <cell r="B57">
            <v>20040007</v>
          </cell>
          <cell r="C57" t="str">
            <v>MADHUKAM</v>
          </cell>
          <cell r="D57" t="str">
            <v>MPG</v>
          </cell>
          <cell r="E57" t="str">
            <v>Direct</v>
          </cell>
        </row>
        <row r="58">
          <cell r="B58">
            <v>20050001</v>
          </cell>
          <cell r="C58" t="str">
            <v>Baski 2</v>
          </cell>
          <cell r="D58" t="str">
            <v>RMC</v>
          </cell>
          <cell r="E58" t="str">
            <v>Direct</v>
          </cell>
        </row>
        <row r="59">
          <cell r="B59">
            <v>20050002</v>
          </cell>
          <cell r="C59" t="str">
            <v>KANBHITHA</v>
          </cell>
          <cell r="D59" t="str">
            <v>MPG</v>
          </cell>
          <cell r="E59" t="str">
            <v>Direct</v>
          </cell>
        </row>
        <row r="60">
          <cell r="B60">
            <v>20050003</v>
          </cell>
          <cell r="C60" t="str">
            <v>UCHARI</v>
          </cell>
          <cell r="D60" t="str">
            <v>MPG</v>
          </cell>
          <cell r="E60" t="str">
            <v>Direct</v>
          </cell>
        </row>
        <row r="61">
          <cell r="B61">
            <v>20060001</v>
          </cell>
          <cell r="C61" t="str">
            <v>ORMANJHI</v>
          </cell>
          <cell r="D61" t="str">
            <v>RMC</v>
          </cell>
          <cell r="E61" t="str">
            <v>Direct</v>
          </cell>
        </row>
        <row r="62">
          <cell r="B62">
            <v>20060002</v>
          </cell>
          <cell r="C62" t="str">
            <v>MANDRO</v>
          </cell>
          <cell r="D62" t="str">
            <v>MPG</v>
          </cell>
          <cell r="E62" t="str">
            <v>Direct</v>
          </cell>
        </row>
        <row r="63">
          <cell r="B63">
            <v>20060003</v>
          </cell>
          <cell r="C63" t="str">
            <v>DUMARDAGA</v>
          </cell>
          <cell r="D63" t="str">
            <v>MPG</v>
          </cell>
          <cell r="E63" t="str">
            <v>Direct</v>
          </cell>
        </row>
        <row r="64">
          <cell r="B64">
            <v>20060004</v>
          </cell>
          <cell r="C64" t="str">
            <v>CHUTTU</v>
          </cell>
          <cell r="D64" t="str">
            <v>MPG</v>
          </cell>
          <cell r="E64" t="str">
            <v>Direct</v>
          </cell>
        </row>
        <row r="65">
          <cell r="B65">
            <v>20060005</v>
          </cell>
          <cell r="C65" t="str">
            <v>JIRABAR</v>
          </cell>
          <cell r="D65" t="str">
            <v>MPG</v>
          </cell>
          <cell r="E65" t="str">
            <v>Direct</v>
          </cell>
        </row>
        <row r="66">
          <cell r="B66">
            <v>20060007</v>
          </cell>
          <cell r="C66" t="str">
            <v>HOCHAR</v>
          </cell>
          <cell r="D66" t="str">
            <v>MPG</v>
          </cell>
          <cell r="E66" t="str">
            <v>Direct</v>
          </cell>
        </row>
        <row r="67">
          <cell r="B67">
            <v>20060008</v>
          </cell>
          <cell r="C67" t="str">
            <v>ADELHATU</v>
          </cell>
          <cell r="D67" t="str">
            <v>VLC</v>
          </cell>
          <cell r="E67" t="str">
            <v>Direct</v>
          </cell>
        </row>
        <row r="68">
          <cell r="B68">
            <v>20060009</v>
          </cell>
          <cell r="C68" t="str">
            <v>KUCHU</v>
          </cell>
          <cell r="D68" t="str">
            <v>MPG</v>
          </cell>
          <cell r="E68" t="str">
            <v>Direct</v>
          </cell>
        </row>
        <row r="69">
          <cell r="B69">
            <v>20060013</v>
          </cell>
          <cell r="C69" t="str">
            <v>CHATAKPUR</v>
          </cell>
          <cell r="D69" t="str">
            <v>VLC</v>
          </cell>
          <cell r="E69" t="str">
            <v>Indirect</v>
          </cell>
        </row>
        <row r="70">
          <cell r="B70">
            <v>20060014</v>
          </cell>
          <cell r="C70" t="str">
            <v>CHIRIYAGHAR</v>
          </cell>
          <cell r="D70" t="str">
            <v>VLC</v>
          </cell>
          <cell r="E70" t="str">
            <v>Indirect</v>
          </cell>
        </row>
        <row r="71">
          <cell r="B71">
            <v>20060017</v>
          </cell>
          <cell r="C71" t="str">
            <v>KUKUI</v>
          </cell>
          <cell r="D71" t="str">
            <v>MPG</v>
          </cell>
          <cell r="E71" t="str">
            <v>Direct</v>
          </cell>
        </row>
        <row r="72">
          <cell r="B72">
            <v>20060018</v>
          </cell>
          <cell r="C72" t="str">
            <v>PANCHOLI</v>
          </cell>
          <cell r="D72" t="str">
            <v>MPG</v>
          </cell>
          <cell r="E72" t="str">
            <v>Direct</v>
          </cell>
        </row>
        <row r="73">
          <cell r="B73">
            <v>20060019</v>
          </cell>
          <cell r="C73" t="str">
            <v>HOCHAR 2</v>
          </cell>
          <cell r="D73" t="str">
            <v>MPG</v>
          </cell>
          <cell r="E73" t="str">
            <v>Direct</v>
          </cell>
        </row>
        <row r="74">
          <cell r="B74">
            <v>20060022</v>
          </cell>
          <cell r="C74" t="str">
            <v>MAHESHPUR</v>
          </cell>
          <cell r="D74" t="str">
            <v>MPG</v>
          </cell>
          <cell r="E74" t="str">
            <v>Direct</v>
          </cell>
        </row>
        <row r="75">
          <cell r="B75">
            <v>20060023</v>
          </cell>
          <cell r="C75" t="str">
            <v>DEV DARSHAN</v>
          </cell>
          <cell r="D75" t="str">
            <v>VLC</v>
          </cell>
          <cell r="E75" t="str">
            <v>Indirect</v>
          </cell>
        </row>
        <row r="76">
          <cell r="B76">
            <v>20070001</v>
          </cell>
          <cell r="C76" t="str">
            <v>PIRAGUTU</v>
          </cell>
          <cell r="D76" t="str">
            <v>RMC</v>
          </cell>
          <cell r="E76" t="str">
            <v>Direct</v>
          </cell>
        </row>
        <row r="77">
          <cell r="B77">
            <v>20070002</v>
          </cell>
          <cell r="C77" t="str">
            <v>SARAM</v>
          </cell>
          <cell r="D77" t="str">
            <v>MPG</v>
          </cell>
          <cell r="E77" t="str">
            <v>Direct</v>
          </cell>
        </row>
        <row r="78">
          <cell r="B78">
            <v>20070003</v>
          </cell>
          <cell r="C78" t="str">
            <v>MURUPIRI</v>
          </cell>
          <cell r="D78" t="str">
            <v>MPG</v>
          </cell>
          <cell r="E78" t="str">
            <v>Direct</v>
          </cell>
        </row>
        <row r="79">
          <cell r="B79">
            <v>20070004</v>
          </cell>
          <cell r="C79" t="str">
            <v>KEDAL</v>
          </cell>
          <cell r="D79" t="str">
            <v>MPG</v>
          </cell>
          <cell r="E79" t="str">
            <v>Direct</v>
          </cell>
        </row>
        <row r="80">
          <cell r="B80">
            <v>20070006</v>
          </cell>
          <cell r="C80" t="str">
            <v>SAHEDA</v>
          </cell>
          <cell r="D80" t="str">
            <v>MPG</v>
          </cell>
          <cell r="E80" t="str">
            <v>Direct</v>
          </cell>
        </row>
        <row r="81">
          <cell r="B81">
            <v>20070007</v>
          </cell>
          <cell r="C81" t="str">
            <v>NABATOLI</v>
          </cell>
          <cell r="D81" t="str">
            <v>MPG</v>
          </cell>
          <cell r="E81" t="str">
            <v>Direct</v>
          </cell>
        </row>
        <row r="82">
          <cell r="B82">
            <v>20070009</v>
          </cell>
          <cell r="C82" t="str">
            <v>KARAMBA</v>
          </cell>
          <cell r="D82" t="str">
            <v>MPG</v>
          </cell>
          <cell r="E82" t="str">
            <v>Direct</v>
          </cell>
        </row>
        <row r="83">
          <cell r="B83">
            <v>20070010</v>
          </cell>
          <cell r="C83" t="str">
            <v>KURALU</v>
          </cell>
          <cell r="D83" t="str">
            <v>MPG</v>
          </cell>
          <cell r="E83" t="str">
            <v>Direct</v>
          </cell>
        </row>
        <row r="84">
          <cell r="B84">
            <v>20070016</v>
          </cell>
          <cell r="C84" t="str">
            <v>MAYAPUR</v>
          </cell>
          <cell r="D84" t="str">
            <v>MPG</v>
          </cell>
          <cell r="E84" t="str">
            <v>Direct</v>
          </cell>
        </row>
        <row r="85">
          <cell r="B85">
            <v>20070018</v>
          </cell>
          <cell r="C85" t="str">
            <v>MAKKA</v>
          </cell>
          <cell r="D85" t="str">
            <v>MPG</v>
          </cell>
          <cell r="E85" t="str">
            <v>Direct</v>
          </cell>
        </row>
        <row r="86">
          <cell r="B86">
            <v>20070019</v>
          </cell>
          <cell r="C86" t="str">
            <v>CHORA</v>
          </cell>
          <cell r="D86" t="str">
            <v>MPG</v>
          </cell>
          <cell r="E86" t="str">
            <v>Direct</v>
          </cell>
        </row>
        <row r="87">
          <cell r="B87">
            <v>20070020</v>
          </cell>
          <cell r="C87" t="str">
            <v>ULATU</v>
          </cell>
          <cell r="D87" t="str">
            <v>MPG</v>
          </cell>
          <cell r="E87" t="str">
            <v>Direct</v>
          </cell>
        </row>
        <row r="88">
          <cell r="B88">
            <v>20070021</v>
          </cell>
          <cell r="C88" t="str">
            <v>USKU</v>
          </cell>
          <cell r="D88" t="str">
            <v>MPG</v>
          </cell>
          <cell r="E88" t="str">
            <v>Indirect</v>
          </cell>
        </row>
        <row r="89">
          <cell r="B89">
            <v>20070023</v>
          </cell>
          <cell r="C89" t="str">
            <v>ICHAPIRI</v>
          </cell>
          <cell r="D89" t="str">
            <v>MPG</v>
          </cell>
          <cell r="E89" t="str">
            <v>Direct</v>
          </cell>
        </row>
        <row r="90">
          <cell r="B90">
            <v>20070024</v>
          </cell>
          <cell r="C90" t="str">
            <v>MURPA</v>
          </cell>
          <cell r="D90" t="str">
            <v>MPG</v>
          </cell>
          <cell r="E90" t="str">
            <v>Direct</v>
          </cell>
        </row>
        <row r="91">
          <cell r="B91">
            <v>20070025</v>
          </cell>
          <cell r="C91" t="str">
            <v>SUBHASH NAGAR</v>
          </cell>
          <cell r="D91" t="str">
            <v>MPG</v>
          </cell>
          <cell r="E91" t="str">
            <v>Direct</v>
          </cell>
        </row>
        <row r="92">
          <cell r="B92">
            <v>20070026</v>
          </cell>
          <cell r="C92" t="str">
            <v>NINDRA</v>
          </cell>
          <cell r="D92" t="str">
            <v>MPG</v>
          </cell>
          <cell r="E92" t="str">
            <v>Direct</v>
          </cell>
        </row>
        <row r="93">
          <cell r="B93">
            <v>20080001</v>
          </cell>
          <cell r="C93" t="str">
            <v>CHATTI BHANDRA</v>
          </cell>
          <cell r="D93" t="str">
            <v>RMC</v>
          </cell>
          <cell r="E93" t="str">
            <v>Direct</v>
          </cell>
        </row>
        <row r="94">
          <cell r="B94">
            <v>20080002</v>
          </cell>
          <cell r="C94" t="str">
            <v>BHITTA</v>
          </cell>
          <cell r="D94" t="str">
            <v>MPG</v>
          </cell>
          <cell r="E94" t="str">
            <v>Direct</v>
          </cell>
        </row>
        <row r="95">
          <cell r="B95">
            <v>20080004</v>
          </cell>
          <cell r="C95" t="str">
            <v>Guri</v>
          </cell>
          <cell r="D95" t="str">
            <v>MPG</v>
          </cell>
          <cell r="E95" t="str">
            <v>Direct</v>
          </cell>
        </row>
        <row r="96">
          <cell r="B96">
            <v>20080006</v>
          </cell>
          <cell r="C96" t="str">
            <v>Chitri Ambatoli</v>
          </cell>
          <cell r="D96" t="str">
            <v>MPG</v>
          </cell>
          <cell r="E96" t="str">
            <v>Direct</v>
          </cell>
        </row>
        <row r="97">
          <cell r="B97">
            <v>20080007</v>
          </cell>
          <cell r="C97" t="str">
            <v>Rampur</v>
          </cell>
          <cell r="D97" t="str">
            <v>MPG</v>
          </cell>
          <cell r="E97" t="str">
            <v>Direct</v>
          </cell>
        </row>
        <row r="98">
          <cell r="B98">
            <v>20080008</v>
          </cell>
          <cell r="C98" t="str">
            <v>Ningni</v>
          </cell>
          <cell r="D98" t="str">
            <v>MPG</v>
          </cell>
          <cell r="E98" t="str">
            <v>Direct</v>
          </cell>
        </row>
        <row r="99">
          <cell r="B99">
            <v>20080009</v>
          </cell>
          <cell r="C99" t="str">
            <v>MASHMANO</v>
          </cell>
          <cell r="D99" t="str">
            <v>MPG</v>
          </cell>
          <cell r="E99" t="str">
            <v>Direct</v>
          </cell>
        </row>
        <row r="100">
          <cell r="B100">
            <v>20080010</v>
          </cell>
          <cell r="C100" t="str">
            <v>PAHARKESA</v>
          </cell>
          <cell r="D100" t="str">
            <v>MPG</v>
          </cell>
          <cell r="E100" t="str">
            <v>Direct</v>
          </cell>
        </row>
        <row r="101">
          <cell r="B101">
            <v>20080014</v>
          </cell>
          <cell r="C101" t="str">
            <v>BHUJANIYA</v>
          </cell>
          <cell r="D101" t="str">
            <v>MPG</v>
          </cell>
          <cell r="E101" t="str">
            <v>Indirect</v>
          </cell>
        </row>
        <row r="102">
          <cell r="B102">
            <v>20080025</v>
          </cell>
          <cell r="C102" t="str">
            <v>DAARU</v>
          </cell>
          <cell r="D102" t="str">
            <v>MPG</v>
          </cell>
          <cell r="E102" t="str">
            <v>Indirect</v>
          </cell>
        </row>
        <row r="103">
          <cell r="B103">
            <v>20080026</v>
          </cell>
          <cell r="C103" t="str">
            <v>CHHARDA</v>
          </cell>
          <cell r="D103" t="str">
            <v>MPG</v>
          </cell>
          <cell r="E103" t="str">
            <v>Direct</v>
          </cell>
        </row>
        <row r="104">
          <cell r="B104">
            <v>20080027</v>
          </cell>
          <cell r="C104" t="str">
            <v>NADI NAGRA 2</v>
          </cell>
          <cell r="D104" t="str">
            <v>MPG</v>
          </cell>
          <cell r="E104" t="str">
            <v>Direct</v>
          </cell>
        </row>
        <row r="105">
          <cell r="B105">
            <v>20080028</v>
          </cell>
          <cell r="C105" t="str">
            <v>BASRI NAGRA</v>
          </cell>
          <cell r="D105" t="str">
            <v>MPG</v>
          </cell>
          <cell r="E105" t="str">
            <v>Direct</v>
          </cell>
        </row>
        <row r="106">
          <cell r="B106">
            <v>20080030</v>
          </cell>
          <cell r="C106" t="str">
            <v>SORANDA</v>
          </cell>
          <cell r="D106" t="str">
            <v>MPG</v>
          </cell>
          <cell r="E106" t="str">
            <v>Direct</v>
          </cell>
        </row>
        <row r="107">
          <cell r="B107">
            <v>20080036</v>
          </cell>
          <cell r="C107" t="str">
            <v>MUNDO 2</v>
          </cell>
          <cell r="D107" t="str">
            <v>VLC</v>
          </cell>
          <cell r="E107" t="str">
            <v>Indirect</v>
          </cell>
        </row>
        <row r="108">
          <cell r="B108">
            <v>20080039</v>
          </cell>
          <cell r="C108" t="str">
            <v>LONGA</v>
          </cell>
          <cell r="D108" t="str">
            <v>MPG</v>
          </cell>
          <cell r="E108" t="str">
            <v>Indirect</v>
          </cell>
        </row>
        <row r="109">
          <cell r="B109">
            <v>20080041</v>
          </cell>
          <cell r="C109" t="str">
            <v>KACHMACHI</v>
          </cell>
          <cell r="D109" t="str">
            <v>MPG</v>
          </cell>
          <cell r="E109" t="str">
            <v>Direct</v>
          </cell>
        </row>
        <row r="110">
          <cell r="B110">
            <v>20080043</v>
          </cell>
          <cell r="C110" t="str">
            <v>JATARGARI</v>
          </cell>
          <cell r="D110" t="str">
            <v>MPG</v>
          </cell>
          <cell r="E110" t="str">
            <v>Direct</v>
          </cell>
        </row>
        <row r="111">
          <cell r="B111">
            <v>20080046</v>
          </cell>
          <cell r="C111" t="str">
            <v>KUNDO AMBATOLI</v>
          </cell>
          <cell r="D111" t="str">
            <v>MPG</v>
          </cell>
          <cell r="E111" t="str">
            <v>Direct</v>
          </cell>
        </row>
        <row r="112">
          <cell r="B112">
            <v>20080047</v>
          </cell>
          <cell r="C112" t="str">
            <v>PAHARKESHA 2</v>
          </cell>
          <cell r="D112" t="str">
            <v>VLC</v>
          </cell>
          <cell r="E112" t="str">
            <v>Indirect</v>
          </cell>
        </row>
        <row r="113">
          <cell r="B113">
            <v>20080050</v>
          </cell>
          <cell r="C113" t="str">
            <v>KACHMACHI 2</v>
          </cell>
          <cell r="D113" t="str">
            <v>MPG</v>
          </cell>
          <cell r="E113" t="str">
            <v>Direct</v>
          </cell>
        </row>
        <row r="114">
          <cell r="B114">
            <v>20090001</v>
          </cell>
          <cell r="C114" t="str">
            <v>Chanho</v>
          </cell>
          <cell r="D114" t="str">
            <v>RMC</v>
          </cell>
          <cell r="E114" t="str">
            <v>Direct</v>
          </cell>
        </row>
        <row r="115">
          <cell r="B115">
            <v>20090002</v>
          </cell>
          <cell r="C115" t="str">
            <v>Bajra</v>
          </cell>
          <cell r="D115" t="str">
            <v>MPG</v>
          </cell>
          <cell r="E115" t="str">
            <v>Direct</v>
          </cell>
        </row>
        <row r="116">
          <cell r="B116">
            <v>20090004</v>
          </cell>
          <cell r="C116" t="str">
            <v>DUMRI</v>
          </cell>
          <cell r="D116" t="str">
            <v>MPG</v>
          </cell>
          <cell r="E116" t="str">
            <v>Direct</v>
          </cell>
        </row>
        <row r="117">
          <cell r="B117">
            <v>20090006</v>
          </cell>
          <cell r="C117" t="str">
            <v>KATAIYA</v>
          </cell>
          <cell r="D117" t="str">
            <v>VLC</v>
          </cell>
          <cell r="E117" t="str">
            <v>Indirect</v>
          </cell>
        </row>
        <row r="118">
          <cell r="B118">
            <v>20090008</v>
          </cell>
          <cell r="C118" t="str">
            <v>GANESHPUR</v>
          </cell>
          <cell r="D118" t="str">
            <v>MPG</v>
          </cell>
          <cell r="E118" t="str">
            <v>Direct</v>
          </cell>
        </row>
        <row r="119">
          <cell r="B119">
            <v>20090010</v>
          </cell>
          <cell r="C119" t="str">
            <v>CHATWAL</v>
          </cell>
          <cell r="D119" t="str">
            <v>VLC</v>
          </cell>
          <cell r="E119" t="str">
            <v>Indirect</v>
          </cell>
        </row>
        <row r="120">
          <cell r="B120">
            <v>20090012</v>
          </cell>
          <cell r="C120" t="str">
            <v>LUNDRI 2</v>
          </cell>
          <cell r="D120" t="str">
            <v>MPG</v>
          </cell>
          <cell r="E120" t="str">
            <v>Direct</v>
          </cell>
        </row>
        <row r="121">
          <cell r="B121">
            <v>20090013</v>
          </cell>
          <cell r="C121" t="str">
            <v>LUNDRI 1</v>
          </cell>
          <cell r="D121" t="str">
            <v>MPG</v>
          </cell>
          <cell r="E121" t="str">
            <v>Direct</v>
          </cell>
        </row>
        <row r="122">
          <cell r="B122">
            <v>20090014</v>
          </cell>
          <cell r="C122" t="str">
            <v>HUTAR</v>
          </cell>
          <cell r="D122" t="str">
            <v>MPG</v>
          </cell>
          <cell r="E122" t="str">
            <v>Direct</v>
          </cell>
        </row>
        <row r="123">
          <cell r="B123">
            <v>20090015</v>
          </cell>
          <cell r="C123" t="str">
            <v>PAKARIYO</v>
          </cell>
          <cell r="D123" t="str">
            <v>MPG</v>
          </cell>
          <cell r="E123" t="str">
            <v>Direct</v>
          </cell>
        </row>
        <row r="124">
          <cell r="B124">
            <v>20090017</v>
          </cell>
          <cell r="C124" t="str">
            <v>NAWATAND</v>
          </cell>
          <cell r="D124" t="str">
            <v>MPG</v>
          </cell>
          <cell r="E124" t="str">
            <v>Direct</v>
          </cell>
        </row>
        <row r="125">
          <cell r="B125">
            <v>20090020</v>
          </cell>
          <cell r="C125" t="str">
            <v>PAKARIYO 2</v>
          </cell>
          <cell r="D125" t="str">
            <v>MPG</v>
          </cell>
          <cell r="E125" t="str">
            <v>Direct</v>
          </cell>
        </row>
        <row r="126">
          <cell r="B126">
            <v>20090022</v>
          </cell>
          <cell r="C126" t="str">
            <v>KATAIYA 2</v>
          </cell>
          <cell r="D126" t="str">
            <v>MPG</v>
          </cell>
          <cell r="E126" t="str">
            <v>Indirect</v>
          </cell>
        </row>
        <row r="127">
          <cell r="B127">
            <v>20090023</v>
          </cell>
          <cell r="C127" t="str">
            <v>KOKAR</v>
          </cell>
          <cell r="D127" t="str">
            <v>MPG</v>
          </cell>
          <cell r="E127" t="str">
            <v>Direct</v>
          </cell>
        </row>
        <row r="128">
          <cell r="B128">
            <v>20090025</v>
          </cell>
          <cell r="C128" t="str">
            <v>KULLU</v>
          </cell>
          <cell r="D128" t="str">
            <v>VLC</v>
          </cell>
          <cell r="E128" t="str">
            <v>Indirect</v>
          </cell>
        </row>
        <row r="129">
          <cell r="B129">
            <v>20090028</v>
          </cell>
          <cell r="C129" t="str">
            <v>FULDIH 2</v>
          </cell>
          <cell r="D129" t="str">
            <v>VLC</v>
          </cell>
          <cell r="E129" t="str">
            <v>Indirect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95.687626736108" createdVersion="8" refreshedVersion="8" minRefreshableVersion="3" recordCount="38" xr:uid="{626C142B-4AEA-493A-B7BB-6159DEB6D96B}">
  <cacheSource type="worksheet">
    <worksheetSource ref="A1:S39" sheet="Sheet1"/>
  </cacheSource>
  <cacheFields count="19">
    <cacheField name="Timestamp" numFmtId="0">
      <sharedItems containsSemiMixedTypes="0" containsNonDate="0" containsDate="1" containsString="0" minDate="2026-06-19T17:30:34" maxDate="2026-06-20T12:42:12"/>
    </cacheField>
    <cacheField name="User Name" numFmtId="0">
      <sharedItems/>
    </cacheField>
    <cacheField name="Order Date" numFmtId="0">
      <sharedItems containsSemiMixedTypes="0" containsNonDate="0" containsDate="1" containsString="0" minDate="2026-06-19T00:00:00" maxDate="2026-06-21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20010008" maxValue="20090023" count="25">
        <n v="20090023"/>
        <n v="20090008"/>
        <n v="20090022"/>
        <n v="20090015"/>
        <n v="20040001"/>
        <n v="20090020"/>
        <n v="20010054"/>
        <n v="20090004"/>
        <n v="20060008"/>
        <n v="20060003"/>
        <n v="20060009"/>
        <n v="20060005"/>
        <n v="20060002"/>
        <n v="20010008"/>
        <n v="20060001"/>
        <n v="20060004"/>
        <n v="20020002"/>
        <n v="20020025"/>
        <n v="20020006"/>
        <n v="20050002"/>
        <n v="20050003"/>
        <n v="20020003"/>
        <n v="20030001"/>
        <n v="20020001"/>
        <n v="20060014"/>
      </sharedItems>
    </cacheField>
    <cacheField name="MPG Name" numFmtId="0">
      <sharedItems/>
    </cacheField>
    <cacheField name="Farmer code" numFmtId="0">
      <sharedItems count="21">
        <s v="0002"/>
        <s v="0003"/>
        <s v="0005"/>
        <s v="0022"/>
        <s v="0017"/>
        <s v="0021"/>
        <s v="0023"/>
        <s v="0031"/>
        <s v="0011"/>
        <s v="0041"/>
        <s v="0048"/>
        <s v="0059"/>
        <s v="0035"/>
        <s v="0024"/>
        <s v="0028"/>
        <s v="0013"/>
        <s v="0004"/>
        <s v="0008"/>
        <s v="0056"/>
        <s v="0128"/>
        <s v="0121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20"/>
    </cacheField>
    <cacheField name="Rate" numFmtId="0">
      <sharedItems containsSemiMixedTypes="0" containsString="0" containsNumber="1" containsInteger="1" minValue="0" maxValue="1270"/>
    </cacheField>
    <cacheField name="Total Amount" numFmtId="0">
      <sharedItems containsSemiMixedTypes="0" containsString="0" containsNumber="1" containsInteger="1" minValue="0" maxValue="25400"/>
    </cacheField>
    <cacheField name="Other Due Amt" numFmtId="0">
      <sharedItems containsSemiMixedTypes="0" containsString="0" containsNumber="1" containsInteger="1" minValue="0" maxValue="2156"/>
    </cacheField>
    <cacheField name="Total Amount (Proposed)" numFmtId="0">
      <sharedItems containsSemiMixedTypes="0" containsString="0" containsNumber="1" containsInteger="1" minValue="51" maxValue="254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51" maxValue="2540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6-06-19T17:30:34"/>
    <s v="Amar sahu"/>
    <d v="2026-06-19T00:00:00"/>
    <s v="12-06-2026 to 18-06-2026"/>
    <s v="Gomukh Gold 50KG"/>
    <s v="200900230002"/>
    <x v="0"/>
    <s v="KOKAR"/>
    <x v="0"/>
    <s v="Chanho"/>
    <s v="Daya Society"/>
    <n v="2"/>
    <n v="1270"/>
    <n v="2540"/>
    <n v="0"/>
    <n v="2540"/>
    <n v="2"/>
    <n v="2540"/>
    <m/>
  </r>
  <r>
    <d v="2026-06-19T17:31:44"/>
    <s v="Amar sahu"/>
    <d v="2026-06-19T00:00:00"/>
    <s v="12-06-2026 to 18-06-2026"/>
    <s v="Gomukh Gold 50KG"/>
    <s v="200900230003"/>
    <x v="0"/>
    <s v="KOKAR"/>
    <x v="1"/>
    <s v="Chanho"/>
    <s v="Daya Society"/>
    <n v="0"/>
    <n v="1270"/>
    <n v="0"/>
    <n v="760"/>
    <n v="760"/>
    <n v="0"/>
    <n v="760"/>
    <m/>
  </r>
  <r>
    <d v="2026-06-19T17:32:30"/>
    <s v="Amar sahu"/>
    <d v="2026-06-19T00:00:00"/>
    <s v="12-06-2026 to 18-06-2026"/>
    <s v="Gomukh Gold 50KG"/>
    <s v="200900080005"/>
    <x v="1"/>
    <s v="GANESHPUR"/>
    <x v="2"/>
    <s v="Chanho"/>
    <s v="Daya Society"/>
    <n v="0"/>
    <n v="1270"/>
    <n v="0"/>
    <n v="635"/>
    <n v="635"/>
    <n v="0"/>
    <n v="635"/>
    <m/>
  </r>
  <r>
    <d v="2026-06-19T17:32:54"/>
    <s v="Amar sahu"/>
    <d v="2026-06-19T00:00:00"/>
    <s v="12-06-2026 to 18-06-2026"/>
    <s v="Gomukh Gold 50KG"/>
    <s v="200900220002"/>
    <x v="2"/>
    <s v="KATAIYA 2"/>
    <x v="0"/>
    <s v="Chanho"/>
    <s v="Daya Society"/>
    <n v="0"/>
    <n v="1270"/>
    <n v="0"/>
    <n v="635"/>
    <n v="635"/>
    <n v="0"/>
    <n v="635"/>
    <m/>
  </r>
  <r>
    <d v="2026-06-19T17:33:23"/>
    <s v="Amar sahu"/>
    <d v="2026-06-19T00:00:00"/>
    <s v="12-06-2026 to 18-06-2026"/>
    <s v="Gomukh Gold 50KG"/>
    <s v="200900150002"/>
    <x v="3"/>
    <s v="PAKARIYO"/>
    <x v="0"/>
    <s v="Chanho"/>
    <s v="Daya Society"/>
    <n v="0"/>
    <n v="1270"/>
    <n v="0"/>
    <n v="51"/>
    <n v="51"/>
    <n v="0"/>
    <n v="51"/>
    <m/>
  </r>
  <r>
    <d v="2026-06-19T17:33:45"/>
    <s v="Amar sahu"/>
    <d v="2026-06-19T00:00:00"/>
    <s v="12-06-2026 to 18-06-2026"/>
    <s v="Gomukh Gold 50KG"/>
    <s v="200900150022"/>
    <x v="3"/>
    <s v="PAKARIYO"/>
    <x v="3"/>
    <s v="Chanho"/>
    <s v="Daya Society"/>
    <n v="1"/>
    <n v="1270"/>
    <n v="1270"/>
    <n v="0"/>
    <n v="1270"/>
    <n v="1"/>
    <n v="1270"/>
    <m/>
  </r>
  <r>
    <d v="2026-06-19T17:34:11"/>
    <s v="Amar sahu"/>
    <d v="2026-06-19T00:00:00"/>
    <s v="12-06-2026 to 18-06-2026"/>
    <s v="Gomukh Gold 50KG"/>
    <s v="200400010002"/>
    <x v="4"/>
    <s v="CHOREYA"/>
    <x v="0"/>
    <s v="CHOREYA"/>
    <s v="Daya Society"/>
    <n v="3"/>
    <n v="1270"/>
    <n v="3810"/>
    <n v="0"/>
    <n v="3810"/>
    <n v="3"/>
    <n v="3810"/>
    <m/>
  </r>
  <r>
    <d v="2026-06-19T17:34:33"/>
    <s v="Amar sahu"/>
    <d v="2026-06-19T00:00:00"/>
    <s v="12-06-2026 to 18-06-2026"/>
    <s v="Gomukh Gold 50KG"/>
    <s v="200900200005"/>
    <x v="5"/>
    <s v="PAKARIYO 2"/>
    <x v="2"/>
    <s v="Chanho"/>
    <s v="Daya Society"/>
    <n v="2"/>
    <n v="1270"/>
    <n v="2540"/>
    <n v="0"/>
    <n v="2540"/>
    <n v="2"/>
    <n v="2540"/>
    <m/>
  </r>
  <r>
    <d v="2026-06-19T17:34:51"/>
    <s v="Amar sahu"/>
    <d v="2026-06-19T00:00:00"/>
    <s v="12-06-2026 to 18-06-2026"/>
    <s v="Gomukh Gold 50KG"/>
    <s v="200900200002"/>
    <x v="5"/>
    <s v="PAKARIYO 2"/>
    <x v="0"/>
    <s v="Chanho"/>
    <s v="Daya Society"/>
    <n v="1"/>
    <n v="1270"/>
    <n v="1270"/>
    <n v="0"/>
    <n v="1270"/>
    <n v="1"/>
    <n v="1270"/>
    <m/>
  </r>
  <r>
    <d v="2026-06-19T17:36:09"/>
    <s v="Amar sahu"/>
    <d v="2026-06-19T00:00:00"/>
    <s v="12-06-2026 to 18-06-2026"/>
    <s v="Gomukh Gold 50KG"/>
    <s v="200100540017"/>
    <x v="6"/>
    <s v="NARKOPI"/>
    <x v="4"/>
    <s v="Chanho"/>
    <s v="Daya Society"/>
    <n v="1"/>
    <n v="1270"/>
    <n v="1270"/>
    <n v="0"/>
    <n v="1270"/>
    <n v="1"/>
    <n v="1270"/>
    <m/>
  </r>
  <r>
    <d v="2026-06-19T17:36:55"/>
    <s v="Amar sahu"/>
    <d v="2026-06-19T00:00:00"/>
    <s v="12-06-2026 to 18-06-2026"/>
    <s v="Gomukh Gold 50KG"/>
    <s v="200100540021"/>
    <x v="6"/>
    <s v="NARKOPI"/>
    <x v="5"/>
    <s v="Chanho"/>
    <s v="Daya Society"/>
    <n v="1"/>
    <n v="1270"/>
    <n v="1270"/>
    <n v="0"/>
    <n v="1270"/>
    <n v="1"/>
    <n v="1270"/>
    <m/>
  </r>
  <r>
    <d v="2026-06-19T17:38:03"/>
    <s v="Amar sahu"/>
    <d v="2026-06-19T00:00:00"/>
    <s v="12-06-2026 to 18-06-2026"/>
    <s v="Gomukh Gold 50KG"/>
    <s v="200900040023"/>
    <x v="7"/>
    <s v="DUMRI"/>
    <x v="6"/>
    <s v="Chanho"/>
    <s v="Daya Society"/>
    <n v="1"/>
    <n v="1270"/>
    <n v="1270"/>
    <n v="0"/>
    <n v="1270"/>
    <n v="1"/>
    <n v="1270"/>
    <m/>
  </r>
  <r>
    <d v="2026-06-19T20:28:22"/>
    <s v="Satendra kumar"/>
    <d v="2026-06-19T00:00:00"/>
    <s v="12-06-2026 to 18-06-2026"/>
    <s v="Gomukh Gold 50KG"/>
    <s v="200600080002"/>
    <x v="8"/>
    <s v="ADELHATU"/>
    <x v="0"/>
    <s v="ORMANJHI"/>
    <s v="Daya Society"/>
    <n v="20"/>
    <n v="1270"/>
    <n v="25400"/>
    <n v="0"/>
    <n v="25400"/>
    <n v="20"/>
    <n v="25400"/>
    <m/>
  </r>
  <r>
    <d v="2026-06-19T20:29:14"/>
    <s v="Satendra kumar"/>
    <d v="2026-06-19T00:00:00"/>
    <s v="12-06-2026 to 18-06-2026"/>
    <s v="Gomukh Gold 50KG"/>
    <s v="200600030002"/>
    <x v="9"/>
    <s v="DUMARDAGA"/>
    <x v="0"/>
    <s v="ORMANJHI"/>
    <s v="Daya Society"/>
    <n v="20"/>
    <n v="1270"/>
    <n v="25400"/>
    <n v="0"/>
    <n v="25400"/>
    <n v="20"/>
    <n v="25400"/>
    <m/>
  </r>
  <r>
    <d v="2026-06-19T20:30:19"/>
    <s v="Satendra kumar"/>
    <d v="2026-06-19T00:00:00"/>
    <s v="12-06-2026 to 18-06-2026"/>
    <s v="Gomukh Gold 50KG"/>
    <s v="200600090031"/>
    <x v="10"/>
    <s v="KUCHU"/>
    <x v="7"/>
    <s v="ORMANJHI"/>
    <s v="Daya Society"/>
    <n v="2"/>
    <n v="1270"/>
    <n v="2540"/>
    <n v="0"/>
    <n v="2540"/>
    <n v="2"/>
    <n v="2540"/>
    <m/>
  </r>
  <r>
    <d v="2026-06-19T20:32:04"/>
    <s v="Satendra kumar"/>
    <d v="2026-06-19T00:00:00"/>
    <s v="12-06-2026 to 18-06-2026"/>
    <s v="Gomukh Gold 50KG"/>
    <s v="200600050003"/>
    <x v="11"/>
    <s v="JIRABAR"/>
    <x v="1"/>
    <s v="ORMANJHI"/>
    <s v="Daya Society"/>
    <n v="2"/>
    <n v="1270"/>
    <n v="2540"/>
    <n v="0"/>
    <n v="2540"/>
    <n v="2"/>
    <n v="2540"/>
    <m/>
  </r>
  <r>
    <d v="2026-06-19T20:32:59"/>
    <s v="Satendra kumar"/>
    <d v="2026-06-19T00:00:00"/>
    <s v="12-06-2026 to 18-06-2026"/>
    <s v="Gomukh Gold 50KG"/>
    <s v="200600020011"/>
    <x v="12"/>
    <s v="MANDRO"/>
    <x v="8"/>
    <s v="ORMANJHI"/>
    <s v="Daya Society"/>
    <n v="1"/>
    <n v="1270"/>
    <n v="1270"/>
    <n v="0"/>
    <n v="1270"/>
    <n v="1"/>
    <n v="1270"/>
    <m/>
  </r>
  <r>
    <d v="2026-06-19T20:33:55"/>
    <s v="Satendra kumar"/>
    <d v="2026-06-19T00:00:00"/>
    <s v="12-06-2026 to 18-06-2026"/>
    <s v="Gomukh Gold 50KG"/>
    <s v="200100080041"/>
    <x v="13"/>
    <s v="Erchoro"/>
    <x v="9"/>
    <s v="Itki"/>
    <s v="Daya Society"/>
    <n v="1"/>
    <n v="1270"/>
    <n v="1270"/>
    <n v="0"/>
    <n v="1270"/>
    <n v="1"/>
    <n v="1270"/>
    <m/>
  </r>
  <r>
    <d v="2026-06-19T20:34:43"/>
    <s v="Satendra kumar"/>
    <d v="2026-06-19T00:00:00"/>
    <s v="12-06-2026 to 18-06-2026"/>
    <s v="Gomukh Gold 50KG"/>
    <s v="200100080048"/>
    <x v="13"/>
    <s v="Erchoro"/>
    <x v="10"/>
    <s v="Itki"/>
    <s v="Daya Society"/>
    <n v="1"/>
    <n v="1270"/>
    <n v="1270"/>
    <n v="0"/>
    <n v="1270"/>
    <n v="1"/>
    <n v="1270"/>
    <m/>
  </r>
  <r>
    <d v="2026-06-19T20:35:28"/>
    <s v="Satendra kumar"/>
    <d v="2026-06-19T00:00:00"/>
    <s v="12-06-2026 to 18-06-2026"/>
    <s v="Gomukh Gold 50KG"/>
    <s v="200100080059"/>
    <x v="13"/>
    <s v="Erchoro"/>
    <x v="11"/>
    <s v="Itki"/>
    <s v="Daya Society"/>
    <n v="1"/>
    <n v="1270"/>
    <n v="1270"/>
    <n v="0"/>
    <n v="1270"/>
    <n v="1"/>
    <n v="1270"/>
    <m/>
  </r>
  <r>
    <d v="2026-06-19T20:36:16"/>
    <s v="Satendra kumar"/>
    <d v="2026-06-19T00:00:00"/>
    <s v="12-06-2026 to 18-06-2026"/>
    <s v="Gomukh Gold 50KG"/>
    <s v="200100080035"/>
    <x v="13"/>
    <s v="Erchoro"/>
    <x v="12"/>
    <s v="Itki"/>
    <s v="Daya Society"/>
    <n v="12"/>
    <n v="1270"/>
    <n v="15240"/>
    <n v="0"/>
    <n v="15240"/>
    <n v="12"/>
    <n v="15240"/>
    <m/>
  </r>
  <r>
    <d v="2026-06-19T20:38:03"/>
    <s v="Satendra kumar"/>
    <d v="2026-06-19T00:00:00"/>
    <s v="12-06-2026 to 18-06-2026"/>
    <s v="Gomukh Gold 50KG"/>
    <s v="200600010023"/>
    <x v="14"/>
    <s v="ORMANJHI"/>
    <x v="6"/>
    <s v="ORMANJHI"/>
    <s v="Daya Society"/>
    <n v="1"/>
    <n v="1270"/>
    <n v="1270"/>
    <n v="0"/>
    <n v="1270"/>
    <n v="1"/>
    <n v="1270"/>
    <m/>
  </r>
  <r>
    <d v="2026-06-19T20:38:44"/>
    <s v="Satendra kumar"/>
    <d v="2026-06-19T00:00:00"/>
    <s v="12-06-2026 to 18-06-2026"/>
    <s v="Gomukh Gold 50KG"/>
    <s v="200600010024"/>
    <x v="14"/>
    <s v="ORMANJHI"/>
    <x v="13"/>
    <s v="ORMANJHI"/>
    <s v="Daya Society"/>
    <n v="4"/>
    <n v="1270"/>
    <n v="5080"/>
    <n v="0"/>
    <n v="5080"/>
    <n v="4"/>
    <n v="5080"/>
    <m/>
  </r>
  <r>
    <d v="2026-06-19T20:39:35"/>
    <s v="Satendra kumar"/>
    <d v="2026-06-19T00:00:00"/>
    <s v="12-06-2026 to 18-06-2026"/>
    <s v="Gomukh Gold 50KG"/>
    <s v="200600040028"/>
    <x v="15"/>
    <s v="CHUTTU"/>
    <x v="14"/>
    <s v="ORMANJHI"/>
    <s v="Daya Society"/>
    <n v="1"/>
    <n v="1270"/>
    <n v="1270"/>
    <n v="0"/>
    <n v="1270"/>
    <n v="1"/>
    <n v="1270"/>
    <m/>
  </r>
  <r>
    <d v="2026-06-19T20:40:16"/>
    <s v="Satendra kumar"/>
    <d v="2026-06-19T00:00:00"/>
    <s v="12-06-2026 to 18-06-2026"/>
    <s v="Gomukh Gold 50KG"/>
    <s v="200600040002"/>
    <x v="15"/>
    <s v="CHUTTU"/>
    <x v="0"/>
    <s v="ORMANJHI"/>
    <s v="Daya Society"/>
    <n v="19"/>
    <n v="1270"/>
    <n v="24130"/>
    <n v="0"/>
    <n v="24130"/>
    <n v="19"/>
    <n v="24130"/>
    <m/>
  </r>
  <r>
    <d v="2026-06-20T08:01:40"/>
    <s v="Vikash"/>
    <d v="2026-06-20T00:00:00"/>
    <s v="12-06-2026 to 18-06-2026"/>
    <s v="Gomukh Gold 50KG"/>
    <s v="200200020013"/>
    <x v="16"/>
    <s v="Jari"/>
    <x v="15"/>
    <s v="Paali"/>
    <s v="Daya Society"/>
    <n v="1"/>
    <n v="1270"/>
    <n v="1270"/>
    <n v="0"/>
    <n v="1270"/>
    <n v="1"/>
    <n v="1270"/>
    <m/>
  </r>
  <r>
    <d v="2026-06-20T08:02:07"/>
    <s v="Vikash"/>
    <d v="2026-06-20T00:00:00"/>
    <s v="12-06-2026 to 18-06-2026"/>
    <s v="Gomukh Gold 50KG"/>
    <s v="200200020024"/>
    <x v="16"/>
    <s v="Jari"/>
    <x v="13"/>
    <s v="Paali"/>
    <s v="Daya Society"/>
    <n v="2"/>
    <n v="1270"/>
    <n v="2540"/>
    <n v="0"/>
    <n v="2540"/>
    <n v="2"/>
    <n v="2540"/>
    <m/>
  </r>
  <r>
    <d v="2026-06-20T08:03:24"/>
    <s v="Vikash"/>
    <d v="2026-06-20T00:00:00"/>
    <s v="12-06-2026 to 18-06-2026"/>
    <s v="Gomukh Gold 50KG"/>
    <s v="200200250004"/>
    <x v="17"/>
    <s v="AGRU"/>
    <x v="16"/>
    <s v="Paali"/>
    <s v="Daya Society"/>
    <n v="2"/>
    <n v="1270"/>
    <n v="2540"/>
    <n v="0"/>
    <n v="2540"/>
    <n v="2"/>
    <n v="2540"/>
    <m/>
  </r>
  <r>
    <d v="2026-06-20T08:03:48"/>
    <s v="Vikash"/>
    <d v="2026-06-20T00:00:00"/>
    <s v="12-06-2026 to 18-06-2026"/>
    <s v="Gomukh Gold 50KG"/>
    <s v="200200250008"/>
    <x v="17"/>
    <s v="AGRU"/>
    <x v="17"/>
    <s v="Paali"/>
    <s v="Daya Society"/>
    <n v="1"/>
    <n v="1270"/>
    <n v="1270"/>
    <n v="0"/>
    <n v="1270"/>
    <n v="1"/>
    <n v="1270"/>
    <m/>
  </r>
  <r>
    <d v="2026-06-20T08:04:32"/>
    <s v="Vikash"/>
    <d v="2026-06-20T00:00:00"/>
    <s v="12-06-2026 to 18-06-2026"/>
    <s v="Gomukh Gold 50KG"/>
    <s v="200200250022"/>
    <x v="17"/>
    <s v="AGRU"/>
    <x v="3"/>
    <s v="Paali"/>
    <s v="Daya Society"/>
    <n v="3"/>
    <n v="1270"/>
    <n v="3810"/>
    <n v="0"/>
    <n v="3810"/>
    <n v="3"/>
    <n v="3810"/>
    <m/>
  </r>
  <r>
    <d v="2026-06-20T08:05:07"/>
    <s v="Vikash"/>
    <d v="2026-06-20T00:00:00"/>
    <s v="12-06-2026 to 18-06-2026"/>
    <s v="Gomukh Gold 50KG"/>
    <s v="200200060002"/>
    <x v="18"/>
    <s v="RANIKHATANGA"/>
    <x v="0"/>
    <s v="Paali"/>
    <s v="Daya Society"/>
    <n v="5"/>
    <n v="1270"/>
    <n v="6350"/>
    <n v="0"/>
    <n v="6350"/>
    <n v="5"/>
    <n v="6350"/>
    <m/>
  </r>
  <r>
    <d v="2026-06-20T08:05:47"/>
    <s v="Vikash"/>
    <d v="2026-06-20T00:00:00"/>
    <s v="12-06-2026 to 18-06-2026"/>
    <s v="Gomukh Gold 50KG"/>
    <s v="200500020056"/>
    <x v="19"/>
    <s v="KANBHITHA"/>
    <x v="18"/>
    <s v="Paali"/>
    <s v="Daya Society"/>
    <n v="2"/>
    <n v="1270"/>
    <n v="2540"/>
    <n v="0"/>
    <n v="2540"/>
    <n v="2"/>
    <n v="2540"/>
    <m/>
  </r>
  <r>
    <d v="2026-06-20T08:06:31"/>
    <s v="Vikash"/>
    <d v="2026-06-20T00:00:00"/>
    <s v="12-06-2026 to 18-06-2026"/>
    <s v="Gomukh Gold 50KG"/>
    <s v="200500030002"/>
    <x v="20"/>
    <s v="UCHARI"/>
    <x v="0"/>
    <s v="Paali"/>
    <s v="Daya Society"/>
    <n v="2"/>
    <n v="1270"/>
    <n v="2540"/>
    <n v="0"/>
    <n v="2540"/>
    <n v="2"/>
    <n v="2540"/>
    <m/>
  </r>
  <r>
    <d v="2026-06-20T08:07:01"/>
    <s v="Vikash"/>
    <d v="2026-06-20T00:00:00"/>
    <s v="12-06-2026 to 18-06-2026"/>
    <s v="Gomukh Gold 50KG"/>
    <s v="200200030002"/>
    <x v="21"/>
    <s v="Bijuliya"/>
    <x v="0"/>
    <s v="Paali"/>
    <s v="Daya Society"/>
    <n v="5"/>
    <n v="1270"/>
    <n v="6350"/>
    <n v="0"/>
    <n v="6350"/>
    <n v="5"/>
    <n v="6350"/>
    <m/>
  </r>
  <r>
    <d v="2026-06-20T08:11:48"/>
    <s v="Vikash"/>
    <d v="2026-06-20T00:00:00"/>
    <s v="12-06-2026 to 18-06-2026"/>
    <s v="Gomukh Gold 50KG"/>
    <s v="200300010002"/>
    <x v="22"/>
    <s v="Hisri Thakurgaon"/>
    <x v="0"/>
    <s v="Hisri Thakurgaon"/>
    <s v="Daya Society"/>
    <n v="5"/>
    <n v="1270"/>
    <n v="6350"/>
    <n v="0"/>
    <n v="6350"/>
    <n v="5"/>
    <n v="6350"/>
    <m/>
  </r>
  <r>
    <d v="2026-06-20T08:15:42"/>
    <s v="Vikash"/>
    <d v="2026-06-20T00:00:00"/>
    <s v="12-06-2026 to 18-06-2026"/>
    <s v="ONLY DUE ADJUSTMENT"/>
    <s v="200200010128"/>
    <x v="23"/>
    <s v="Paali"/>
    <x v="19"/>
    <s v="Paali"/>
    <s v="Daya Society"/>
    <n v="0"/>
    <n v="0"/>
    <n v="0"/>
    <n v="2156"/>
    <n v="2156"/>
    <n v="0"/>
    <n v="2156"/>
    <m/>
  </r>
  <r>
    <d v="2026-06-20T08:16:29"/>
    <s v="Vikash"/>
    <d v="2026-06-20T00:00:00"/>
    <s v="12-06-2026 to 18-06-2026"/>
    <s v="ONLY DUE ADJUSTMENT"/>
    <s v="200200010121"/>
    <x v="23"/>
    <s v="Paali"/>
    <x v="20"/>
    <s v="Paali"/>
    <s v="Daya Society"/>
    <n v="0"/>
    <n v="0"/>
    <n v="0"/>
    <n v="2000"/>
    <n v="2000"/>
    <n v="0"/>
    <n v="2000"/>
    <m/>
  </r>
  <r>
    <d v="2026-06-20T12:42:12"/>
    <s v="Satendra kumar"/>
    <d v="2026-06-20T00:00:00"/>
    <s v="12-06-2026 to 18-06-2026"/>
    <s v="Gomukh Gold 50KG"/>
    <s v="200600140002"/>
    <x v="24"/>
    <s v="Chiriyaghar"/>
    <x v="0"/>
    <s v="ORMANJHI"/>
    <s v="Daya Society"/>
    <n v="1"/>
    <n v="1270"/>
    <n v="1270"/>
    <n v="0"/>
    <n v="1270"/>
    <n v="1"/>
    <n v="12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3910D-CD31-4294-8C3F-BA240A56A214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43" firstHeaderRow="2" firstDataRow="2" firstDataCol="2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x="13"/>
        <item x="6"/>
        <item x="23"/>
        <item x="16"/>
        <item x="21"/>
        <item x="18"/>
        <item x="17"/>
        <item x="22"/>
        <item x="4"/>
        <item x="19"/>
        <item x="20"/>
        <item x="14"/>
        <item x="12"/>
        <item x="9"/>
        <item x="15"/>
        <item x="11"/>
        <item x="8"/>
        <item x="10"/>
        <item x="24"/>
        <item x="7"/>
        <item x="1"/>
        <item x="3"/>
        <item x="5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2">
        <item x="0"/>
        <item x="1"/>
        <item x="16"/>
        <item x="2"/>
        <item x="17"/>
        <item x="8"/>
        <item x="15"/>
        <item x="4"/>
        <item x="5"/>
        <item x="3"/>
        <item x="6"/>
        <item x="13"/>
        <item x="14"/>
        <item x="7"/>
        <item x="12"/>
        <item x="9"/>
        <item x="10"/>
        <item x="18"/>
        <item x="11"/>
        <item x="20"/>
        <item x="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8"/>
  </rowFields>
  <rowItems count="39">
    <i>
      <x/>
      <x v="14"/>
    </i>
    <i r="1">
      <x v="15"/>
    </i>
    <i r="1">
      <x v="16"/>
    </i>
    <i r="1">
      <x v="18"/>
    </i>
    <i>
      <x v="1"/>
      <x v="7"/>
    </i>
    <i r="1">
      <x v="8"/>
    </i>
    <i>
      <x v="2"/>
      <x v="19"/>
    </i>
    <i r="1">
      <x v="20"/>
    </i>
    <i>
      <x v="3"/>
      <x v="6"/>
    </i>
    <i r="1">
      <x v="11"/>
    </i>
    <i>
      <x v="4"/>
      <x/>
    </i>
    <i>
      <x v="5"/>
      <x/>
    </i>
    <i>
      <x v="6"/>
      <x v="2"/>
    </i>
    <i r="1">
      <x v="4"/>
    </i>
    <i r="1">
      <x v="9"/>
    </i>
    <i>
      <x v="7"/>
      <x/>
    </i>
    <i>
      <x v="8"/>
      <x/>
    </i>
    <i>
      <x v="9"/>
      <x v="17"/>
    </i>
    <i>
      <x v="10"/>
      <x/>
    </i>
    <i>
      <x v="11"/>
      <x v="10"/>
    </i>
    <i r="1">
      <x v="11"/>
    </i>
    <i>
      <x v="12"/>
      <x v="5"/>
    </i>
    <i>
      <x v="13"/>
      <x/>
    </i>
    <i>
      <x v="14"/>
      <x/>
    </i>
    <i r="1">
      <x v="12"/>
    </i>
    <i>
      <x v="15"/>
      <x v="1"/>
    </i>
    <i>
      <x v="16"/>
      <x/>
    </i>
    <i>
      <x v="17"/>
      <x v="13"/>
    </i>
    <i>
      <x v="18"/>
      <x/>
    </i>
    <i>
      <x v="19"/>
      <x v="10"/>
    </i>
    <i>
      <x v="20"/>
      <x v="3"/>
    </i>
    <i>
      <x v="21"/>
      <x/>
    </i>
    <i r="1">
      <x v="9"/>
    </i>
    <i>
      <x v="22"/>
      <x/>
    </i>
    <i r="1">
      <x v="3"/>
    </i>
    <i>
      <x v="23"/>
      <x/>
    </i>
    <i>
      <x v="24"/>
      <x/>
    </i>
    <i r="1">
      <x v="1"/>
    </i>
    <i t="grand">
      <x/>
    </i>
  </rowItems>
  <colItems count="1">
    <i/>
  </colItems>
  <dataFields count="1">
    <dataField name="Sum of Final Am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02D86-FC11-4E6C-B022-EF1EE1D2F92E}" name="Table7" displayName="Table7" ref="A1:S38" headerRowDxfId="22" totalsRowDxfId="19" headerRowBorderDxfId="21" tableBorderDxfId="20">
  <autoFilter ref="A1:S38" xr:uid="{79802D86-FC11-4E6C-B022-EF1EE1D2F92E}"/>
  <tableColumns count="19">
    <tableColumn id="1" xr3:uid="{32855BDC-8DF2-4CAE-AD9E-103613403A1D}" name="Timestamp" dataDxfId="18"/>
    <tableColumn id="2" xr3:uid="{057AD0A1-2724-467A-93E6-41F266B85D88}" name="User Name" dataDxfId="17"/>
    <tableColumn id="3" xr3:uid="{CD29EA62-A25D-43E4-AEA5-82B688F31FA6}" name="Order Date" dataDxfId="16"/>
    <tableColumn id="4" xr3:uid="{95D8BFD2-0A18-4243-A7BC-020D51580974}" name="Deduction Cycle" dataDxfId="15"/>
    <tableColumn id="5" xr3:uid="{806EA5A6-2BA4-489A-A81C-BC3A701B14A9}" name="Item Name" dataDxfId="14"/>
    <tableColumn id="6" xr3:uid="{0E9D9EF6-C85B-403A-AFC9-63FAF3A20C75}" name="ID" dataDxfId="13"/>
    <tableColumn id="7" xr3:uid="{21CEAEF7-285A-43CD-A97C-EB976EBA54F1}" name="MPG Code" dataDxfId="12"/>
    <tableColumn id="8" xr3:uid="{16B44417-9C4D-4646-96CA-36AE45A3EEB0}" name="MPG Name" dataDxfId="11"/>
    <tableColumn id="9" xr3:uid="{70E45811-38CA-42E7-B5E3-A7138C94FB9B}" name="Farmer code" dataDxfId="10"/>
    <tableColumn id="10" xr3:uid="{CC1A64FE-3C0B-480F-94BE-DA425B18EAEF}" name="BMC Name" dataDxfId="9"/>
    <tableColumn id="11" xr3:uid="{03ED7740-CB12-410E-BB1D-55BF6D284CF1}" name="CSP" dataDxfId="8"/>
    <tableColumn id="12" xr3:uid="{0BAE6020-1B69-4F9F-9CD0-D03337E82E7E}" name="Qty" dataDxfId="7"/>
    <tableColumn id="13" xr3:uid="{2B5D6BBA-E000-4D24-A65E-98173EDBA3EC}" name="Rate" dataDxfId="6"/>
    <tableColumn id="14" xr3:uid="{CBB1D0B9-8F57-49C6-A118-32C2DA27C885}" name="Total Amount" dataDxfId="5"/>
    <tableColumn id="15" xr3:uid="{54DDDCF9-2C38-43FA-A497-0CC0F75D486E}" name="Other Due Amt" dataDxfId="4"/>
    <tableColumn id="16" xr3:uid="{3117F855-1C4A-4FE6-8525-A8A2E0CCA327}" name="Total Amount (Proposed)" dataDxfId="3"/>
    <tableColumn id="17" xr3:uid="{E8E8C1B2-7E5B-4F07-B007-E836E9EDF870}" name="Final Qty" dataDxfId="2"/>
    <tableColumn id="18" xr3:uid="{A398CA39-D692-454C-B651-9AAB966784AC}" name="Final Amount" dataDxfId="1"/>
    <tableColumn id="19" xr3:uid="{24BC7029-7875-4CF2-A12C-FB9B899B3133}" name="Milk Amonnt" dataDxfId="0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D366-6070-48B7-8D37-89D0427E8CD9}">
  <dimension ref="A3:O51"/>
  <sheetViews>
    <sheetView tabSelected="1" topLeftCell="A24" workbookViewId="0">
      <selection activeCell="V36" sqref="V36"/>
    </sheetView>
  </sheetViews>
  <sheetFormatPr defaultRowHeight="15" x14ac:dyDescent="0.25"/>
  <cols>
    <col min="1" max="1" width="12.7109375" bestFit="1" customWidth="1"/>
    <col min="2" max="2" width="14.28515625" bestFit="1" customWidth="1"/>
    <col min="3" max="3" width="7" bestFit="1" customWidth="1"/>
    <col min="10" max="10" width="13.140625" bestFit="1" customWidth="1"/>
  </cols>
  <sheetData>
    <row r="3" spans="1:15" x14ac:dyDescent="0.25">
      <c r="A3" s="27" t="s">
        <v>113</v>
      </c>
    </row>
    <row r="4" spans="1:15" x14ac:dyDescent="0.25">
      <c r="A4" s="27" t="s">
        <v>6</v>
      </c>
      <c r="B4" s="27" t="s">
        <v>8</v>
      </c>
      <c r="C4" t="s">
        <v>114</v>
      </c>
      <c r="J4" s="28" t="s">
        <v>5</v>
      </c>
      <c r="K4" s="28" t="s">
        <v>6</v>
      </c>
      <c r="L4" s="28" t="s">
        <v>8</v>
      </c>
      <c r="M4" s="28" t="s">
        <v>116</v>
      </c>
      <c r="N4" s="28" t="s">
        <v>114</v>
      </c>
      <c r="O4" s="28" t="s">
        <v>115</v>
      </c>
    </row>
    <row r="5" spans="1:15" x14ac:dyDescent="0.25">
      <c r="A5">
        <v>20010008</v>
      </c>
      <c r="B5" t="s">
        <v>74</v>
      </c>
      <c r="C5">
        <v>15240</v>
      </c>
      <c r="J5" t="str">
        <f t="shared" ref="J5:J42" si="0">CONCATENATE(K5,L5)</f>
        <v>200100080035</v>
      </c>
      <c r="K5" s="30">
        <v>20010008</v>
      </c>
      <c r="L5" t="s">
        <v>74</v>
      </c>
      <c r="M5" t="str">
        <f>VLOOKUP(K5,'[1]MPG Payment'!$B$3:$E$129,4,0)</f>
        <v>Direct</v>
      </c>
      <c r="N5">
        <v>15240</v>
      </c>
      <c r="O5">
        <v>15240</v>
      </c>
    </row>
    <row r="6" spans="1:15" x14ac:dyDescent="0.25">
      <c r="A6">
        <v>20010008</v>
      </c>
      <c r="B6" t="s">
        <v>67</v>
      </c>
      <c r="C6">
        <v>1270</v>
      </c>
      <c r="J6" t="str">
        <f t="shared" si="0"/>
        <v>200100080041</v>
      </c>
      <c r="K6" s="30">
        <v>20010008</v>
      </c>
      <c r="L6" t="s">
        <v>67</v>
      </c>
      <c r="M6" t="str">
        <f>VLOOKUP(K6,'[1]MPG Payment'!$B$3:$E$129,4,0)</f>
        <v>Direct</v>
      </c>
      <c r="N6">
        <v>1270</v>
      </c>
      <c r="O6">
        <v>1125</v>
      </c>
    </row>
    <row r="7" spans="1:15" x14ac:dyDescent="0.25">
      <c r="A7">
        <v>20010008</v>
      </c>
      <c r="B7" t="s">
        <v>70</v>
      </c>
      <c r="C7">
        <v>1270</v>
      </c>
      <c r="J7" t="str">
        <f t="shared" si="0"/>
        <v>200100080048</v>
      </c>
      <c r="K7" s="30">
        <v>20010008</v>
      </c>
      <c r="L7" t="s">
        <v>70</v>
      </c>
      <c r="M7" t="str">
        <f>VLOOKUP(K7,'[1]MPG Payment'!$B$3:$E$129,4,0)</f>
        <v>Direct</v>
      </c>
      <c r="N7">
        <v>1270</v>
      </c>
      <c r="O7">
        <v>928</v>
      </c>
    </row>
    <row r="8" spans="1:15" x14ac:dyDescent="0.25">
      <c r="A8">
        <v>20010008</v>
      </c>
      <c r="B8" t="s">
        <v>72</v>
      </c>
      <c r="C8">
        <v>1270</v>
      </c>
      <c r="J8" t="str">
        <f t="shared" si="0"/>
        <v>200100080059</v>
      </c>
      <c r="K8" s="31">
        <v>20010008</v>
      </c>
      <c r="L8" t="s">
        <v>72</v>
      </c>
      <c r="M8" t="str">
        <f>VLOOKUP(K8,'[1]MPG Payment'!$B$3:$E$129,4,0)</f>
        <v>Direct</v>
      </c>
      <c r="N8">
        <v>1270</v>
      </c>
      <c r="O8">
        <v>1270</v>
      </c>
    </row>
    <row r="9" spans="1:15" x14ac:dyDescent="0.25">
      <c r="A9">
        <v>20010054</v>
      </c>
      <c r="B9" t="s">
        <v>45</v>
      </c>
      <c r="C9">
        <v>1270</v>
      </c>
      <c r="J9" t="str">
        <f t="shared" si="0"/>
        <v>200100540017</v>
      </c>
      <c r="K9" s="30">
        <v>20010054</v>
      </c>
      <c r="L9" t="s">
        <v>45</v>
      </c>
      <c r="M9" t="str">
        <f>VLOOKUP(K9,'[1]MPG Payment'!$B$3:$E$129,4,0)</f>
        <v>Direct</v>
      </c>
      <c r="N9">
        <v>1270</v>
      </c>
      <c r="O9">
        <v>1270</v>
      </c>
    </row>
    <row r="10" spans="1:15" x14ac:dyDescent="0.25">
      <c r="A10">
        <v>20010054</v>
      </c>
      <c r="B10" t="s">
        <v>47</v>
      </c>
      <c r="C10">
        <v>1270</v>
      </c>
      <c r="J10" t="str">
        <f t="shared" si="0"/>
        <v>200100540021</v>
      </c>
      <c r="K10" s="31">
        <v>20010054</v>
      </c>
      <c r="L10" t="s">
        <v>47</v>
      </c>
      <c r="M10" t="str">
        <f>VLOOKUP(K10,'[1]MPG Payment'!$B$3:$E$129,4,0)</f>
        <v>Direct</v>
      </c>
      <c r="N10">
        <v>1270</v>
      </c>
      <c r="O10">
        <v>1270</v>
      </c>
    </row>
    <row r="11" spans="1:15" x14ac:dyDescent="0.25">
      <c r="A11">
        <v>20020001</v>
      </c>
      <c r="B11" t="s">
        <v>109</v>
      </c>
      <c r="C11">
        <v>2000</v>
      </c>
      <c r="J11" t="str">
        <f t="shared" si="0"/>
        <v>200200010121</v>
      </c>
      <c r="K11" s="30">
        <v>20020001</v>
      </c>
      <c r="L11" t="s">
        <v>109</v>
      </c>
      <c r="M11" t="str">
        <f>VLOOKUP(K11,'[1]MPG Payment'!$B$3:$E$129,4,0)</f>
        <v>Direct</v>
      </c>
      <c r="N11">
        <v>2000</v>
      </c>
      <c r="O11">
        <v>2000</v>
      </c>
    </row>
    <row r="12" spans="1:15" x14ac:dyDescent="0.25">
      <c r="A12">
        <v>20020001</v>
      </c>
      <c r="B12" t="s">
        <v>107</v>
      </c>
      <c r="C12">
        <v>2156</v>
      </c>
      <c r="J12" t="str">
        <f t="shared" si="0"/>
        <v>200200010128</v>
      </c>
      <c r="K12" s="31">
        <v>20020001</v>
      </c>
      <c r="L12" t="s">
        <v>107</v>
      </c>
      <c r="M12" t="str">
        <f>VLOOKUP(K12,'[1]MPG Payment'!$B$3:$E$129,4,0)</f>
        <v>Direct</v>
      </c>
      <c r="N12">
        <v>2156</v>
      </c>
      <c r="O12">
        <v>2156</v>
      </c>
    </row>
    <row r="13" spans="1:15" x14ac:dyDescent="0.25">
      <c r="A13">
        <v>20020002</v>
      </c>
      <c r="B13" t="s">
        <v>85</v>
      </c>
      <c r="C13">
        <v>1270</v>
      </c>
      <c r="J13" t="str">
        <f t="shared" si="0"/>
        <v>200200020013</v>
      </c>
      <c r="K13" s="30">
        <v>20020002</v>
      </c>
      <c r="L13" t="s">
        <v>85</v>
      </c>
      <c r="M13" t="str">
        <f>VLOOKUP(K13,'[1]MPG Payment'!$B$3:$E$129,4,0)</f>
        <v>Direct</v>
      </c>
      <c r="N13">
        <v>1270</v>
      </c>
      <c r="O13">
        <v>1270</v>
      </c>
    </row>
    <row r="14" spans="1:15" x14ac:dyDescent="0.25">
      <c r="A14">
        <v>20020002</v>
      </c>
      <c r="B14" t="s">
        <v>77</v>
      </c>
      <c r="C14">
        <v>2540</v>
      </c>
      <c r="J14" t="str">
        <f t="shared" si="0"/>
        <v>200200020024</v>
      </c>
      <c r="K14" s="31">
        <v>20020002</v>
      </c>
      <c r="L14" t="s">
        <v>77</v>
      </c>
      <c r="M14" t="str">
        <f>VLOOKUP(K14,'[1]MPG Payment'!$B$3:$E$129,4,0)</f>
        <v>Direct</v>
      </c>
      <c r="N14">
        <v>2540</v>
      </c>
      <c r="O14">
        <v>484</v>
      </c>
    </row>
    <row r="15" spans="1:15" x14ac:dyDescent="0.25">
      <c r="A15">
        <v>20020003</v>
      </c>
      <c r="B15" t="s">
        <v>24</v>
      </c>
      <c r="C15">
        <v>6350</v>
      </c>
      <c r="J15" t="str">
        <f t="shared" si="0"/>
        <v>200200030002</v>
      </c>
      <c r="K15" s="31">
        <v>20020003</v>
      </c>
      <c r="L15" t="s">
        <v>24</v>
      </c>
      <c r="M15" t="str">
        <f>VLOOKUP(K15,'[1]MPG Payment'!$B$3:$E$129,4,0)</f>
        <v>Direct</v>
      </c>
      <c r="N15">
        <v>6350</v>
      </c>
      <c r="O15">
        <v>6350</v>
      </c>
    </row>
    <row r="16" spans="1:15" x14ac:dyDescent="0.25">
      <c r="A16">
        <v>20020006</v>
      </c>
      <c r="B16" t="s">
        <v>24</v>
      </c>
      <c r="C16">
        <v>6350</v>
      </c>
      <c r="J16" t="str">
        <f t="shared" si="0"/>
        <v>200200060002</v>
      </c>
      <c r="K16" s="31">
        <v>20020006</v>
      </c>
      <c r="L16" t="s">
        <v>24</v>
      </c>
      <c r="M16" t="str">
        <f>VLOOKUP(K16,'[1]MPG Payment'!$B$3:$E$129,4,0)</f>
        <v>Direct</v>
      </c>
      <c r="N16">
        <v>6350</v>
      </c>
      <c r="O16">
        <v>6350</v>
      </c>
    </row>
    <row r="17" spans="1:15" x14ac:dyDescent="0.25">
      <c r="A17">
        <v>20020025</v>
      </c>
      <c r="B17" t="s">
        <v>90</v>
      </c>
      <c r="C17">
        <v>2540</v>
      </c>
      <c r="J17" t="str">
        <f t="shared" si="0"/>
        <v>200200250004</v>
      </c>
      <c r="K17" s="30">
        <v>20020025</v>
      </c>
      <c r="L17" t="s">
        <v>90</v>
      </c>
      <c r="M17" t="str">
        <f>VLOOKUP(K17,'[1]MPG Payment'!$B$3:$E$129,4,0)</f>
        <v>Direct</v>
      </c>
      <c r="N17">
        <v>2540</v>
      </c>
      <c r="O17">
        <v>2540</v>
      </c>
    </row>
    <row r="18" spans="1:15" x14ac:dyDescent="0.25">
      <c r="A18">
        <v>20020025</v>
      </c>
      <c r="B18" t="s">
        <v>92</v>
      </c>
      <c r="C18">
        <v>1270</v>
      </c>
      <c r="J18" t="str">
        <f t="shared" si="0"/>
        <v>200200250008</v>
      </c>
      <c r="K18" s="30">
        <v>20020025</v>
      </c>
      <c r="L18" t="s">
        <v>92</v>
      </c>
      <c r="M18" t="str">
        <f>VLOOKUP(K18,'[1]MPG Payment'!$B$3:$E$129,4,0)</f>
        <v>Direct</v>
      </c>
      <c r="N18">
        <v>1270</v>
      </c>
      <c r="O18">
        <v>1270</v>
      </c>
    </row>
    <row r="19" spans="1:15" x14ac:dyDescent="0.25">
      <c r="A19">
        <v>20020025</v>
      </c>
      <c r="B19" t="s">
        <v>37</v>
      </c>
      <c r="C19">
        <v>3810</v>
      </c>
      <c r="J19" t="str">
        <f t="shared" si="0"/>
        <v>200200250022</v>
      </c>
      <c r="K19" s="31">
        <v>20020025</v>
      </c>
      <c r="L19" t="s">
        <v>37</v>
      </c>
      <c r="M19" t="str">
        <f>VLOOKUP(K19,'[1]MPG Payment'!$B$3:$E$129,4,0)</f>
        <v>Direct</v>
      </c>
      <c r="N19">
        <v>3810</v>
      </c>
      <c r="O19">
        <v>3810</v>
      </c>
    </row>
    <row r="20" spans="1:15" x14ac:dyDescent="0.25">
      <c r="A20">
        <v>20030001</v>
      </c>
      <c r="B20" t="s">
        <v>24</v>
      </c>
      <c r="C20">
        <v>6350</v>
      </c>
      <c r="J20" t="str">
        <f t="shared" si="0"/>
        <v>200300010002</v>
      </c>
      <c r="K20" s="31">
        <v>20030001</v>
      </c>
      <c r="L20" t="s">
        <v>24</v>
      </c>
      <c r="M20" t="str">
        <f>VLOOKUP(K20,'[1]MPG Payment'!$B$3:$E$129,4,0)</f>
        <v>Direct</v>
      </c>
      <c r="N20">
        <v>6350</v>
      </c>
      <c r="O20">
        <v>6350</v>
      </c>
    </row>
    <row r="21" spans="1:15" x14ac:dyDescent="0.25">
      <c r="A21">
        <v>20040001</v>
      </c>
      <c r="B21" t="s">
        <v>24</v>
      </c>
      <c r="C21">
        <v>3810</v>
      </c>
      <c r="J21" t="str">
        <f t="shared" si="0"/>
        <v>200400010002</v>
      </c>
      <c r="K21" s="31">
        <v>20040001</v>
      </c>
      <c r="L21" t="s">
        <v>24</v>
      </c>
      <c r="M21" t="str">
        <f>VLOOKUP(K21,'[1]MPG Payment'!$B$3:$E$129,4,0)</f>
        <v>Direct</v>
      </c>
      <c r="N21">
        <v>3810</v>
      </c>
      <c r="O21">
        <v>3810</v>
      </c>
    </row>
    <row r="22" spans="1:15" x14ac:dyDescent="0.25">
      <c r="A22">
        <v>20050002</v>
      </c>
      <c r="B22" t="s">
        <v>98</v>
      </c>
      <c r="C22">
        <v>2540</v>
      </c>
      <c r="J22" t="str">
        <f t="shared" si="0"/>
        <v>200500020056</v>
      </c>
      <c r="K22" s="31">
        <v>20050002</v>
      </c>
      <c r="L22" t="s">
        <v>98</v>
      </c>
      <c r="M22" t="str">
        <f>VLOOKUP(K22,'[1]MPG Payment'!$B$3:$E$129,4,0)</f>
        <v>Direct</v>
      </c>
      <c r="N22">
        <v>2540</v>
      </c>
      <c r="O22">
        <v>2540</v>
      </c>
    </row>
    <row r="23" spans="1:15" x14ac:dyDescent="0.25">
      <c r="A23">
        <v>20050003</v>
      </c>
      <c r="B23" t="s">
        <v>24</v>
      </c>
      <c r="C23">
        <v>2540</v>
      </c>
      <c r="J23" t="str">
        <f t="shared" si="0"/>
        <v>200500030002</v>
      </c>
      <c r="K23" s="31">
        <v>20050003</v>
      </c>
      <c r="L23" t="s">
        <v>24</v>
      </c>
      <c r="M23" t="str">
        <f>VLOOKUP(K23,'[1]MPG Payment'!$B$3:$E$129,4,0)</f>
        <v>Direct</v>
      </c>
      <c r="N23">
        <v>2540</v>
      </c>
      <c r="O23">
        <v>2540</v>
      </c>
    </row>
    <row r="24" spans="1:15" x14ac:dyDescent="0.25">
      <c r="A24">
        <v>20060001</v>
      </c>
      <c r="B24" t="s">
        <v>50</v>
      </c>
      <c r="C24">
        <v>1270</v>
      </c>
      <c r="J24" t="str">
        <f t="shared" si="0"/>
        <v>200600010023</v>
      </c>
      <c r="K24" s="30">
        <v>20060001</v>
      </c>
      <c r="L24" t="s">
        <v>50</v>
      </c>
      <c r="M24" t="str">
        <f>VLOOKUP(K24,'[1]MPG Payment'!$B$3:$E$129,4,0)</f>
        <v>Direct</v>
      </c>
      <c r="N24">
        <v>1270</v>
      </c>
      <c r="O24">
        <v>1270</v>
      </c>
    </row>
    <row r="25" spans="1:15" x14ac:dyDescent="0.25">
      <c r="A25">
        <v>20060001</v>
      </c>
      <c r="B25" t="s">
        <v>77</v>
      </c>
      <c r="C25">
        <v>5080</v>
      </c>
      <c r="J25" t="str">
        <f t="shared" si="0"/>
        <v>200600010024</v>
      </c>
      <c r="K25" s="31">
        <v>20060001</v>
      </c>
      <c r="L25" t="s">
        <v>77</v>
      </c>
      <c r="M25" t="str">
        <f>VLOOKUP(K25,'[1]MPG Payment'!$B$3:$E$129,4,0)</f>
        <v>Direct</v>
      </c>
      <c r="N25">
        <v>5080</v>
      </c>
      <c r="O25">
        <v>2768</v>
      </c>
    </row>
    <row r="26" spans="1:15" x14ac:dyDescent="0.25">
      <c r="A26">
        <v>20060002</v>
      </c>
      <c r="B26" t="s">
        <v>64</v>
      </c>
      <c r="C26">
        <v>1270</v>
      </c>
      <c r="J26" t="str">
        <f t="shared" si="0"/>
        <v>200600020011</v>
      </c>
      <c r="K26" s="31">
        <v>20060002</v>
      </c>
      <c r="L26" t="s">
        <v>64</v>
      </c>
      <c r="M26" t="str">
        <f>VLOOKUP(K26,'[1]MPG Payment'!$B$3:$E$129,4,0)</f>
        <v>Direct</v>
      </c>
      <c r="N26">
        <v>1270</v>
      </c>
      <c r="O26">
        <v>1226</v>
      </c>
    </row>
    <row r="27" spans="1:15" x14ac:dyDescent="0.25">
      <c r="A27">
        <v>20060003</v>
      </c>
      <c r="B27" t="s">
        <v>24</v>
      </c>
      <c r="C27">
        <v>25400</v>
      </c>
      <c r="J27" t="str">
        <f t="shared" si="0"/>
        <v>200600030002</v>
      </c>
      <c r="K27" s="31">
        <v>20060003</v>
      </c>
      <c r="L27" t="s">
        <v>24</v>
      </c>
      <c r="M27" t="str">
        <f>VLOOKUP(K27,'[1]MPG Payment'!$B$3:$E$129,4,0)</f>
        <v>Direct</v>
      </c>
      <c r="N27">
        <v>25400</v>
      </c>
      <c r="O27">
        <v>25400</v>
      </c>
    </row>
    <row r="28" spans="1:15" x14ac:dyDescent="0.25">
      <c r="A28">
        <v>20060004</v>
      </c>
      <c r="B28" t="s">
        <v>24</v>
      </c>
      <c r="C28">
        <v>24130</v>
      </c>
      <c r="J28" t="str">
        <f t="shared" si="0"/>
        <v>200600040002</v>
      </c>
      <c r="K28" s="30">
        <v>20060004</v>
      </c>
      <c r="L28" t="s">
        <v>24</v>
      </c>
      <c r="M28" t="str">
        <f>VLOOKUP(K28,'[1]MPG Payment'!$B$3:$E$129,4,0)</f>
        <v>Direct</v>
      </c>
      <c r="N28">
        <v>24130</v>
      </c>
      <c r="O28">
        <v>20070</v>
      </c>
    </row>
    <row r="29" spans="1:15" x14ac:dyDescent="0.25">
      <c r="A29">
        <v>20060004</v>
      </c>
      <c r="B29" t="s">
        <v>80</v>
      </c>
      <c r="C29">
        <v>1270</v>
      </c>
      <c r="J29" t="str">
        <f t="shared" si="0"/>
        <v>200600040028</v>
      </c>
      <c r="K29" s="31">
        <v>20060004</v>
      </c>
      <c r="L29" t="s">
        <v>80</v>
      </c>
      <c r="M29" t="str">
        <f>VLOOKUP(K29,'[1]MPG Payment'!$B$3:$E$129,4,0)</f>
        <v>Direct</v>
      </c>
      <c r="N29">
        <v>1270</v>
      </c>
      <c r="O29">
        <v>0</v>
      </c>
    </row>
    <row r="30" spans="1:15" x14ac:dyDescent="0.25">
      <c r="A30">
        <v>20060005</v>
      </c>
      <c r="B30" t="s">
        <v>28</v>
      </c>
      <c r="C30">
        <v>2540</v>
      </c>
      <c r="J30" t="str">
        <f t="shared" si="0"/>
        <v>200600050003</v>
      </c>
      <c r="K30" s="31">
        <v>20060005</v>
      </c>
      <c r="L30" t="s">
        <v>28</v>
      </c>
      <c r="M30" t="str">
        <f>VLOOKUP(K30,'[1]MPG Payment'!$B$3:$E$129,4,0)</f>
        <v>Direct</v>
      </c>
      <c r="N30">
        <v>2540</v>
      </c>
      <c r="O30">
        <v>2540</v>
      </c>
    </row>
    <row r="31" spans="1:15" x14ac:dyDescent="0.25">
      <c r="A31">
        <v>20060008</v>
      </c>
      <c r="B31" t="s">
        <v>24</v>
      </c>
      <c r="C31">
        <v>25400</v>
      </c>
      <c r="J31" t="str">
        <f t="shared" si="0"/>
        <v>200600080002</v>
      </c>
      <c r="K31" s="31">
        <v>20060008</v>
      </c>
      <c r="L31" t="s">
        <v>24</v>
      </c>
      <c r="M31" t="str">
        <f>VLOOKUP(K31,'[1]MPG Payment'!$B$3:$E$129,4,0)</f>
        <v>Direct</v>
      </c>
      <c r="N31">
        <v>25400</v>
      </c>
      <c r="O31">
        <v>13399</v>
      </c>
    </row>
    <row r="32" spans="1:15" x14ac:dyDescent="0.25">
      <c r="A32">
        <v>20060009</v>
      </c>
      <c r="B32" t="s">
        <v>59</v>
      </c>
      <c r="C32">
        <v>2540</v>
      </c>
      <c r="J32" t="str">
        <f t="shared" si="0"/>
        <v>200600090031</v>
      </c>
      <c r="K32" s="31">
        <v>20060009</v>
      </c>
      <c r="L32" t="s">
        <v>59</v>
      </c>
      <c r="M32" t="str">
        <f>VLOOKUP(K32,'[1]MPG Payment'!$B$3:$E$129,4,0)</f>
        <v>Direct</v>
      </c>
      <c r="N32">
        <v>2540</v>
      </c>
      <c r="O32">
        <v>2540</v>
      </c>
    </row>
    <row r="33" spans="1:15" x14ac:dyDescent="0.25">
      <c r="A33">
        <v>20060014</v>
      </c>
      <c r="B33" t="s">
        <v>24</v>
      </c>
      <c r="C33">
        <v>1270</v>
      </c>
      <c r="J33" t="str">
        <f t="shared" si="0"/>
        <v>200900040023</v>
      </c>
      <c r="K33" s="31">
        <v>20090004</v>
      </c>
      <c r="L33" t="s">
        <v>50</v>
      </c>
      <c r="M33" t="str">
        <f>VLOOKUP(K33,'[1]MPG Payment'!$B$3:$E$129,4,0)</f>
        <v>Direct</v>
      </c>
      <c r="N33">
        <v>1270</v>
      </c>
      <c r="O33">
        <v>1270</v>
      </c>
    </row>
    <row r="34" spans="1:15" x14ac:dyDescent="0.25">
      <c r="A34">
        <v>20090004</v>
      </c>
      <c r="B34" t="s">
        <v>50</v>
      </c>
      <c r="C34">
        <v>1270</v>
      </c>
      <c r="J34" t="str">
        <f t="shared" si="0"/>
        <v>200900080005</v>
      </c>
      <c r="K34" s="31">
        <v>20090008</v>
      </c>
      <c r="L34" t="s">
        <v>31</v>
      </c>
      <c r="M34" t="str">
        <f>VLOOKUP(K34,'[1]MPG Payment'!$B$3:$E$129,4,0)</f>
        <v>Direct</v>
      </c>
      <c r="N34">
        <v>635</v>
      </c>
      <c r="O34" s="30">
        <v>635</v>
      </c>
    </row>
    <row r="35" spans="1:15" x14ac:dyDescent="0.25">
      <c r="A35">
        <v>20090008</v>
      </c>
      <c r="B35" t="s">
        <v>31</v>
      </c>
      <c r="C35">
        <v>635</v>
      </c>
      <c r="J35" t="str">
        <f t="shared" si="0"/>
        <v>200900150002</v>
      </c>
      <c r="K35" s="31">
        <v>20090015</v>
      </c>
      <c r="L35" t="s">
        <v>24</v>
      </c>
      <c r="M35" t="str">
        <f>VLOOKUP(K35,'[1]MPG Payment'!$B$3:$E$129,4,0)</f>
        <v>Direct</v>
      </c>
      <c r="N35">
        <v>51</v>
      </c>
      <c r="O35">
        <v>51</v>
      </c>
    </row>
    <row r="36" spans="1:15" x14ac:dyDescent="0.25">
      <c r="A36">
        <v>20090015</v>
      </c>
      <c r="B36" t="s">
        <v>24</v>
      </c>
      <c r="C36">
        <v>51</v>
      </c>
      <c r="J36" t="str">
        <f t="shared" si="0"/>
        <v>200900150022</v>
      </c>
      <c r="K36" s="30">
        <v>20090015</v>
      </c>
      <c r="L36" t="s">
        <v>37</v>
      </c>
      <c r="M36" t="str">
        <f>VLOOKUP(K36,'[1]MPG Payment'!$B$3:$E$129,4,0)</f>
        <v>Direct</v>
      </c>
      <c r="N36">
        <v>1270</v>
      </c>
      <c r="O36">
        <v>873</v>
      </c>
    </row>
    <row r="37" spans="1:15" x14ac:dyDescent="0.25">
      <c r="A37">
        <v>20090015</v>
      </c>
      <c r="B37" t="s">
        <v>37</v>
      </c>
      <c r="C37">
        <v>1270</v>
      </c>
      <c r="J37" t="str">
        <f t="shared" si="0"/>
        <v>200900200002</v>
      </c>
      <c r="K37" s="31">
        <v>20090020</v>
      </c>
      <c r="L37" t="s">
        <v>24</v>
      </c>
      <c r="M37" t="str">
        <f>VLOOKUP(K37,'[1]MPG Payment'!$B$3:$E$129,4,0)</f>
        <v>Direct</v>
      </c>
      <c r="N37">
        <v>1270</v>
      </c>
      <c r="O37">
        <v>1270</v>
      </c>
    </row>
    <row r="38" spans="1:15" x14ac:dyDescent="0.25">
      <c r="A38">
        <v>20090020</v>
      </c>
      <c r="B38" t="s">
        <v>24</v>
      </c>
      <c r="C38">
        <v>1270</v>
      </c>
      <c r="J38" t="str">
        <f t="shared" si="0"/>
        <v>200900200005</v>
      </c>
      <c r="K38" s="30">
        <v>20090020</v>
      </c>
      <c r="L38" t="s">
        <v>31</v>
      </c>
      <c r="M38" t="str">
        <f>VLOOKUP(K38,'[1]MPG Payment'!$B$3:$E$129,4,0)</f>
        <v>Direct</v>
      </c>
      <c r="N38">
        <v>2540</v>
      </c>
      <c r="O38">
        <v>2540</v>
      </c>
    </row>
    <row r="39" spans="1:15" x14ac:dyDescent="0.25">
      <c r="A39">
        <v>20090020</v>
      </c>
      <c r="B39" t="s">
        <v>31</v>
      </c>
      <c r="C39">
        <v>2540</v>
      </c>
      <c r="J39" t="str">
        <f t="shared" si="0"/>
        <v>200900230002</v>
      </c>
      <c r="K39" s="31">
        <v>20090023</v>
      </c>
      <c r="L39" t="s">
        <v>24</v>
      </c>
      <c r="M39" t="str">
        <f>VLOOKUP(K39,'[1]MPG Payment'!$B$3:$E$129,4,0)</f>
        <v>Direct</v>
      </c>
      <c r="N39">
        <v>2540</v>
      </c>
      <c r="O39">
        <v>2540</v>
      </c>
    </row>
    <row r="40" spans="1:15" x14ac:dyDescent="0.25">
      <c r="A40">
        <v>20090022</v>
      </c>
      <c r="B40" t="s">
        <v>24</v>
      </c>
      <c r="C40">
        <v>635</v>
      </c>
      <c r="J40" t="str">
        <f t="shared" si="0"/>
        <v>200900230003</v>
      </c>
      <c r="K40" s="31">
        <v>20090023</v>
      </c>
      <c r="L40" t="s">
        <v>28</v>
      </c>
      <c r="M40" t="str">
        <f>VLOOKUP(K40,'[1]MPG Payment'!$B$3:$E$129,4,0)</f>
        <v>Direct</v>
      </c>
      <c r="N40">
        <v>760</v>
      </c>
      <c r="O40">
        <v>760</v>
      </c>
    </row>
    <row r="41" spans="1:15" x14ac:dyDescent="0.25">
      <c r="A41">
        <v>20090023</v>
      </c>
      <c r="B41" t="s">
        <v>24</v>
      </c>
      <c r="C41">
        <v>2540</v>
      </c>
      <c r="J41" t="str">
        <f t="shared" si="0"/>
        <v>200600140002</v>
      </c>
      <c r="K41" s="30">
        <v>20060014</v>
      </c>
      <c r="L41" t="s">
        <v>24</v>
      </c>
      <c r="M41" t="str">
        <f>VLOOKUP(K41,'[1]MPG Payment'!$B$3:$E$129,4,0)</f>
        <v>Indirect</v>
      </c>
      <c r="N41">
        <v>1270</v>
      </c>
      <c r="O41">
        <v>1270</v>
      </c>
    </row>
    <row r="42" spans="1:15" x14ac:dyDescent="0.25">
      <c r="A42">
        <v>20090023</v>
      </c>
      <c r="B42" t="s">
        <v>28</v>
      </c>
      <c r="C42">
        <v>760</v>
      </c>
      <c r="J42" t="str">
        <f t="shared" si="0"/>
        <v>200900220002</v>
      </c>
      <c r="K42" s="31">
        <v>20090022</v>
      </c>
      <c r="L42" t="s">
        <v>24</v>
      </c>
      <c r="M42" t="str">
        <f>VLOOKUP(K42,'[1]MPG Payment'!$B$3:$E$129,4,0)</f>
        <v>Indirect</v>
      </c>
      <c r="N42">
        <v>635</v>
      </c>
      <c r="O42">
        <v>635</v>
      </c>
    </row>
    <row r="43" spans="1:15" x14ac:dyDescent="0.25">
      <c r="A43" t="s">
        <v>112</v>
      </c>
      <c r="C43">
        <v>166257</v>
      </c>
      <c r="J43" s="29" t="s">
        <v>118</v>
      </c>
      <c r="K43" s="29"/>
      <c r="L43" s="29"/>
      <c r="M43" s="29"/>
      <c r="N43" s="29">
        <v>166257</v>
      </c>
      <c r="O43" s="29">
        <f>SUM(O5:O42)</f>
        <v>143630</v>
      </c>
    </row>
    <row r="45" spans="1:15" x14ac:dyDescent="0.25">
      <c r="J45" t="s">
        <v>117</v>
      </c>
      <c r="K45">
        <v>20010001</v>
      </c>
      <c r="N45">
        <v>120000</v>
      </c>
      <c r="O45">
        <v>120000</v>
      </c>
    </row>
    <row r="46" spans="1:15" x14ac:dyDescent="0.25">
      <c r="J46" t="s">
        <v>117</v>
      </c>
      <c r="K46">
        <v>20020011</v>
      </c>
      <c r="N46">
        <v>688</v>
      </c>
      <c r="O46">
        <v>688</v>
      </c>
    </row>
    <row r="47" spans="1:15" x14ac:dyDescent="0.25">
      <c r="J47" t="s">
        <v>117</v>
      </c>
      <c r="K47">
        <v>20060004</v>
      </c>
      <c r="N47">
        <v>25000</v>
      </c>
      <c r="O47">
        <v>4930</v>
      </c>
    </row>
    <row r="48" spans="1:15" ht="15.75" thickBot="1" x14ac:dyDescent="0.3">
      <c r="J48" s="32" t="s">
        <v>117</v>
      </c>
      <c r="K48" s="32">
        <v>20070001</v>
      </c>
      <c r="L48" s="32"/>
      <c r="M48" s="32"/>
      <c r="N48" s="32">
        <v>12500</v>
      </c>
      <c r="O48" s="32">
        <v>12500</v>
      </c>
    </row>
    <row r="49" spans="10:15" x14ac:dyDescent="0.25">
      <c r="J49" s="29" t="s">
        <v>119</v>
      </c>
      <c r="K49" s="29"/>
      <c r="L49" s="29"/>
      <c r="M49" s="29"/>
      <c r="N49" s="29">
        <f>SUM(N45:N48)</f>
        <v>158188</v>
      </c>
      <c r="O49" s="29">
        <f>SUM(O45:O48)</f>
        <v>138118</v>
      </c>
    </row>
    <row r="51" spans="10:15" x14ac:dyDescent="0.25">
      <c r="J51" s="29" t="s">
        <v>112</v>
      </c>
      <c r="K51" s="29"/>
      <c r="L51" s="29"/>
      <c r="M51" s="29"/>
      <c r="N51" s="29">
        <f>N49+N43</f>
        <v>324445</v>
      </c>
      <c r="O51" s="29">
        <f>O49+O43</f>
        <v>281748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41BA-9E90-4CB4-A374-6A2F833D27A8}">
  <dimension ref="A1:S40"/>
  <sheetViews>
    <sheetView zoomScale="87" workbookViewId="0">
      <selection activeCell="R1" sqref="R1"/>
    </sheetView>
  </sheetViews>
  <sheetFormatPr defaultRowHeight="15" x14ac:dyDescent="0.25"/>
  <cols>
    <col min="1" max="1" width="18.140625" bestFit="1" customWidth="1"/>
    <col min="2" max="2" width="14.42578125" bestFit="1" customWidth="1"/>
    <col min="3" max="3" width="12.28515625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2.28515625" bestFit="1" customWidth="1"/>
    <col min="8" max="8" width="15.42578125" bestFit="1" customWidth="1"/>
    <col min="10" max="10" width="15.42578125" bestFit="1" customWidth="1"/>
    <col min="11" max="11" width="11.7109375" bestFit="1" customWidth="1"/>
  </cols>
  <sheetData>
    <row r="1" spans="1:19" s="26" customFormat="1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5" t="s">
        <v>18</v>
      </c>
    </row>
    <row r="2" spans="1:19" x14ac:dyDescent="0.25">
      <c r="A2" s="1">
        <v>46192.729563969908</v>
      </c>
      <c r="B2" s="2" t="s">
        <v>19</v>
      </c>
      <c r="C2" s="3">
        <v>46192</v>
      </c>
      <c r="D2" s="4" t="s">
        <v>20</v>
      </c>
      <c r="E2" s="2" t="s">
        <v>21</v>
      </c>
      <c r="F2" s="5" t="s">
        <v>22</v>
      </c>
      <c r="G2" s="6">
        <v>20090023</v>
      </c>
      <c r="H2" s="2" t="s">
        <v>23</v>
      </c>
      <c r="I2" s="7" t="s">
        <v>24</v>
      </c>
      <c r="J2" s="2" t="s">
        <v>25</v>
      </c>
      <c r="K2" s="2" t="s">
        <v>26</v>
      </c>
      <c r="L2" s="6">
        <v>2</v>
      </c>
      <c r="M2" s="6">
        <v>1270</v>
      </c>
      <c r="N2" s="6">
        <v>2540</v>
      </c>
      <c r="O2" s="6">
        <v>0</v>
      </c>
      <c r="P2" s="6">
        <v>2540</v>
      </c>
      <c r="Q2" s="6">
        <v>2</v>
      </c>
      <c r="R2" s="6">
        <v>2540</v>
      </c>
      <c r="S2" s="8"/>
    </row>
    <row r="3" spans="1:19" x14ac:dyDescent="0.25">
      <c r="A3" s="1">
        <v>46192.730368009259</v>
      </c>
      <c r="B3" s="2" t="s">
        <v>19</v>
      </c>
      <c r="C3" s="3">
        <v>46192</v>
      </c>
      <c r="D3" s="4" t="s">
        <v>20</v>
      </c>
      <c r="E3" s="2" t="s">
        <v>21</v>
      </c>
      <c r="F3" s="5" t="s">
        <v>27</v>
      </c>
      <c r="G3" s="6">
        <v>20090023</v>
      </c>
      <c r="H3" s="2" t="s">
        <v>23</v>
      </c>
      <c r="I3" s="7" t="s">
        <v>28</v>
      </c>
      <c r="J3" s="2" t="s">
        <v>25</v>
      </c>
      <c r="K3" s="2" t="s">
        <v>26</v>
      </c>
      <c r="L3" s="6">
        <v>0</v>
      </c>
      <c r="M3" s="6">
        <v>1270</v>
      </c>
      <c r="N3" s="6">
        <v>0</v>
      </c>
      <c r="O3" s="6">
        <v>760</v>
      </c>
      <c r="P3" s="6">
        <v>760</v>
      </c>
      <c r="Q3" s="6">
        <v>0</v>
      </c>
      <c r="R3" s="6">
        <v>760</v>
      </c>
      <c r="S3" s="8"/>
    </row>
    <row r="4" spans="1:19" x14ac:dyDescent="0.25">
      <c r="A4" s="1">
        <v>46192.730901157411</v>
      </c>
      <c r="B4" s="2" t="s">
        <v>19</v>
      </c>
      <c r="C4" s="3">
        <v>46192</v>
      </c>
      <c r="D4" s="4" t="s">
        <v>20</v>
      </c>
      <c r="E4" s="2" t="s">
        <v>21</v>
      </c>
      <c r="F4" s="5" t="s">
        <v>29</v>
      </c>
      <c r="G4" s="6">
        <v>20090008</v>
      </c>
      <c r="H4" s="2" t="s">
        <v>30</v>
      </c>
      <c r="I4" s="7" t="s">
        <v>31</v>
      </c>
      <c r="J4" s="2" t="s">
        <v>25</v>
      </c>
      <c r="K4" s="2" t="s">
        <v>26</v>
      </c>
      <c r="L4" s="6">
        <v>0</v>
      </c>
      <c r="M4" s="6">
        <v>1270</v>
      </c>
      <c r="N4" s="6">
        <v>0</v>
      </c>
      <c r="O4" s="6">
        <v>635</v>
      </c>
      <c r="P4" s="6">
        <v>635</v>
      </c>
      <c r="Q4" s="6">
        <v>0</v>
      </c>
      <c r="R4" s="6">
        <v>635</v>
      </c>
      <c r="S4" s="8"/>
    </row>
    <row r="5" spans="1:19" x14ac:dyDescent="0.25">
      <c r="A5" s="1">
        <v>46192.731180972223</v>
      </c>
      <c r="B5" s="2" t="s">
        <v>19</v>
      </c>
      <c r="C5" s="3">
        <v>46192</v>
      </c>
      <c r="D5" s="4" t="s">
        <v>20</v>
      </c>
      <c r="E5" s="2" t="s">
        <v>21</v>
      </c>
      <c r="F5" s="5" t="s">
        <v>32</v>
      </c>
      <c r="G5" s="6">
        <v>20090022</v>
      </c>
      <c r="H5" s="2" t="s">
        <v>33</v>
      </c>
      <c r="I5" s="7" t="s">
        <v>24</v>
      </c>
      <c r="J5" s="2" t="s">
        <v>25</v>
      </c>
      <c r="K5" s="2" t="s">
        <v>26</v>
      </c>
      <c r="L5" s="6">
        <v>0</v>
      </c>
      <c r="M5" s="6">
        <v>1270</v>
      </c>
      <c r="N5" s="6">
        <v>0</v>
      </c>
      <c r="O5" s="6">
        <v>635</v>
      </c>
      <c r="P5" s="6">
        <v>635</v>
      </c>
      <c r="Q5" s="6">
        <v>0</v>
      </c>
      <c r="R5" s="6">
        <v>635</v>
      </c>
      <c r="S5" s="8"/>
    </row>
    <row r="6" spans="1:19" x14ac:dyDescent="0.25">
      <c r="A6" s="1">
        <v>46192.73151730324</v>
      </c>
      <c r="B6" s="2" t="s">
        <v>19</v>
      </c>
      <c r="C6" s="3">
        <v>46192</v>
      </c>
      <c r="D6" s="4" t="s">
        <v>20</v>
      </c>
      <c r="E6" s="2" t="s">
        <v>21</v>
      </c>
      <c r="F6" s="5" t="s">
        <v>34</v>
      </c>
      <c r="G6" s="6">
        <v>20090015</v>
      </c>
      <c r="H6" s="2" t="s">
        <v>35</v>
      </c>
      <c r="I6" s="7" t="s">
        <v>24</v>
      </c>
      <c r="J6" s="2" t="s">
        <v>25</v>
      </c>
      <c r="K6" s="2" t="s">
        <v>26</v>
      </c>
      <c r="L6" s="6">
        <v>0</v>
      </c>
      <c r="M6" s="6">
        <v>1270</v>
      </c>
      <c r="N6" s="6">
        <v>0</v>
      </c>
      <c r="O6" s="6">
        <v>51</v>
      </c>
      <c r="P6" s="6">
        <v>51</v>
      </c>
      <c r="Q6" s="6">
        <v>0</v>
      </c>
      <c r="R6" s="6">
        <v>51</v>
      </c>
      <c r="S6" s="8"/>
    </row>
    <row r="7" spans="1:19" x14ac:dyDescent="0.25">
      <c r="A7" s="1">
        <v>46192.731774467597</v>
      </c>
      <c r="B7" s="2" t="s">
        <v>19</v>
      </c>
      <c r="C7" s="3">
        <v>46192</v>
      </c>
      <c r="D7" s="4" t="s">
        <v>20</v>
      </c>
      <c r="E7" s="2" t="s">
        <v>21</v>
      </c>
      <c r="F7" s="5" t="s">
        <v>36</v>
      </c>
      <c r="G7" s="6">
        <v>20090015</v>
      </c>
      <c r="H7" s="2" t="s">
        <v>35</v>
      </c>
      <c r="I7" s="7" t="s">
        <v>37</v>
      </c>
      <c r="J7" s="2" t="s">
        <v>25</v>
      </c>
      <c r="K7" s="2" t="s">
        <v>26</v>
      </c>
      <c r="L7" s="6">
        <v>1</v>
      </c>
      <c r="M7" s="6">
        <v>1270</v>
      </c>
      <c r="N7" s="6">
        <v>1270</v>
      </c>
      <c r="O7" s="6">
        <v>0</v>
      </c>
      <c r="P7" s="6">
        <v>1270</v>
      </c>
      <c r="Q7" s="6">
        <v>1</v>
      </c>
      <c r="R7" s="6">
        <v>1270</v>
      </c>
      <c r="S7" s="8"/>
    </row>
    <row r="8" spans="1:19" x14ac:dyDescent="0.25">
      <c r="A8" s="1">
        <v>46192.732070787039</v>
      </c>
      <c r="B8" s="2" t="s">
        <v>19</v>
      </c>
      <c r="C8" s="3">
        <v>46192</v>
      </c>
      <c r="D8" s="4" t="s">
        <v>20</v>
      </c>
      <c r="E8" s="2" t="s">
        <v>21</v>
      </c>
      <c r="F8" s="5" t="s">
        <v>38</v>
      </c>
      <c r="G8" s="6">
        <v>20040001</v>
      </c>
      <c r="H8" s="2" t="s">
        <v>39</v>
      </c>
      <c r="I8" s="7" t="s">
        <v>24</v>
      </c>
      <c r="J8" s="2" t="s">
        <v>39</v>
      </c>
      <c r="K8" s="2" t="s">
        <v>26</v>
      </c>
      <c r="L8" s="6">
        <v>3</v>
      </c>
      <c r="M8" s="6">
        <v>1270</v>
      </c>
      <c r="N8" s="6">
        <v>3810</v>
      </c>
      <c r="O8" s="6">
        <v>0</v>
      </c>
      <c r="P8" s="6">
        <v>3810</v>
      </c>
      <c r="Q8" s="6">
        <v>3</v>
      </c>
      <c r="R8" s="6">
        <v>3810</v>
      </c>
      <c r="S8" s="8"/>
    </row>
    <row r="9" spans="1:19" x14ac:dyDescent="0.25">
      <c r="A9" s="1">
        <v>46192.732325949073</v>
      </c>
      <c r="B9" s="2" t="s">
        <v>19</v>
      </c>
      <c r="C9" s="3">
        <v>46192</v>
      </c>
      <c r="D9" s="4" t="s">
        <v>20</v>
      </c>
      <c r="E9" s="2" t="s">
        <v>21</v>
      </c>
      <c r="F9" s="5" t="s">
        <v>40</v>
      </c>
      <c r="G9" s="6">
        <v>20090020</v>
      </c>
      <c r="H9" s="2" t="s">
        <v>41</v>
      </c>
      <c r="I9" s="7" t="s">
        <v>31</v>
      </c>
      <c r="J9" s="2" t="s">
        <v>25</v>
      </c>
      <c r="K9" s="2" t="s">
        <v>26</v>
      </c>
      <c r="L9" s="6">
        <v>2</v>
      </c>
      <c r="M9" s="6">
        <v>1270</v>
      </c>
      <c r="N9" s="6">
        <v>2540</v>
      </c>
      <c r="O9" s="6">
        <v>0</v>
      </c>
      <c r="P9" s="6">
        <v>2540</v>
      </c>
      <c r="Q9" s="6">
        <v>2</v>
      </c>
      <c r="R9" s="6">
        <v>2540</v>
      </c>
      <c r="S9" s="8"/>
    </row>
    <row r="10" spans="1:19" x14ac:dyDescent="0.25">
      <c r="A10" s="1">
        <v>46192.732536458338</v>
      </c>
      <c r="B10" s="2" t="s">
        <v>19</v>
      </c>
      <c r="C10" s="3">
        <v>46192</v>
      </c>
      <c r="D10" s="4" t="s">
        <v>20</v>
      </c>
      <c r="E10" s="2" t="s">
        <v>21</v>
      </c>
      <c r="F10" s="5" t="s">
        <v>42</v>
      </c>
      <c r="G10" s="6">
        <v>20090020</v>
      </c>
      <c r="H10" s="2" t="s">
        <v>41</v>
      </c>
      <c r="I10" s="7" t="s">
        <v>24</v>
      </c>
      <c r="J10" s="2" t="s">
        <v>25</v>
      </c>
      <c r="K10" s="2" t="s">
        <v>26</v>
      </c>
      <c r="L10" s="6">
        <v>1</v>
      </c>
      <c r="M10" s="6">
        <v>1270</v>
      </c>
      <c r="N10" s="6">
        <v>1270</v>
      </c>
      <c r="O10" s="6">
        <v>0</v>
      </c>
      <c r="P10" s="6">
        <v>1270</v>
      </c>
      <c r="Q10" s="6">
        <v>1</v>
      </c>
      <c r="R10" s="6">
        <v>1270</v>
      </c>
      <c r="S10" s="8"/>
    </row>
    <row r="11" spans="1:19" x14ac:dyDescent="0.25">
      <c r="A11" s="1">
        <v>46192.73344171296</v>
      </c>
      <c r="B11" s="2" t="s">
        <v>19</v>
      </c>
      <c r="C11" s="3">
        <v>46192</v>
      </c>
      <c r="D11" s="4" t="s">
        <v>20</v>
      </c>
      <c r="E11" s="2" t="s">
        <v>21</v>
      </c>
      <c r="F11" s="5" t="s">
        <v>43</v>
      </c>
      <c r="G11" s="6">
        <v>20010054</v>
      </c>
      <c r="H11" s="2" t="s">
        <v>44</v>
      </c>
      <c r="I11" s="7" t="s">
        <v>45</v>
      </c>
      <c r="J11" s="2" t="s">
        <v>25</v>
      </c>
      <c r="K11" s="2" t="s">
        <v>26</v>
      </c>
      <c r="L11" s="6">
        <v>1</v>
      </c>
      <c r="M11" s="6">
        <v>1270</v>
      </c>
      <c r="N11" s="6">
        <v>1270</v>
      </c>
      <c r="O11" s="6">
        <v>0</v>
      </c>
      <c r="P11" s="6">
        <v>1270</v>
      </c>
      <c r="Q11" s="6">
        <v>1</v>
      </c>
      <c r="R11" s="6">
        <v>1270</v>
      </c>
      <c r="S11" s="8"/>
    </row>
    <row r="12" spans="1:19" x14ac:dyDescent="0.25">
      <c r="A12" s="1">
        <v>46192.733971851849</v>
      </c>
      <c r="B12" s="2" t="s">
        <v>19</v>
      </c>
      <c r="C12" s="3">
        <v>46192</v>
      </c>
      <c r="D12" s="4" t="s">
        <v>20</v>
      </c>
      <c r="E12" s="2" t="s">
        <v>21</v>
      </c>
      <c r="F12" s="5" t="s">
        <v>46</v>
      </c>
      <c r="G12" s="6">
        <v>20010054</v>
      </c>
      <c r="H12" s="2" t="s">
        <v>44</v>
      </c>
      <c r="I12" s="7" t="s">
        <v>47</v>
      </c>
      <c r="J12" s="2" t="s">
        <v>25</v>
      </c>
      <c r="K12" s="2" t="s">
        <v>26</v>
      </c>
      <c r="L12" s="6">
        <v>1</v>
      </c>
      <c r="M12" s="6">
        <v>1270</v>
      </c>
      <c r="N12" s="6">
        <v>1270</v>
      </c>
      <c r="O12" s="6">
        <v>0</v>
      </c>
      <c r="P12" s="6">
        <v>1270</v>
      </c>
      <c r="Q12" s="6">
        <v>1</v>
      </c>
      <c r="R12" s="6">
        <v>1270</v>
      </c>
      <c r="S12" s="8"/>
    </row>
    <row r="13" spans="1:19" x14ac:dyDescent="0.25">
      <c r="A13" s="1">
        <v>46192.734758981482</v>
      </c>
      <c r="B13" s="2" t="s">
        <v>19</v>
      </c>
      <c r="C13" s="3">
        <v>46192</v>
      </c>
      <c r="D13" s="4" t="s">
        <v>20</v>
      </c>
      <c r="E13" s="2" t="s">
        <v>21</v>
      </c>
      <c r="F13" s="5" t="s">
        <v>48</v>
      </c>
      <c r="G13" s="6">
        <v>20090004</v>
      </c>
      <c r="H13" s="2" t="s">
        <v>49</v>
      </c>
      <c r="I13" s="7" t="s">
        <v>50</v>
      </c>
      <c r="J13" s="2" t="s">
        <v>25</v>
      </c>
      <c r="K13" s="2" t="s">
        <v>26</v>
      </c>
      <c r="L13" s="6">
        <v>1</v>
      </c>
      <c r="M13" s="6">
        <v>1270</v>
      </c>
      <c r="N13" s="6">
        <v>1270</v>
      </c>
      <c r="O13" s="6">
        <v>0</v>
      </c>
      <c r="P13" s="6">
        <v>1270</v>
      </c>
      <c r="Q13" s="6">
        <v>1</v>
      </c>
      <c r="R13" s="6">
        <v>1270</v>
      </c>
      <c r="S13" s="8"/>
    </row>
    <row r="14" spans="1:19" x14ac:dyDescent="0.25">
      <c r="A14" s="1">
        <v>46192.853030925922</v>
      </c>
      <c r="B14" s="2" t="s">
        <v>51</v>
      </c>
      <c r="C14" s="3">
        <v>46192</v>
      </c>
      <c r="D14" s="4" t="s">
        <v>20</v>
      </c>
      <c r="E14" s="2" t="s">
        <v>21</v>
      </c>
      <c r="F14" s="5" t="s">
        <v>52</v>
      </c>
      <c r="G14" s="6">
        <v>20060008</v>
      </c>
      <c r="H14" s="2" t="s">
        <v>53</v>
      </c>
      <c r="I14" s="7" t="s">
        <v>24</v>
      </c>
      <c r="J14" s="2" t="s">
        <v>54</v>
      </c>
      <c r="K14" s="2" t="s">
        <v>26</v>
      </c>
      <c r="L14" s="6">
        <v>20</v>
      </c>
      <c r="M14" s="6">
        <v>1270</v>
      </c>
      <c r="N14" s="6">
        <v>25400</v>
      </c>
      <c r="O14" s="6">
        <v>0</v>
      </c>
      <c r="P14" s="6">
        <v>25400</v>
      </c>
      <c r="Q14" s="6">
        <v>20</v>
      </c>
      <c r="R14" s="6">
        <v>25400</v>
      </c>
      <c r="S14" s="8"/>
    </row>
    <row r="15" spans="1:19" x14ac:dyDescent="0.25">
      <c r="A15" s="1">
        <v>46192.853639849534</v>
      </c>
      <c r="B15" s="2" t="s">
        <v>51</v>
      </c>
      <c r="C15" s="3">
        <v>46192</v>
      </c>
      <c r="D15" s="4" t="s">
        <v>20</v>
      </c>
      <c r="E15" s="2" t="s">
        <v>21</v>
      </c>
      <c r="F15" s="5" t="s">
        <v>55</v>
      </c>
      <c r="G15" s="6">
        <v>20060003</v>
      </c>
      <c r="H15" s="2" t="s">
        <v>56</v>
      </c>
      <c r="I15" s="7" t="s">
        <v>24</v>
      </c>
      <c r="J15" s="2" t="s">
        <v>54</v>
      </c>
      <c r="K15" s="2" t="s">
        <v>26</v>
      </c>
      <c r="L15" s="6">
        <v>20</v>
      </c>
      <c r="M15" s="6">
        <v>1270</v>
      </c>
      <c r="N15" s="6">
        <v>25400</v>
      </c>
      <c r="O15" s="6">
        <v>0</v>
      </c>
      <c r="P15" s="6">
        <v>25400</v>
      </c>
      <c r="Q15" s="6">
        <v>20</v>
      </c>
      <c r="R15" s="6">
        <v>25400</v>
      </c>
      <c r="S15" s="8"/>
    </row>
    <row r="16" spans="1:19" x14ac:dyDescent="0.25">
      <c r="A16" s="1">
        <v>46192.854391365741</v>
      </c>
      <c r="B16" s="2" t="s">
        <v>51</v>
      </c>
      <c r="C16" s="3">
        <v>46192</v>
      </c>
      <c r="D16" s="4" t="s">
        <v>20</v>
      </c>
      <c r="E16" s="2" t="s">
        <v>21</v>
      </c>
      <c r="F16" s="5" t="s">
        <v>57</v>
      </c>
      <c r="G16" s="6">
        <v>20060009</v>
      </c>
      <c r="H16" s="2" t="s">
        <v>58</v>
      </c>
      <c r="I16" s="7" t="s">
        <v>59</v>
      </c>
      <c r="J16" s="2" t="s">
        <v>54</v>
      </c>
      <c r="K16" s="2" t="s">
        <v>26</v>
      </c>
      <c r="L16" s="6">
        <v>2</v>
      </c>
      <c r="M16" s="6">
        <v>1270</v>
      </c>
      <c r="N16" s="6">
        <v>2540</v>
      </c>
      <c r="O16" s="6">
        <v>0</v>
      </c>
      <c r="P16" s="6">
        <v>2540</v>
      </c>
      <c r="Q16" s="6">
        <v>2</v>
      </c>
      <c r="R16" s="6">
        <v>2540</v>
      </c>
      <c r="S16" s="8"/>
    </row>
    <row r="17" spans="1:19" x14ac:dyDescent="0.25">
      <c r="A17" s="1">
        <v>46192.855598958333</v>
      </c>
      <c r="B17" s="2" t="s">
        <v>51</v>
      </c>
      <c r="C17" s="3">
        <v>46192</v>
      </c>
      <c r="D17" s="4" t="s">
        <v>20</v>
      </c>
      <c r="E17" s="2" t="s">
        <v>21</v>
      </c>
      <c r="F17" s="5" t="s">
        <v>60</v>
      </c>
      <c r="G17" s="6">
        <v>20060005</v>
      </c>
      <c r="H17" s="2" t="s">
        <v>61</v>
      </c>
      <c r="I17" s="7" t="s">
        <v>28</v>
      </c>
      <c r="J17" s="2" t="s">
        <v>54</v>
      </c>
      <c r="K17" s="2" t="s">
        <v>26</v>
      </c>
      <c r="L17" s="6">
        <v>2</v>
      </c>
      <c r="M17" s="6">
        <v>1270</v>
      </c>
      <c r="N17" s="6">
        <v>2540</v>
      </c>
      <c r="O17" s="6">
        <v>0</v>
      </c>
      <c r="P17" s="6">
        <v>2540</v>
      </c>
      <c r="Q17" s="6">
        <v>2</v>
      </c>
      <c r="R17" s="6">
        <v>2540</v>
      </c>
      <c r="S17" s="8"/>
    </row>
    <row r="18" spans="1:19" x14ac:dyDescent="0.25">
      <c r="A18" s="1">
        <v>46192.856234861116</v>
      </c>
      <c r="B18" s="2" t="s">
        <v>51</v>
      </c>
      <c r="C18" s="3">
        <v>46192</v>
      </c>
      <c r="D18" s="4" t="s">
        <v>20</v>
      </c>
      <c r="E18" s="2" t="s">
        <v>21</v>
      </c>
      <c r="F18" s="5" t="s">
        <v>62</v>
      </c>
      <c r="G18" s="6">
        <v>20060002</v>
      </c>
      <c r="H18" s="2" t="s">
        <v>63</v>
      </c>
      <c r="I18" s="7" t="s">
        <v>64</v>
      </c>
      <c r="J18" s="2" t="s">
        <v>54</v>
      </c>
      <c r="K18" s="2" t="s">
        <v>26</v>
      </c>
      <c r="L18" s="6">
        <v>1</v>
      </c>
      <c r="M18" s="6">
        <v>1270</v>
      </c>
      <c r="N18" s="6">
        <v>1270</v>
      </c>
      <c r="O18" s="6">
        <v>0</v>
      </c>
      <c r="P18" s="6">
        <v>1270</v>
      </c>
      <c r="Q18" s="6">
        <v>1</v>
      </c>
      <c r="R18" s="6">
        <v>1270</v>
      </c>
      <c r="S18" s="8"/>
    </row>
    <row r="19" spans="1:19" x14ac:dyDescent="0.25">
      <c r="A19" s="1">
        <v>46192.856888148148</v>
      </c>
      <c r="B19" s="2" t="s">
        <v>51</v>
      </c>
      <c r="C19" s="3">
        <v>46192</v>
      </c>
      <c r="D19" s="4" t="s">
        <v>20</v>
      </c>
      <c r="E19" s="2" t="s">
        <v>21</v>
      </c>
      <c r="F19" s="5" t="s">
        <v>65</v>
      </c>
      <c r="G19" s="6">
        <v>20010008</v>
      </c>
      <c r="H19" s="2" t="s">
        <v>66</v>
      </c>
      <c r="I19" s="7" t="s">
        <v>67</v>
      </c>
      <c r="J19" s="2" t="s">
        <v>68</v>
      </c>
      <c r="K19" s="2" t="s">
        <v>26</v>
      </c>
      <c r="L19" s="6">
        <v>1</v>
      </c>
      <c r="M19" s="6">
        <v>1270</v>
      </c>
      <c r="N19" s="6">
        <v>1270</v>
      </c>
      <c r="O19" s="6">
        <v>0</v>
      </c>
      <c r="P19" s="6">
        <v>1270</v>
      </c>
      <c r="Q19" s="6">
        <v>1</v>
      </c>
      <c r="R19" s="6">
        <v>1270</v>
      </c>
      <c r="S19" s="8"/>
    </row>
    <row r="20" spans="1:19" x14ac:dyDescent="0.25">
      <c r="A20" s="1">
        <v>46192.857439965279</v>
      </c>
      <c r="B20" s="2" t="s">
        <v>51</v>
      </c>
      <c r="C20" s="3">
        <v>46192</v>
      </c>
      <c r="D20" s="4" t="s">
        <v>20</v>
      </c>
      <c r="E20" s="2" t="s">
        <v>21</v>
      </c>
      <c r="F20" s="5" t="s">
        <v>69</v>
      </c>
      <c r="G20" s="6">
        <v>20010008</v>
      </c>
      <c r="H20" s="2" t="s">
        <v>66</v>
      </c>
      <c r="I20" s="7" t="s">
        <v>70</v>
      </c>
      <c r="J20" s="2" t="s">
        <v>68</v>
      </c>
      <c r="K20" s="2" t="s">
        <v>26</v>
      </c>
      <c r="L20" s="6">
        <v>1</v>
      </c>
      <c r="M20" s="6">
        <v>1270</v>
      </c>
      <c r="N20" s="6">
        <v>1270</v>
      </c>
      <c r="O20" s="6">
        <v>0</v>
      </c>
      <c r="P20" s="6">
        <v>1270</v>
      </c>
      <c r="Q20" s="6">
        <v>1</v>
      </c>
      <c r="R20" s="6">
        <v>1270</v>
      </c>
      <c r="S20" s="8"/>
    </row>
    <row r="21" spans="1:19" x14ac:dyDescent="0.25">
      <c r="A21" s="1">
        <v>46192.857960740745</v>
      </c>
      <c r="B21" s="2" t="s">
        <v>51</v>
      </c>
      <c r="C21" s="3">
        <v>46192</v>
      </c>
      <c r="D21" s="4" t="s">
        <v>20</v>
      </c>
      <c r="E21" s="2" t="s">
        <v>21</v>
      </c>
      <c r="F21" s="5" t="s">
        <v>71</v>
      </c>
      <c r="G21" s="6">
        <v>20010008</v>
      </c>
      <c r="H21" s="2" t="s">
        <v>66</v>
      </c>
      <c r="I21" s="7" t="s">
        <v>72</v>
      </c>
      <c r="J21" s="2" t="s">
        <v>68</v>
      </c>
      <c r="K21" s="2" t="s">
        <v>26</v>
      </c>
      <c r="L21" s="6">
        <v>1</v>
      </c>
      <c r="M21" s="6">
        <v>1270</v>
      </c>
      <c r="N21" s="6">
        <v>1270</v>
      </c>
      <c r="O21" s="6">
        <v>0</v>
      </c>
      <c r="P21" s="6">
        <v>1270</v>
      </c>
      <c r="Q21" s="6">
        <v>1</v>
      </c>
      <c r="R21" s="6">
        <v>1270</v>
      </c>
      <c r="S21" s="8"/>
    </row>
    <row r="22" spans="1:19" x14ac:dyDescent="0.25">
      <c r="A22" s="1">
        <v>46192.858520312497</v>
      </c>
      <c r="B22" s="2" t="s">
        <v>51</v>
      </c>
      <c r="C22" s="3">
        <v>46192</v>
      </c>
      <c r="D22" s="4" t="s">
        <v>20</v>
      </c>
      <c r="E22" s="2" t="s">
        <v>21</v>
      </c>
      <c r="F22" s="5" t="s">
        <v>73</v>
      </c>
      <c r="G22" s="6">
        <v>20010008</v>
      </c>
      <c r="H22" s="2" t="s">
        <v>66</v>
      </c>
      <c r="I22" s="7" t="s">
        <v>74</v>
      </c>
      <c r="J22" s="2" t="s">
        <v>68</v>
      </c>
      <c r="K22" s="2" t="s">
        <v>26</v>
      </c>
      <c r="L22" s="6">
        <v>12</v>
      </c>
      <c r="M22" s="6">
        <v>1270</v>
      </c>
      <c r="N22" s="6">
        <v>15240</v>
      </c>
      <c r="O22" s="6">
        <v>0</v>
      </c>
      <c r="P22" s="6">
        <v>15240</v>
      </c>
      <c r="Q22" s="6">
        <v>12</v>
      </c>
      <c r="R22" s="6">
        <v>15240</v>
      </c>
      <c r="S22" s="8"/>
    </row>
    <row r="23" spans="1:19" x14ac:dyDescent="0.25">
      <c r="A23" s="1">
        <v>46192.859752557866</v>
      </c>
      <c r="B23" s="2" t="s">
        <v>51</v>
      </c>
      <c r="C23" s="3">
        <v>46192</v>
      </c>
      <c r="D23" s="4" t="s">
        <v>20</v>
      </c>
      <c r="E23" s="2" t="s">
        <v>21</v>
      </c>
      <c r="F23" s="5" t="s">
        <v>75</v>
      </c>
      <c r="G23" s="6">
        <v>20060001</v>
      </c>
      <c r="H23" s="2" t="s">
        <v>54</v>
      </c>
      <c r="I23" s="7" t="s">
        <v>50</v>
      </c>
      <c r="J23" s="2" t="s">
        <v>54</v>
      </c>
      <c r="K23" s="2" t="s">
        <v>26</v>
      </c>
      <c r="L23" s="6">
        <v>1</v>
      </c>
      <c r="M23" s="6">
        <v>1270</v>
      </c>
      <c r="N23" s="6">
        <v>1270</v>
      </c>
      <c r="O23" s="6">
        <v>0</v>
      </c>
      <c r="P23" s="6">
        <v>1270</v>
      </c>
      <c r="Q23" s="6">
        <v>1</v>
      </c>
      <c r="R23" s="6">
        <v>1270</v>
      </c>
      <c r="S23" s="8"/>
    </row>
    <row r="24" spans="1:19" x14ac:dyDescent="0.25">
      <c r="A24" s="1">
        <v>46192.860231655097</v>
      </c>
      <c r="B24" s="2" t="s">
        <v>51</v>
      </c>
      <c r="C24" s="3">
        <v>46192</v>
      </c>
      <c r="D24" s="4" t="s">
        <v>20</v>
      </c>
      <c r="E24" s="2" t="s">
        <v>21</v>
      </c>
      <c r="F24" s="5" t="s">
        <v>76</v>
      </c>
      <c r="G24" s="6">
        <v>20060001</v>
      </c>
      <c r="H24" s="2" t="s">
        <v>54</v>
      </c>
      <c r="I24" s="7" t="s">
        <v>77</v>
      </c>
      <c r="J24" s="2" t="s">
        <v>54</v>
      </c>
      <c r="K24" s="2" t="s">
        <v>26</v>
      </c>
      <c r="L24" s="6">
        <v>4</v>
      </c>
      <c r="M24" s="6">
        <v>1270</v>
      </c>
      <c r="N24" s="6">
        <v>5080</v>
      </c>
      <c r="O24" s="6">
        <v>0</v>
      </c>
      <c r="P24" s="6">
        <v>5080</v>
      </c>
      <c r="Q24" s="6">
        <v>4</v>
      </c>
      <c r="R24" s="6">
        <v>5080</v>
      </c>
      <c r="S24" s="8"/>
    </row>
    <row r="25" spans="1:19" x14ac:dyDescent="0.25">
      <c r="A25" s="1">
        <v>46192.860820532413</v>
      </c>
      <c r="B25" s="2" t="s">
        <v>51</v>
      </c>
      <c r="C25" s="3">
        <v>46192</v>
      </c>
      <c r="D25" s="4" t="s">
        <v>20</v>
      </c>
      <c r="E25" s="2" t="s">
        <v>21</v>
      </c>
      <c r="F25" s="5" t="s">
        <v>78</v>
      </c>
      <c r="G25" s="6">
        <v>20060004</v>
      </c>
      <c r="H25" s="2" t="s">
        <v>79</v>
      </c>
      <c r="I25" s="7" t="s">
        <v>80</v>
      </c>
      <c r="J25" s="2" t="s">
        <v>54</v>
      </c>
      <c r="K25" s="2" t="s">
        <v>26</v>
      </c>
      <c r="L25" s="6">
        <v>1</v>
      </c>
      <c r="M25" s="6">
        <v>1270</v>
      </c>
      <c r="N25" s="6">
        <v>1270</v>
      </c>
      <c r="O25" s="6">
        <v>0</v>
      </c>
      <c r="P25" s="6">
        <v>1270</v>
      </c>
      <c r="Q25" s="6">
        <v>1</v>
      </c>
      <c r="R25" s="6">
        <v>1270</v>
      </c>
      <c r="S25" s="8"/>
    </row>
    <row r="26" spans="1:19" x14ac:dyDescent="0.25">
      <c r="A26" s="1">
        <v>46192.86129616898</v>
      </c>
      <c r="B26" s="2" t="s">
        <v>51</v>
      </c>
      <c r="C26" s="3">
        <v>46192</v>
      </c>
      <c r="D26" s="4" t="s">
        <v>20</v>
      </c>
      <c r="E26" s="2" t="s">
        <v>21</v>
      </c>
      <c r="F26" s="5" t="s">
        <v>81</v>
      </c>
      <c r="G26" s="6">
        <v>20060004</v>
      </c>
      <c r="H26" s="2" t="s">
        <v>79</v>
      </c>
      <c r="I26" s="7" t="s">
        <v>24</v>
      </c>
      <c r="J26" s="2" t="s">
        <v>54</v>
      </c>
      <c r="K26" s="2" t="s">
        <v>26</v>
      </c>
      <c r="L26" s="6">
        <v>19</v>
      </c>
      <c r="M26" s="6">
        <v>1270</v>
      </c>
      <c r="N26" s="6">
        <v>24130</v>
      </c>
      <c r="O26" s="6">
        <v>0</v>
      </c>
      <c r="P26" s="6">
        <v>24130</v>
      </c>
      <c r="Q26" s="6">
        <v>19</v>
      </c>
      <c r="R26" s="6">
        <v>24130</v>
      </c>
      <c r="S26" s="8"/>
    </row>
    <row r="27" spans="1:19" x14ac:dyDescent="0.25">
      <c r="A27" s="1">
        <v>46193.334488171298</v>
      </c>
      <c r="B27" s="2" t="s">
        <v>82</v>
      </c>
      <c r="C27" s="3">
        <v>46193</v>
      </c>
      <c r="D27" s="4" t="s">
        <v>20</v>
      </c>
      <c r="E27" s="2" t="s">
        <v>21</v>
      </c>
      <c r="F27" s="5" t="s">
        <v>83</v>
      </c>
      <c r="G27" s="6">
        <v>20020002</v>
      </c>
      <c r="H27" s="2" t="s">
        <v>84</v>
      </c>
      <c r="I27" s="7" t="s">
        <v>85</v>
      </c>
      <c r="J27" s="2" t="s">
        <v>86</v>
      </c>
      <c r="K27" s="2" t="s">
        <v>26</v>
      </c>
      <c r="L27" s="6">
        <v>1</v>
      </c>
      <c r="M27" s="6">
        <v>1270</v>
      </c>
      <c r="N27" s="6">
        <v>1270</v>
      </c>
      <c r="O27" s="6">
        <v>0</v>
      </c>
      <c r="P27" s="6">
        <v>1270</v>
      </c>
      <c r="Q27" s="6">
        <v>1</v>
      </c>
      <c r="R27" s="6">
        <v>1270</v>
      </c>
      <c r="S27" s="8"/>
    </row>
    <row r="28" spans="1:19" x14ac:dyDescent="0.25">
      <c r="A28" s="1">
        <v>46193.334807476851</v>
      </c>
      <c r="B28" s="2" t="s">
        <v>82</v>
      </c>
      <c r="C28" s="3">
        <v>46193</v>
      </c>
      <c r="D28" s="4" t="s">
        <v>20</v>
      </c>
      <c r="E28" s="2" t="s">
        <v>21</v>
      </c>
      <c r="F28" s="5" t="s">
        <v>87</v>
      </c>
      <c r="G28" s="6">
        <v>20020002</v>
      </c>
      <c r="H28" s="2" t="s">
        <v>84</v>
      </c>
      <c r="I28" s="7" t="s">
        <v>77</v>
      </c>
      <c r="J28" s="2" t="s">
        <v>86</v>
      </c>
      <c r="K28" s="2" t="s">
        <v>26</v>
      </c>
      <c r="L28" s="6">
        <v>2</v>
      </c>
      <c r="M28" s="6">
        <v>1270</v>
      </c>
      <c r="N28" s="6">
        <v>2540</v>
      </c>
      <c r="O28" s="6">
        <v>0</v>
      </c>
      <c r="P28" s="6">
        <v>2540</v>
      </c>
      <c r="Q28" s="6">
        <v>2</v>
      </c>
      <c r="R28" s="6">
        <v>2540</v>
      </c>
      <c r="S28" s="8"/>
    </row>
    <row r="29" spans="1:19" x14ac:dyDescent="0.25">
      <c r="A29" s="1">
        <v>46193.335695451387</v>
      </c>
      <c r="B29" s="2" t="s">
        <v>82</v>
      </c>
      <c r="C29" s="3">
        <v>46193</v>
      </c>
      <c r="D29" s="4" t="s">
        <v>20</v>
      </c>
      <c r="E29" s="2" t="s">
        <v>21</v>
      </c>
      <c r="F29" s="5" t="s">
        <v>88</v>
      </c>
      <c r="G29" s="6">
        <v>20020025</v>
      </c>
      <c r="H29" s="2" t="s">
        <v>89</v>
      </c>
      <c r="I29" s="7" t="s">
        <v>90</v>
      </c>
      <c r="J29" s="2" t="s">
        <v>86</v>
      </c>
      <c r="K29" s="2" t="s">
        <v>26</v>
      </c>
      <c r="L29" s="6">
        <v>2</v>
      </c>
      <c r="M29" s="6">
        <v>1270</v>
      </c>
      <c r="N29" s="6">
        <v>2540</v>
      </c>
      <c r="O29" s="6">
        <v>0</v>
      </c>
      <c r="P29" s="6">
        <v>2540</v>
      </c>
      <c r="Q29" s="6">
        <v>2</v>
      </c>
      <c r="R29" s="6">
        <v>2540</v>
      </c>
      <c r="S29" s="8"/>
    </row>
    <row r="30" spans="1:19" x14ac:dyDescent="0.25">
      <c r="A30" s="1">
        <v>46193.33597162037</v>
      </c>
      <c r="B30" s="2" t="s">
        <v>82</v>
      </c>
      <c r="C30" s="3">
        <v>46193</v>
      </c>
      <c r="D30" s="4" t="s">
        <v>20</v>
      </c>
      <c r="E30" s="2" t="s">
        <v>21</v>
      </c>
      <c r="F30" s="5" t="s">
        <v>91</v>
      </c>
      <c r="G30" s="6">
        <v>20020025</v>
      </c>
      <c r="H30" s="2" t="s">
        <v>89</v>
      </c>
      <c r="I30" s="7" t="s">
        <v>92</v>
      </c>
      <c r="J30" s="2" t="s">
        <v>86</v>
      </c>
      <c r="K30" s="2" t="s">
        <v>26</v>
      </c>
      <c r="L30" s="6">
        <v>1</v>
      </c>
      <c r="M30" s="6">
        <v>1270</v>
      </c>
      <c r="N30" s="6">
        <v>1270</v>
      </c>
      <c r="O30" s="6">
        <v>0</v>
      </c>
      <c r="P30" s="6">
        <v>1270</v>
      </c>
      <c r="Q30" s="6">
        <v>1</v>
      </c>
      <c r="R30" s="6">
        <v>1270</v>
      </c>
      <c r="S30" s="8"/>
    </row>
    <row r="31" spans="1:19" x14ac:dyDescent="0.25">
      <c r="A31" s="1">
        <v>46193.336484444444</v>
      </c>
      <c r="B31" s="2" t="s">
        <v>82</v>
      </c>
      <c r="C31" s="3">
        <v>46193</v>
      </c>
      <c r="D31" s="4" t="s">
        <v>20</v>
      </c>
      <c r="E31" s="2" t="s">
        <v>21</v>
      </c>
      <c r="F31" s="5" t="s">
        <v>93</v>
      </c>
      <c r="G31" s="6">
        <v>20020025</v>
      </c>
      <c r="H31" s="2" t="s">
        <v>89</v>
      </c>
      <c r="I31" s="7" t="s">
        <v>37</v>
      </c>
      <c r="J31" s="2" t="s">
        <v>86</v>
      </c>
      <c r="K31" s="2" t="s">
        <v>26</v>
      </c>
      <c r="L31" s="6">
        <v>3</v>
      </c>
      <c r="M31" s="6">
        <v>1270</v>
      </c>
      <c r="N31" s="6">
        <v>3810</v>
      </c>
      <c r="O31" s="6">
        <v>0</v>
      </c>
      <c r="P31" s="6">
        <v>3810</v>
      </c>
      <c r="Q31" s="6">
        <v>3</v>
      </c>
      <c r="R31" s="6">
        <v>3810</v>
      </c>
      <c r="S31" s="8"/>
    </row>
    <row r="32" spans="1:19" x14ac:dyDescent="0.25">
      <c r="A32" s="1">
        <v>46193.336881111114</v>
      </c>
      <c r="B32" s="2" t="s">
        <v>82</v>
      </c>
      <c r="C32" s="3">
        <v>46193</v>
      </c>
      <c r="D32" s="4" t="s">
        <v>20</v>
      </c>
      <c r="E32" s="2" t="s">
        <v>21</v>
      </c>
      <c r="F32" s="5" t="s">
        <v>94</v>
      </c>
      <c r="G32" s="6">
        <v>20020006</v>
      </c>
      <c r="H32" s="2" t="s">
        <v>95</v>
      </c>
      <c r="I32" s="7" t="s">
        <v>24</v>
      </c>
      <c r="J32" s="2" t="s">
        <v>86</v>
      </c>
      <c r="K32" s="2" t="s">
        <v>26</v>
      </c>
      <c r="L32" s="6">
        <v>5</v>
      </c>
      <c r="M32" s="6">
        <v>1270</v>
      </c>
      <c r="N32" s="6">
        <v>6350</v>
      </c>
      <c r="O32" s="6">
        <v>0</v>
      </c>
      <c r="P32" s="6">
        <v>6350</v>
      </c>
      <c r="Q32" s="6">
        <v>5</v>
      </c>
      <c r="R32" s="6">
        <v>6350</v>
      </c>
      <c r="S32" s="8"/>
    </row>
    <row r="33" spans="1:19" x14ac:dyDescent="0.25">
      <c r="A33" s="1">
        <v>46193.337350902773</v>
      </c>
      <c r="B33" s="2" t="s">
        <v>82</v>
      </c>
      <c r="C33" s="3">
        <v>46193</v>
      </c>
      <c r="D33" s="4" t="s">
        <v>20</v>
      </c>
      <c r="E33" s="2" t="s">
        <v>21</v>
      </c>
      <c r="F33" s="5" t="s">
        <v>96</v>
      </c>
      <c r="G33" s="6">
        <v>20050002</v>
      </c>
      <c r="H33" s="2" t="s">
        <v>97</v>
      </c>
      <c r="I33" s="7" t="s">
        <v>98</v>
      </c>
      <c r="J33" s="2" t="s">
        <v>86</v>
      </c>
      <c r="K33" s="2" t="s">
        <v>26</v>
      </c>
      <c r="L33" s="6">
        <v>2</v>
      </c>
      <c r="M33" s="6">
        <v>1270</v>
      </c>
      <c r="N33" s="6">
        <v>2540</v>
      </c>
      <c r="O33" s="6">
        <v>0</v>
      </c>
      <c r="P33" s="6">
        <v>2540</v>
      </c>
      <c r="Q33" s="6">
        <v>2</v>
      </c>
      <c r="R33" s="6">
        <v>2540</v>
      </c>
      <c r="S33" s="8"/>
    </row>
    <row r="34" spans="1:19" x14ac:dyDescent="0.25">
      <c r="A34" s="1">
        <v>46193.337860416665</v>
      </c>
      <c r="B34" s="2" t="s">
        <v>82</v>
      </c>
      <c r="C34" s="3">
        <v>46193</v>
      </c>
      <c r="D34" s="4" t="s">
        <v>20</v>
      </c>
      <c r="E34" s="2" t="s">
        <v>21</v>
      </c>
      <c r="F34" s="5" t="s">
        <v>99</v>
      </c>
      <c r="G34" s="6">
        <v>20050003</v>
      </c>
      <c r="H34" s="2" t="s">
        <v>100</v>
      </c>
      <c r="I34" s="7" t="s">
        <v>24</v>
      </c>
      <c r="J34" s="2" t="s">
        <v>86</v>
      </c>
      <c r="K34" s="2" t="s">
        <v>26</v>
      </c>
      <c r="L34" s="6">
        <v>2</v>
      </c>
      <c r="M34" s="6">
        <v>1270</v>
      </c>
      <c r="N34" s="6">
        <v>2540</v>
      </c>
      <c r="O34" s="6">
        <v>0</v>
      </c>
      <c r="P34" s="6">
        <v>2540</v>
      </c>
      <c r="Q34" s="6">
        <v>2</v>
      </c>
      <c r="R34" s="6">
        <v>2540</v>
      </c>
      <c r="S34" s="8"/>
    </row>
    <row r="35" spans="1:19" x14ac:dyDescent="0.25">
      <c r="A35" s="1">
        <v>46193.338211608796</v>
      </c>
      <c r="B35" s="2" t="s">
        <v>82</v>
      </c>
      <c r="C35" s="3">
        <v>46193</v>
      </c>
      <c r="D35" s="4" t="s">
        <v>20</v>
      </c>
      <c r="E35" s="2" t="s">
        <v>21</v>
      </c>
      <c r="F35" s="5" t="s">
        <v>101</v>
      </c>
      <c r="G35" s="6">
        <v>20020003</v>
      </c>
      <c r="H35" s="2" t="s">
        <v>102</v>
      </c>
      <c r="I35" s="7" t="s">
        <v>24</v>
      </c>
      <c r="J35" s="2" t="s">
        <v>86</v>
      </c>
      <c r="K35" s="2" t="s">
        <v>26</v>
      </c>
      <c r="L35" s="6">
        <v>5</v>
      </c>
      <c r="M35" s="6">
        <v>1270</v>
      </c>
      <c r="N35" s="6">
        <v>6350</v>
      </c>
      <c r="O35" s="6">
        <v>0</v>
      </c>
      <c r="P35" s="6">
        <v>6350</v>
      </c>
      <c r="Q35" s="6">
        <v>5</v>
      </c>
      <c r="R35" s="6">
        <v>6350</v>
      </c>
      <c r="S35" s="8"/>
    </row>
    <row r="36" spans="1:19" x14ac:dyDescent="0.25">
      <c r="A36" s="1">
        <v>46193.341530937498</v>
      </c>
      <c r="B36" s="2" t="s">
        <v>82</v>
      </c>
      <c r="C36" s="3">
        <v>46193</v>
      </c>
      <c r="D36" s="4" t="s">
        <v>20</v>
      </c>
      <c r="E36" s="2" t="s">
        <v>21</v>
      </c>
      <c r="F36" s="5" t="s">
        <v>103</v>
      </c>
      <c r="G36" s="6">
        <v>20030001</v>
      </c>
      <c r="H36" s="2" t="s">
        <v>104</v>
      </c>
      <c r="I36" s="7" t="s">
        <v>24</v>
      </c>
      <c r="J36" s="2" t="s">
        <v>104</v>
      </c>
      <c r="K36" s="2" t="s">
        <v>26</v>
      </c>
      <c r="L36" s="6">
        <v>5</v>
      </c>
      <c r="M36" s="6">
        <v>1270</v>
      </c>
      <c r="N36" s="6">
        <v>6350</v>
      </c>
      <c r="O36" s="6">
        <v>0</v>
      </c>
      <c r="P36" s="6">
        <v>6350</v>
      </c>
      <c r="Q36" s="6">
        <v>5</v>
      </c>
      <c r="R36" s="6">
        <v>6350</v>
      </c>
      <c r="S36" s="8"/>
    </row>
    <row r="37" spans="1:19" x14ac:dyDescent="0.25">
      <c r="A37" s="1">
        <v>46193.344239918981</v>
      </c>
      <c r="B37" s="2" t="s">
        <v>82</v>
      </c>
      <c r="C37" s="3">
        <v>46193</v>
      </c>
      <c r="D37" s="4" t="s">
        <v>20</v>
      </c>
      <c r="E37" s="2" t="s">
        <v>105</v>
      </c>
      <c r="F37" s="5" t="s">
        <v>106</v>
      </c>
      <c r="G37" s="6">
        <v>20020001</v>
      </c>
      <c r="H37" s="2" t="s">
        <v>86</v>
      </c>
      <c r="I37" s="7" t="s">
        <v>107</v>
      </c>
      <c r="J37" s="2" t="s">
        <v>86</v>
      </c>
      <c r="K37" s="2" t="s">
        <v>26</v>
      </c>
      <c r="L37" s="6">
        <v>0</v>
      </c>
      <c r="M37" s="6">
        <v>0</v>
      </c>
      <c r="N37" s="6">
        <v>0</v>
      </c>
      <c r="O37" s="6">
        <v>2156</v>
      </c>
      <c r="P37" s="6">
        <v>2156</v>
      </c>
      <c r="Q37" s="6">
        <v>0</v>
      </c>
      <c r="R37" s="6">
        <v>2156</v>
      </c>
      <c r="S37" s="8"/>
    </row>
    <row r="38" spans="1:19" ht="15.75" thickBot="1" x14ac:dyDescent="0.3">
      <c r="A38" s="9">
        <v>46193.344775821759</v>
      </c>
      <c r="B38" s="10" t="s">
        <v>82</v>
      </c>
      <c r="C38" s="11">
        <v>46193</v>
      </c>
      <c r="D38" s="12" t="s">
        <v>20</v>
      </c>
      <c r="E38" s="10" t="s">
        <v>105</v>
      </c>
      <c r="F38" s="13" t="s">
        <v>108</v>
      </c>
      <c r="G38" s="14">
        <v>20020001</v>
      </c>
      <c r="H38" s="10" t="s">
        <v>86</v>
      </c>
      <c r="I38" s="15" t="s">
        <v>109</v>
      </c>
      <c r="J38" s="10" t="s">
        <v>86</v>
      </c>
      <c r="K38" s="10" t="s">
        <v>26</v>
      </c>
      <c r="L38" s="14">
        <v>0</v>
      </c>
      <c r="M38" s="14">
        <v>0</v>
      </c>
      <c r="N38" s="14">
        <v>0</v>
      </c>
      <c r="O38" s="14">
        <v>2000</v>
      </c>
      <c r="P38" s="14">
        <v>2000</v>
      </c>
      <c r="Q38" s="14">
        <v>0</v>
      </c>
      <c r="R38" s="14">
        <v>2000</v>
      </c>
      <c r="S38" s="16"/>
    </row>
    <row r="39" spans="1:19" ht="22.9" customHeight="1" thickBot="1" x14ac:dyDescent="0.3">
      <c r="A39" s="17">
        <v>46193.529305555552</v>
      </c>
      <c r="B39" s="18" t="s">
        <v>51</v>
      </c>
      <c r="C39" s="19">
        <v>46193</v>
      </c>
      <c r="D39" s="18" t="s">
        <v>20</v>
      </c>
      <c r="E39" s="18" t="s">
        <v>21</v>
      </c>
      <c r="F39" s="20" t="s">
        <v>110</v>
      </c>
      <c r="G39" s="21">
        <v>20060014</v>
      </c>
      <c r="H39" s="18" t="s">
        <v>111</v>
      </c>
      <c r="I39" s="20" t="s">
        <v>24</v>
      </c>
      <c r="J39" s="18" t="s">
        <v>54</v>
      </c>
      <c r="K39" s="18" t="s">
        <v>26</v>
      </c>
      <c r="L39" s="21">
        <v>1</v>
      </c>
      <c r="M39" s="21">
        <v>1270</v>
      </c>
      <c r="N39" s="21">
        <v>1270</v>
      </c>
      <c r="O39" s="21">
        <v>0</v>
      </c>
      <c r="P39" s="21">
        <v>1270</v>
      </c>
      <c r="Q39" s="21">
        <v>1</v>
      </c>
      <c r="R39" s="21">
        <v>1270</v>
      </c>
      <c r="S39" s="22"/>
    </row>
    <row r="40" spans="1:19" x14ac:dyDescent="0.25">
      <c r="R40">
        <f>SUM(R2:R39)</f>
        <v>166257</v>
      </c>
    </row>
  </sheetData>
  <dataValidations count="2">
    <dataValidation type="list" allowBlank="1" sqref="E2:E38" xr:uid="{EB4E1AF6-4096-4048-A5C3-369FED9C7ECD}">
      <formula1>#REF!</formula1>
    </dataValidation>
    <dataValidation allowBlank="1" showDropDown="1" sqref="F2:F38" xr:uid="{8B3035C8-759A-4615-A077-8179AF5B69E7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2026-06-20T10:35:01Z</dcterms:created>
  <dcterms:modified xsi:type="dcterms:W3CDTF">2026-06-30T08:14:34Z</dcterms:modified>
</cp:coreProperties>
</file>