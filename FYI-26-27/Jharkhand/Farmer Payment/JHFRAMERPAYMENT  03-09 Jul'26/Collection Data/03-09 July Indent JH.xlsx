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03-09 Jul'26\Collection Data\"/>
    </mc:Choice>
  </mc:AlternateContent>
  <xr:revisionPtr revIDLastSave="0" documentId="13_ncr:1_{BA14C00E-5A72-44A5-BE29-602FBC15F891}" xr6:coauthVersionLast="47" xr6:coauthVersionMax="47" xr10:uidLastSave="{00000000-0000-0000-0000-000000000000}"/>
  <bookViews>
    <workbookView xWindow="0" yWindow="0" windowWidth="28800" windowHeight="15480" xr2:uid="{B95F15E2-D8F1-4524-A399-502F20358688}"/>
  </bookViews>
  <sheets>
    <sheet name="Sheet2" sheetId="2" r:id="rId1"/>
    <sheet name="Sheet1" sheetId="1" r:id="rId2"/>
  </sheets>
  <externalReferences>
    <externalReference r:id="rId3"/>
  </externalReferences>
  <calcPr calcId="191029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1" i="2" l="1"/>
  <c r="K28" i="2"/>
  <c r="F22" i="2" l="1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R21" i="1"/>
  <c r="J17" i="2" l="1"/>
  <c r="J21" i="2" l="1"/>
  <c r="J22" i="2" l="1"/>
  <c r="K23" i="2" l="1"/>
  <c r="J10" i="2"/>
  <c r="J11" i="2"/>
  <c r="J9" i="2"/>
  <c r="J6" i="2"/>
  <c r="J5" i="2"/>
  <c r="J15" i="2"/>
  <c r="J18" i="2"/>
  <c r="J13" i="2"/>
  <c r="J7" i="2"/>
  <c r="J12" i="2"/>
  <c r="J14" i="2"/>
  <c r="J8" i="2"/>
  <c r="J16" i="2"/>
  <c r="J19" i="2"/>
  <c r="J20" i="2"/>
</calcChain>
</file>

<file path=xl/sharedStrings.xml><?xml version="1.0" encoding="utf-8"?>
<sst xmlns="http://schemas.openxmlformats.org/spreadsheetml/2006/main" count="219" uniqueCount="77">
  <si>
    <t>Timestamp</t>
  </si>
  <si>
    <t>User Name</t>
  </si>
  <si>
    <t>Order Date</t>
  </si>
  <si>
    <t>Deduction Cycle</t>
  </si>
  <si>
    <t>Item Name</t>
  </si>
  <si>
    <t>ID</t>
  </si>
  <si>
    <t>MPG Code</t>
  </si>
  <si>
    <t>MPG Name</t>
  </si>
  <si>
    <t>Farmer code</t>
  </si>
  <si>
    <t>BMC Name</t>
  </si>
  <si>
    <t>CSP</t>
  </si>
  <si>
    <t>Qty</t>
  </si>
  <si>
    <t>Rate</t>
  </si>
  <si>
    <t>Total Amount</t>
  </si>
  <si>
    <t>Other Due Amt</t>
  </si>
  <si>
    <t>Total Amount (Proposed)</t>
  </si>
  <si>
    <t>Final Qty</t>
  </si>
  <si>
    <t>Final Amount</t>
  </si>
  <si>
    <t>Milk Amonnt</t>
  </si>
  <si>
    <t>Satendra kumar</t>
  </si>
  <si>
    <t>Gomukh Gold 50KG</t>
  </si>
  <si>
    <t>200600030002</t>
  </si>
  <si>
    <t>DUMARDAGA</t>
  </si>
  <si>
    <t>0002</t>
  </si>
  <si>
    <t>ORMANJHI</t>
  </si>
  <si>
    <t>Daya Society</t>
  </si>
  <si>
    <t>Chanho</t>
  </si>
  <si>
    <t>200900150002</t>
  </si>
  <si>
    <t>PAKARIYO</t>
  </si>
  <si>
    <t>0022</t>
  </si>
  <si>
    <t>200100540012</t>
  </si>
  <si>
    <t>NARKOPI</t>
  </si>
  <si>
    <t>0012</t>
  </si>
  <si>
    <t>0003</t>
  </si>
  <si>
    <t>200900250002</t>
  </si>
  <si>
    <t>KULLU</t>
  </si>
  <si>
    <t>200100030003</t>
  </si>
  <si>
    <t>Bero</t>
  </si>
  <si>
    <t>Itki</t>
  </si>
  <si>
    <t>Vikash</t>
  </si>
  <si>
    <t>200200030002</t>
  </si>
  <si>
    <t>Bijuliya</t>
  </si>
  <si>
    <t>Paali</t>
  </si>
  <si>
    <t>0005</t>
  </si>
  <si>
    <t>0051</t>
  </si>
  <si>
    <t>Amar sahu</t>
  </si>
  <si>
    <t>200900080005</t>
  </si>
  <si>
    <t>GANESHPUR</t>
  </si>
  <si>
    <t>KOKAR</t>
  </si>
  <si>
    <t>200900200002</t>
  </si>
  <si>
    <t>PAKARIYO 2</t>
  </si>
  <si>
    <t>200900200005</t>
  </si>
  <si>
    <t>DHONTHA TOLI</t>
  </si>
  <si>
    <t>200900230002</t>
  </si>
  <si>
    <t>CHOREYA</t>
  </si>
  <si>
    <t>0021</t>
  </si>
  <si>
    <t>DUMRI</t>
  </si>
  <si>
    <t>UCHARI</t>
  </si>
  <si>
    <t>0015</t>
  </si>
  <si>
    <t>200900040021</t>
  </si>
  <si>
    <t>200900140015</t>
  </si>
  <si>
    <t>HUTAR</t>
  </si>
  <si>
    <t>200400010003</t>
  </si>
  <si>
    <t>0047</t>
  </si>
  <si>
    <t>03-07-2026 to 09-07-2026</t>
  </si>
  <si>
    <t>200500030022</t>
  </si>
  <si>
    <t>200200010110</t>
  </si>
  <si>
    <t>0110</t>
  </si>
  <si>
    <t>200200110047</t>
  </si>
  <si>
    <t>200200110051</t>
  </si>
  <si>
    <t>200200110063</t>
  </si>
  <si>
    <t>0063</t>
  </si>
  <si>
    <t>Grand Total</t>
  </si>
  <si>
    <t>Sum of Final Amount</t>
  </si>
  <si>
    <t>Total</t>
  </si>
  <si>
    <t>Type</t>
  </si>
  <si>
    <t>Deduction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</si>
</sst>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m/d/yyyy\ h:mm:ss"/>
    <numFmt numFmtId="165" formatCode="yyyy\-mm\-dd"/>
  </numFmts>
  <fonts count="5" x14ac:knownFonts="1">
    <font>
      <sz val="11"/>
      <color theme="1"/>
      <name val="Calibri"/>
      <family val="2"/>
      <scheme val="minor"/>
    </font>
    <font>
      <b/>
      <sz val="10"/>
      <color theme="1"/>
      <name val="Roboto"/>
    </font>
    <font>
      <sz val="10"/>
      <color rgb="FF434343"/>
      <name val="Roboto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164" fontId="2" fillId="2" borderId="5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vertical="center"/>
    </xf>
    <xf numFmtId="165" fontId="2" fillId="2" borderId="1" xfId="0" applyNumberFormat="1" applyFont="1" applyFill="1" applyBorder="1" applyAlignment="1">
      <alignment horizontal="right" vertical="center"/>
    </xf>
    <xf numFmtId="49" fontId="2" fillId="2" borderId="1" xfId="0" applyNumberFormat="1" applyFont="1" applyFill="1" applyBorder="1" applyAlignment="1">
      <alignment vertical="center"/>
    </xf>
    <xf numFmtId="0" fontId="2" fillId="2" borderId="1" xfId="0" applyFont="1" applyFill="1" applyBorder="1" applyAlignment="1">
      <alignment horizontal="right" vertical="center"/>
    </xf>
    <xf numFmtId="0" fontId="2" fillId="2" borderId="1" xfId="0" quotePrefix="1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2" fillId="3" borderId="1" xfId="0" applyFont="1" applyFill="1" applyBorder="1" applyAlignment="1">
      <alignment vertical="center"/>
    </xf>
    <xf numFmtId="164" fontId="2" fillId="2" borderId="7" xfId="0" applyNumberFormat="1" applyFont="1" applyFill="1" applyBorder="1" applyAlignment="1">
      <alignment horizontal="right" vertical="center"/>
    </xf>
    <xf numFmtId="0" fontId="2" fillId="2" borderId="8" xfId="0" applyFont="1" applyFill="1" applyBorder="1" applyAlignment="1">
      <alignment vertical="center"/>
    </xf>
    <xf numFmtId="165" fontId="2" fillId="2" borderId="8" xfId="0" applyNumberFormat="1" applyFont="1" applyFill="1" applyBorder="1" applyAlignment="1">
      <alignment horizontal="right" vertical="center"/>
    </xf>
    <xf numFmtId="0" fontId="2" fillId="3" borderId="8" xfId="0" applyFont="1" applyFill="1" applyBorder="1" applyAlignment="1">
      <alignment vertical="center"/>
    </xf>
    <xf numFmtId="49" fontId="2" fillId="2" borderId="8" xfId="0" applyNumberFormat="1" applyFont="1" applyFill="1" applyBorder="1" applyAlignment="1">
      <alignment vertical="center"/>
    </xf>
    <xf numFmtId="0" fontId="2" fillId="2" borderId="8" xfId="0" applyFont="1" applyFill="1" applyBorder="1" applyAlignment="1">
      <alignment horizontal="right" vertical="center"/>
    </xf>
    <xf numFmtId="0" fontId="2" fillId="2" borderId="8" xfId="0" quotePrefix="1" applyFont="1" applyFill="1" applyBorder="1" applyAlignment="1">
      <alignment vertical="center"/>
    </xf>
    <xf numFmtId="0" fontId="3" fillId="2" borderId="9" xfId="0" applyFont="1" applyFill="1" applyBorder="1" applyAlignment="1">
      <alignment vertical="center"/>
    </xf>
    <xf numFmtId="0" fontId="1" fillId="4" borderId="2" xfId="0" applyFont="1" applyFill="1" applyBorder="1" applyAlignment="1">
      <alignment horizontal="left" vertical="center"/>
    </xf>
    <xf numFmtId="0" fontId="1" fillId="4" borderId="3" xfId="0" applyFont="1" applyFill="1" applyBorder="1" applyAlignment="1">
      <alignment horizontal="left" vertical="center"/>
    </xf>
    <xf numFmtId="0" fontId="1" fillId="4" borderId="4" xfId="0" applyFont="1" applyFill="1" applyBorder="1" applyAlignment="1">
      <alignment horizontal="left" vertical="center"/>
    </xf>
    <xf numFmtId="0" fontId="0" fillId="4" borderId="0" xfId="0" applyFill="1"/>
    <xf numFmtId="0" fontId="0" fillId="0" borderId="9" xfId="0" applyBorder="1"/>
    <xf numFmtId="0" fontId="0" fillId="0" borderId="7" xfId="0" applyBorder="1"/>
    <xf numFmtId="0" fontId="0" fillId="0" borderId="0" xfId="0" pivotButton="1"/>
    <xf numFmtId="0" fontId="4" fillId="5" borderId="10" xfId="0" applyFont="1" applyFill="1" applyBorder="1"/>
    <xf numFmtId="0" fontId="4" fillId="5" borderId="11" xfId="0" applyFont="1" applyFill="1" applyBorder="1"/>
    <xf numFmtId="0" fontId="4" fillId="0" borderId="10" xfId="0" applyFont="1" applyBorder="1"/>
    <xf numFmtId="0" fontId="4" fillId="0" borderId="0" xfId="0" applyFont="1"/>
    <xf numFmtId="0" fontId="0" fillId="0" borderId="8" xfId="0" applyBorder="1"/>
    <xf numFmtId="0" fontId="0" fillId="0" borderId="1" xfId="0" quotePrefix="1" applyBorder="1" applyAlignment="1">
      <alignment horizontal="center"/>
    </xf>
    <xf numFmtId="0" fontId="0" fillId="0" borderId="1" xfId="0" applyBorder="1"/>
  </cellXfs>
  <cellStyles count="1">
    <cellStyle name="Normal" xfId="0" builtinId="0"/>
  </cellStyles>
  <dxfs count="4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border diagonalUp="0" diagonalDown="0" outline="0">
        <left style="thin">
          <color indexed="64"/>
        </left>
        <right/>
        <top style="thin">
          <color indexed="64"/>
        </top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 outline="0">
        <left/>
        <right style="thin">
          <color indexed="64"/>
        </right>
        <top style="thin">
          <color indexed="64"/>
        </top>
        <bottom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fill>
        <patternFill patternType="solid">
          <fgColor indexed="64"/>
          <bgColor theme="5" tint="0.59999389629810485"/>
        </patternFill>
      </fill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35FC1"/>
          <bgColor rgb="FF535FC1"/>
        </patternFill>
      </fill>
    </dxf>
    <dxf>
      <border>
        <left style="thin">
          <color rgb="FF535FC1"/>
        </left>
        <right style="thin">
          <color rgb="FF535FC1"/>
        </right>
        <top style="thin">
          <color rgb="FF535FC1"/>
        </top>
        <bottom style="thin">
          <color rgb="FF535FC1"/>
        </bottom>
      </border>
    </dxf>
  </dxfs>
  <tableStyles count="1" defaultTableStyle="TableStyleMedium2" defaultPivotStyle="PivotStyleLight16">
    <tableStyle name="Indent-style" pivot="0" count="4" xr9:uid="{5FD50159-E710-43CF-ACBF-50BC79CE5529}">
      <tableStyleElement type="wholeTable" size="0" dxfId="47"/>
      <tableStyleElement type="headerRow" dxfId="46"/>
      <tableStyleElement type="firstRowStripe" dxfId="45"/>
      <tableStyleElement type="secondRowStripe" dxfId="4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15.%20JH%20Farmer%20Payment-03-09%20Jun.xlsx" TargetMode="External"/><Relationship Id="rId2" Type="http://schemas.openxmlformats.org/officeDocument/2006/relationships/externalLinkPath" Target="file:///C:\Users\rahul\Desktop\Rahul%20Backup\Farmer%20Payment\FYI-26-27\Jharkhand\Farmer%20Payment\JHFRAMERPAYMENT%20%2003-09%20Jul'26\15.%20JH%20Farmer%20Payment-03-09%20Jun.xlsx" TargetMode="External"/><Relationship Id="rId1" Type="http://schemas.openxmlformats.org/officeDocument/2006/relationships/externalLinkPath" Target="/Users/rahul/Desktop/Rahul%20Backup/Farmer%20Payment/FYI-26-27/Jharkhand/Farmer%20Payment/JHFRAMERPAYMENT%20%2003-09%20Jul'26/15.%20JH%20Farmer%20Payment-03-09%20Ju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MPG PIVOT"/>
      <sheetName val="MGP PDF"/>
      <sheetName val="Farmer PDF"/>
      <sheetName val="MPG Performance"/>
      <sheetName val="FAR PIVOT"/>
      <sheetName val="FARMER"/>
      <sheetName val="MPG Payment"/>
      <sheetName val="Farmer Payment Calc"/>
      <sheetName val="Loss"/>
      <sheetName val="Bank Master"/>
      <sheetName val="Rulles"/>
      <sheetName val="GPT cache"/>
    </sheetNames>
    <sheetDataSet>
      <sheetData sheetId="0"/>
      <sheetData sheetId="1"/>
      <sheetData sheetId="2"/>
      <sheetData sheetId="3"/>
      <sheetData sheetId="4"/>
      <sheetData sheetId="5"/>
      <sheetData sheetId="6">
        <row r="3">
          <cell r="B3" t="str">
            <v xml:space="preserve">Code </v>
          </cell>
          <cell r="C3" t="str">
            <v xml:space="preserve">MPG NAME </v>
          </cell>
          <cell r="D3" t="str">
            <v>Type</v>
          </cell>
          <cell r="E3" t="str">
            <v>Farmer Payment</v>
          </cell>
        </row>
        <row r="4">
          <cell r="B4">
            <v>20010001</v>
          </cell>
          <cell r="C4" t="str">
            <v>Itki</v>
          </cell>
          <cell r="D4" t="str">
            <v>RMC</v>
          </cell>
          <cell r="E4" t="str">
            <v>Direct</v>
          </cell>
        </row>
        <row r="5">
          <cell r="B5">
            <v>20010003</v>
          </cell>
          <cell r="C5" t="str">
            <v>Bero</v>
          </cell>
          <cell r="D5" t="str">
            <v>MPG</v>
          </cell>
          <cell r="E5" t="str">
            <v>Direct</v>
          </cell>
        </row>
        <row r="6">
          <cell r="B6">
            <v>20010005</v>
          </cell>
          <cell r="C6" t="str">
            <v>Basila</v>
          </cell>
          <cell r="D6" t="str">
            <v>MPG</v>
          </cell>
          <cell r="E6" t="str">
            <v>Direct</v>
          </cell>
        </row>
        <row r="7">
          <cell r="B7">
            <v>20010008</v>
          </cell>
          <cell r="C7" t="str">
            <v>Erchoro</v>
          </cell>
          <cell r="D7" t="str">
            <v>MPG</v>
          </cell>
          <cell r="E7" t="str">
            <v>Direct</v>
          </cell>
        </row>
        <row r="8">
          <cell r="B8">
            <v>20010009</v>
          </cell>
          <cell r="C8" t="str">
            <v>Makunda</v>
          </cell>
          <cell r="D8" t="str">
            <v>MPG</v>
          </cell>
          <cell r="E8" t="str">
            <v>Direct</v>
          </cell>
        </row>
        <row r="9">
          <cell r="B9">
            <v>20010012</v>
          </cell>
          <cell r="C9" t="str">
            <v>NAGRI</v>
          </cell>
          <cell r="D9" t="str">
            <v>VLC</v>
          </cell>
          <cell r="E9" t="str">
            <v>Indirect</v>
          </cell>
        </row>
        <row r="10">
          <cell r="B10">
            <v>20010015</v>
          </cell>
          <cell r="C10" t="str">
            <v>BOREYA</v>
          </cell>
          <cell r="D10" t="str">
            <v>MPG</v>
          </cell>
          <cell r="E10" t="str">
            <v>Direct</v>
          </cell>
        </row>
        <row r="11">
          <cell r="B11">
            <v>20010017</v>
          </cell>
          <cell r="C11" t="str">
            <v>DIGHIYA</v>
          </cell>
          <cell r="D11" t="str">
            <v>MPG</v>
          </cell>
          <cell r="E11" t="str">
            <v>Direct</v>
          </cell>
        </row>
        <row r="12">
          <cell r="B12">
            <v>20010023</v>
          </cell>
          <cell r="C12" t="str">
            <v>KATARPA</v>
          </cell>
          <cell r="D12" t="str">
            <v>MPG</v>
          </cell>
          <cell r="E12" t="str">
            <v>Direct</v>
          </cell>
        </row>
        <row r="13">
          <cell r="B13">
            <v>20010027</v>
          </cell>
          <cell r="C13" t="str">
            <v>MURTO</v>
          </cell>
          <cell r="D13" t="str">
            <v>MPG</v>
          </cell>
          <cell r="E13" t="str">
            <v>Direct</v>
          </cell>
        </row>
        <row r="14">
          <cell r="B14">
            <v>20010033</v>
          </cell>
          <cell r="C14" t="str">
            <v>KHATRIKHATANGA</v>
          </cell>
          <cell r="D14" t="str">
            <v>MPG</v>
          </cell>
          <cell r="E14" t="str">
            <v>Direct</v>
          </cell>
        </row>
        <row r="15">
          <cell r="B15">
            <v>20010034</v>
          </cell>
          <cell r="C15" t="str">
            <v>GARGAON</v>
          </cell>
          <cell r="D15" t="str">
            <v>MPG</v>
          </cell>
          <cell r="E15" t="str">
            <v>Indirect</v>
          </cell>
        </row>
        <row r="16">
          <cell r="B16">
            <v>20010036</v>
          </cell>
          <cell r="C16" t="str">
            <v>GHAGHRA</v>
          </cell>
          <cell r="D16" t="str">
            <v>MPG</v>
          </cell>
          <cell r="E16" t="str">
            <v>Direct</v>
          </cell>
        </row>
        <row r="17">
          <cell r="B17">
            <v>20010037</v>
          </cell>
          <cell r="C17" t="str">
            <v>CHACHGURA</v>
          </cell>
          <cell r="D17" t="str">
            <v>MPG</v>
          </cell>
          <cell r="E17" t="str">
            <v>Indirect</v>
          </cell>
        </row>
        <row r="18">
          <cell r="B18">
            <v>20010038</v>
          </cell>
          <cell r="C18" t="str">
            <v>TIKRA TOLI</v>
          </cell>
          <cell r="D18" t="str">
            <v>MPG</v>
          </cell>
          <cell r="E18" t="str">
            <v>Direct</v>
          </cell>
        </row>
        <row r="19">
          <cell r="B19">
            <v>20010040</v>
          </cell>
          <cell r="C19" t="str">
            <v>Gargaon2</v>
          </cell>
          <cell r="D19" t="str">
            <v>MPG</v>
          </cell>
          <cell r="E19" t="str">
            <v>Direct</v>
          </cell>
        </row>
        <row r="20">
          <cell r="B20">
            <v>20010041</v>
          </cell>
          <cell r="C20" t="str">
            <v>TERO</v>
          </cell>
          <cell r="D20" t="str">
            <v>MPG</v>
          </cell>
          <cell r="E20" t="str">
            <v>Direct</v>
          </cell>
        </row>
        <row r="21">
          <cell r="B21">
            <v>20010042</v>
          </cell>
          <cell r="C21" t="str">
            <v>RONHE</v>
          </cell>
          <cell r="D21" t="str">
            <v>MPG</v>
          </cell>
          <cell r="E21" t="str">
            <v>Direct</v>
          </cell>
        </row>
        <row r="22">
          <cell r="B22">
            <v>20010043</v>
          </cell>
          <cell r="C22" t="str">
            <v>DARKHANDREY</v>
          </cell>
          <cell r="D22" t="str">
            <v>MPG</v>
          </cell>
          <cell r="E22" t="str">
            <v>Direct</v>
          </cell>
        </row>
        <row r="23">
          <cell r="B23">
            <v>20010050</v>
          </cell>
          <cell r="C23" t="str">
            <v>SARNA TOLI</v>
          </cell>
          <cell r="D23" t="str">
            <v>VLC</v>
          </cell>
          <cell r="E23" t="str">
            <v>Indirect</v>
          </cell>
        </row>
        <row r="24">
          <cell r="B24">
            <v>20010052</v>
          </cell>
          <cell r="C24" t="str">
            <v>Kumbatoli</v>
          </cell>
          <cell r="D24" t="str">
            <v>MPG</v>
          </cell>
          <cell r="E24" t="str">
            <v>Direct</v>
          </cell>
        </row>
        <row r="25">
          <cell r="B25">
            <v>20010054</v>
          </cell>
          <cell r="C25" t="str">
            <v>NARKOPI</v>
          </cell>
          <cell r="D25" t="str">
            <v>MPG</v>
          </cell>
          <cell r="E25" t="str">
            <v>Direct</v>
          </cell>
        </row>
        <row r="26">
          <cell r="B26">
            <v>20010055</v>
          </cell>
          <cell r="C26" t="str">
            <v>MASU</v>
          </cell>
          <cell r="D26" t="str">
            <v>MPG</v>
          </cell>
          <cell r="E26" t="str">
            <v>Direct</v>
          </cell>
        </row>
        <row r="27">
          <cell r="B27">
            <v>20010057</v>
          </cell>
          <cell r="C27" t="str">
            <v>PANDEPARA</v>
          </cell>
          <cell r="D27" t="str">
            <v>VLC</v>
          </cell>
          <cell r="E27" t="str">
            <v>Indirect</v>
          </cell>
        </row>
        <row r="28">
          <cell r="B28">
            <v>20010059</v>
          </cell>
          <cell r="C28" t="str">
            <v>KARANJI 2</v>
          </cell>
          <cell r="D28" t="str">
            <v>MPG</v>
          </cell>
          <cell r="E28" t="str">
            <v>Direct</v>
          </cell>
        </row>
        <row r="29">
          <cell r="B29">
            <v>20010060</v>
          </cell>
          <cell r="C29" t="str">
            <v>ITKI 2</v>
          </cell>
          <cell r="D29" t="str">
            <v>VLC</v>
          </cell>
          <cell r="E29" t="str">
            <v>Indirect</v>
          </cell>
        </row>
        <row r="30">
          <cell r="B30">
            <v>20010061</v>
          </cell>
          <cell r="C30" t="str">
            <v>SEMRA</v>
          </cell>
          <cell r="D30" t="str">
            <v>MPG</v>
          </cell>
          <cell r="E30" t="str">
            <v>Direct</v>
          </cell>
        </row>
        <row r="31">
          <cell r="B31">
            <v>20010062</v>
          </cell>
          <cell r="C31" t="str">
            <v>PISKA</v>
          </cell>
          <cell r="D31" t="str">
            <v>MPG</v>
          </cell>
          <cell r="E31" t="str">
            <v>Direct</v>
          </cell>
        </row>
        <row r="32">
          <cell r="B32">
            <v>20020001</v>
          </cell>
          <cell r="C32" t="str">
            <v>Paali</v>
          </cell>
          <cell r="D32" t="str">
            <v>RMC</v>
          </cell>
          <cell r="E32" t="str">
            <v>Direct</v>
          </cell>
        </row>
        <row r="33">
          <cell r="B33">
            <v>20020002</v>
          </cell>
          <cell r="C33" t="str">
            <v>Jari</v>
          </cell>
          <cell r="D33" t="str">
            <v>MPG</v>
          </cell>
          <cell r="E33" t="str">
            <v>Direct</v>
          </cell>
        </row>
        <row r="34">
          <cell r="B34">
            <v>20020003</v>
          </cell>
          <cell r="C34" t="str">
            <v>Bijuliya</v>
          </cell>
          <cell r="D34" t="str">
            <v>MPG</v>
          </cell>
          <cell r="E34" t="str">
            <v>Direct</v>
          </cell>
        </row>
        <row r="35">
          <cell r="B35">
            <v>20020004</v>
          </cell>
          <cell r="C35" t="str">
            <v>Pandra</v>
          </cell>
          <cell r="D35" t="str">
            <v>MPG</v>
          </cell>
          <cell r="E35" t="str">
            <v>Direct</v>
          </cell>
        </row>
        <row r="36">
          <cell r="B36">
            <v>20020005</v>
          </cell>
          <cell r="C36" t="str">
            <v>BASKI</v>
          </cell>
          <cell r="D36" t="str">
            <v>MPG</v>
          </cell>
          <cell r="E36" t="str">
            <v>Direct</v>
          </cell>
        </row>
        <row r="37">
          <cell r="B37">
            <v>20020006</v>
          </cell>
          <cell r="C37" t="str">
            <v>RANIKHATANGA</v>
          </cell>
          <cell r="D37" t="str">
            <v>MPG</v>
          </cell>
          <cell r="E37" t="str">
            <v>Direct</v>
          </cell>
        </row>
        <row r="38">
          <cell r="B38">
            <v>20020007</v>
          </cell>
          <cell r="C38" t="str">
            <v>SURSA</v>
          </cell>
          <cell r="D38" t="str">
            <v>MPG</v>
          </cell>
          <cell r="E38" t="str">
            <v>Direct</v>
          </cell>
        </row>
        <row r="39">
          <cell r="B39">
            <v>20020011</v>
          </cell>
          <cell r="C39" t="str">
            <v>DHONTHA TOLI</v>
          </cell>
          <cell r="D39" t="str">
            <v>MPG</v>
          </cell>
          <cell r="E39" t="str">
            <v>Direct</v>
          </cell>
        </row>
        <row r="40">
          <cell r="B40">
            <v>20020013</v>
          </cell>
          <cell r="C40" t="str">
            <v>BAJPUR</v>
          </cell>
          <cell r="D40" t="str">
            <v>VLC</v>
          </cell>
          <cell r="E40" t="str">
            <v>Indirect</v>
          </cell>
        </row>
        <row r="41">
          <cell r="B41">
            <v>20020014</v>
          </cell>
          <cell r="C41" t="str">
            <v>BARGARI</v>
          </cell>
          <cell r="D41" t="str">
            <v>MPG</v>
          </cell>
          <cell r="E41" t="str">
            <v>Direct</v>
          </cell>
        </row>
        <row r="42">
          <cell r="B42">
            <v>20020015</v>
          </cell>
          <cell r="C42" t="str">
            <v>PATRATOLI</v>
          </cell>
          <cell r="D42" t="str">
            <v>MPG</v>
          </cell>
          <cell r="E42" t="str">
            <v>Direct</v>
          </cell>
        </row>
        <row r="43">
          <cell r="B43">
            <v>20020016</v>
          </cell>
          <cell r="C43" t="str">
            <v>BANAPIRI</v>
          </cell>
          <cell r="D43" t="str">
            <v>MPG</v>
          </cell>
          <cell r="E43" t="str">
            <v>Indirect</v>
          </cell>
        </row>
        <row r="44">
          <cell r="B44">
            <v>20020020</v>
          </cell>
          <cell r="C44" t="str">
            <v>TIKO TOLI</v>
          </cell>
          <cell r="D44" t="str">
            <v>MPG</v>
          </cell>
          <cell r="E44" t="str">
            <v>Direct</v>
          </cell>
        </row>
        <row r="45">
          <cell r="B45">
            <v>20020021</v>
          </cell>
          <cell r="C45" t="str">
            <v>PUNGI</v>
          </cell>
          <cell r="D45" t="str">
            <v>MPG</v>
          </cell>
          <cell r="E45" t="str">
            <v>Direct</v>
          </cell>
        </row>
        <row r="46">
          <cell r="B46">
            <v>20020023</v>
          </cell>
          <cell r="C46" t="str">
            <v>BARTOLI</v>
          </cell>
          <cell r="D46" t="str">
            <v>MPG</v>
          </cell>
          <cell r="E46" t="str">
            <v>Direct</v>
          </cell>
        </row>
        <row r="47">
          <cell r="B47">
            <v>20020025</v>
          </cell>
          <cell r="C47" t="str">
            <v>AGRU</v>
          </cell>
          <cell r="D47" t="str">
            <v>VLC</v>
          </cell>
          <cell r="E47" t="str">
            <v>Direct</v>
          </cell>
        </row>
        <row r="48">
          <cell r="B48">
            <v>20020026</v>
          </cell>
          <cell r="C48" t="str">
            <v>TIGRA</v>
          </cell>
          <cell r="D48" t="str">
            <v>MPG</v>
          </cell>
          <cell r="E48" t="str">
            <v>Direct</v>
          </cell>
        </row>
        <row r="49">
          <cell r="B49">
            <v>20020027</v>
          </cell>
          <cell r="C49" t="str">
            <v>GARRI</v>
          </cell>
          <cell r="D49" t="str">
            <v>VLC</v>
          </cell>
          <cell r="E49" t="str">
            <v>Direct</v>
          </cell>
        </row>
        <row r="50">
          <cell r="B50">
            <v>20020028</v>
          </cell>
          <cell r="C50" t="str">
            <v xml:space="preserve">HISRI </v>
          </cell>
          <cell r="D50" t="str">
            <v>VLC</v>
          </cell>
          <cell r="E50" t="str">
            <v>Direct</v>
          </cell>
        </row>
        <row r="51">
          <cell r="B51">
            <v>20020029</v>
          </cell>
          <cell r="C51" t="str">
            <v>MURMA</v>
          </cell>
          <cell r="D51" t="str">
            <v>VLC</v>
          </cell>
          <cell r="E51" t="str">
            <v>Direct</v>
          </cell>
        </row>
        <row r="52">
          <cell r="B52">
            <v>20030001</v>
          </cell>
          <cell r="C52" t="str">
            <v>Hisri Thakurgaon</v>
          </cell>
          <cell r="D52" t="str">
            <v>RMC</v>
          </cell>
          <cell r="E52" t="str">
            <v>Direct</v>
          </cell>
        </row>
        <row r="53">
          <cell r="B53">
            <v>20030002</v>
          </cell>
          <cell r="C53" t="str">
            <v>UMEDANDA</v>
          </cell>
          <cell r="D53" t="str">
            <v>MPG</v>
          </cell>
          <cell r="E53" t="str">
            <v>Direct</v>
          </cell>
        </row>
        <row r="54">
          <cell r="B54">
            <v>20030005</v>
          </cell>
          <cell r="C54" t="str">
            <v>THAKURGAON</v>
          </cell>
          <cell r="D54" t="str">
            <v>VLC</v>
          </cell>
          <cell r="E54" t="str">
            <v>Indirect</v>
          </cell>
        </row>
        <row r="55">
          <cell r="B55">
            <v>20030009</v>
          </cell>
          <cell r="C55" t="str">
            <v>SURID</v>
          </cell>
          <cell r="D55" t="str">
            <v>MPG</v>
          </cell>
          <cell r="E55" t="str">
            <v>Direct</v>
          </cell>
        </row>
        <row r="56">
          <cell r="B56">
            <v>20030012</v>
          </cell>
          <cell r="C56" t="str">
            <v>URUGUTU</v>
          </cell>
          <cell r="D56" t="str">
            <v>VLC</v>
          </cell>
          <cell r="E56" t="str">
            <v>Direct</v>
          </cell>
        </row>
        <row r="57">
          <cell r="B57">
            <v>20040001</v>
          </cell>
          <cell r="C57" t="str">
            <v>CHOREYA</v>
          </cell>
          <cell r="D57" t="str">
            <v>RMC</v>
          </cell>
          <cell r="E57" t="str">
            <v>Direct</v>
          </cell>
        </row>
        <row r="58">
          <cell r="B58">
            <v>20040006</v>
          </cell>
          <cell r="C58" t="str">
            <v>KADAM TOLI</v>
          </cell>
          <cell r="D58" t="str">
            <v>MPG</v>
          </cell>
          <cell r="E58" t="str">
            <v>Direct</v>
          </cell>
        </row>
        <row r="59">
          <cell r="B59">
            <v>20040007</v>
          </cell>
          <cell r="C59" t="str">
            <v>MADHUKAM</v>
          </cell>
          <cell r="D59" t="str">
            <v>MPG</v>
          </cell>
          <cell r="E59" t="str">
            <v>Direct</v>
          </cell>
        </row>
        <row r="60">
          <cell r="B60">
            <v>20050001</v>
          </cell>
          <cell r="C60" t="str">
            <v>Baski 2</v>
          </cell>
          <cell r="D60" t="str">
            <v>RMC</v>
          </cell>
          <cell r="E60" t="str">
            <v>Direct</v>
          </cell>
        </row>
        <row r="61">
          <cell r="B61">
            <v>20050002</v>
          </cell>
          <cell r="C61" t="str">
            <v>KANBHITHA</v>
          </cell>
          <cell r="D61" t="str">
            <v>MPG</v>
          </cell>
          <cell r="E61" t="str">
            <v>Direct</v>
          </cell>
        </row>
        <row r="62">
          <cell r="B62">
            <v>20050003</v>
          </cell>
          <cell r="C62" t="str">
            <v>UCHARI</v>
          </cell>
          <cell r="D62" t="str">
            <v>MPG</v>
          </cell>
          <cell r="E62" t="str">
            <v>Direct</v>
          </cell>
        </row>
        <row r="63">
          <cell r="B63">
            <v>20060001</v>
          </cell>
          <cell r="C63" t="str">
            <v>ORMANJHI</v>
          </cell>
          <cell r="D63" t="str">
            <v>RMC</v>
          </cell>
          <cell r="E63" t="str">
            <v>Direct</v>
          </cell>
        </row>
        <row r="64">
          <cell r="B64">
            <v>20060002</v>
          </cell>
          <cell r="C64" t="str">
            <v>MANDRO</v>
          </cell>
          <cell r="D64" t="str">
            <v>MPG</v>
          </cell>
          <cell r="E64" t="str">
            <v>Direct</v>
          </cell>
        </row>
        <row r="65">
          <cell r="B65">
            <v>20060003</v>
          </cell>
          <cell r="C65" t="str">
            <v>DUMARDAGA</v>
          </cell>
          <cell r="D65" t="str">
            <v>MPG</v>
          </cell>
          <cell r="E65" t="str">
            <v>Direct</v>
          </cell>
        </row>
        <row r="66">
          <cell r="B66">
            <v>20060004</v>
          </cell>
          <cell r="C66" t="str">
            <v>CHUTTU</v>
          </cell>
          <cell r="D66" t="str">
            <v>MPG</v>
          </cell>
          <cell r="E66" t="str">
            <v>Direct</v>
          </cell>
        </row>
        <row r="67">
          <cell r="B67">
            <v>20060005</v>
          </cell>
          <cell r="C67" t="str">
            <v>JIRABAR</v>
          </cell>
          <cell r="D67" t="str">
            <v>MPG</v>
          </cell>
          <cell r="E67" t="str">
            <v>Direct</v>
          </cell>
        </row>
        <row r="68">
          <cell r="B68">
            <v>20060007</v>
          </cell>
          <cell r="C68" t="str">
            <v>HOCHAR</v>
          </cell>
          <cell r="D68" t="str">
            <v>MPG</v>
          </cell>
          <cell r="E68" t="str">
            <v>Direct</v>
          </cell>
        </row>
        <row r="69">
          <cell r="B69">
            <v>20060009</v>
          </cell>
          <cell r="C69" t="str">
            <v>KUCHU</v>
          </cell>
          <cell r="D69" t="str">
            <v>MPG</v>
          </cell>
          <cell r="E69" t="str">
            <v>Direct</v>
          </cell>
        </row>
        <row r="70">
          <cell r="B70">
            <v>20060013</v>
          </cell>
          <cell r="C70" t="str">
            <v>CHATAKPUR</v>
          </cell>
          <cell r="D70" t="str">
            <v>VLC</v>
          </cell>
          <cell r="E70" t="str">
            <v>Indirect</v>
          </cell>
        </row>
        <row r="71">
          <cell r="B71">
            <v>20060014</v>
          </cell>
          <cell r="C71" t="str">
            <v>CHIRIYAGHAR</v>
          </cell>
          <cell r="D71" t="str">
            <v>VLC</v>
          </cell>
          <cell r="E71" t="str">
            <v>Indirect</v>
          </cell>
        </row>
        <row r="72">
          <cell r="B72">
            <v>20060017</v>
          </cell>
          <cell r="C72" t="str">
            <v>KUKUI</v>
          </cell>
          <cell r="D72" t="str">
            <v>MPG</v>
          </cell>
          <cell r="E72" t="str">
            <v>Direct</v>
          </cell>
        </row>
        <row r="73">
          <cell r="B73">
            <v>20060018</v>
          </cell>
          <cell r="C73" t="str">
            <v>PANCHOLI</v>
          </cell>
          <cell r="D73" t="str">
            <v>MPG</v>
          </cell>
          <cell r="E73" t="str">
            <v>Direct</v>
          </cell>
        </row>
        <row r="74">
          <cell r="B74">
            <v>20060019</v>
          </cell>
          <cell r="C74" t="str">
            <v>HOCHAR 2</v>
          </cell>
          <cell r="D74" t="str">
            <v>MPG</v>
          </cell>
          <cell r="E74" t="str">
            <v>Direct</v>
          </cell>
        </row>
        <row r="75">
          <cell r="B75">
            <v>20060022</v>
          </cell>
          <cell r="C75" t="str">
            <v>MAHESHPUR</v>
          </cell>
          <cell r="D75" t="str">
            <v>MPG</v>
          </cell>
          <cell r="E75" t="str">
            <v>Direct</v>
          </cell>
        </row>
        <row r="76">
          <cell r="B76">
            <v>20060023</v>
          </cell>
          <cell r="C76" t="str">
            <v>DEV DARSHAN</v>
          </cell>
          <cell r="D76" t="str">
            <v>VLC</v>
          </cell>
          <cell r="E76" t="str">
            <v>Indirect</v>
          </cell>
        </row>
        <row r="77">
          <cell r="B77">
            <v>20070001</v>
          </cell>
          <cell r="C77" t="str">
            <v>PIRAGUTU</v>
          </cell>
          <cell r="D77" t="str">
            <v>RMC</v>
          </cell>
          <cell r="E77" t="str">
            <v>Direct</v>
          </cell>
        </row>
        <row r="78">
          <cell r="B78">
            <v>20070002</v>
          </cell>
          <cell r="C78" t="str">
            <v>SARAM</v>
          </cell>
          <cell r="D78" t="str">
            <v>MPG</v>
          </cell>
          <cell r="E78" t="str">
            <v>Direct</v>
          </cell>
        </row>
        <row r="79">
          <cell r="B79">
            <v>20070003</v>
          </cell>
          <cell r="C79" t="str">
            <v>MURUPIRI</v>
          </cell>
          <cell r="D79" t="str">
            <v>MPG</v>
          </cell>
          <cell r="E79" t="str">
            <v>Direct</v>
          </cell>
        </row>
        <row r="80">
          <cell r="B80">
            <v>20070004</v>
          </cell>
          <cell r="C80" t="str">
            <v>KEDAL</v>
          </cell>
          <cell r="D80" t="str">
            <v>MPG</v>
          </cell>
          <cell r="E80" t="str">
            <v>Direct</v>
          </cell>
        </row>
        <row r="81">
          <cell r="B81">
            <v>20070006</v>
          </cell>
          <cell r="C81" t="str">
            <v>SAHEDA</v>
          </cell>
          <cell r="D81" t="str">
            <v>MPG</v>
          </cell>
          <cell r="E81" t="str">
            <v>Direct</v>
          </cell>
        </row>
        <row r="82">
          <cell r="B82">
            <v>20070007</v>
          </cell>
          <cell r="C82" t="str">
            <v>NABATOLI</v>
          </cell>
          <cell r="D82" t="str">
            <v>MPG</v>
          </cell>
          <cell r="E82" t="str">
            <v>Direct</v>
          </cell>
        </row>
        <row r="83">
          <cell r="B83">
            <v>20070009</v>
          </cell>
          <cell r="C83" t="str">
            <v>KARAMBA</v>
          </cell>
          <cell r="D83" t="str">
            <v>MPG</v>
          </cell>
          <cell r="E83" t="str">
            <v>Direct</v>
          </cell>
        </row>
        <row r="84">
          <cell r="B84">
            <v>20070010</v>
          </cell>
          <cell r="C84" t="str">
            <v>KURALU</v>
          </cell>
          <cell r="D84" t="str">
            <v>MPG</v>
          </cell>
          <cell r="E84" t="str">
            <v>Direct</v>
          </cell>
        </row>
        <row r="85">
          <cell r="B85">
            <v>20070016</v>
          </cell>
          <cell r="C85" t="str">
            <v>MAYAPUR</v>
          </cell>
          <cell r="D85" t="str">
            <v>MPG</v>
          </cell>
          <cell r="E85" t="str">
            <v>Direct</v>
          </cell>
        </row>
        <row r="86">
          <cell r="B86">
            <v>20070018</v>
          </cell>
          <cell r="C86" t="str">
            <v>MAKKA</v>
          </cell>
          <cell r="D86" t="str">
            <v>MPG</v>
          </cell>
          <cell r="E86" t="str">
            <v>Direct</v>
          </cell>
        </row>
        <row r="87">
          <cell r="B87">
            <v>20070019</v>
          </cell>
          <cell r="C87" t="str">
            <v>CHORA</v>
          </cell>
          <cell r="D87" t="str">
            <v>MPG</v>
          </cell>
          <cell r="E87" t="str">
            <v>Direct</v>
          </cell>
        </row>
        <row r="88">
          <cell r="B88">
            <v>20070020</v>
          </cell>
          <cell r="C88" t="str">
            <v>ULATU</v>
          </cell>
          <cell r="D88" t="str">
            <v>MPG</v>
          </cell>
          <cell r="E88" t="str">
            <v>Direct</v>
          </cell>
        </row>
        <row r="89">
          <cell r="B89">
            <v>20070021</v>
          </cell>
          <cell r="C89" t="str">
            <v>USKU</v>
          </cell>
          <cell r="D89" t="str">
            <v>MPG</v>
          </cell>
          <cell r="E89" t="str">
            <v>Direct</v>
          </cell>
        </row>
        <row r="90">
          <cell r="B90">
            <v>20070023</v>
          </cell>
          <cell r="C90" t="str">
            <v>ICHAPIRI</v>
          </cell>
          <cell r="D90" t="str">
            <v>MPG</v>
          </cell>
          <cell r="E90" t="str">
            <v>Direct</v>
          </cell>
        </row>
        <row r="91">
          <cell r="B91">
            <v>20070024</v>
          </cell>
          <cell r="C91" t="str">
            <v>MURPA</v>
          </cell>
          <cell r="D91" t="str">
            <v>MPG</v>
          </cell>
          <cell r="E91" t="str">
            <v>Direct</v>
          </cell>
        </row>
        <row r="92">
          <cell r="B92">
            <v>20070025</v>
          </cell>
          <cell r="C92" t="str">
            <v>SUBHASH NAGAR</v>
          </cell>
          <cell r="D92" t="str">
            <v>MPG</v>
          </cell>
          <cell r="E92" t="str">
            <v>Direct</v>
          </cell>
        </row>
        <row r="93">
          <cell r="B93">
            <v>20070026</v>
          </cell>
          <cell r="C93" t="str">
            <v>NINDRA</v>
          </cell>
          <cell r="D93" t="str">
            <v>MPG</v>
          </cell>
          <cell r="E93" t="str">
            <v>Direct</v>
          </cell>
        </row>
        <row r="94">
          <cell r="B94">
            <v>20080001</v>
          </cell>
          <cell r="C94" t="str">
            <v>CHATTI BHANDRA</v>
          </cell>
          <cell r="D94" t="str">
            <v>RMC</v>
          </cell>
          <cell r="E94" t="str">
            <v>Direct</v>
          </cell>
        </row>
        <row r="95">
          <cell r="B95">
            <v>20080002</v>
          </cell>
          <cell r="C95" t="str">
            <v>BHITTA</v>
          </cell>
          <cell r="D95" t="str">
            <v>MPG</v>
          </cell>
          <cell r="E95" t="str">
            <v>Direct</v>
          </cell>
        </row>
        <row r="96">
          <cell r="B96">
            <v>20080004</v>
          </cell>
          <cell r="C96" t="str">
            <v>Guri</v>
          </cell>
          <cell r="D96" t="str">
            <v>MPG</v>
          </cell>
          <cell r="E96" t="str">
            <v>Direct</v>
          </cell>
        </row>
        <row r="97">
          <cell r="B97">
            <v>20080006</v>
          </cell>
          <cell r="C97" t="str">
            <v>Chitri Ambatoli</v>
          </cell>
          <cell r="D97" t="str">
            <v>MPG</v>
          </cell>
          <cell r="E97" t="str">
            <v>Direct</v>
          </cell>
        </row>
        <row r="98">
          <cell r="B98">
            <v>20080007</v>
          </cell>
          <cell r="C98" t="str">
            <v>Rampur</v>
          </cell>
          <cell r="D98" t="str">
            <v>MPG</v>
          </cell>
          <cell r="E98" t="str">
            <v>Direct</v>
          </cell>
        </row>
        <row r="99">
          <cell r="B99">
            <v>20080008</v>
          </cell>
          <cell r="C99" t="str">
            <v>Ningni</v>
          </cell>
          <cell r="D99" t="str">
            <v>MPG</v>
          </cell>
          <cell r="E99" t="str">
            <v>Direct</v>
          </cell>
        </row>
        <row r="100">
          <cell r="B100">
            <v>20080009</v>
          </cell>
          <cell r="C100" t="str">
            <v>MASHMANO</v>
          </cell>
          <cell r="D100" t="str">
            <v>MPG</v>
          </cell>
          <cell r="E100" t="str">
            <v>Direct</v>
          </cell>
        </row>
        <row r="101">
          <cell r="B101">
            <v>20080010</v>
          </cell>
          <cell r="C101" t="str">
            <v>PAHARKESA</v>
          </cell>
          <cell r="D101" t="str">
            <v>MPG</v>
          </cell>
          <cell r="E101" t="str">
            <v>Direct</v>
          </cell>
        </row>
        <row r="102">
          <cell r="B102">
            <v>20080014</v>
          </cell>
          <cell r="C102" t="str">
            <v>BHUJANIYA</v>
          </cell>
          <cell r="D102" t="str">
            <v>MPG</v>
          </cell>
          <cell r="E102" t="str">
            <v>Indirect</v>
          </cell>
        </row>
        <row r="103">
          <cell r="B103">
            <v>20080025</v>
          </cell>
          <cell r="C103" t="str">
            <v>DAARU</v>
          </cell>
          <cell r="D103" t="str">
            <v>MPG</v>
          </cell>
          <cell r="E103" t="str">
            <v>Indirect</v>
          </cell>
        </row>
        <row r="104">
          <cell r="B104">
            <v>20080026</v>
          </cell>
          <cell r="C104" t="str">
            <v>CHHARDA</v>
          </cell>
          <cell r="D104" t="str">
            <v>MPG</v>
          </cell>
          <cell r="E104" t="str">
            <v>Direct</v>
          </cell>
        </row>
        <row r="105">
          <cell r="B105">
            <v>20080027</v>
          </cell>
          <cell r="C105" t="str">
            <v>NADI NAGRA 2</v>
          </cell>
          <cell r="D105" t="str">
            <v>MPG</v>
          </cell>
          <cell r="E105" t="str">
            <v>Direct</v>
          </cell>
        </row>
        <row r="106">
          <cell r="B106">
            <v>20080028</v>
          </cell>
          <cell r="C106" t="str">
            <v>BASRI NAGRA</v>
          </cell>
          <cell r="D106" t="str">
            <v>MPG</v>
          </cell>
          <cell r="E106" t="str">
            <v>Direct</v>
          </cell>
        </row>
        <row r="107">
          <cell r="B107">
            <v>20080030</v>
          </cell>
          <cell r="C107" t="str">
            <v>SORANDA</v>
          </cell>
          <cell r="D107" t="str">
            <v>MPG</v>
          </cell>
          <cell r="E107" t="str">
            <v>Direct</v>
          </cell>
        </row>
        <row r="108">
          <cell r="B108">
            <v>20080035</v>
          </cell>
          <cell r="C108" t="str">
            <v>KUNDO</v>
          </cell>
          <cell r="D108" t="str">
            <v>VLC</v>
          </cell>
          <cell r="E108" t="str">
            <v>Indirect</v>
          </cell>
        </row>
        <row r="109">
          <cell r="B109">
            <v>20080036</v>
          </cell>
          <cell r="C109" t="str">
            <v>MUNDO 2</v>
          </cell>
          <cell r="D109" t="str">
            <v>VLC</v>
          </cell>
          <cell r="E109" t="str">
            <v>Indirect</v>
          </cell>
        </row>
        <row r="110">
          <cell r="B110">
            <v>20080039</v>
          </cell>
          <cell r="C110" t="str">
            <v>LONGA</v>
          </cell>
          <cell r="D110" t="str">
            <v>MPG</v>
          </cell>
          <cell r="E110" t="str">
            <v>Direct</v>
          </cell>
        </row>
        <row r="111">
          <cell r="B111">
            <v>20080041</v>
          </cell>
          <cell r="C111" t="str">
            <v>KACHMACHI</v>
          </cell>
          <cell r="D111" t="str">
            <v>MPG</v>
          </cell>
          <cell r="E111" t="str">
            <v>Direct</v>
          </cell>
        </row>
        <row r="112">
          <cell r="B112">
            <v>20080043</v>
          </cell>
          <cell r="C112" t="str">
            <v>JATARGARI</v>
          </cell>
          <cell r="D112" t="str">
            <v>MPG</v>
          </cell>
          <cell r="E112" t="str">
            <v>Direct</v>
          </cell>
        </row>
        <row r="113">
          <cell r="B113">
            <v>20080046</v>
          </cell>
          <cell r="C113" t="str">
            <v>KUNDO AMBATOLI</v>
          </cell>
          <cell r="D113" t="str">
            <v>MPG</v>
          </cell>
          <cell r="E113" t="str">
            <v>Indirect</v>
          </cell>
        </row>
        <row r="114">
          <cell r="B114">
            <v>20080047</v>
          </cell>
          <cell r="C114" t="str">
            <v>PAHARKESHA 2</v>
          </cell>
          <cell r="D114" t="str">
            <v>VLC</v>
          </cell>
          <cell r="E114" t="str">
            <v>Indirect</v>
          </cell>
        </row>
        <row r="115">
          <cell r="B115">
            <v>20080050</v>
          </cell>
          <cell r="C115" t="str">
            <v>KACHMACHI 2</v>
          </cell>
          <cell r="D115" t="str">
            <v>MPG</v>
          </cell>
          <cell r="E115" t="str">
            <v>Direct</v>
          </cell>
        </row>
        <row r="116">
          <cell r="B116">
            <v>20090001</v>
          </cell>
          <cell r="C116" t="str">
            <v>Chanho</v>
          </cell>
          <cell r="D116" t="str">
            <v>RMC</v>
          </cell>
          <cell r="E116" t="str">
            <v>Direct</v>
          </cell>
        </row>
        <row r="117">
          <cell r="B117">
            <v>20090004</v>
          </cell>
          <cell r="C117" t="str">
            <v>DUMRI</v>
          </cell>
          <cell r="D117" t="str">
            <v>MPG</v>
          </cell>
          <cell r="E117" t="str">
            <v>Direct</v>
          </cell>
        </row>
        <row r="118">
          <cell r="B118">
            <v>20090006</v>
          </cell>
          <cell r="C118" t="str">
            <v>KATAIYA</v>
          </cell>
          <cell r="D118" t="str">
            <v>VLC</v>
          </cell>
          <cell r="E118" t="str">
            <v>Indirect</v>
          </cell>
        </row>
        <row r="119">
          <cell r="B119">
            <v>20090008</v>
          </cell>
          <cell r="C119" t="str">
            <v>GANESHPUR</v>
          </cell>
          <cell r="D119" t="str">
            <v>MPG</v>
          </cell>
          <cell r="E119" t="str">
            <v>Direct</v>
          </cell>
        </row>
        <row r="120">
          <cell r="B120">
            <v>20090010</v>
          </cell>
          <cell r="C120" t="str">
            <v>CHATWAL</v>
          </cell>
          <cell r="D120" t="str">
            <v>VLC</v>
          </cell>
          <cell r="E120" t="str">
            <v>Indirect</v>
          </cell>
        </row>
        <row r="121">
          <cell r="B121">
            <v>20090012</v>
          </cell>
          <cell r="C121" t="str">
            <v>LUNDRI 2</v>
          </cell>
          <cell r="D121" t="str">
            <v>MPG</v>
          </cell>
          <cell r="E121" t="str">
            <v>Direct</v>
          </cell>
        </row>
        <row r="122">
          <cell r="B122">
            <v>20090013</v>
          </cell>
          <cell r="C122" t="str">
            <v>LUNDRI 1</v>
          </cell>
          <cell r="D122" t="str">
            <v>MPG</v>
          </cell>
          <cell r="E122" t="str">
            <v>Direct</v>
          </cell>
        </row>
        <row r="123">
          <cell r="B123">
            <v>20090014</v>
          </cell>
          <cell r="C123" t="str">
            <v>HUTAR</v>
          </cell>
          <cell r="D123" t="str">
            <v>MPG</v>
          </cell>
          <cell r="E123" t="str">
            <v>Direct</v>
          </cell>
        </row>
        <row r="124">
          <cell r="B124">
            <v>20090015</v>
          </cell>
          <cell r="C124" t="str">
            <v>PAKARIYO</v>
          </cell>
          <cell r="D124" t="str">
            <v>MPG</v>
          </cell>
          <cell r="E124" t="str">
            <v>Direct</v>
          </cell>
        </row>
        <row r="125">
          <cell r="B125">
            <v>20090017</v>
          </cell>
          <cell r="C125" t="str">
            <v>NAWATAND</v>
          </cell>
          <cell r="D125" t="str">
            <v>MPG</v>
          </cell>
          <cell r="E125" t="str">
            <v>Direct</v>
          </cell>
        </row>
        <row r="126">
          <cell r="B126">
            <v>20090020</v>
          </cell>
          <cell r="C126" t="str">
            <v>PAKARIYO 2</v>
          </cell>
          <cell r="D126" t="str">
            <v>MPG</v>
          </cell>
          <cell r="E126" t="str">
            <v>Direct</v>
          </cell>
        </row>
        <row r="127">
          <cell r="B127">
            <v>20090022</v>
          </cell>
          <cell r="C127" t="str">
            <v>KATAIYA 2</v>
          </cell>
          <cell r="D127" t="str">
            <v>MPG</v>
          </cell>
          <cell r="E127" t="str">
            <v>Direct</v>
          </cell>
        </row>
        <row r="128">
          <cell r="B128">
            <v>20090023</v>
          </cell>
          <cell r="C128" t="str">
            <v>KOKAR</v>
          </cell>
          <cell r="D128" t="str">
            <v>MPG</v>
          </cell>
          <cell r="E128" t="str">
            <v>Direct</v>
          </cell>
        </row>
        <row r="129">
          <cell r="B129">
            <v>20090025</v>
          </cell>
          <cell r="C129" t="str">
            <v>KULLU</v>
          </cell>
          <cell r="D129" t="str">
            <v>VLC</v>
          </cell>
          <cell r="E129" t="str">
            <v>Indirect</v>
          </cell>
        </row>
        <row r="130">
          <cell r="B130">
            <v>20090028</v>
          </cell>
          <cell r="C130" t="str">
            <v>FULDIH 2</v>
          </cell>
          <cell r="D130" t="str">
            <v>VLC</v>
          </cell>
          <cell r="E130" t="str">
            <v>Indirect</v>
          </cell>
        </row>
      </sheetData>
      <sheetData sheetId="7"/>
      <sheetData sheetId="8"/>
      <sheetData sheetId="9"/>
      <sheetData sheetId="10"/>
      <sheetData sheetId="1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216.442641203706" createdVersion="8" refreshedVersion="8" minRefreshableVersion="3" recordCount="19" xr:uid="{16C0C7BA-3A11-4C5C-926A-EE96A401F6CF}">
  <cacheSource type="worksheet">
    <worksheetSource name="Table7"/>
  </cacheSource>
  <cacheFields count="19">
    <cacheField name="Timestamp" numFmtId="164">
      <sharedItems containsSemiMixedTypes="0" containsNonDate="0" containsDate="1" containsString="0" minDate="2026-07-11T15:43:04" maxDate="2026-07-11T16:36:30"/>
    </cacheField>
    <cacheField name="User Name" numFmtId="0">
      <sharedItems/>
    </cacheField>
    <cacheField name="Order Date" numFmtId="165">
      <sharedItems containsSemiMixedTypes="0" containsNonDate="0" containsDate="1" containsString="0" minDate="2026-07-11T00:00:00" maxDate="2026-07-12T00:00:00"/>
    </cacheField>
    <cacheField name="Deduction Cycle" numFmtId="0">
      <sharedItems/>
    </cacheField>
    <cacheField name="Item Name" numFmtId="0">
      <sharedItems/>
    </cacheField>
    <cacheField name="ID" numFmtId="49">
      <sharedItems/>
    </cacheField>
    <cacheField name="MPG Code" numFmtId="0">
      <sharedItems containsSemiMixedTypes="0" containsString="0" containsNumber="1" containsInteger="1" minValue="20010003" maxValue="20090025" count="15">
        <n v="20060003"/>
        <n v="20010003"/>
        <n v="20040001"/>
        <n v="20090008"/>
        <n v="20090004"/>
        <n v="20090015"/>
        <n v="20090025"/>
        <n v="20010054"/>
        <n v="20090020"/>
        <n v="20090014"/>
        <n v="20090023"/>
        <n v="20020003"/>
        <n v="20050003"/>
        <n v="20020001"/>
        <n v="20020011"/>
      </sharedItems>
    </cacheField>
    <cacheField name="MPG Name" numFmtId="0">
      <sharedItems/>
    </cacheField>
    <cacheField name="Farmer code" numFmtId="0">
      <sharedItems count="11">
        <s v="0002"/>
        <s v="0003"/>
        <s v="0005"/>
        <s v="0021"/>
        <s v="0012"/>
        <s v="0015"/>
        <s v="0022"/>
        <s v="0110"/>
        <s v="0047"/>
        <s v="0051"/>
        <s v="0063"/>
      </sharedItems>
    </cacheField>
    <cacheField name="BMC Name" numFmtId="0">
      <sharedItems/>
    </cacheField>
    <cacheField name="CSP" numFmtId="0">
      <sharedItems/>
    </cacheField>
    <cacheField name="Qty" numFmtId="0">
      <sharedItems containsSemiMixedTypes="0" containsString="0" containsNumber="1" containsInteger="1" minValue="0" maxValue="25"/>
    </cacheField>
    <cacheField name="Rate" numFmtId="0">
      <sharedItems containsSemiMixedTypes="0" containsString="0" containsNumber="1" containsInteger="1" minValue="1270" maxValue="1270"/>
    </cacheField>
    <cacheField name="Total Amount" numFmtId="0">
      <sharedItems containsSemiMixedTypes="0" containsString="0" containsNumber="1" containsInteger="1" minValue="0" maxValue="31750"/>
    </cacheField>
    <cacheField name="Other Due Amt" numFmtId="0">
      <sharedItems containsSemiMixedTypes="0" containsString="0" containsNumber="1" containsInteger="1" minValue="0" maxValue="635"/>
    </cacheField>
    <cacheField name="Total Amount (Proposed)" numFmtId="0">
      <sharedItems containsSemiMixedTypes="0" containsString="0" containsNumber="1" containsInteger="1" minValue="250" maxValue="31750"/>
    </cacheField>
    <cacheField name="Final Qty" numFmtId="0">
      <sharedItems containsSemiMixedTypes="0" containsString="0" containsNumber="1" containsInteger="1" minValue="0" maxValue="25"/>
    </cacheField>
    <cacheField name="Final Amount" numFmtId="0">
      <sharedItems containsSemiMixedTypes="0" containsString="0" containsNumber="1" containsInteger="1" minValue="250" maxValue="31750"/>
    </cacheField>
    <cacheField name="Milk Amonnt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d v="2026-07-11T15:43:04"/>
    <s v="Satendra kumar"/>
    <d v="2026-07-11T00:00:00"/>
    <s v="03-07-2026 to 09-07-2026"/>
    <s v="Gomukh Gold 50KG"/>
    <s v="200600030002"/>
    <x v="0"/>
    <s v="DUMARDAGA"/>
    <x v="0"/>
    <s v="ORMANJHI"/>
    <s v="Daya Society"/>
    <n v="25"/>
    <n v="1270"/>
    <n v="31750"/>
    <n v="0"/>
    <n v="31750"/>
    <n v="25"/>
    <n v="31750"/>
    <m/>
  </r>
  <r>
    <d v="2026-07-11T15:43:39"/>
    <s v="Satendra kumar"/>
    <d v="2026-07-11T00:00:00"/>
    <s v="03-07-2026 to 09-07-2026"/>
    <s v="Gomukh Gold 50KG"/>
    <s v="200100030003"/>
    <x v="1"/>
    <s v="Bero"/>
    <x v="1"/>
    <s v="Itki"/>
    <s v="Daya Society"/>
    <n v="13"/>
    <n v="1270"/>
    <n v="16510"/>
    <n v="0"/>
    <n v="16510"/>
    <n v="13"/>
    <n v="16510"/>
    <m/>
  </r>
  <r>
    <d v="2026-07-11T16:06:54"/>
    <s v="Amar sahu"/>
    <d v="2026-07-11T00:00:00"/>
    <s v="03-07-2026 to 09-07-2026"/>
    <s v="Gomukh Gold 50KG"/>
    <s v="200400010003"/>
    <x v="2"/>
    <s v="CHOREYA"/>
    <x v="1"/>
    <s v="CHOREYA"/>
    <s v="Daya Society"/>
    <n v="3"/>
    <n v="1270"/>
    <n v="3810"/>
    <n v="0"/>
    <n v="3810"/>
    <n v="3"/>
    <n v="3810"/>
    <m/>
  </r>
  <r>
    <d v="2026-07-11T16:07:29"/>
    <s v="Amar sahu"/>
    <d v="2026-07-11T00:00:00"/>
    <s v="03-07-2026 to 09-07-2026"/>
    <s v="Gomukh Gold 50KG"/>
    <s v="200900080005"/>
    <x v="3"/>
    <s v="GANESHPUR"/>
    <x v="2"/>
    <s v="Chanho"/>
    <s v="Daya Society"/>
    <n v="0"/>
    <n v="1270"/>
    <n v="0"/>
    <n v="635"/>
    <n v="635"/>
    <n v="0"/>
    <n v="635"/>
    <m/>
  </r>
  <r>
    <d v="2026-07-11T16:07:48"/>
    <s v="Amar sahu"/>
    <d v="2026-07-11T00:00:00"/>
    <s v="03-07-2026 to 09-07-2026"/>
    <s v="Gomukh Gold 50KG"/>
    <s v="200900040021"/>
    <x v="4"/>
    <s v="DUMRI"/>
    <x v="3"/>
    <s v="Chanho"/>
    <s v="Daya Society"/>
    <n v="1"/>
    <n v="1270"/>
    <n v="1270"/>
    <n v="0"/>
    <n v="1270"/>
    <n v="1"/>
    <n v="1270"/>
    <m/>
  </r>
  <r>
    <d v="2026-07-11T16:08:54"/>
    <s v="Amar sahu"/>
    <d v="2026-07-11T00:00:00"/>
    <s v="03-07-2026 to 09-07-2026"/>
    <s v="Gomukh Gold 50KG"/>
    <s v="200900150002"/>
    <x v="5"/>
    <s v="PAKARIYO"/>
    <x v="0"/>
    <s v="Chanho"/>
    <s v="Daya Society"/>
    <n v="1"/>
    <n v="1270"/>
    <n v="1270"/>
    <n v="467"/>
    <n v="1737"/>
    <n v="1"/>
    <n v="1737"/>
    <m/>
  </r>
  <r>
    <d v="2026-07-11T16:09:19"/>
    <s v="Amar sahu"/>
    <d v="2026-07-11T00:00:00"/>
    <s v="03-07-2026 to 09-07-2026"/>
    <s v="Gomukh Gold 50KG"/>
    <s v="200900250002"/>
    <x v="6"/>
    <s v="KULLU"/>
    <x v="0"/>
    <s v="Chanho"/>
    <s v="Daya Society"/>
    <n v="2"/>
    <n v="1270"/>
    <n v="2540"/>
    <n v="0"/>
    <n v="2540"/>
    <n v="2"/>
    <n v="2540"/>
    <m/>
  </r>
  <r>
    <d v="2026-07-11T16:10:40"/>
    <s v="Amar sahu"/>
    <d v="2026-07-11T00:00:00"/>
    <s v="03-07-2026 to 09-07-2026"/>
    <s v="Gomukh Gold 50KG"/>
    <s v="200100540012"/>
    <x v="7"/>
    <s v="NARKOPI"/>
    <x v="4"/>
    <s v="Chanho"/>
    <s v="Daya Society"/>
    <n v="1"/>
    <n v="1270"/>
    <n v="1270"/>
    <n v="0"/>
    <n v="1270"/>
    <n v="1"/>
    <n v="1270"/>
    <m/>
  </r>
  <r>
    <d v="2026-07-11T16:11:14"/>
    <s v="Amar sahu"/>
    <d v="2026-07-11T00:00:00"/>
    <s v="03-07-2026 to 09-07-2026"/>
    <s v="Gomukh Gold 50KG"/>
    <s v="200900200002"/>
    <x v="8"/>
    <s v="PAKARIYO 2"/>
    <x v="0"/>
    <s v="Chanho"/>
    <s v="Daya Society"/>
    <n v="2"/>
    <n v="1270"/>
    <n v="2540"/>
    <n v="0"/>
    <n v="2540"/>
    <n v="2"/>
    <n v="2540"/>
    <m/>
  </r>
  <r>
    <d v="2026-07-11T16:11:32"/>
    <s v="Amar sahu"/>
    <d v="2026-07-11T00:00:00"/>
    <s v="03-07-2026 to 09-07-2026"/>
    <s v="Gomukh Gold 50KG"/>
    <s v="200900200005"/>
    <x v="8"/>
    <s v="PAKARIYO 2"/>
    <x v="2"/>
    <s v="Chanho"/>
    <s v="Daya Society"/>
    <n v="1"/>
    <n v="1270"/>
    <n v="1270"/>
    <n v="0"/>
    <n v="1270"/>
    <n v="1"/>
    <n v="1270"/>
    <m/>
  </r>
  <r>
    <d v="2026-07-11T16:11:57"/>
    <s v="Amar sahu"/>
    <d v="2026-07-11T00:00:00"/>
    <s v="03-07-2026 to 09-07-2026"/>
    <s v="Gomukh Gold 50KG"/>
    <s v="200900140015"/>
    <x v="9"/>
    <s v="HUTAR"/>
    <x v="5"/>
    <s v="Chanho"/>
    <s v="Daya Society"/>
    <n v="10"/>
    <n v="1270"/>
    <n v="12700"/>
    <n v="0"/>
    <n v="12700"/>
    <n v="10"/>
    <n v="12700"/>
    <m/>
  </r>
  <r>
    <d v="2026-07-11T16:12:26"/>
    <s v="Amar sahu"/>
    <d v="2026-07-11T00:00:00"/>
    <s v="03-07-2026 to 09-07-2026"/>
    <s v="Gomukh Gold 50KG"/>
    <s v="200900230002"/>
    <x v="10"/>
    <s v="KOKAR"/>
    <x v="0"/>
    <s v="Chanho"/>
    <s v="Daya Society"/>
    <n v="0"/>
    <n v="1270"/>
    <n v="0"/>
    <n v="635"/>
    <n v="635"/>
    <n v="0"/>
    <n v="635"/>
    <m/>
  </r>
  <r>
    <d v="2026-07-11T16:19:36"/>
    <s v="Amar sahu"/>
    <d v="2026-07-11T00:00:00"/>
    <s v="03-07-2026 to 09-07-2026"/>
    <s v="Gomukh Gold 50KG"/>
    <s v="200100540012"/>
    <x v="7"/>
    <s v="NARKOPI"/>
    <x v="4"/>
    <s v="Chanho"/>
    <s v="Daya Society"/>
    <n v="1"/>
    <n v="1270"/>
    <n v="1270"/>
    <n v="0"/>
    <n v="1270"/>
    <n v="1"/>
    <n v="1270"/>
    <m/>
  </r>
  <r>
    <d v="2026-07-11T16:24:14"/>
    <s v="Vikash"/>
    <d v="2026-07-11T00:00:00"/>
    <s v="03-07-2026 to 09-07-2026"/>
    <s v="Gomukh Gold 50KG"/>
    <s v="200200030002"/>
    <x v="11"/>
    <s v="Bijuliya"/>
    <x v="0"/>
    <s v="Paali"/>
    <s v="Daya Society"/>
    <n v="10"/>
    <n v="1270"/>
    <n v="12700"/>
    <n v="0"/>
    <n v="12700"/>
    <n v="10"/>
    <n v="12700"/>
    <m/>
  </r>
  <r>
    <d v="2026-07-11T16:25:31"/>
    <s v="Vikash"/>
    <d v="2026-07-11T00:00:00"/>
    <s v="03-07-2026 to 09-07-2026"/>
    <s v="Gomukh Gold 50KG"/>
    <s v="200500030022"/>
    <x v="12"/>
    <s v="UCHARI"/>
    <x v="6"/>
    <s v="Paali"/>
    <s v="Daya Society"/>
    <n v="2"/>
    <n v="1270"/>
    <n v="2540"/>
    <n v="0"/>
    <n v="2540"/>
    <n v="2"/>
    <n v="2540"/>
    <m/>
  </r>
  <r>
    <d v="2026-07-11T16:26:34"/>
    <s v="Vikash"/>
    <d v="2026-07-11T00:00:00"/>
    <s v="03-07-2026 to 09-07-2026"/>
    <s v="Gomukh Gold 50KG"/>
    <s v="200200010110"/>
    <x v="13"/>
    <s v="Paali"/>
    <x v="7"/>
    <s v="Paali"/>
    <s v="Daya Society"/>
    <n v="0"/>
    <n v="1270"/>
    <n v="0"/>
    <n v="250"/>
    <n v="250"/>
    <n v="0"/>
    <n v="250"/>
    <m/>
  </r>
  <r>
    <d v="2026-07-11T16:34:52"/>
    <s v="Vikash"/>
    <d v="2026-07-11T00:00:00"/>
    <s v="03-07-2026 to 09-07-2026"/>
    <s v="Gomukh Gold 50KG"/>
    <s v="200200110047"/>
    <x v="14"/>
    <s v="DHONTHA TOLI"/>
    <x v="8"/>
    <s v="Paali"/>
    <s v="Daya Society"/>
    <n v="1"/>
    <n v="1270"/>
    <n v="1270"/>
    <n v="0"/>
    <n v="1270"/>
    <n v="1"/>
    <n v="1270"/>
    <m/>
  </r>
  <r>
    <d v="2026-07-11T16:35:54"/>
    <s v="Vikash"/>
    <d v="2026-07-11T00:00:00"/>
    <s v="03-07-2026 to 09-07-2026"/>
    <s v="Gomukh Gold 50KG"/>
    <s v="200200110051"/>
    <x v="14"/>
    <s v="DHONTHA TOLI"/>
    <x v="9"/>
    <s v="Paali"/>
    <s v="Daya Society"/>
    <n v="1"/>
    <n v="1270"/>
    <n v="1270"/>
    <n v="0"/>
    <n v="1270"/>
    <n v="1"/>
    <n v="1270"/>
    <m/>
  </r>
  <r>
    <d v="2026-07-11T16:36:30"/>
    <s v="Vikash"/>
    <d v="2026-07-11T00:00:00"/>
    <s v="03-07-2026 to 09-07-2026"/>
    <s v="Gomukh Gold 50KG"/>
    <s v="200200110063"/>
    <x v="14"/>
    <s v="DHONTHA TOLI"/>
    <x v="10"/>
    <s v="Paali"/>
    <s v="Daya Society"/>
    <n v="1"/>
    <n v="1270"/>
    <n v="1270"/>
    <n v="0"/>
    <n v="1270"/>
    <n v="1"/>
    <n v="1270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EC85D0-D6AE-4692-88E3-8CF96DDAD6CF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C23" firstHeaderRow="2" firstDataRow="2" firstDataCol="2"/>
  <pivotFields count="19">
    <pivotField compact="0" numFmtId="164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65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5">
        <item x="1"/>
        <item x="7"/>
        <item x="13"/>
        <item x="11"/>
        <item x="14"/>
        <item x="2"/>
        <item x="12"/>
        <item x="0"/>
        <item x="4"/>
        <item x="3"/>
        <item x="9"/>
        <item x="5"/>
        <item x="8"/>
        <item x="10"/>
        <item x="6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>
      <items count="12">
        <item x="0"/>
        <item x="1"/>
        <item x="2"/>
        <item x="4"/>
        <item x="5"/>
        <item x="3"/>
        <item x="6"/>
        <item x="8"/>
        <item x="9"/>
        <item x="10"/>
        <item x="7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6"/>
    <field x="8"/>
  </rowFields>
  <rowItems count="19">
    <i>
      <x/>
      <x v="1"/>
    </i>
    <i>
      <x v="1"/>
      <x v="3"/>
    </i>
    <i>
      <x v="2"/>
      <x v="10"/>
    </i>
    <i>
      <x v="3"/>
      <x/>
    </i>
    <i>
      <x v="4"/>
      <x v="7"/>
    </i>
    <i r="1">
      <x v="8"/>
    </i>
    <i r="1">
      <x v="9"/>
    </i>
    <i>
      <x v="5"/>
      <x v="1"/>
    </i>
    <i>
      <x v="6"/>
      <x v="6"/>
    </i>
    <i>
      <x v="7"/>
      <x/>
    </i>
    <i>
      <x v="8"/>
      <x v="5"/>
    </i>
    <i>
      <x v="9"/>
      <x v="2"/>
    </i>
    <i>
      <x v="10"/>
      <x v="4"/>
    </i>
    <i>
      <x v="11"/>
      <x/>
    </i>
    <i>
      <x v="12"/>
      <x/>
    </i>
    <i r="1">
      <x v="2"/>
    </i>
    <i>
      <x v="13"/>
      <x/>
    </i>
    <i>
      <x v="14"/>
      <x/>
    </i>
    <i t="grand">
      <x/>
    </i>
  </rowItems>
  <colItems count="1">
    <i/>
  </colItems>
  <dataFields count="1">
    <dataField name="Sum of Final Amount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2B8A78-A1BA-4D07-AA3D-5C28349CD45E}" name="Table7" displayName="Table7" ref="A1:S21" totalsRowCount="1" headerRowDxfId="43" totalsRowDxfId="40" headerRowBorderDxfId="42" tableBorderDxfId="41">
  <tableColumns count="19">
    <tableColumn id="1" xr3:uid="{2F1DF6DD-A3C8-47F1-B6F0-9F9BD8047131}" name="Timestamp" dataDxfId="39" totalsRowDxfId="38"/>
    <tableColumn id="2" xr3:uid="{4205B2CD-A0C5-4EE1-BC38-B1374E488579}" name="User Name" dataDxfId="37" totalsRowDxfId="36"/>
    <tableColumn id="3" xr3:uid="{7E097BC5-1930-4EAA-A924-9F82EE74A5B4}" name="Order Date" dataDxfId="35" totalsRowDxfId="34"/>
    <tableColumn id="4" xr3:uid="{756DEDD0-2A94-432B-8D47-D31F4799747F}" name="Deduction Cycle" dataDxfId="33" totalsRowDxfId="32"/>
    <tableColumn id="5" xr3:uid="{D03C0109-98C8-4E41-95B9-657743FE5027}" name="Item Name" dataDxfId="31" totalsRowDxfId="30"/>
    <tableColumn id="6" xr3:uid="{308E8A6C-FFCD-4276-A649-B1729528A60F}" name="ID" dataDxfId="29" totalsRowDxfId="28"/>
    <tableColumn id="7" xr3:uid="{FFA5E753-657D-40FA-B062-0553B2F792C5}" name="MPG Code" dataDxfId="27" totalsRowDxfId="26"/>
    <tableColumn id="8" xr3:uid="{68EC9388-16FC-411D-8211-F81BCC7865A7}" name="MPG Name" dataDxfId="25" totalsRowDxfId="24"/>
    <tableColumn id="9" xr3:uid="{DE63D4EB-C6B4-44D2-8756-11523E89E55E}" name="Farmer code" dataDxfId="23" totalsRowDxfId="22"/>
    <tableColumn id="10" xr3:uid="{5F1A6344-EE16-43B6-BD2D-1D25D35DBF6C}" name="BMC Name" dataDxfId="21" totalsRowDxfId="20"/>
    <tableColumn id="11" xr3:uid="{E63DF9CE-09BB-48AA-AACF-81EF3A3D81A3}" name="CSP" dataDxfId="19" totalsRowDxfId="18"/>
    <tableColumn id="12" xr3:uid="{1B7D99B9-61D4-4A33-89D2-D72E48B7A6D3}" name="Qty" dataDxfId="17" totalsRowDxfId="16"/>
    <tableColumn id="13" xr3:uid="{9CF34805-8025-4ED0-A37F-95EECC430694}" name="Rate" dataDxfId="15" totalsRowDxfId="14"/>
    <tableColumn id="14" xr3:uid="{CD7D239C-FB39-4110-95B0-1898F684C356}" name="Total Amount" dataDxfId="13" totalsRowDxfId="12"/>
    <tableColumn id="15" xr3:uid="{FFB853E4-B80D-4081-B824-F86F7B25DD48}" name="Other Due Amt" dataDxfId="11" totalsRowDxfId="10"/>
    <tableColumn id="16" xr3:uid="{15534A3A-D416-405D-95E4-DFA78BB3AAAC}" name="Total Amount (Proposed)" dataDxfId="9" totalsRowDxfId="8"/>
    <tableColumn id="17" xr3:uid="{2E00A115-48D3-44CF-BFE5-C3E518619821}" name="Final Qty" dataDxfId="7" totalsRowDxfId="6"/>
    <tableColumn id="18" xr3:uid="{63D8F7C4-D68E-46E0-9946-06590CEABAF0}" name="Final Amount" totalsRowFunction="sum" dataDxfId="5" totalsRowDxfId="4"/>
    <tableColumn id="19" xr3:uid="{7E4AAA41-B77E-4C06-99EE-E17495A753D1}" name="Milk Amonnt" dataDxfId="3" totalsRowDxfId="2"/>
  </tableColumns>
  <tableStyleInfo name="Indent-style" showFirstColumn="1" showLastColumn="1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E7D2D-8622-4D48-A8B2-BB239040E47F}">
  <dimension ref="A3:K31"/>
  <sheetViews>
    <sheetView tabSelected="1" topLeftCell="A9" workbookViewId="0">
      <selection activeCell="P29" sqref="P29"/>
    </sheetView>
  </sheetViews>
  <sheetFormatPr defaultRowHeight="15" x14ac:dyDescent="0.25"/>
  <cols>
    <col min="1" max="1" width="12.7109375" bestFit="1" customWidth="1"/>
    <col min="2" max="2" width="14.28515625" bestFit="1" customWidth="1"/>
    <col min="3" max="3" width="6" bestFit="1" customWidth="1"/>
    <col min="6" max="6" width="13.140625" bestFit="1" customWidth="1"/>
  </cols>
  <sheetData>
    <row r="3" spans="1:11" x14ac:dyDescent="0.25">
      <c r="A3" s="23" t="s">
        <v>73</v>
      </c>
    </row>
    <row r="4" spans="1:11" x14ac:dyDescent="0.25">
      <c r="A4" s="23" t="s">
        <v>6</v>
      </c>
      <c r="B4" s="23" t="s">
        <v>8</v>
      </c>
      <c r="C4" t="s">
        <v>74</v>
      </c>
      <c r="F4" s="24" t="s">
        <v>5</v>
      </c>
      <c r="G4" s="24" t="s">
        <v>6</v>
      </c>
      <c r="H4" s="24" t="s">
        <v>8</v>
      </c>
      <c r="I4" s="24" t="s">
        <v>74</v>
      </c>
      <c r="J4" s="24" t="s">
        <v>75</v>
      </c>
      <c r="K4" s="24" t="s">
        <v>76</v>
      </c>
    </row>
    <row r="5" spans="1:11" x14ac:dyDescent="0.25">
      <c r="A5">
        <v>20010003</v>
      </c>
      <c r="B5" t="s">
        <v>33</v>
      </c>
      <c r="C5">
        <v>16510</v>
      </c>
      <c r="F5" t="str">
        <f>CONCATENATE(G5,H5)</f>
        <v>200100030003</v>
      </c>
      <c r="G5" s="26">
        <v>20010003</v>
      </c>
      <c r="H5" t="s">
        <v>33</v>
      </c>
      <c r="I5">
        <v>16510</v>
      </c>
      <c r="J5" t="str">
        <f>VLOOKUP(G5,'[1]MPG Payment'!$B$3:$E$130,4,0)</f>
        <v>Direct</v>
      </c>
      <c r="K5">
        <v>16510</v>
      </c>
    </row>
    <row r="6" spans="1:11" x14ac:dyDescent="0.25">
      <c r="A6">
        <v>20010054</v>
      </c>
      <c r="B6" t="s">
        <v>32</v>
      </c>
      <c r="C6">
        <v>2540</v>
      </c>
      <c r="F6" t="str">
        <f t="shared" ref="F6:F22" si="0">CONCATENATE(G6,H6)</f>
        <v>200100540012</v>
      </c>
      <c r="G6" s="26">
        <v>20010054</v>
      </c>
      <c r="H6" t="s">
        <v>32</v>
      </c>
      <c r="I6">
        <v>2540</v>
      </c>
      <c r="J6" t="str">
        <f>VLOOKUP(G6,'[1]MPG Payment'!$B$3:$E$130,4,0)</f>
        <v>Direct</v>
      </c>
      <c r="K6">
        <v>2540</v>
      </c>
    </row>
    <row r="7" spans="1:11" x14ac:dyDescent="0.25">
      <c r="A7">
        <v>20020001</v>
      </c>
      <c r="B7" t="s">
        <v>67</v>
      </c>
      <c r="C7">
        <v>250</v>
      </c>
      <c r="F7" t="str">
        <f t="shared" si="0"/>
        <v>200200010110</v>
      </c>
      <c r="G7" s="26">
        <v>20020001</v>
      </c>
      <c r="H7" t="s">
        <v>67</v>
      </c>
      <c r="I7">
        <v>250</v>
      </c>
      <c r="J7" t="str">
        <f>VLOOKUP(G7,'[1]MPG Payment'!$B$3:$E$130,4,0)</f>
        <v>Direct</v>
      </c>
      <c r="K7">
        <v>250</v>
      </c>
    </row>
    <row r="8" spans="1:11" x14ac:dyDescent="0.25">
      <c r="A8">
        <v>20020003</v>
      </c>
      <c r="B8" t="s">
        <v>23</v>
      </c>
      <c r="C8">
        <v>12700</v>
      </c>
      <c r="F8" t="str">
        <f t="shared" si="0"/>
        <v>200200030002</v>
      </c>
      <c r="G8" s="26">
        <v>20020003</v>
      </c>
      <c r="H8" t="s">
        <v>23</v>
      </c>
      <c r="I8">
        <v>12700</v>
      </c>
      <c r="J8" t="str">
        <f>VLOOKUP(G8,'[1]MPG Payment'!$B$3:$E$130,4,0)</f>
        <v>Direct</v>
      </c>
      <c r="K8">
        <v>12700</v>
      </c>
    </row>
    <row r="9" spans="1:11" x14ac:dyDescent="0.25">
      <c r="A9">
        <v>20020011</v>
      </c>
      <c r="B9" t="s">
        <v>63</v>
      </c>
      <c r="C9">
        <v>1270</v>
      </c>
      <c r="F9" t="str">
        <f t="shared" si="0"/>
        <v>200200110047</v>
      </c>
      <c r="G9" s="27">
        <v>20020011</v>
      </c>
      <c r="H9" t="s">
        <v>63</v>
      </c>
      <c r="I9">
        <v>1270</v>
      </c>
      <c r="J9" t="str">
        <f>VLOOKUP(G9,'[1]MPG Payment'!$B$3:$E$130,4,0)</f>
        <v>Direct</v>
      </c>
      <c r="K9">
        <v>1270</v>
      </c>
    </row>
    <row r="10" spans="1:11" x14ac:dyDescent="0.25">
      <c r="A10">
        <v>20020011</v>
      </c>
      <c r="B10" t="s">
        <v>44</v>
      </c>
      <c r="C10">
        <v>1270</v>
      </c>
      <c r="F10" t="str">
        <f t="shared" si="0"/>
        <v>200200110051</v>
      </c>
      <c r="G10" s="27">
        <v>20020011</v>
      </c>
      <c r="H10" t="s">
        <v>44</v>
      </c>
      <c r="I10">
        <v>1270</v>
      </c>
      <c r="J10" t="str">
        <f>VLOOKUP(G10,'[1]MPG Payment'!$B$3:$E$130,4,0)</f>
        <v>Direct</v>
      </c>
      <c r="K10">
        <v>1270</v>
      </c>
    </row>
    <row r="11" spans="1:11" x14ac:dyDescent="0.25">
      <c r="A11">
        <v>20020011</v>
      </c>
      <c r="B11" t="s">
        <v>71</v>
      </c>
      <c r="C11">
        <v>1270</v>
      </c>
      <c r="F11" t="str">
        <f t="shared" si="0"/>
        <v>200200110063</v>
      </c>
      <c r="G11" s="26">
        <v>20020011</v>
      </c>
      <c r="H11" t="s">
        <v>71</v>
      </c>
      <c r="I11">
        <v>1270</v>
      </c>
      <c r="J11" t="str">
        <f>VLOOKUP(G11,'[1]MPG Payment'!$B$3:$E$130,4,0)</f>
        <v>Direct</v>
      </c>
      <c r="K11">
        <v>1270</v>
      </c>
    </row>
    <row r="12" spans="1:11" x14ac:dyDescent="0.25">
      <c r="A12">
        <v>20040001</v>
      </c>
      <c r="B12" t="s">
        <v>33</v>
      </c>
      <c r="C12">
        <v>3810</v>
      </c>
      <c r="F12" t="str">
        <f t="shared" si="0"/>
        <v>200400010003</v>
      </c>
      <c r="G12" s="26">
        <v>20040001</v>
      </c>
      <c r="H12" t="s">
        <v>33</v>
      </c>
      <c r="I12">
        <v>3810</v>
      </c>
      <c r="J12" t="str">
        <f>VLOOKUP(G12,'[1]MPG Payment'!$B$3:$E$130,4,0)</f>
        <v>Direct</v>
      </c>
      <c r="K12">
        <v>3810</v>
      </c>
    </row>
    <row r="13" spans="1:11" x14ac:dyDescent="0.25">
      <c r="A13">
        <v>20050003</v>
      </c>
      <c r="B13" t="s">
        <v>29</v>
      </c>
      <c r="C13">
        <v>2540</v>
      </c>
      <c r="F13" t="str">
        <f t="shared" si="0"/>
        <v>200500030022</v>
      </c>
      <c r="G13" s="26">
        <v>20050003</v>
      </c>
      <c r="H13" t="s">
        <v>29</v>
      </c>
      <c r="I13">
        <v>2540</v>
      </c>
      <c r="J13" t="str">
        <f>VLOOKUP(G13,'[1]MPG Payment'!$B$3:$E$130,4,0)</f>
        <v>Direct</v>
      </c>
      <c r="K13">
        <v>0</v>
      </c>
    </row>
    <row r="14" spans="1:11" x14ac:dyDescent="0.25">
      <c r="A14">
        <v>20060003</v>
      </c>
      <c r="B14" t="s">
        <v>23</v>
      </c>
      <c r="C14">
        <v>31750</v>
      </c>
      <c r="F14" t="str">
        <f t="shared" si="0"/>
        <v>200600030002</v>
      </c>
      <c r="G14" s="26">
        <v>20060003</v>
      </c>
      <c r="H14" t="s">
        <v>23</v>
      </c>
      <c r="I14">
        <v>31750</v>
      </c>
      <c r="J14" t="str">
        <f>VLOOKUP(G14,'[1]MPG Payment'!$B$3:$E$130,4,0)</f>
        <v>Direct</v>
      </c>
      <c r="K14">
        <v>31750</v>
      </c>
    </row>
    <row r="15" spans="1:11" x14ac:dyDescent="0.25">
      <c r="A15">
        <v>20090004</v>
      </c>
      <c r="B15" t="s">
        <v>55</v>
      </c>
      <c r="C15">
        <v>1270</v>
      </c>
      <c r="F15" t="str">
        <f t="shared" si="0"/>
        <v>200900040021</v>
      </c>
      <c r="G15" s="26">
        <v>20090004</v>
      </c>
      <c r="H15" t="s">
        <v>55</v>
      </c>
      <c r="I15">
        <v>1270</v>
      </c>
      <c r="J15" t="str">
        <f>VLOOKUP(G15,'[1]MPG Payment'!$B$3:$E$130,4,0)</f>
        <v>Direct</v>
      </c>
      <c r="K15">
        <v>1270</v>
      </c>
    </row>
    <row r="16" spans="1:11" x14ac:dyDescent="0.25">
      <c r="A16">
        <v>20090008</v>
      </c>
      <c r="B16" t="s">
        <v>43</v>
      </c>
      <c r="C16">
        <v>635</v>
      </c>
      <c r="F16" t="str">
        <f t="shared" si="0"/>
        <v>200900080005</v>
      </c>
      <c r="G16" s="26">
        <v>20090008</v>
      </c>
      <c r="H16" t="s">
        <v>43</v>
      </c>
      <c r="I16">
        <v>635</v>
      </c>
      <c r="J16" t="str">
        <f>VLOOKUP(G16,'[1]MPG Payment'!$B$3:$E$130,4,0)</f>
        <v>Direct</v>
      </c>
      <c r="K16">
        <v>635</v>
      </c>
    </row>
    <row r="17" spans="1:11" x14ac:dyDescent="0.25">
      <c r="A17">
        <v>20090014</v>
      </c>
      <c r="B17" t="s">
        <v>58</v>
      </c>
      <c r="C17">
        <v>12700</v>
      </c>
      <c r="F17" t="str">
        <f t="shared" si="0"/>
        <v>200900140015</v>
      </c>
      <c r="G17" s="26">
        <v>20090014</v>
      </c>
      <c r="H17" t="s">
        <v>58</v>
      </c>
      <c r="I17">
        <v>12700</v>
      </c>
      <c r="J17" t="str">
        <f>VLOOKUP(G17,'[1]MPG Payment'!$B$3:$E$130,4,0)</f>
        <v>Direct</v>
      </c>
      <c r="K17">
        <v>12700</v>
      </c>
    </row>
    <row r="18" spans="1:11" x14ac:dyDescent="0.25">
      <c r="A18">
        <v>20090015</v>
      </c>
      <c r="B18" t="s">
        <v>23</v>
      </c>
      <c r="C18">
        <v>1737</v>
      </c>
      <c r="F18" t="str">
        <f t="shared" si="0"/>
        <v>200900150002</v>
      </c>
      <c r="G18" s="26">
        <v>20090015</v>
      </c>
      <c r="H18" t="s">
        <v>23</v>
      </c>
      <c r="I18">
        <v>1737</v>
      </c>
      <c r="J18" t="str">
        <f>VLOOKUP(G18,'[1]MPG Payment'!$B$3:$E$130,4,0)</f>
        <v>Direct</v>
      </c>
      <c r="K18">
        <v>895</v>
      </c>
    </row>
    <row r="19" spans="1:11" x14ac:dyDescent="0.25">
      <c r="A19">
        <v>20090020</v>
      </c>
      <c r="B19" t="s">
        <v>23</v>
      </c>
      <c r="C19">
        <v>2540</v>
      </c>
      <c r="F19" t="str">
        <f t="shared" si="0"/>
        <v>200900200002</v>
      </c>
      <c r="G19" s="27">
        <v>20090020</v>
      </c>
      <c r="H19" t="s">
        <v>23</v>
      </c>
      <c r="I19">
        <v>2540</v>
      </c>
      <c r="J19" t="str">
        <f>VLOOKUP(G19,'[1]MPG Payment'!$B$3:$E$130,4,0)</f>
        <v>Direct</v>
      </c>
      <c r="K19">
        <v>2540</v>
      </c>
    </row>
    <row r="20" spans="1:11" x14ac:dyDescent="0.25">
      <c r="A20">
        <v>20090020</v>
      </c>
      <c r="B20" t="s">
        <v>43</v>
      </c>
      <c r="C20">
        <v>1270</v>
      </c>
      <c r="F20" t="str">
        <f t="shared" si="0"/>
        <v>200900200005</v>
      </c>
      <c r="G20" s="26">
        <v>20090020</v>
      </c>
      <c r="H20" t="s">
        <v>43</v>
      </c>
      <c r="I20">
        <v>1270</v>
      </c>
      <c r="J20" t="str">
        <f>VLOOKUP(G20,'[1]MPG Payment'!$B$3:$E$130,4,0)</f>
        <v>Direct</v>
      </c>
      <c r="K20">
        <v>1270</v>
      </c>
    </row>
    <row r="21" spans="1:11" x14ac:dyDescent="0.25">
      <c r="A21">
        <v>20090023</v>
      </c>
      <c r="B21" t="s">
        <v>23</v>
      </c>
      <c r="C21">
        <v>635</v>
      </c>
      <c r="F21" t="str">
        <f t="shared" si="0"/>
        <v>200900230002</v>
      </c>
      <c r="G21" s="26">
        <v>20090023</v>
      </c>
      <c r="H21" t="s">
        <v>23</v>
      </c>
      <c r="I21">
        <v>635</v>
      </c>
      <c r="J21" t="str">
        <f>VLOOKUP(G21,'[1]MPG Payment'!$B$3:$E$130,4,0)</f>
        <v>Direct</v>
      </c>
      <c r="K21">
        <v>635</v>
      </c>
    </row>
    <row r="22" spans="1:11" x14ac:dyDescent="0.25">
      <c r="A22">
        <v>20090025</v>
      </c>
      <c r="B22" t="s">
        <v>23</v>
      </c>
      <c r="C22">
        <v>2540</v>
      </c>
      <c r="F22" t="str">
        <f t="shared" si="0"/>
        <v>200900250002</v>
      </c>
      <c r="G22" s="26">
        <v>20090025</v>
      </c>
      <c r="H22" t="s">
        <v>23</v>
      </c>
      <c r="I22">
        <v>2540</v>
      </c>
      <c r="J22" t="str">
        <f>VLOOKUP(G22,'[1]MPG Payment'!$B$3:$E$130,4,0)</f>
        <v>Indirect</v>
      </c>
      <c r="K22">
        <v>2540</v>
      </c>
    </row>
    <row r="23" spans="1:11" x14ac:dyDescent="0.25">
      <c r="A23" t="s">
        <v>72</v>
      </c>
      <c r="C23">
        <v>97237</v>
      </c>
      <c r="F23" s="25" t="s">
        <v>72</v>
      </c>
      <c r="G23" s="25"/>
      <c r="H23" s="25"/>
      <c r="I23" s="25">
        <v>97237</v>
      </c>
      <c r="J23" s="25"/>
      <c r="K23" s="25">
        <f>SUM(K5:K22)</f>
        <v>93855</v>
      </c>
    </row>
    <row r="25" spans="1:11" x14ac:dyDescent="0.25">
      <c r="G25" s="29">
        <v>20020025</v>
      </c>
      <c r="H25" s="30"/>
      <c r="I25" s="30"/>
      <c r="J25" s="30"/>
      <c r="K25" s="30">
        <v>4370</v>
      </c>
    </row>
    <row r="26" spans="1:11" x14ac:dyDescent="0.25">
      <c r="G26" s="29">
        <v>20030001</v>
      </c>
      <c r="H26" s="30"/>
      <c r="I26" s="30"/>
      <c r="J26" s="30"/>
      <c r="K26" s="30">
        <v>2540</v>
      </c>
    </row>
    <row r="27" spans="1:11" x14ac:dyDescent="0.25">
      <c r="G27" s="29">
        <v>20080047</v>
      </c>
      <c r="H27" s="30"/>
      <c r="I27" s="30"/>
      <c r="J27" s="30"/>
      <c r="K27" s="30">
        <v>9295</v>
      </c>
    </row>
    <row r="28" spans="1:11" x14ac:dyDescent="0.25">
      <c r="K28">
        <f>SUM(K25:K27)</f>
        <v>16205</v>
      </c>
    </row>
    <row r="31" spans="1:11" x14ac:dyDescent="0.25">
      <c r="K31">
        <f>K23+K28</f>
        <v>110060</v>
      </c>
    </row>
  </sheetData>
  <conditionalFormatting sqref="G25:G27">
    <cfRule type="duplicateValues" dxfId="1" priority="2"/>
  </conditionalFormatting>
  <conditionalFormatting sqref="G27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D4D1A5-07C0-4149-8056-57F1DFD0CF16}">
  <dimension ref="A1:S21"/>
  <sheetViews>
    <sheetView workbookViewId="0">
      <selection activeCell="Q26" sqref="Q26"/>
    </sheetView>
  </sheetViews>
  <sheetFormatPr defaultRowHeight="15" x14ac:dyDescent="0.25"/>
  <cols>
    <col min="1" max="1" width="18.140625" bestFit="1" customWidth="1"/>
    <col min="2" max="2" width="14.42578125" bestFit="1" customWidth="1"/>
    <col min="3" max="3" width="11" bestFit="1" customWidth="1"/>
    <col min="4" max="4" width="24" bestFit="1" customWidth="1"/>
    <col min="5" max="5" width="22.7109375" bestFit="1" customWidth="1"/>
    <col min="6" max="6" width="14.42578125" bestFit="1" customWidth="1"/>
    <col min="7" max="7" width="10.140625" bestFit="1" customWidth="1"/>
    <col min="8" max="8" width="15.42578125" bestFit="1" customWidth="1"/>
    <col min="10" max="10" width="15.42578125" bestFit="1" customWidth="1"/>
    <col min="11" max="11" width="11.7109375" bestFit="1" customWidth="1"/>
  </cols>
  <sheetData>
    <row r="1" spans="1:19" s="20" customFormat="1" x14ac:dyDescent="0.25">
      <c r="A1" s="17" t="s">
        <v>0</v>
      </c>
      <c r="B1" s="18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8" t="s">
        <v>7</v>
      </c>
      <c r="I1" s="18" t="s">
        <v>8</v>
      </c>
      <c r="J1" s="18" t="s">
        <v>9</v>
      </c>
      <c r="K1" s="18" t="s">
        <v>10</v>
      </c>
      <c r="L1" s="18" t="s">
        <v>11</v>
      </c>
      <c r="M1" s="18" t="s">
        <v>12</v>
      </c>
      <c r="N1" s="18" t="s">
        <v>13</v>
      </c>
      <c r="O1" s="18" t="s">
        <v>14</v>
      </c>
      <c r="P1" s="18" t="s">
        <v>15</v>
      </c>
      <c r="Q1" s="18" t="s">
        <v>16</v>
      </c>
      <c r="R1" s="18" t="s">
        <v>17</v>
      </c>
      <c r="S1" s="19" t="s">
        <v>18</v>
      </c>
    </row>
    <row r="2" spans="1:19" x14ac:dyDescent="0.25">
      <c r="A2" s="1">
        <v>46214.654908275465</v>
      </c>
      <c r="B2" s="2" t="s">
        <v>19</v>
      </c>
      <c r="C2" s="3">
        <v>46214</v>
      </c>
      <c r="D2" s="8" t="s">
        <v>64</v>
      </c>
      <c r="E2" s="2" t="s">
        <v>20</v>
      </c>
      <c r="F2" s="4" t="s">
        <v>21</v>
      </c>
      <c r="G2" s="5">
        <v>20060003</v>
      </c>
      <c r="H2" s="2" t="s">
        <v>22</v>
      </c>
      <c r="I2" s="6" t="s">
        <v>23</v>
      </c>
      <c r="J2" s="2" t="s">
        <v>24</v>
      </c>
      <c r="K2" s="2" t="s">
        <v>25</v>
      </c>
      <c r="L2" s="5">
        <v>25</v>
      </c>
      <c r="M2" s="5">
        <v>1270</v>
      </c>
      <c r="N2" s="5">
        <v>31750</v>
      </c>
      <c r="O2" s="5">
        <v>0</v>
      </c>
      <c r="P2" s="5">
        <v>31750</v>
      </c>
      <c r="Q2" s="5">
        <v>25</v>
      </c>
      <c r="R2" s="5">
        <v>31750</v>
      </c>
      <c r="S2" s="7"/>
    </row>
    <row r="3" spans="1:19" x14ac:dyDescent="0.25">
      <c r="A3" s="1">
        <v>46214.655314050928</v>
      </c>
      <c r="B3" s="2" t="s">
        <v>19</v>
      </c>
      <c r="C3" s="3">
        <v>46214</v>
      </c>
      <c r="D3" s="8" t="s">
        <v>64</v>
      </c>
      <c r="E3" s="2" t="s">
        <v>20</v>
      </c>
      <c r="F3" s="4" t="s">
        <v>36</v>
      </c>
      <c r="G3" s="5">
        <v>20010003</v>
      </c>
      <c r="H3" s="2" t="s">
        <v>37</v>
      </c>
      <c r="I3" s="6" t="s">
        <v>33</v>
      </c>
      <c r="J3" s="2" t="s">
        <v>38</v>
      </c>
      <c r="K3" s="2" t="s">
        <v>25</v>
      </c>
      <c r="L3" s="5">
        <v>13</v>
      </c>
      <c r="M3" s="5">
        <v>1270</v>
      </c>
      <c r="N3" s="5">
        <v>16510</v>
      </c>
      <c r="O3" s="5">
        <v>0</v>
      </c>
      <c r="P3" s="5">
        <v>16510</v>
      </c>
      <c r="Q3" s="5">
        <v>13</v>
      </c>
      <c r="R3" s="5">
        <v>16510</v>
      </c>
      <c r="S3" s="7"/>
    </row>
    <row r="4" spans="1:19" x14ac:dyDescent="0.25">
      <c r="A4" s="1">
        <v>46214.671454733798</v>
      </c>
      <c r="B4" s="2" t="s">
        <v>45</v>
      </c>
      <c r="C4" s="3">
        <v>46214</v>
      </c>
      <c r="D4" s="8" t="s">
        <v>64</v>
      </c>
      <c r="E4" s="2" t="s">
        <v>20</v>
      </c>
      <c r="F4" s="4" t="s">
        <v>62</v>
      </c>
      <c r="G4" s="5">
        <v>20040001</v>
      </c>
      <c r="H4" s="2" t="s">
        <v>54</v>
      </c>
      <c r="I4" s="6" t="s">
        <v>33</v>
      </c>
      <c r="J4" s="2" t="s">
        <v>54</v>
      </c>
      <c r="K4" s="2" t="s">
        <v>25</v>
      </c>
      <c r="L4" s="5">
        <v>3</v>
      </c>
      <c r="M4" s="5">
        <v>1270</v>
      </c>
      <c r="N4" s="5">
        <v>3810</v>
      </c>
      <c r="O4" s="5">
        <v>0</v>
      </c>
      <c r="P4" s="5">
        <v>3810</v>
      </c>
      <c r="Q4" s="5">
        <v>3</v>
      </c>
      <c r="R4" s="5">
        <v>3810</v>
      </c>
      <c r="S4" s="7"/>
    </row>
    <row r="5" spans="1:19" x14ac:dyDescent="0.25">
      <c r="A5" s="1">
        <v>46214.67185864583</v>
      </c>
      <c r="B5" s="2" t="s">
        <v>45</v>
      </c>
      <c r="C5" s="3">
        <v>46214</v>
      </c>
      <c r="D5" s="8" t="s">
        <v>64</v>
      </c>
      <c r="E5" s="2" t="s">
        <v>20</v>
      </c>
      <c r="F5" s="4" t="s">
        <v>46</v>
      </c>
      <c r="G5" s="5">
        <v>20090008</v>
      </c>
      <c r="H5" s="2" t="s">
        <v>47</v>
      </c>
      <c r="I5" s="6" t="s">
        <v>43</v>
      </c>
      <c r="J5" s="2" t="s">
        <v>26</v>
      </c>
      <c r="K5" s="2" t="s">
        <v>25</v>
      </c>
      <c r="L5" s="5">
        <v>0</v>
      </c>
      <c r="M5" s="5">
        <v>1270</v>
      </c>
      <c r="N5" s="5">
        <v>0</v>
      </c>
      <c r="O5" s="5">
        <v>635</v>
      </c>
      <c r="P5" s="5">
        <v>635</v>
      </c>
      <c r="Q5" s="5">
        <v>0</v>
      </c>
      <c r="R5" s="5">
        <v>635</v>
      </c>
      <c r="S5" s="7"/>
    </row>
    <row r="6" spans="1:19" x14ac:dyDescent="0.25">
      <c r="A6" s="1">
        <v>46214.672085462968</v>
      </c>
      <c r="B6" s="2" t="s">
        <v>45</v>
      </c>
      <c r="C6" s="3">
        <v>46214</v>
      </c>
      <c r="D6" s="8" t="s">
        <v>64</v>
      </c>
      <c r="E6" s="2" t="s">
        <v>20</v>
      </c>
      <c r="F6" s="4" t="s">
        <v>59</v>
      </c>
      <c r="G6" s="5">
        <v>20090004</v>
      </c>
      <c r="H6" s="2" t="s">
        <v>56</v>
      </c>
      <c r="I6" s="6" t="s">
        <v>55</v>
      </c>
      <c r="J6" s="2" t="s">
        <v>26</v>
      </c>
      <c r="K6" s="2" t="s">
        <v>25</v>
      </c>
      <c r="L6" s="5">
        <v>1</v>
      </c>
      <c r="M6" s="5">
        <v>1270</v>
      </c>
      <c r="N6" s="5">
        <v>1270</v>
      </c>
      <c r="O6" s="5">
        <v>0</v>
      </c>
      <c r="P6" s="5">
        <v>1270</v>
      </c>
      <c r="Q6" s="5">
        <v>1</v>
      </c>
      <c r="R6" s="5">
        <v>1270</v>
      </c>
      <c r="S6" s="7"/>
    </row>
    <row r="7" spans="1:19" x14ac:dyDescent="0.25">
      <c r="A7" s="1">
        <v>46214.672847094902</v>
      </c>
      <c r="B7" s="2" t="s">
        <v>45</v>
      </c>
      <c r="C7" s="3">
        <v>46214</v>
      </c>
      <c r="D7" s="8" t="s">
        <v>64</v>
      </c>
      <c r="E7" s="2" t="s">
        <v>20</v>
      </c>
      <c r="F7" s="4" t="s">
        <v>27</v>
      </c>
      <c r="G7" s="5">
        <v>20090015</v>
      </c>
      <c r="H7" s="2" t="s">
        <v>28</v>
      </c>
      <c r="I7" s="6" t="s">
        <v>23</v>
      </c>
      <c r="J7" s="2" t="s">
        <v>26</v>
      </c>
      <c r="K7" s="2" t="s">
        <v>25</v>
      </c>
      <c r="L7" s="5">
        <v>1</v>
      </c>
      <c r="M7" s="5">
        <v>1270</v>
      </c>
      <c r="N7" s="5">
        <v>1270</v>
      </c>
      <c r="O7" s="5">
        <v>467</v>
      </c>
      <c r="P7" s="5">
        <v>1737</v>
      </c>
      <c r="Q7" s="5">
        <v>1</v>
      </c>
      <c r="R7" s="5">
        <v>1737</v>
      </c>
      <c r="S7" s="7"/>
    </row>
    <row r="8" spans="1:19" x14ac:dyDescent="0.25">
      <c r="A8" s="1">
        <v>46214.673131307871</v>
      </c>
      <c r="B8" s="2" t="s">
        <v>45</v>
      </c>
      <c r="C8" s="3">
        <v>46214</v>
      </c>
      <c r="D8" s="8" t="s">
        <v>64</v>
      </c>
      <c r="E8" s="2" t="s">
        <v>20</v>
      </c>
      <c r="F8" s="4" t="s">
        <v>34</v>
      </c>
      <c r="G8" s="5">
        <v>20090025</v>
      </c>
      <c r="H8" s="2" t="s">
        <v>35</v>
      </c>
      <c r="I8" s="6" t="s">
        <v>23</v>
      </c>
      <c r="J8" s="2" t="s">
        <v>26</v>
      </c>
      <c r="K8" s="2" t="s">
        <v>25</v>
      </c>
      <c r="L8" s="5">
        <v>2</v>
      </c>
      <c r="M8" s="5">
        <v>1270</v>
      </c>
      <c r="N8" s="5">
        <v>2540</v>
      </c>
      <c r="O8" s="5">
        <v>0</v>
      </c>
      <c r="P8" s="5">
        <v>2540</v>
      </c>
      <c r="Q8" s="5">
        <v>2</v>
      </c>
      <c r="R8" s="5">
        <v>2540</v>
      </c>
      <c r="S8" s="7"/>
    </row>
    <row r="9" spans="1:19" x14ac:dyDescent="0.25">
      <c r="A9" s="1">
        <v>46214.674078460652</v>
      </c>
      <c r="B9" s="2" t="s">
        <v>45</v>
      </c>
      <c r="C9" s="3">
        <v>46214</v>
      </c>
      <c r="D9" s="8" t="s">
        <v>64</v>
      </c>
      <c r="E9" s="2" t="s">
        <v>20</v>
      </c>
      <c r="F9" s="4" t="s">
        <v>30</v>
      </c>
      <c r="G9" s="5">
        <v>20010054</v>
      </c>
      <c r="H9" s="2" t="s">
        <v>31</v>
      </c>
      <c r="I9" s="6" t="s">
        <v>32</v>
      </c>
      <c r="J9" s="2" t="s">
        <v>26</v>
      </c>
      <c r="K9" s="2" t="s">
        <v>25</v>
      </c>
      <c r="L9" s="5">
        <v>1</v>
      </c>
      <c r="M9" s="5">
        <v>1270</v>
      </c>
      <c r="N9" s="5">
        <v>1270</v>
      </c>
      <c r="O9" s="5">
        <v>0</v>
      </c>
      <c r="P9" s="5">
        <v>1270</v>
      </c>
      <c r="Q9" s="5">
        <v>1</v>
      </c>
      <c r="R9" s="5">
        <v>1270</v>
      </c>
      <c r="S9" s="7"/>
    </row>
    <row r="10" spans="1:19" x14ac:dyDescent="0.25">
      <c r="A10" s="1">
        <v>46214.674464687501</v>
      </c>
      <c r="B10" s="2" t="s">
        <v>45</v>
      </c>
      <c r="C10" s="3">
        <v>46214</v>
      </c>
      <c r="D10" s="8" t="s">
        <v>64</v>
      </c>
      <c r="E10" s="2" t="s">
        <v>20</v>
      </c>
      <c r="F10" s="4" t="s">
        <v>49</v>
      </c>
      <c r="G10" s="5">
        <v>20090020</v>
      </c>
      <c r="H10" s="2" t="s">
        <v>50</v>
      </c>
      <c r="I10" s="6" t="s">
        <v>23</v>
      </c>
      <c r="J10" s="2" t="s">
        <v>26</v>
      </c>
      <c r="K10" s="2" t="s">
        <v>25</v>
      </c>
      <c r="L10" s="5">
        <v>2</v>
      </c>
      <c r="M10" s="5">
        <v>1270</v>
      </c>
      <c r="N10" s="5">
        <v>2540</v>
      </c>
      <c r="O10" s="5">
        <v>0</v>
      </c>
      <c r="P10" s="5">
        <v>2540</v>
      </c>
      <c r="Q10" s="5">
        <v>2</v>
      </c>
      <c r="R10" s="5">
        <v>2540</v>
      </c>
      <c r="S10" s="7"/>
    </row>
    <row r="11" spans="1:19" x14ac:dyDescent="0.25">
      <c r="A11" s="1">
        <v>46214.674680798613</v>
      </c>
      <c r="B11" s="2" t="s">
        <v>45</v>
      </c>
      <c r="C11" s="3">
        <v>46214</v>
      </c>
      <c r="D11" s="8" t="s">
        <v>64</v>
      </c>
      <c r="E11" s="2" t="s">
        <v>20</v>
      </c>
      <c r="F11" s="4" t="s">
        <v>51</v>
      </c>
      <c r="G11" s="5">
        <v>20090020</v>
      </c>
      <c r="H11" s="2" t="s">
        <v>50</v>
      </c>
      <c r="I11" s="6" t="s">
        <v>43</v>
      </c>
      <c r="J11" s="2" t="s">
        <v>26</v>
      </c>
      <c r="K11" s="2" t="s">
        <v>25</v>
      </c>
      <c r="L11" s="5">
        <v>1</v>
      </c>
      <c r="M11" s="5">
        <v>1270</v>
      </c>
      <c r="N11" s="5">
        <v>1270</v>
      </c>
      <c r="O11" s="5">
        <v>0</v>
      </c>
      <c r="P11" s="5">
        <v>1270</v>
      </c>
      <c r="Q11" s="5">
        <v>1</v>
      </c>
      <c r="R11" s="5">
        <v>1270</v>
      </c>
      <c r="S11" s="7"/>
    </row>
    <row r="12" spans="1:19" x14ac:dyDescent="0.25">
      <c r="A12" s="1">
        <v>46214.674961759258</v>
      </c>
      <c r="B12" s="2" t="s">
        <v>45</v>
      </c>
      <c r="C12" s="3">
        <v>46214</v>
      </c>
      <c r="D12" s="8" t="s">
        <v>64</v>
      </c>
      <c r="E12" s="2" t="s">
        <v>20</v>
      </c>
      <c r="F12" s="4" t="s">
        <v>60</v>
      </c>
      <c r="G12" s="5">
        <v>20090014</v>
      </c>
      <c r="H12" s="2" t="s">
        <v>61</v>
      </c>
      <c r="I12" s="6" t="s">
        <v>58</v>
      </c>
      <c r="J12" s="2" t="s">
        <v>26</v>
      </c>
      <c r="K12" s="2" t="s">
        <v>25</v>
      </c>
      <c r="L12" s="5">
        <v>10</v>
      </c>
      <c r="M12" s="5">
        <v>1270</v>
      </c>
      <c r="N12" s="5">
        <v>12700</v>
      </c>
      <c r="O12" s="5">
        <v>0</v>
      </c>
      <c r="P12" s="5">
        <v>12700</v>
      </c>
      <c r="Q12" s="5">
        <v>10</v>
      </c>
      <c r="R12" s="5">
        <v>12700</v>
      </c>
      <c r="S12" s="7"/>
    </row>
    <row r="13" spans="1:19" x14ac:dyDescent="0.25">
      <c r="A13" s="1">
        <v>46214.675295983798</v>
      </c>
      <c r="B13" s="2" t="s">
        <v>45</v>
      </c>
      <c r="C13" s="3">
        <v>46214</v>
      </c>
      <c r="D13" s="8" t="s">
        <v>64</v>
      </c>
      <c r="E13" s="2" t="s">
        <v>20</v>
      </c>
      <c r="F13" s="4" t="s">
        <v>53</v>
      </c>
      <c r="G13" s="5">
        <v>20090023</v>
      </c>
      <c r="H13" s="2" t="s">
        <v>48</v>
      </c>
      <c r="I13" s="6" t="s">
        <v>23</v>
      </c>
      <c r="J13" s="2" t="s">
        <v>26</v>
      </c>
      <c r="K13" s="2" t="s">
        <v>25</v>
      </c>
      <c r="L13" s="5">
        <v>0</v>
      </c>
      <c r="M13" s="5">
        <v>1270</v>
      </c>
      <c r="N13" s="5">
        <v>0</v>
      </c>
      <c r="O13" s="5">
        <v>635</v>
      </c>
      <c r="P13" s="5">
        <v>635</v>
      </c>
      <c r="Q13" s="5">
        <v>0</v>
      </c>
      <c r="R13" s="5">
        <v>635</v>
      </c>
      <c r="S13" s="7"/>
    </row>
    <row r="14" spans="1:19" x14ac:dyDescent="0.25">
      <c r="A14" s="1">
        <v>46214.680282476853</v>
      </c>
      <c r="B14" s="2" t="s">
        <v>45</v>
      </c>
      <c r="C14" s="3">
        <v>46214</v>
      </c>
      <c r="D14" s="8" t="s">
        <v>64</v>
      </c>
      <c r="E14" s="2" t="s">
        <v>20</v>
      </c>
      <c r="F14" s="4" t="s">
        <v>30</v>
      </c>
      <c r="G14" s="5">
        <v>20010054</v>
      </c>
      <c r="H14" s="2" t="s">
        <v>31</v>
      </c>
      <c r="I14" s="6" t="s">
        <v>32</v>
      </c>
      <c r="J14" s="2" t="s">
        <v>26</v>
      </c>
      <c r="K14" s="2" t="s">
        <v>25</v>
      </c>
      <c r="L14" s="5">
        <v>1</v>
      </c>
      <c r="M14" s="5">
        <v>1270</v>
      </c>
      <c r="N14" s="5">
        <v>1270</v>
      </c>
      <c r="O14" s="5">
        <v>0</v>
      </c>
      <c r="P14" s="5">
        <v>1270</v>
      </c>
      <c r="Q14" s="5">
        <v>1</v>
      </c>
      <c r="R14" s="5">
        <v>1270</v>
      </c>
      <c r="S14" s="7"/>
    </row>
    <row r="15" spans="1:19" x14ac:dyDescent="0.25">
      <c r="A15" s="1">
        <v>46214.683493518518</v>
      </c>
      <c r="B15" s="2" t="s">
        <v>39</v>
      </c>
      <c r="C15" s="3">
        <v>46214</v>
      </c>
      <c r="D15" s="8" t="s">
        <v>64</v>
      </c>
      <c r="E15" s="2" t="s">
        <v>20</v>
      </c>
      <c r="F15" s="4" t="s">
        <v>40</v>
      </c>
      <c r="G15" s="5">
        <v>20020003</v>
      </c>
      <c r="H15" s="2" t="s">
        <v>41</v>
      </c>
      <c r="I15" s="6" t="s">
        <v>23</v>
      </c>
      <c r="J15" s="2" t="s">
        <v>42</v>
      </c>
      <c r="K15" s="2" t="s">
        <v>25</v>
      </c>
      <c r="L15" s="5">
        <v>10</v>
      </c>
      <c r="M15" s="5">
        <v>1270</v>
      </c>
      <c r="N15" s="5">
        <v>12700</v>
      </c>
      <c r="O15" s="5">
        <v>0</v>
      </c>
      <c r="P15" s="5">
        <v>12700</v>
      </c>
      <c r="Q15" s="5">
        <v>10</v>
      </c>
      <c r="R15" s="5">
        <v>12700</v>
      </c>
      <c r="S15" s="7"/>
    </row>
    <row r="16" spans="1:19" x14ac:dyDescent="0.25">
      <c r="A16" s="1">
        <v>46214.684390208335</v>
      </c>
      <c r="B16" s="2" t="s">
        <v>39</v>
      </c>
      <c r="C16" s="3">
        <v>46214</v>
      </c>
      <c r="D16" s="8" t="s">
        <v>64</v>
      </c>
      <c r="E16" s="2" t="s">
        <v>20</v>
      </c>
      <c r="F16" s="4" t="s">
        <v>65</v>
      </c>
      <c r="G16" s="5">
        <v>20050003</v>
      </c>
      <c r="H16" s="2" t="s">
        <v>57</v>
      </c>
      <c r="I16" s="6" t="s">
        <v>29</v>
      </c>
      <c r="J16" s="2" t="s">
        <v>42</v>
      </c>
      <c r="K16" s="2" t="s">
        <v>25</v>
      </c>
      <c r="L16" s="5">
        <v>2</v>
      </c>
      <c r="M16" s="5">
        <v>1270</v>
      </c>
      <c r="N16" s="5">
        <v>2540</v>
      </c>
      <c r="O16" s="5">
        <v>0</v>
      </c>
      <c r="P16" s="5">
        <v>2540</v>
      </c>
      <c r="Q16" s="5">
        <v>2</v>
      </c>
      <c r="R16" s="5">
        <v>2540</v>
      </c>
      <c r="S16" s="7"/>
    </row>
    <row r="17" spans="1:19" x14ac:dyDescent="0.25">
      <c r="A17" s="1">
        <v>46214.685112418985</v>
      </c>
      <c r="B17" s="2" t="s">
        <v>39</v>
      </c>
      <c r="C17" s="3">
        <v>46214</v>
      </c>
      <c r="D17" s="8" t="s">
        <v>64</v>
      </c>
      <c r="E17" s="2" t="s">
        <v>20</v>
      </c>
      <c r="F17" s="4" t="s">
        <v>66</v>
      </c>
      <c r="G17" s="5">
        <v>20020001</v>
      </c>
      <c r="H17" s="2" t="s">
        <v>42</v>
      </c>
      <c r="I17" s="6" t="s">
        <v>67</v>
      </c>
      <c r="J17" s="2" t="s">
        <v>42</v>
      </c>
      <c r="K17" s="2" t="s">
        <v>25</v>
      </c>
      <c r="L17" s="5">
        <v>0</v>
      </c>
      <c r="M17" s="5">
        <v>1270</v>
      </c>
      <c r="N17" s="5">
        <v>0</v>
      </c>
      <c r="O17" s="5">
        <v>250</v>
      </c>
      <c r="P17" s="5">
        <v>250</v>
      </c>
      <c r="Q17" s="5">
        <v>0</v>
      </c>
      <c r="R17" s="5">
        <v>250</v>
      </c>
      <c r="S17" s="7"/>
    </row>
    <row r="18" spans="1:19" x14ac:dyDescent="0.25">
      <c r="A18" s="1">
        <v>46214.690877696761</v>
      </c>
      <c r="B18" s="2" t="s">
        <v>39</v>
      </c>
      <c r="C18" s="3">
        <v>46214</v>
      </c>
      <c r="D18" s="8" t="s">
        <v>64</v>
      </c>
      <c r="E18" s="2" t="s">
        <v>20</v>
      </c>
      <c r="F18" s="4" t="s">
        <v>68</v>
      </c>
      <c r="G18" s="5">
        <v>20020011</v>
      </c>
      <c r="H18" s="2" t="s">
        <v>52</v>
      </c>
      <c r="I18" s="6" t="s">
        <v>63</v>
      </c>
      <c r="J18" s="2" t="s">
        <v>42</v>
      </c>
      <c r="K18" s="2" t="s">
        <v>25</v>
      </c>
      <c r="L18" s="5">
        <v>1</v>
      </c>
      <c r="M18" s="5">
        <v>1270</v>
      </c>
      <c r="N18" s="5">
        <v>1270</v>
      </c>
      <c r="O18" s="5">
        <v>0</v>
      </c>
      <c r="P18" s="5">
        <v>1270</v>
      </c>
      <c r="Q18" s="5">
        <v>1</v>
      </c>
      <c r="R18" s="5">
        <v>1270</v>
      </c>
      <c r="S18" s="7"/>
    </row>
    <row r="19" spans="1:19" x14ac:dyDescent="0.25">
      <c r="A19" s="1">
        <v>46214.691592152776</v>
      </c>
      <c r="B19" s="2" t="s">
        <v>39</v>
      </c>
      <c r="C19" s="3">
        <v>46214</v>
      </c>
      <c r="D19" s="8" t="s">
        <v>64</v>
      </c>
      <c r="E19" s="2" t="s">
        <v>20</v>
      </c>
      <c r="F19" s="4" t="s">
        <v>69</v>
      </c>
      <c r="G19" s="5">
        <v>20020011</v>
      </c>
      <c r="H19" s="2" t="s">
        <v>52</v>
      </c>
      <c r="I19" s="6" t="s">
        <v>44</v>
      </c>
      <c r="J19" s="2" t="s">
        <v>42</v>
      </c>
      <c r="K19" s="2" t="s">
        <v>25</v>
      </c>
      <c r="L19" s="5">
        <v>1</v>
      </c>
      <c r="M19" s="5">
        <v>1270</v>
      </c>
      <c r="N19" s="5">
        <v>1270</v>
      </c>
      <c r="O19" s="5">
        <v>0</v>
      </c>
      <c r="P19" s="5">
        <v>1270</v>
      </c>
      <c r="Q19" s="5">
        <v>1</v>
      </c>
      <c r="R19" s="5">
        <v>1270</v>
      </c>
      <c r="S19" s="7"/>
    </row>
    <row r="20" spans="1:19" x14ac:dyDescent="0.25">
      <c r="A20" s="9">
        <v>46214.692017557871</v>
      </c>
      <c r="B20" s="10" t="s">
        <v>39</v>
      </c>
      <c r="C20" s="11">
        <v>46214</v>
      </c>
      <c r="D20" s="12" t="s">
        <v>64</v>
      </c>
      <c r="E20" s="10" t="s">
        <v>20</v>
      </c>
      <c r="F20" s="13" t="s">
        <v>70</v>
      </c>
      <c r="G20" s="14">
        <v>20020011</v>
      </c>
      <c r="H20" s="10" t="s">
        <v>52</v>
      </c>
      <c r="I20" s="15" t="s">
        <v>71</v>
      </c>
      <c r="J20" s="10" t="s">
        <v>42</v>
      </c>
      <c r="K20" s="10" t="s">
        <v>25</v>
      </c>
      <c r="L20" s="14">
        <v>1</v>
      </c>
      <c r="M20" s="14">
        <v>1270</v>
      </c>
      <c r="N20" s="14">
        <v>1270</v>
      </c>
      <c r="O20" s="14">
        <v>0</v>
      </c>
      <c r="P20" s="14">
        <v>1270</v>
      </c>
      <c r="Q20" s="14">
        <v>1</v>
      </c>
      <c r="R20" s="14">
        <v>1270</v>
      </c>
      <c r="S20" s="16"/>
    </row>
    <row r="21" spans="1:19" x14ac:dyDescent="0.25">
      <c r="A21" s="22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>
        <f>SUBTOTAL(109,Table7[Final Amount])</f>
        <v>97237</v>
      </c>
      <c r="S21" s="21"/>
    </row>
  </sheetData>
  <dataValidations count="2">
    <dataValidation type="list" allowBlank="1" sqref="E2:E20" xr:uid="{3686F2D0-BB80-4729-9C0B-003AD8480BDC}">
      <formula1>#REF!</formula1>
    </dataValidation>
    <dataValidation allowBlank="1" showDropDown="1" sqref="F2:F20" xr:uid="{6251977F-9897-4BF9-A1D6-DBD779CA7C0F}"/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Rupam Kumari</dc:creator>
  <cp:lastModifiedBy>RAHUL PANDIT</cp:lastModifiedBy>
  <dcterms:created xsi:type="dcterms:W3CDTF">2026-07-11T12:02:10Z</dcterms:created>
  <dcterms:modified xsi:type="dcterms:W3CDTF">2026-07-18T09:18:55Z</dcterms:modified>
</cp:coreProperties>
</file>