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03-09 Jul'26\Collection Data\"/>
    </mc:Choice>
  </mc:AlternateContent>
  <xr:revisionPtr revIDLastSave="0" documentId="13_ncr:1_{48BE26E6-4473-484E-9691-1EC2A72318D2}" xr6:coauthVersionLast="47" xr6:coauthVersionMax="47" xr10:uidLastSave="{00000000-0000-0000-0000-000000000000}"/>
  <bookViews>
    <workbookView xWindow="-120" yWindow="-120" windowWidth="29040" windowHeight="15720" xr2:uid="{2D0F2B5D-A721-4806-8411-E2A1F28116F5}"/>
  </bookViews>
  <sheets>
    <sheet name="Sheet2" sheetId="2" r:id="rId1"/>
    <sheet name="Sheet1" sheetId="1" r:id="rId2"/>
  </sheets>
  <calcPr calcId="191029"/>
  <pivotCaches>
    <pivotCache cacheId="6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2" i="1" l="1"/>
</calcChain>
</file>

<file path=xl/sharedStrings.xml><?xml version="1.0" encoding="utf-8"?>
<sst xmlns="http://schemas.openxmlformats.org/spreadsheetml/2006/main" count="110" uniqueCount="57">
  <si>
    <t>Timestamp</t>
  </si>
  <si>
    <t>User Name</t>
  </si>
  <si>
    <t>Sales Date</t>
  </si>
  <si>
    <t>Godown</t>
  </si>
  <si>
    <t>Item Name</t>
  </si>
  <si>
    <t>UoM</t>
  </si>
  <si>
    <t>MPG Code</t>
  </si>
  <si>
    <t>MPG Name</t>
  </si>
  <si>
    <t>BMC Name</t>
  </si>
  <si>
    <t>CSP</t>
  </si>
  <si>
    <t>Challan No</t>
  </si>
  <si>
    <t>Qty</t>
  </si>
  <si>
    <t>Rate</t>
  </si>
  <si>
    <t>Total Amount</t>
  </si>
  <si>
    <t>Payment Mode</t>
  </si>
  <si>
    <t>Cycle</t>
  </si>
  <si>
    <t>Payment Date</t>
  </si>
  <si>
    <t>Payment Amount</t>
  </si>
  <si>
    <t>Balance Due</t>
  </si>
  <si>
    <t>Remarks</t>
  </si>
  <si>
    <t>Agening</t>
  </si>
  <si>
    <t>Self</t>
  </si>
  <si>
    <t>Chanho</t>
  </si>
  <si>
    <t>Gomukh Gold 50KG</t>
  </si>
  <si>
    <t>Bag</t>
  </si>
  <si>
    <t>Naudi</t>
  </si>
  <si>
    <t>Daya Society</t>
  </si>
  <si>
    <t>Farmer Payment</t>
  </si>
  <si>
    <t>27 Feb - 05 Mar &amp; 06-12 Mar 13-19 Mar 20-26 Mar, 27-31 Mar</t>
  </si>
  <si>
    <t>Satendra kumar</t>
  </si>
  <si>
    <t>Chuttu</t>
  </si>
  <si>
    <t>ADELHATU</t>
  </si>
  <si>
    <t>ORMANJHI</t>
  </si>
  <si>
    <t>12-18 June &amp; 19-25 June</t>
  </si>
  <si>
    <t>18-Jun-2026/25-6-2026</t>
  </si>
  <si>
    <t>Puja Kumari</t>
  </si>
  <si>
    <t>Pali</t>
  </si>
  <si>
    <t>BOREYA</t>
  </si>
  <si>
    <t>Itki</t>
  </si>
  <si>
    <t>26-02 July</t>
  </si>
  <si>
    <t>Ningani</t>
  </si>
  <si>
    <t>SITHIO</t>
  </si>
  <si>
    <t>CHATTI BHANDRA</t>
  </si>
  <si>
    <t>Prabhat sahu</t>
  </si>
  <si>
    <t>LONGA</t>
  </si>
  <si>
    <t>PAHARKESA</t>
  </si>
  <si>
    <t>PAHARKESHA 2</t>
  </si>
  <si>
    <t>Vikash</t>
  </si>
  <si>
    <t>AGRU</t>
  </si>
  <si>
    <t>Paali</t>
  </si>
  <si>
    <t>19-25 June &amp; 26-02 July</t>
  </si>
  <si>
    <t>25-Jun-2026/02-07-2026</t>
  </si>
  <si>
    <t>Hisri Thakurgaon</t>
  </si>
  <si>
    <t>19-25 June</t>
  </si>
  <si>
    <t>Grand Total</t>
  </si>
  <si>
    <t>Sum of Balance Due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</si>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</sst>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:ss"/>
    <numFmt numFmtId="165" formatCode="d&quot;-&quot;mmm&quot;-&quot;yyyy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sz val="10"/>
      <color rgb="FF535FC1"/>
      <name val="Roboto"/>
    </font>
    <font>
      <sz val="10"/>
      <color rgb="FFFFFFFF"/>
      <name val="Roboto"/>
    </font>
    <font>
      <sz val="10"/>
      <color theme="1"/>
      <name val="Arial"/>
      <family val="2"/>
    </font>
    <font>
      <sz val="10"/>
      <color rgb="FF434343"/>
      <name val="Roboto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535FC1"/>
        <bgColor rgb="FF535FC1"/>
      </patternFill>
    </fill>
    <fill>
      <patternFill patternType="solid">
        <fgColor rgb="FFF6F8F9"/>
        <bgColor rgb="FFF6F8F9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165" fontId="4" fillId="5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vertical="center"/>
    </xf>
    <xf numFmtId="0" fontId="0" fillId="0" borderId="0" xfId="0" pivotButton="1"/>
    <xf numFmtId="0" fontId="6" fillId="6" borderId="2" xfId="0" applyFont="1" applyFill="1" applyBorder="1"/>
    <xf numFmtId="0" fontId="6" fillId="6" borderId="3" xfId="0" applyFont="1" applyFill="1" applyBorder="1"/>
    <xf numFmtId="0" fontId="0" fillId="0" borderId="0" xfId="0" applyNumberFormat="1"/>
    <xf numFmtId="0" fontId="6" fillId="6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16.445813541664" createdVersion="8" refreshedVersion="8" minRefreshableVersion="3" recordCount="10" xr:uid="{667C9C4D-E3C2-4FE5-B980-5DC24C561352}">
  <cacheSource type="worksheet">
    <worksheetSource ref="A1:U11" sheet="Sheet1"/>
  </cacheSource>
  <cacheFields count="21">
    <cacheField name="Timestamp" numFmtId="164">
      <sharedItems containsNonDate="0" containsDate="1" containsString="0" containsBlank="1" minDate="2026-06-18T17:04:42" maxDate="2026-06-26T14:04:22"/>
    </cacheField>
    <cacheField name="User Name" numFmtId="0">
      <sharedItems/>
    </cacheField>
    <cacheField name="Sales Date" numFmtId="165">
      <sharedItems containsSemiMixedTypes="0" containsNonDate="0" containsDate="1" containsString="0" minDate="2026-03-06T00:00:00" maxDate="2026-06-26T00:00:00"/>
    </cacheField>
    <cacheField name="Godown" numFmtId="0">
      <sharedItems/>
    </cacheField>
    <cacheField name="Item Name" numFmtId="0">
      <sharedItems/>
    </cacheField>
    <cacheField name="UoM" numFmtId="0">
      <sharedItems/>
    </cacheField>
    <cacheField name="MPG Code" numFmtId="0">
      <sharedItems containsSemiMixedTypes="0" containsString="0" containsNumber="1" containsInteger="1" minValue="20010015" maxValue="20090003" count="9">
        <n v="20090003"/>
        <n v="20060008"/>
        <n v="20010015"/>
        <n v="20080018"/>
        <n v="20080039"/>
        <n v="20080010"/>
        <n v="20080047"/>
        <n v="20020025"/>
        <n v="20030001"/>
      </sharedItems>
    </cacheField>
    <cacheField name="MPG Name" numFmtId="0">
      <sharedItems/>
    </cacheField>
    <cacheField name="BMC Name" numFmtId="0">
      <sharedItems/>
    </cacheField>
    <cacheField name="CSP" numFmtId="0">
      <sharedItems/>
    </cacheField>
    <cacheField name="Challan No" numFmtId="0">
      <sharedItems containsString="0" containsBlank="1" containsNumber="1" containsInteger="1" minValue="0" maxValue="4245"/>
    </cacheField>
    <cacheField name="Qty" numFmtId="0">
      <sharedItems containsSemiMixedTypes="0" containsString="0" containsNumber="1" containsInteger="1" minValue="5" maxValue="30"/>
    </cacheField>
    <cacheField name="Rate" numFmtId="0">
      <sharedItems containsSemiMixedTypes="0" containsString="0" containsNumber="1" containsInteger="1" minValue="1250" maxValue="1270"/>
    </cacheField>
    <cacheField name="Total Amount" numFmtId="0">
      <sharedItems containsSemiMixedTypes="0" containsString="0" containsNumber="1" containsInteger="1" minValue="6350" maxValue="38100"/>
    </cacheField>
    <cacheField name="Payment Mode" numFmtId="0">
      <sharedItems containsBlank="1"/>
    </cacheField>
    <cacheField name="Cycle" numFmtId="0">
      <sharedItems containsBlank="1"/>
    </cacheField>
    <cacheField name="Payment Date" numFmtId="0">
      <sharedItems containsDate="1" containsBlank="1" containsMixedTypes="1" minDate="2026-03-05T00:00:00" maxDate="2026-07-03T00:00:00"/>
    </cacheField>
    <cacheField name="Payment Amount" numFmtId="0">
      <sharedItems containsString="0" containsBlank="1" containsNumber="1" containsInteger="1" minValue="2196" maxValue="18490"/>
    </cacheField>
    <cacheField name="Balance Due" numFmtId="0">
      <sharedItems containsSemiMixedTypes="0" containsString="0" containsNumber="1" containsInteger="1" minValue="2540" maxValue="38100"/>
    </cacheField>
    <cacheField name="Remarks" numFmtId="0">
      <sharedItems containsNonDate="0" containsString="0" containsBlank="1"/>
    </cacheField>
    <cacheField name="Agening" numFmtId="0">
      <sharedItems containsSemiMixedTypes="0" containsString="0" containsNumber="1" containsInteger="1" minValue="17" maxValue="1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m/>
    <s v="Self"/>
    <d v="2026-03-06T00:00:00"/>
    <s v="Chanho"/>
    <s v="Gomukh Gold 50KG"/>
    <s v="Bag"/>
    <x v="0"/>
    <s v="Naudi"/>
    <s v="Chanho"/>
    <s v="Daya Society"/>
    <m/>
    <n v="10"/>
    <n v="1250"/>
    <n v="12500"/>
    <s v="Farmer Payment"/>
    <s v="27 Feb - 05 Mar &amp; 06-12 Mar 13-19 Mar 20-26 Mar, 27-31 Mar"/>
    <d v="2026-03-05T00:00:00"/>
    <n v="9956"/>
    <n v="2544"/>
    <m/>
    <n v="128"/>
  </r>
  <r>
    <d v="2026-06-18T17:04:42"/>
    <s v="Satendra kumar"/>
    <d v="2026-06-13T00:00:00"/>
    <s v="Chuttu"/>
    <s v="Gomukh Gold 50KG"/>
    <s v="Bag"/>
    <x v="1"/>
    <s v="ADELHATU"/>
    <s v="ORMANJHI"/>
    <s v="Daya Society"/>
    <n v="0"/>
    <n v="10"/>
    <n v="1270"/>
    <n v="12700"/>
    <s v="Farmer Payment"/>
    <s v="12-18 June &amp; 19-25 June"/>
    <s v="18-Jun-2026/25-6-2026"/>
    <n v="2196"/>
    <n v="10504"/>
    <m/>
    <n v="29"/>
  </r>
  <r>
    <d v="2026-06-19T10:25:36"/>
    <s v="Puja Kumari"/>
    <d v="2026-06-18T00:00:00"/>
    <s v="Pali"/>
    <s v="Gomukh Gold 50KG"/>
    <s v="Bag"/>
    <x v="2"/>
    <s v="BOREYA"/>
    <s v="Itki"/>
    <s v="Daya Society"/>
    <n v="4245"/>
    <n v="10"/>
    <n v="1270"/>
    <n v="12700"/>
    <s v="Farmer Payment"/>
    <s v="26-02 July"/>
    <d v="2026-07-02T00:00:00"/>
    <n v="6350"/>
    <n v="6350"/>
    <m/>
    <n v="24"/>
  </r>
  <r>
    <d v="2026-06-19T12:49:28"/>
    <s v="Puja Kumari"/>
    <d v="2026-06-15T00:00:00"/>
    <s v="Ningani"/>
    <s v="Gomukh Gold 50KG"/>
    <s v="Bag"/>
    <x v="3"/>
    <s v="SITHIO"/>
    <s v="CHATTI BHANDRA"/>
    <s v="Daya Society"/>
    <n v="0"/>
    <n v="10"/>
    <n v="1270"/>
    <n v="12700"/>
    <m/>
    <m/>
    <m/>
    <m/>
    <n v="12700"/>
    <m/>
    <n v="27"/>
  </r>
  <r>
    <d v="2026-06-25T10:10:06"/>
    <s v="Prabhat sahu"/>
    <d v="2026-06-19T00:00:00"/>
    <s v="Ningani"/>
    <s v="Gomukh Gold 50KG"/>
    <s v="Bag"/>
    <x v="4"/>
    <s v="LONGA"/>
    <s v="CHATTI BHANDRA"/>
    <s v="Daya Society"/>
    <n v="0"/>
    <n v="10"/>
    <n v="1270"/>
    <n v="12700"/>
    <m/>
    <m/>
    <m/>
    <m/>
    <n v="12700"/>
    <m/>
    <n v="23"/>
  </r>
  <r>
    <d v="2026-06-25T10:11:47"/>
    <s v="Prabhat sahu"/>
    <d v="2026-06-19T00:00:00"/>
    <s v="Ningani"/>
    <s v="Gomukh Gold 50KG"/>
    <s v="Bag"/>
    <x v="5"/>
    <s v="PAHARKESA"/>
    <s v="CHATTI BHANDRA"/>
    <s v="Daya Society"/>
    <n v="0"/>
    <n v="30"/>
    <n v="1270"/>
    <n v="38100"/>
    <m/>
    <m/>
    <m/>
    <m/>
    <n v="38100"/>
    <m/>
    <n v="23"/>
  </r>
  <r>
    <d v="2026-06-25T10:12:14"/>
    <s v="Prabhat sahu"/>
    <d v="2026-06-19T00:00:00"/>
    <s v="Ningani"/>
    <s v="Gomukh Gold 50KG"/>
    <s v="Bag"/>
    <x v="6"/>
    <s v="PAHARKESHA 2"/>
    <s v="CHATTI BHANDRA"/>
    <s v="Daya Society"/>
    <n v="0"/>
    <n v="10"/>
    <n v="1270"/>
    <n v="12700"/>
    <m/>
    <m/>
    <m/>
    <m/>
    <n v="12700"/>
    <m/>
    <n v="23"/>
  </r>
  <r>
    <d v="2026-06-25T19:20:12"/>
    <s v="Vikash"/>
    <d v="2026-06-25T00:00:00"/>
    <s v="Pali"/>
    <s v="Gomukh Gold 50KG"/>
    <s v="Bag"/>
    <x v="7"/>
    <s v="AGRU"/>
    <s v="Paali"/>
    <s v="Daya Society"/>
    <n v="0"/>
    <n v="18"/>
    <n v="1270"/>
    <n v="22860"/>
    <s v="Farmer Payment"/>
    <s v="19-25 June &amp; 26-02 July"/>
    <s v="25-Jun-2026/02-07-2026"/>
    <n v="18490"/>
    <n v="4370"/>
    <m/>
    <n v="17"/>
  </r>
  <r>
    <d v="2026-06-25T19:34:58"/>
    <s v="Vikash"/>
    <d v="2026-06-25T00:00:00"/>
    <s v="Pali"/>
    <s v="Gomukh Gold 50KG"/>
    <s v="Bag"/>
    <x v="8"/>
    <s v="Hisri Thakurgaon"/>
    <s v="Hisri Thakurgaon"/>
    <s v="Daya Society"/>
    <n v="0"/>
    <n v="5"/>
    <n v="1270"/>
    <n v="6350"/>
    <s v="Farmer Payment"/>
    <s v="19-25 June"/>
    <d v="2026-06-25T00:00:00"/>
    <n v="3810"/>
    <n v="2540"/>
    <m/>
    <n v="17"/>
  </r>
  <r>
    <d v="2026-06-26T14:04:22"/>
    <s v="Puja Kumari"/>
    <d v="2026-06-25T00:00:00"/>
    <s v="Pali"/>
    <s v="Gomukh Gold 50KG"/>
    <s v="Bag"/>
    <x v="2"/>
    <s v="BOREYA"/>
    <s v="Itki"/>
    <s v="Daya Society"/>
    <n v="0"/>
    <n v="10"/>
    <n v="1270"/>
    <n v="12700"/>
    <m/>
    <m/>
    <m/>
    <m/>
    <n v="12700"/>
    <m/>
    <n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8DD872-35B9-461F-8EB7-2BD2673F6663}" name="PivotTable5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B14" firstHeaderRow="2" firstDataRow="2" firstDataCol="1"/>
  <pivotFields count="21"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2"/>
        <item x="7"/>
        <item x="8"/>
        <item x="1"/>
        <item x="5"/>
        <item x="3"/>
        <item x="4"/>
        <item x="6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Balance Due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4323B-C926-495A-952F-6CB7CB555E56}">
  <dimension ref="A3:G14"/>
  <sheetViews>
    <sheetView tabSelected="1" workbookViewId="0">
      <selection activeCell="V19" sqref="V19"/>
    </sheetView>
  </sheetViews>
  <sheetFormatPr defaultRowHeight="15" x14ac:dyDescent="0.25"/>
  <cols>
    <col min="1" max="1" width="18.7109375" bestFit="1" customWidth="1"/>
    <col min="2" max="2" width="7" bestFit="1" customWidth="1"/>
  </cols>
  <sheetData>
    <row r="3" spans="1:7" x14ac:dyDescent="0.25">
      <c r="A3" s="10" t="s">
        <v>55</v>
      </c>
    </row>
    <row r="4" spans="1:7" x14ac:dyDescent="0.25">
      <c r="A4" s="10" t="s">
        <v>6</v>
      </c>
      <c r="B4" t="s">
        <v>56</v>
      </c>
      <c r="F4" s="11" t="s">
        <v>6</v>
      </c>
      <c r="G4" s="11" t="s">
        <v>56</v>
      </c>
    </row>
    <row r="5" spans="1:7" x14ac:dyDescent="0.25">
      <c r="A5">
        <v>20010015</v>
      </c>
      <c r="B5" s="13">
        <v>19050</v>
      </c>
      <c r="F5">
        <v>20010015</v>
      </c>
      <c r="G5" s="13">
        <v>19050</v>
      </c>
    </row>
    <row r="6" spans="1:7" x14ac:dyDescent="0.25">
      <c r="A6">
        <v>20020025</v>
      </c>
      <c r="B6" s="13">
        <v>4370</v>
      </c>
      <c r="F6">
        <v>20020025</v>
      </c>
      <c r="G6" s="13">
        <v>4370</v>
      </c>
    </row>
    <row r="7" spans="1:7" x14ac:dyDescent="0.25">
      <c r="A7">
        <v>20030001</v>
      </c>
      <c r="B7" s="13">
        <v>2540</v>
      </c>
      <c r="F7">
        <v>20030001</v>
      </c>
      <c r="G7" s="13">
        <v>2540</v>
      </c>
    </row>
    <row r="8" spans="1:7" x14ac:dyDescent="0.25">
      <c r="A8">
        <v>20060008</v>
      </c>
      <c r="B8" s="13">
        <v>10504</v>
      </c>
      <c r="F8">
        <v>20060008</v>
      </c>
      <c r="G8" s="13">
        <v>10504</v>
      </c>
    </row>
    <row r="9" spans="1:7" x14ac:dyDescent="0.25">
      <c r="A9">
        <v>20080010</v>
      </c>
      <c r="B9" s="13">
        <v>38100</v>
      </c>
      <c r="F9">
        <v>20080010</v>
      </c>
      <c r="G9" s="13">
        <v>38100</v>
      </c>
    </row>
    <row r="10" spans="1:7" x14ac:dyDescent="0.25">
      <c r="A10">
        <v>20080018</v>
      </c>
      <c r="B10" s="13">
        <v>12700</v>
      </c>
      <c r="F10">
        <v>20080018</v>
      </c>
      <c r="G10" s="13">
        <v>12700</v>
      </c>
    </row>
    <row r="11" spans="1:7" x14ac:dyDescent="0.25">
      <c r="A11">
        <v>20080039</v>
      </c>
      <c r="B11" s="13">
        <v>12700</v>
      </c>
      <c r="F11">
        <v>20080039</v>
      </c>
      <c r="G11" s="13">
        <v>12700</v>
      </c>
    </row>
    <row r="12" spans="1:7" x14ac:dyDescent="0.25">
      <c r="A12">
        <v>20080047</v>
      </c>
      <c r="B12" s="13">
        <v>12700</v>
      </c>
      <c r="F12">
        <v>20080047</v>
      </c>
      <c r="G12" s="13">
        <v>12700</v>
      </c>
    </row>
    <row r="13" spans="1:7" x14ac:dyDescent="0.25">
      <c r="A13">
        <v>20090003</v>
      </c>
      <c r="B13" s="13">
        <v>2544</v>
      </c>
      <c r="F13">
        <v>20090003</v>
      </c>
      <c r="G13" s="13">
        <v>2544</v>
      </c>
    </row>
    <row r="14" spans="1:7" x14ac:dyDescent="0.25">
      <c r="A14" t="s">
        <v>54</v>
      </c>
      <c r="B14" s="13">
        <v>115208</v>
      </c>
      <c r="F14" s="12" t="s">
        <v>54</v>
      </c>
      <c r="G14" s="14">
        <v>115208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9838E-E47E-4EAA-96CF-394193E22D43}">
  <dimension ref="A1:U12"/>
  <sheetViews>
    <sheetView workbookViewId="0">
      <selection activeCell="S13" sqref="S13"/>
    </sheetView>
  </sheetViews>
  <sheetFormatPr defaultRowHeight="15" x14ac:dyDescent="0.25"/>
  <cols>
    <col min="1" max="1" width="17.28515625" bestFit="1" customWidth="1"/>
    <col min="2" max="2" width="14" bestFit="1" customWidth="1"/>
    <col min="3" max="3" width="11.28515625" bestFit="1" customWidth="1"/>
    <col min="5" max="5" width="17.28515625" bestFit="1" customWidth="1"/>
    <col min="7" max="7" width="10.140625" bestFit="1" customWidth="1"/>
    <col min="8" max="8" width="14.85546875" bestFit="1" customWidth="1"/>
    <col min="9" max="9" width="16.7109375" bestFit="1" customWidth="1"/>
    <col min="10" max="10" width="12" bestFit="1" customWidth="1"/>
    <col min="15" max="16" width="0" hidden="1" customWidth="1"/>
    <col min="17" max="17" width="21.5703125" hidden="1" customWidth="1"/>
    <col min="19" max="19" width="11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s="5"/>
      <c r="B2" s="6" t="s">
        <v>21</v>
      </c>
      <c r="C2" s="7">
        <v>46087</v>
      </c>
      <c r="D2" s="6" t="s">
        <v>22</v>
      </c>
      <c r="E2" s="6" t="s">
        <v>23</v>
      </c>
      <c r="F2" s="6" t="s">
        <v>24</v>
      </c>
      <c r="G2" s="6">
        <v>20090003</v>
      </c>
      <c r="H2" s="6" t="s">
        <v>25</v>
      </c>
      <c r="I2" s="6" t="s">
        <v>22</v>
      </c>
      <c r="J2" s="6" t="s">
        <v>26</v>
      </c>
      <c r="K2" s="6"/>
      <c r="L2" s="6">
        <v>10</v>
      </c>
      <c r="M2" s="8">
        <v>1250</v>
      </c>
      <c r="N2" s="6">
        <v>12500</v>
      </c>
      <c r="O2" s="6" t="s">
        <v>27</v>
      </c>
      <c r="P2" s="6" t="s">
        <v>28</v>
      </c>
      <c r="Q2" s="7">
        <v>46086</v>
      </c>
      <c r="R2" s="6">
        <v>9956</v>
      </c>
      <c r="S2" s="6">
        <v>2544</v>
      </c>
      <c r="T2" s="6"/>
      <c r="U2" s="6">
        <v>128</v>
      </c>
    </row>
    <row r="3" spans="1:21" x14ac:dyDescent="0.25">
      <c r="A3" s="5">
        <v>46191.711595601853</v>
      </c>
      <c r="B3" s="6" t="s">
        <v>29</v>
      </c>
      <c r="C3" s="7">
        <v>46186</v>
      </c>
      <c r="D3" s="6" t="s">
        <v>30</v>
      </c>
      <c r="E3" s="6" t="s">
        <v>23</v>
      </c>
      <c r="F3" s="6" t="s">
        <v>24</v>
      </c>
      <c r="G3" s="6">
        <v>20060008</v>
      </c>
      <c r="H3" s="6" t="s">
        <v>31</v>
      </c>
      <c r="I3" s="6" t="s">
        <v>32</v>
      </c>
      <c r="J3" s="6" t="s">
        <v>26</v>
      </c>
      <c r="K3" s="6">
        <v>0</v>
      </c>
      <c r="L3" s="6">
        <v>10</v>
      </c>
      <c r="M3" s="8">
        <v>1270</v>
      </c>
      <c r="N3" s="6">
        <v>12700</v>
      </c>
      <c r="O3" s="6" t="s">
        <v>27</v>
      </c>
      <c r="P3" s="9" t="s">
        <v>33</v>
      </c>
      <c r="Q3" s="6" t="s">
        <v>34</v>
      </c>
      <c r="R3" s="6">
        <v>2196</v>
      </c>
      <c r="S3" s="6">
        <v>10504</v>
      </c>
      <c r="T3" s="6"/>
      <c r="U3" s="6">
        <v>29</v>
      </c>
    </row>
    <row r="4" spans="1:21" x14ac:dyDescent="0.25">
      <c r="A4" s="5">
        <v>46192.434443344908</v>
      </c>
      <c r="B4" s="6" t="s">
        <v>35</v>
      </c>
      <c r="C4" s="7">
        <v>46191</v>
      </c>
      <c r="D4" s="6" t="s">
        <v>36</v>
      </c>
      <c r="E4" s="6" t="s">
        <v>23</v>
      </c>
      <c r="F4" s="6" t="s">
        <v>24</v>
      </c>
      <c r="G4" s="6">
        <v>20010015</v>
      </c>
      <c r="H4" s="6" t="s">
        <v>37</v>
      </c>
      <c r="I4" s="6" t="s">
        <v>38</v>
      </c>
      <c r="J4" s="6" t="s">
        <v>26</v>
      </c>
      <c r="K4" s="6">
        <v>4245</v>
      </c>
      <c r="L4" s="6">
        <v>10</v>
      </c>
      <c r="M4" s="8">
        <v>1270</v>
      </c>
      <c r="N4" s="6">
        <v>12700</v>
      </c>
      <c r="O4" s="6" t="s">
        <v>27</v>
      </c>
      <c r="P4" s="9" t="s">
        <v>39</v>
      </c>
      <c r="Q4" s="7">
        <v>46205</v>
      </c>
      <c r="R4" s="6">
        <v>6350</v>
      </c>
      <c r="S4" s="6">
        <v>6350</v>
      </c>
      <c r="T4" s="6"/>
      <c r="U4" s="6">
        <v>24</v>
      </c>
    </row>
    <row r="5" spans="1:21" x14ac:dyDescent="0.25">
      <c r="A5" s="5">
        <v>46192.534349733796</v>
      </c>
      <c r="B5" s="6" t="s">
        <v>35</v>
      </c>
      <c r="C5" s="7">
        <v>46188</v>
      </c>
      <c r="D5" s="6" t="s">
        <v>40</v>
      </c>
      <c r="E5" s="6" t="s">
        <v>23</v>
      </c>
      <c r="F5" s="6" t="s">
        <v>24</v>
      </c>
      <c r="G5" s="6">
        <v>20080018</v>
      </c>
      <c r="H5" s="6" t="s">
        <v>41</v>
      </c>
      <c r="I5" s="6" t="s">
        <v>42</v>
      </c>
      <c r="J5" s="6" t="s">
        <v>26</v>
      </c>
      <c r="K5" s="6">
        <v>0</v>
      </c>
      <c r="L5" s="6">
        <v>10</v>
      </c>
      <c r="M5" s="8">
        <v>1270</v>
      </c>
      <c r="N5" s="6">
        <v>12700</v>
      </c>
      <c r="O5" s="6"/>
      <c r="P5" s="9"/>
      <c r="Q5" s="7"/>
      <c r="R5" s="6"/>
      <c r="S5" s="6">
        <v>12700</v>
      </c>
      <c r="T5" s="6"/>
      <c r="U5" s="6">
        <v>27</v>
      </c>
    </row>
    <row r="6" spans="1:21" x14ac:dyDescent="0.25">
      <c r="A6" s="5">
        <v>46198.423678692125</v>
      </c>
      <c r="B6" s="6" t="s">
        <v>43</v>
      </c>
      <c r="C6" s="7">
        <v>46192</v>
      </c>
      <c r="D6" s="6" t="s">
        <v>40</v>
      </c>
      <c r="E6" s="6" t="s">
        <v>23</v>
      </c>
      <c r="F6" s="6" t="s">
        <v>24</v>
      </c>
      <c r="G6" s="6">
        <v>20080039</v>
      </c>
      <c r="H6" s="6" t="s">
        <v>44</v>
      </c>
      <c r="I6" s="6" t="s">
        <v>42</v>
      </c>
      <c r="J6" s="6" t="s">
        <v>26</v>
      </c>
      <c r="K6" s="6">
        <v>0</v>
      </c>
      <c r="L6" s="6">
        <v>10</v>
      </c>
      <c r="M6" s="8">
        <v>1270</v>
      </c>
      <c r="N6" s="6">
        <v>12700</v>
      </c>
      <c r="O6" s="6"/>
      <c r="P6" s="9"/>
      <c r="Q6" s="7"/>
      <c r="R6" s="6"/>
      <c r="S6" s="6">
        <v>12700</v>
      </c>
      <c r="T6" s="6"/>
      <c r="U6" s="6">
        <v>23</v>
      </c>
    </row>
    <row r="7" spans="1:21" x14ac:dyDescent="0.25">
      <c r="A7" s="5">
        <v>46198.424854016208</v>
      </c>
      <c r="B7" s="6" t="s">
        <v>43</v>
      </c>
      <c r="C7" s="7">
        <v>46192</v>
      </c>
      <c r="D7" s="6" t="s">
        <v>40</v>
      </c>
      <c r="E7" s="6" t="s">
        <v>23</v>
      </c>
      <c r="F7" s="6" t="s">
        <v>24</v>
      </c>
      <c r="G7" s="6">
        <v>20080010</v>
      </c>
      <c r="H7" s="6" t="s">
        <v>45</v>
      </c>
      <c r="I7" s="6" t="s">
        <v>42</v>
      </c>
      <c r="J7" s="6" t="s">
        <v>26</v>
      </c>
      <c r="K7" s="6">
        <v>0</v>
      </c>
      <c r="L7" s="6">
        <v>30</v>
      </c>
      <c r="M7" s="8">
        <v>1270</v>
      </c>
      <c r="N7" s="6">
        <v>38100</v>
      </c>
      <c r="O7" s="6"/>
      <c r="P7" s="9"/>
      <c r="Q7" s="7"/>
      <c r="R7" s="6"/>
      <c r="S7" s="6">
        <v>38100</v>
      </c>
      <c r="T7" s="6"/>
      <c r="U7" s="6">
        <v>23</v>
      </c>
    </row>
    <row r="8" spans="1:21" x14ac:dyDescent="0.25">
      <c r="A8" s="5">
        <v>46198.425163402775</v>
      </c>
      <c r="B8" s="6" t="s">
        <v>43</v>
      </c>
      <c r="C8" s="7">
        <v>46192</v>
      </c>
      <c r="D8" s="6" t="s">
        <v>40</v>
      </c>
      <c r="E8" s="6" t="s">
        <v>23</v>
      </c>
      <c r="F8" s="6" t="s">
        <v>24</v>
      </c>
      <c r="G8" s="6">
        <v>20080047</v>
      </c>
      <c r="H8" s="6" t="s">
        <v>46</v>
      </c>
      <c r="I8" s="6" t="s">
        <v>42</v>
      </c>
      <c r="J8" s="6" t="s">
        <v>26</v>
      </c>
      <c r="K8" s="6">
        <v>0</v>
      </c>
      <c r="L8" s="6">
        <v>10</v>
      </c>
      <c r="M8" s="8">
        <v>1270</v>
      </c>
      <c r="N8" s="6">
        <v>12700</v>
      </c>
      <c r="O8" s="6"/>
      <c r="P8" s="9"/>
      <c r="Q8" s="7"/>
      <c r="R8" s="6"/>
      <c r="S8" s="6">
        <v>12700</v>
      </c>
      <c r="T8" s="6"/>
      <c r="U8" s="6">
        <v>23</v>
      </c>
    </row>
    <row r="9" spans="1:21" x14ac:dyDescent="0.25">
      <c r="A9" s="5">
        <v>46198.805699293982</v>
      </c>
      <c r="B9" s="6" t="s">
        <v>47</v>
      </c>
      <c r="C9" s="7">
        <v>46198</v>
      </c>
      <c r="D9" s="6" t="s">
        <v>36</v>
      </c>
      <c r="E9" s="6" t="s">
        <v>23</v>
      </c>
      <c r="F9" s="6" t="s">
        <v>24</v>
      </c>
      <c r="G9" s="6">
        <v>20020025</v>
      </c>
      <c r="H9" s="6" t="s">
        <v>48</v>
      </c>
      <c r="I9" s="6" t="s">
        <v>49</v>
      </c>
      <c r="J9" s="6" t="s">
        <v>26</v>
      </c>
      <c r="K9" s="6">
        <v>0</v>
      </c>
      <c r="L9" s="6">
        <v>18</v>
      </c>
      <c r="M9" s="8">
        <v>1270</v>
      </c>
      <c r="N9" s="6">
        <v>22860</v>
      </c>
      <c r="O9" s="6" t="s">
        <v>27</v>
      </c>
      <c r="P9" s="9" t="s">
        <v>50</v>
      </c>
      <c r="Q9" s="6" t="s">
        <v>51</v>
      </c>
      <c r="R9" s="6">
        <v>18490</v>
      </c>
      <c r="S9" s="6">
        <v>4370</v>
      </c>
      <c r="T9" s="6"/>
      <c r="U9" s="6">
        <v>17</v>
      </c>
    </row>
    <row r="10" spans="1:21" x14ac:dyDescent="0.25">
      <c r="A10" s="5">
        <v>46198.815946030096</v>
      </c>
      <c r="B10" s="6" t="s">
        <v>47</v>
      </c>
      <c r="C10" s="7">
        <v>46198</v>
      </c>
      <c r="D10" s="6" t="s">
        <v>36</v>
      </c>
      <c r="E10" s="6" t="s">
        <v>23</v>
      </c>
      <c r="F10" s="6" t="s">
        <v>24</v>
      </c>
      <c r="G10" s="6">
        <v>20030001</v>
      </c>
      <c r="H10" s="6" t="s">
        <v>52</v>
      </c>
      <c r="I10" s="6" t="s">
        <v>52</v>
      </c>
      <c r="J10" s="6" t="s">
        <v>26</v>
      </c>
      <c r="K10" s="6">
        <v>0</v>
      </c>
      <c r="L10" s="6">
        <v>5</v>
      </c>
      <c r="M10" s="8">
        <v>1270</v>
      </c>
      <c r="N10" s="6">
        <v>6350</v>
      </c>
      <c r="O10" s="6" t="s">
        <v>27</v>
      </c>
      <c r="P10" s="9" t="s">
        <v>53</v>
      </c>
      <c r="Q10" s="7">
        <v>46198</v>
      </c>
      <c r="R10" s="6">
        <v>3810</v>
      </c>
      <c r="S10" s="6">
        <v>2540</v>
      </c>
      <c r="T10" s="6"/>
      <c r="U10" s="6">
        <v>17</v>
      </c>
    </row>
    <row r="11" spans="1:21" x14ac:dyDescent="0.25">
      <c r="A11" s="5">
        <v>46199.586365462965</v>
      </c>
      <c r="B11" s="6" t="s">
        <v>35</v>
      </c>
      <c r="C11" s="7">
        <v>46198</v>
      </c>
      <c r="D11" s="6" t="s">
        <v>36</v>
      </c>
      <c r="E11" s="6" t="s">
        <v>23</v>
      </c>
      <c r="F11" s="6" t="s">
        <v>24</v>
      </c>
      <c r="G11" s="6">
        <v>20010015</v>
      </c>
      <c r="H11" s="6" t="s">
        <v>37</v>
      </c>
      <c r="I11" s="6" t="s">
        <v>38</v>
      </c>
      <c r="J11" s="6" t="s">
        <v>26</v>
      </c>
      <c r="K11" s="6">
        <v>0</v>
      </c>
      <c r="L11" s="6">
        <v>10</v>
      </c>
      <c r="M11" s="8">
        <v>1270</v>
      </c>
      <c r="N11" s="6">
        <v>12700</v>
      </c>
      <c r="O11" s="6"/>
      <c r="P11" s="9"/>
      <c r="Q11" s="7"/>
      <c r="R11" s="6"/>
      <c r="S11" s="6">
        <v>12700</v>
      </c>
      <c r="T11" s="6"/>
      <c r="U11" s="6">
        <v>17</v>
      </c>
    </row>
    <row r="12" spans="1:21" x14ac:dyDescent="0.25">
      <c r="S12">
        <f>SUM(S2:S11)</f>
        <v>115208</v>
      </c>
    </row>
  </sheetData>
  <dataValidations count="2">
    <dataValidation type="list" allowBlank="1" sqref="E2:E11 O2:O11" xr:uid="{C02DE5FC-3FAF-4798-81A2-2615E5493E60}">
      <formula1>#REF!</formula1>
    </dataValidation>
    <dataValidation type="custom" allowBlank="1" showDropDown="1" sqref="C2:C11 Q2:Q11" xr:uid="{8DE29297-1E05-4CA3-B0A2-D4B91F6041FE}">
      <formula1>OR(NOT(ISERROR(DATEVALUE(C2))), AND(ISNUMBER(C2), LEFT(CELL("format", C2))="D"))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2026-07-12T07:52:50Z</dcterms:created>
  <dcterms:modified xsi:type="dcterms:W3CDTF">2026-07-13T05:16:31Z</dcterms:modified>
</cp:coreProperties>
</file>