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JHFRAMERPAYMENT  01-03 Apr'26\Collection Data\Jharkhand Cycle report 01_02nd Apr 2026\"/>
    </mc:Choice>
  </mc:AlternateContent>
  <xr:revisionPtr revIDLastSave="0" documentId="13_ncr:1_{187D0564-DD29-4161-B988-FBC5F569C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Sheet1!$A$1:$AD$1</definedName>
  </definedNames>
  <calcPr calcId="191029"/>
  <pivotCaches>
    <pivotCache cacheId="2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0" i="2" l="1"/>
  <c r="F140" i="2"/>
  <c r="F139" i="2"/>
  <c r="H139" i="2" s="1"/>
  <c r="F138" i="2"/>
  <c r="H138" i="2" s="1"/>
  <c r="F137" i="2"/>
  <c r="H137" i="2" s="1"/>
  <c r="F136" i="2"/>
  <c r="H136" i="2" s="1"/>
  <c r="F135" i="2"/>
  <c r="H135" i="2" s="1"/>
  <c r="H134" i="2"/>
  <c r="F134" i="2"/>
  <c r="F133" i="2"/>
  <c r="H133" i="2" s="1"/>
  <c r="F132" i="2"/>
  <c r="H132" i="2" s="1"/>
  <c r="F131" i="2"/>
  <c r="H131" i="2" s="1"/>
  <c r="F130" i="2"/>
  <c r="H130" i="2" s="1"/>
  <c r="F129" i="2"/>
  <c r="H129" i="2" s="1"/>
  <c r="F128" i="2"/>
  <c r="H128" i="2" s="1"/>
  <c r="F127" i="2"/>
  <c r="H127" i="2" s="1"/>
  <c r="F126" i="2"/>
  <c r="H126" i="2" s="1"/>
  <c r="F125" i="2"/>
  <c r="H125" i="2" s="1"/>
  <c r="F124" i="2"/>
  <c r="H124" i="2" s="1"/>
  <c r="F123" i="2"/>
  <c r="H123" i="2" s="1"/>
  <c r="F122" i="2"/>
  <c r="H122" i="2" s="1"/>
  <c r="F121" i="2"/>
  <c r="H121" i="2" s="1"/>
  <c r="F120" i="2"/>
  <c r="H120" i="2" s="1"/>
  <c r="F119" i="2"/>
  <c r="H119" i="2" s="1"/>
  <c r="F118" i="2"/>
  <c r="H118" i="2" s="1"/>
  <c r="F117" i="2"/>
  <c r="H117" i="2" s="1"/>
  <c r="F116" i="2"/>
  <c r="H116" i="2" s="1"/>
  <c r="F115" i="2"/>
  <c r="H115" i="2" s="1"/>
  <c r="F114" i="2"/>
  <c r="H114" i="2" s="1"/>
  <c r="F113" i="2"/>
  <c r="H113" i="2" s="1"/>
  <c r="F112" i="2"/>
  <c r="H112" i="2" s="1"/>
  <c r="F111" i="2"/>
  <c r="H111" i="2" s="1"/>
  <c r="F110" i="2"/>
  <c r="H110" i="2" s="1"/>
  <c r="F109" i="2"/>
  <c r="H109" i="2" s="1"/>
  <c r="F108" i="2"/>
  <c r="H108" i="2" s="1"/>
  <c r="F107" i="2"/>
  <c r="H107" i="2" s="1"/>
  <c r="F106" i="2"/>
  <c r="H106" i="2" s="1"/>
  <c r="F105" i="2"/>
  <c r="H105" i="2" s="1"/>
  <c r="F104" i="2"/>
  <c r="H104" i="2" s="1"/>
  <c r="F103" i="2"/>
  <c r="H103" i="2" s="1"/>
  <c r="F102" i="2"/>
  <c r="H102" i="2" s="1"/>
  <c r="F101" i="2"/>
  <c r="H101" i="2" s="1"/>
  <c r="F100" i="2"/>
  <c r="H100" i="2" s="1"/>
  <c r="F99" i="2"/>
  <c r="H99" i="2" s="1"/>
  <c r="F98" i="2"/>
  <c r="H98" i="2" s="1"/>
  <c r="F97" i="2"/>
  <c r="H97" i="2" s="1"/>
  <c r="F96" i="2"/>
  <c r="H96" i="2" s="1"/>
  <c r="F95" i="2"/>
  <c r="H95" i="2" s="1"/>
  <c r="F94" i="2"/>
  <c r="H94" i="2" s="1"/>
  <c r="F93" i="2"/>
  <c r="H93" i="2" s="1"/>
  <c r="F92" i="2"/>
  <c r="H92" i="2" s="1"/>
  <c r="F91" i="2"/>
  <c r="H91" i="2" s="1"/>
  <c r="F90" i="2"/>
  <c r="H90" i="2" s="1"/>
  <c r="F89" i="2"/>
  <c r="H89" i="2" s="1"/>
  <c r="F88" i="2"/>
  <c r="H88" i="2" s="1"/>
  <c r="F87" i="2"/>
  <c r="H87" i="2" s="1"/>
  <c r="F86" i="2"/>
  <c r="H86" i="2" s="1"/>
  <c r="F85" i="2"/>
  <c r="H85" i="2" s="1"/>
  <c r="F84" i="2"/>
  <c r="H84" i="2" s="1"/>
  <c r="F83" i="2"/>
  <c r="H83" i="2" s="1"/>
  <c r="F82" i="2"/>
  <c r="H82" i="2" s="1"/>
  <c r="F81" i="2"/>
  <c r="H81" i="2" s="1"/>
  <c r="F80" i="2"/>
  <c r="H80" i="2" s="1"/>
  <c r="F79" i="2"/>
  <c r="H79" i="2" s="1"/>
  <c r="F78" i="2"/>
  <c r="H78" i="2" s="1"/>
  <c r="F77" i="2"/>
  <c r="H77" i="2" s="1"/>
  <c r="F76" i="2"/>
  <c r="H76" i="2" s="1"/>
  <c r="F75" i="2"/>
  <c r="H75" i="2" s="1"/>
  <c r="F74" i="2"/>
  <c r="H74" i="2" s="1"/>
  <c r="F73" i="2"/>
  <c r="H73" i="2" s="1"/>
  <c r="F72" i="2"/>
  <c r="H72" i="2" s="1"/>
  <c r="F71" i="2"/>
  <c r="H71" i="2" s="1"/>
  <c r="F70" i="2"/>
  <c r="H70" i="2" s="1"/>
  <c r="F69" i="2"/>
  <c r="H69" i="2" s="1"/>
  <c r="F68" i="2"/>
  <c r="H68" i="2" s="1"/>
  <c r="F67" i="2"/>
  <c r="H67" i="2" s="1"/>
  <c r="F66" i="2"/>
  <c r="H66" i="2" s="1"/>
  <c r="F65" i="2"/>
  <c r="H65" i="2" s="1"/>
  <c r="F64" i="2"/>
  <c r="H64" i="2" s="1"/>
  <c r="F63" i="2"/>
  <c r="H63" i="2" s="1"/>
  <c r="F62" i="2"/>
  <c r="H62" i="2" s="1"/>
  <c r="F61" i="2"/>
  <c r="H61" i="2" s="1"/>
  <c r="F60" i="2"/>
  <c r="H60" i="2" s="1"/>
  <c r="F59" i="2"/>
  <c r="H59" i="2" s="1"/>
  <c r="F58" i="2"/>
  <c r="H58" i="2" s="1"/>
  <c r="F57" i="2"/>
  <c r="H57" i="2" s="1"/>
  <c r="F56" i="2"/>
  <c r="H56" i="2" s="1"/>
  <c r="F55" i="2"/>
  <c r="H55" i="2" s="1"/>
  <c r="F54" i="2"/>
  <c r="H54" i="2" s="1"/>
  <c r="F53" i="2"/>
  <c r="H53" i="2" s="1"/>
  <c r="F52" i="2"/>
  <c r="H52" i="2" s="1"/>
  <c r="F51" i="2"/>
  <c r="H51" i="2" s="1"/>
  <c r="F50" i="2"/>
  <c r="H50" i="2" s="1"/>
  <c r="F49" i="2"/>
  <c r="H49" i="2" s="1"/>
  <c r="F48" i="2"/>
  <c r="H48" i="2" s="1"/>
  <c r="F47" i="2"/>
  <c r="H47" i="2" s="1"/>
  <c r="F46" i="2"/>
  <c r="H46" i="2" s="1"/>
  <c r="F45" i="2"/>
  <c r="H45" i="2" s="1"/>
  <c r="F44" i="2"/>
  <c r="H44" i="2" s="1"/>
  <c r="F43" i="2"/>
  <c r="H43" i="2" s="1"/>
  <c r="F42" i="2"/>
  <c r="H42" i="2" s="1"/>
  <c r="F41" i="2"/>
  <c r="H41" i="2" s="1"/>
  <c r="F40" i="2"/>
  <c r="H40" i="2" s="1"/>
  <c r="F39" i="2"/>
  <c r="H39" i="2" s="1"/>
  <c r="F38" i="2"/>
  <c r="H38" i="2" s="1"/>
  <c r="F37" i="2"/>
  <c r="H37" i="2" s="1"/>
  <c r="F36" i="2"/>
  <c r="H36" i="2" s="1"/>
  <c r="F35" i="2"/>
  <c r="H35" i="2" s="1"/>
  <c r="F34" i="2"/>
  <c r="H34" i="2" s="1"/>
  <c r="F33" i="2"/>
  <c r="H33" i="2" s="1"/>
  <c r="F32" i="2"/>
  <c r="H32" i="2" s="1"/>
  <c r="F31" i="2"/>
  <c r="H31" i="2" s="1"/>
  <c r="F30" i="2"/>
  <c r="H30" i="2" s="1"/>
  <c r="F29" i="2"/>
  <c r="H29" i="2" s="1"/>
  <c r="F28" i="2"/>
  <c r="H28" i="2" s="1"/>
  <c r="F27" i="2"/>
  <c r="H27" i="2" s="1"/>
  <c r="F26" i="2"/>
  <c r="H26" i="2" s="1"/>
  <c r="F25" i="2"/>
  <c r="H25" i="2" s="1"/>
  <c r="F24" i="2"/>
  <c r="H24" i="2" s="1"/>
  <c r="F23" i="2"/>
  <c r="H23" i="2" s="1"/>
  <c r="F22" i="2"/>
  <c r="H22" i="2" s="1"/>
  <c r="F21" i="2"/>
  <c r="H21" i="2" s="1"/>
  <c r="F20" i="2"/>
  <c r="H20" i="2" s="1"/>
  <c r="F19" i="2"/>
  <c r="H19" i="2" s="1"/>
  <c r="F18" i="2"/>
  <c r="H18" i="2" s="1"/>
  <c r="F17" i="2"/>
  <c r="H17" i="2" s="1"/>
  <c r="F16" i="2"/>
  <c r="H16" i="2" s="1"/>
  <c r="F15" i="2"/>
  <c r="H15" i="2" s="1"/>
  <c r="F14" i="2"/>
  <c r="H14" i="2" s="1"/>
  <c r="F13" i="2"/>
  <c r="H13" i="2" s="1"/>
  <c r="F12" i="2"/>
  <c r="H12" i="2" s="1"/>
  <c r="F11" i="2"/>
  <c r="H11" i="2" s="1"/>
  <c r="F10" i="2"/>
  <c r="H10" i="2" s="1"/>
  <c r="F9" i="2"/>
  <c r="H9" i="2" s="1"/>
  <c r="F8" i="2"/>
  <c r="H8" i="2" s="1"/>
  <c r="F7" i="2"/>
  <c r="H7" i="2" s="1"/>
  <c r="F6" i="2"/>
  <c r="H6" i="2" s="1"/>
  <c r="H5" i="2"/>
  <c r="F5" i="2"/>
</calcChain>
</file>

<file path=xl/sharedStrings.xml><?xml version="1.0" encoding="utf-8"?>
<sst xmlns="http://schemas.openxmlformats.org/spreadsheetml/2006/main" count="3953" uniqueCount="198">
  <si>
    <t>bmc_code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</si>
  <si>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</si>
  <si>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</si>
  <si>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</si>
  <si>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</si>
  <si>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</si>
  <si>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</si>
  <si>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</si>
  <si>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</si>
  <si>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</si>
  <si>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</si>
  <si>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</si>
  <si>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</si>
  <si>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</si>
  <si>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2001</t>
  </si>
  <si>
    <t>Itki</t>
  </si>
  <si>
    <t>200101</t>
  </si>
  <si>
    <t>ITKI 2</t>
  </si>
  <si>
    <t>Morning</t>
  </si>
  <si>
    <t>Cow</t>
  </si>
  <si>
    <t>M</t>
  </si>
  <si>
    <t>BOREYA</t>
  </si>
  <si>
    <t>A</t>
  </si>
  <si>
    <t>Makunda</t>
  </si>
  <si>
    <t>SEMRA</t>
  </si>
  <si>
    <t>Kumbatoli</t>
  </si>
  <si>
    <t>Erchoro</t>
  </si>
  <si>
    <t>Basila</t>
  </si>
  <si>
    <t>RONHE</t>
  </si>
  <si>
    <t>Mix</t>
  </si>
  <si>
    <t>KATARPA</t>
  </si>
  <si>
    <t>NAGRI</t>
  </si>
  <si>
    <t>200102</t>
  </si>
  <si>
    <t>DIGHIYA</t>
  </si>
  <si>
    <t>Bero</t>
  </si>
  <si>
    <t>MASU</t>
  </si>
  <si>
    <t>TIKRA TOLI</t>
  </si>
  <si>
    <t>Gargaon2</t>
  </si>
  <si>
    <t>CHACHGURA</t>
  </si>
  <si>
    <t>GARGAON</t>
  </si>
  <si>
    <t>TERO</t>
  </si>
  <si>
    <t>PANDEPARA</t>
  </si>
  <si>
    <t>ITA CHILDRI</t>
  </si>
  <si>
    <t>KHATRIKHATANGA</t>
  </si>
  <si>
    <t>KARANJI 2</t>
  </si>
  <si>
    <t>GHAGHRA</t>
  </si>
  <si>
    <t>DARKHANDREY</t>
  </si>
  <si>
    <t>MURTO</t>
  </si>
  <si>
    <t>PISKA</t>
  </si>
  <si>
    <t>200100</t>
  </si>
  <si>
    <t>DIRECT</t>
  </si>
  <si>
    <t>Evening</t>
  </si>
  <si>
    <t>2002</t>
  </si>
  <si>
    <t>Paali</t>
  </si>
  <si>
    <t>200203</t>
  </si>
  <si>
    <t>Baski 2</t>
  </si>
  <si>
    <t>SURSA</t>
  </si>
  <si>
    <t>BASKI</t>
  </si>
  <si>
    <t>KANBHITHA</t>
  </si>
  <si>
    <t>BARTOLI</t>
  </si>
  <si>
    <t>UCHARI</t>
  </si>
  <si>
    <t>PUNGI</t>
  </si>
  <si>
    <t>200202</t>
  </si>
  <si>
    <t>PAALI 2</t>
  </si>
  <si>
    <t>RANIKHATANGA</t>
  </si>
  <si>
    <t>BAJPUR</t>
  </si>
  <si>
    <t>Pandra</t>
  </si>
  <si>
    <t>CHIPRA</t>
  </si>
  <si>
    <t>Bijuliya</t>
  </si>
  <si>
    <t>200201</t>
  </si>
  <si>
    <t>DHONTHA TOLI</t>
  </si>
  <si>
    <t>BARGARI</t>
  </si>
  <si>
    <t>TIKO TOLI</t>
  </si>
  <si>
    <t>PATRATOLI</t>
  </si>
  <si>
    <t>Jari</t>
  </si>
  <si>
    <t>BANAPIRI</t>
  </si>
  <si>
    <t>SAPAROM</t>
  </si>
  <si>
    <t>200200</t>
  </si>
  <si>
    <t>AGRU</t>
  </si>
  <si>
    <t>2003</t>
  </si>
  <si>
    <t>Hisri Thakurgaon</t>
  </si>
  <si>
    <t>200301</t>
  </si>
  <si>
    <t>THAKURGAON</t>
  </si>
  <si>
    <t>SURID</t>
  </si>
  <si>
    <t>UMEDANDA</t>
  </si>
  <si>
    <t>URUGUTU</t>
  </si>
  <si>
    <t>200300</t>
  </si>
  <si>
    <t>2004</t>
  </si>
  <si>
    <t>Choreya</t>
  </si>
  <si>
    <t>200401</t>
  </si>
  <si>
    <t>MADHUKAM</t>
  </si>
  <si>
    <t>KADAM TOLI</t>
  </si>
  <si>
    <t>200400</t>
  </si>
  <si>
    <t>CHOREYA</t>
  </si>
  <si>
    <t>2006</t>
  </si>
  <si>
    <t>ORMANJHI</t>
  </si>
  <si>
    <t>200601</t>
  </si>
  <si>
    <t>HOCHAR 2</t>
  </si>
  <si>
    <t>HOCHAR</t>
  </si>
  <si>
    <t>JIRABAR</t>
  </si>
  <si>
    <t>KUKUI</t>
  </si>
  <si>
    <t>KUCHU</t>
  </si>
  <si>
    <t>MANDRO</t>
  </si>
  <si>
    <t>200600</t>
  </si>
  <si>
    <t>MAHESHPUR</t>
  </si>
  <si>
    <t>CHUTTU</t>
  </si>
  <si>
    <t>PANCHOLI</t>
  </si>
  <si>
    <t>BARAGAIN</t>
  </si>
  <si>
    <t>CHATAKPUR</t>
  </si>
  <si>
    <t>ADELHATU</t>
  </si>
  <si>
    <t>DUMARDAGA</t>
  </si>
  <si>
    <t>RAMGARH</t>
  </si>
  <si>
    <t>IRBA</t>
  </si>
  <si>
    <t>2007</t>
  </si>
  <si>
    <t>PIRAGUTU</t>
  </si>
  <si>
    <t>200701</t>
  </si>
  <si>
    <t>KARAMBA</t>
  </si>
  <si>
    <t>KEDAL</t>
  </si>
  <si>
    <t>NABATOLI</t>
  </si>
  <si>
    <t>MURUPIRI</t>
  </si>
  <si>
    <t>CHORA</t>
  </si>
  <si>
    <t>USKU</t>
  </si>
  <si>
    <t>SAHEDA</t>
  </si>
  <si>
    <t>200702</t>
  </si>
  <si>
    <t>Piragutu 2</t>
  </si>
  <si>
    <t>MURPA</t>
  </si>
  <si>
    <t>NINDRA</t>
  </si>
  <si>
    <t>ULATU</t>
  </si>
  <si>
    <t>ICHAPIRI</t>
  </si>
  <si>
    <t>KURALU</t>
  </si>
  <si>
    <t>MAKKA</t>
  </si>
  <si>
    <t>200700</t>
  </si>
  <si>
    <t>SARAM</t>
  </si>
  <si>
    <t>SUBHASH NAGAR</t>
  </si>
  <si>
    <t>MAYAPUR</t>
  </si>
  <si>
    <t>2008</t>
  </si>
  <si>
    <t>CHATTI BHANDRA</t>
  </si>
  <si>
    <t>200801</t>
  </si>
  <si>
    <t>ITTA BARHI CHOWK</t>
  </si>
  <si>
    <t>Ningni</t>
  </si>
  <si>
    <t>Chitri Ambatoli</t>
  </si>
  <si>
    <t>DAARU</t>
  </si>
  <si>
    <t>200803</t>
  </si>
  <si>
    <t>C Bhandra 3</t>
  </si>
  <si>
    <t>Rampur</t>
  </si>
  <si>
    <t>Guri</t>
  </si>
  <si>
    <t>MUNDO 2</t>
  </si>
  <si>
    <t>NADI NAGRA 2</t>
  </si>
  <si>
    <t>BASRI NAGRA</t>
  </si>
  <si>
    <t>Bhaiyagaon</t>
  </si>
  <si>
    <t>200802</t>
  </si>
  <si>
    <t>C Bhandra 2</t>
  </si>
  <si>
    <t>CHHARDA</t>
  </si>
  <si>
    <t>MALANG TOLI</t>
  </si>
  <si>
    <t>SORANDA</t>
  </si>
  <si>
    <t>MASHMANO</t>
  </si>
  <si>
    <t>LONGA</t>
  </si>
  <si>
    <t>BHITTA</t>
  </si>
  <si>
    <t>PAHARKESA</t>
  </si>
  <si>
    <t>KACHMACHI 2</t>
  </si>
  <si>
    <t>PAHARKESHA 2</t>
  </si>
  <si>
    <t>KACHMACHI</t>
  </si>
  <si>
    <t>KUNDO AMBATOLI</t>
  </si>
  <si>
    <t>JATARGARI</t>
  </si>
  <si>
    <t>200800</t>
  </si>
  <si>
    <t>BHUJANIYA</t>
  </si>
  <si>
    <t>2009</t>
  </si>
  <si>
    <t>Chanho</t>
  </si>
  <si>
    <t>200902</t>
  </si>
  <si>
    <t>Chanho 2</t>
  </si>
  <si>
    <t>HUTAR</t>
  </si>
  <si>
    <t>PAKARIYO</t>
  </si>
  <si>
    <t>PAKARIYO 2</t>
  </si>
  <si>
    <t>BARHE</t>
  </si>
  <si>
    <t>KATAIYA 2</t>
  </si>
  <si>
    <t>LUNDRI 1</t>
  </si>
  <si>
    <t>KOKAR</t>
  </si>
  <si>
    <t>NAWATAND</t>
  </si>
  <si>
    <t>CHATWAL</t>
  </si>
  <si>
    <t>KATAIYA</t>
  </si>
  <si>
    <t>LUNDRI 2</t>
  </si>
  <si>
    <t>PATRA TOLI</t>
  </si>
  <si>
    <t>MADINA NAGAR</t>
  </si>
  <si>
    <t>KOTHI TOLA</t>
  </si>
  <si>
    <t>200901</t>
  </si>
  <si>
    <t>Bajra</t>
  </si>
  <si>
    <t>KULLU</t>
  </si>
  <si>
    <t>GANESHPUR</t>
  </si>
  <si>
    <t>TUTLO</t>
  </si>
  <si>
    <t>DUMRI</t>
  </si>
  <si>
    <t>NARKOPI</t>
  </si>
  <si>
    <t>BHOGLA TOLI</t>
  </si>
  <si>
    <t>Naudi</t>
  </si>
  <si>
    <t>Grand Total</t>
  </si>
  <si>
    <t>Sum of qty</t>
  </si>
  <si>
    <t>Values</t>
  </si>
  <si>
    <t>Sum of amount</t>
  </si>
  <si>
    <t>BMC Code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</si>
</sst>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19.6683037037" createdVersion="8" refreshedVersion="8" minRefreshableVersion="3" recordCount="523" xr:uid="{57B188D9-2D6F-485A-A926-DFF5437AA76E}">
  <cacheSource type="worksheet">
    <worksheetSource ref="A1:N524" sheet="Sheet1"/>
  </cacheSource>
  <cacheFields count="14">
    <cacheField name="bmc_code" numFmtId="0">
      <sharedItems/>
    </cacheField>
    <cacheField name="route_code" numFmtId="0">
      <sharedItems/>
    </cacheField>
    <cacheField name="route_name" numFmtId="0">
      <sharedItems/>
    </cacheField>
    <cacheField name="ref_code" numFmtId="0">
      <sharedItems containsSemiMixedTypes="0" containsString="0" containsNumber="1" containsInteger="1" minValue="20010001" maxValue="20090026" count="136">
        <n v="20010060"/>
        <n v="20010015"/>
        <n v="20010009"/>
        <n v="20010061"/>
        <n v="20010052"/>
        <n v="20010008"/>
        <n v="20010005"/>
        <n v="20010042"/>
        <n v="20010023"/>
        <n v="20010012"/>
        <n v="20010017"/>
        <n v="20010003"/>
        <n v="20010055"/>
        <n v="20010038"/>
        <n v="20010040"/>
        <n v="20010037"/>
        <n v="20010034"/>
        <n v="20010041"/>
        <n v="20010057"/>
        <n v="20010016"/>
        <n v="20010033"/>
        <n v="20010059"/>
        <n v="20010036"/>
        <n v="20010043"/>
        <n v="20010027"/>
        <n v="20010062"/>
        <n v="20010001"/>
        <n v="20020007"/>
        <n v="20050001"/>
        <n v="20020005"/>
        <n v="20050002"/>
        <n v="20020023"/>
        <n v="20050003"/>
        <n v="20020021"/>
        <n v="20020006"/>
        <n v="20020013"/>
        <n v="20020004"/>
        <n v="20020010"/>
        <n v="20020003"/>
        <n v="20020011"/>
        <n v="20020014"/>
        <n v="20020020"/>
        <n v="20020015"/>
        <n v="20020002"/>
        <n v="20020016"/>
        <n v="20020017"/>
        <n v="20020001"/>
        <n v="20020025"/>
        <n v="20030005"/>
        <n v="20030009"/>
        <n v="20030002"/>
        <n v="20030012"/>
        <n v="20030001"/>
        <n v="20040007"/>
        <n v="20040006"/>
        <n v="20040001"/>
        <n v="20060019"/>
        <n v="20060007"/>
        <n v="20060005"/>
        <n v="20060017"/>
        <n v="20060009"/>
        <n v="20060002"/>
        <n v="20060022"/>
        <n v="20060004"/>
        <n v="20060018"/>
        <n v="20060020"/>
        <n v="20060013"/>
        <n v="20060008"/>
        <n v="20060001"/>
        <n v="20060003"/>
        <n v="20060025"/>
        <n v="20060015"/>
        <n v="20070009"/>
        <n v="20070004"/>
        <n v="20070007"/>
        <n v="20070003"/>
        <n v="20070019"/>
        <n v="20070021"/>
        <n v="20070006"/>
        <n v="20070024"/>
        <n v="20070026"/>
        <n v="20070020"/>
        <n v="20070023"/>
        <n v="20070010"/>
        <n v="20070018"/>
        <n v="20070001"/>
        <n v="20070002"/>
        <n v="20070025"/>
        <n v="20070016"/>
        <n v="20080034"/>
        <n v="20080008"/>
        <n v="20080006"/>
        <n v="20080025"/>
        <n v="20080007"/>
        <n v="20080004"/>
        <n v="20080036"/>
        <n v="20080027"/>
        <n v="20080028"/>
        <n v="20080005"/>
        <n v="20080026"/>
        <n v="20080049"/>
        <n v="20080030"/>
        <n v="20080009"/>
        <n v="20080039"/>
        <n v="20080002"/>
        <n v="20080010"/>
        <n v="20080050"/>
        <n v="20080047"/>
        <n v="20080041"/>
        <n v="20080046"/>
        <n v="20080043"/>
        <n v="20080001"/>
        <n v="20080014"/>
        <n v="20090014"/>
        <n v="20090015"/>
        <n v="20090020"/>
        <n v="20090011"/>
        <n v="20090022"/>
        <n v="20090013"/>
        <n v="20090023"/>
        <n v="20090017"/>
        <n v="20090010"/>
        <n v="20090006"/>
        <n v="20090012"/>
        <n v="20090021"/>
        <n v="20090019"/>
        <n v="20090018"/>
        <n v="20090002"/>
        <n v="20090025"/>
        <n v="20090008"/>
        <n v="20010053"/>
        <n v="20090004"/>
        <n v="20010054"/>
        <n v="20090026"/>
        <n v="20090001"/>
        <n v="20090003"/>
      </sharedItems>
    </cacheField>
    <cacheField name="name" numFmtId="0">
      <sharedItems count="136">
        <s v="ITKI 2"/>
        <s v="BOREYA"/>
        <s v="Makunda"/>
        <s v="SEMRA"/>
        <s v="Kumbatoli"/>
        <s v="Erchoro"/>
        <s v="Basila"/>
        <s v="RONHE"/>
        <s v="KATARPA"/>
        <s v="NAGRI"/>
        <s v="DIGHIYA"/>
        <s v="Bero"/>
        <s v="MASU"/>
        <s v="TIKRA TOLI"/>
        <s v="Gargaon2"/>
        <s v="CHACHGURA"/>
        <s v="GARGAON"/>
        <s v="TERO"/>
        <s v="PANDEPARA"/>
        <s v="ITA CHILDRI"/>
        <s v="KHATRIKHATANGA"/>
        <s v="KARANJI 2"/>
        <s v="GHAGHRA"/>
        <s v="DARKHANDREY"/>
        <s v="MURTO"/>
        <s v="PISKA"/>
        <s v="Itki"/>
        <s v="SURSA"/>
        <s v="Baski 2"/>
        <s v="BASKI"/>
        <s v="KANBHITHA"/>
        <s v="BARTOLI"/>
        <s v="UCHARI"/>
        <s v="PUNGI"/>
        <s v="RANIKHATANGA"/>
        <s v="BAJPUR"/>
        <s v="Pandra"/>
        <s v="CHIPRA"/>
        <s v="Bijuliya"/>
        <s v="DHONTHA TOLI"/>
        <s v="BARGARI"/>
        <s v="TIKO TOLI"/>
        <s v="PATRATOLI"/>
        <s v="Jari"/>
        <s v="BANAPIRI"/>
        <s v="SAPAROM"/>
        <s v="Paali"/>
        <s v="AGRU"/>
        <s v="THAKURGAON"/>
        <s v="SURID"/>
        <s v="UMEDANDA"/>
        <s v="URUGUTU"/>
        <s v="Hisri Thakurgaon"/>
        <s v="MADHUKAM"/>
        <s v="KADAM TOLI"/>
        <s v="CHOREYA"/>
        <s v="HOCHAR 2"/>
        <s v="HOCHAR"/>
        <s v="JIRABAR"/>
        <s v="KUKUI"/>
        <s v="KUCHU"/>
        <s v="MANDRO"/>
        <s v="MAHESHPUR"/>
        <s v="CHUTTU"/>
        <s v="PANCHOLI"/>
        <s v="BARAGAIN"/>
        <s v="CHATAKPUR"/>
        <s v="ADELHATU"/>
        <s v="ORMANJHI"/>
        <s v="DUMARDAGA"/>
        <s v="RAMGARH"/>
        <s v="IRBA"/>
        <s v="KARAMBA"/>
        <s v="KEDAL"/>
        <s v="NABATOLI"/>
        <s v="MURUPIRI"/>
        <s v="CHORA"/>
        <s v="USKU"/>
        <s v="SAHEDA"/>
        <s v="MURPA"/>
        <s v="NINDRA"/>
        <s v="ULATU"/>
        <s v="ICHAPIRI"/>
        <s v="KURALU"/>
        <s v="MAKKA"/>
        <s v="PIRAGUTU"/>
        <s v="SARAM"/>
        <s v="SUBHASH NAGAR"/>
        <s v="MAYAPUR"/>
        <s v="ITTA BARHI CHOWK"/>
        <s v="Ningni"/>
        <s v="Chitri Ambatoli"/>
        <s v="DAARU"/>
        <s v="Rampur"/>
        <s v="Guri"/>
        <s v="MUNDO 2"/>
        <s v="NADI NAGRA 2"/>
        <s v="BASRI NAGRA"/>
        <s v="Bhaiyagaon"/>
        <s v="CHHARDA"/>
        <s v="MALANG TOLI"/>
        <s v="SORANDA"/>
        <s v="MASHMANO"/>
        <s v="LONGA"/>
        <s v="BHITTA"/>
        <s v="PAHARKESA"/>
        <s v="KACHMACHI 2"/>
        <s v="PAHARKESHA 2"/>
        <s v="KACHMACHI"/>
        <s v="KUNDO AMBATOLI"/>
        <s v="JATARGARI"/>
        <s v="CHATTI BHANDRA"/>
        <s v="BHUJANIYA"/>
        <s v="HUTAR"/>
        <s v="PAKARIYO"/>
        <s v="PAKARIYO 2"/>
        <s v="BARHE"/>
        <s v="KATAIYA 2"/>
        <s v="LUNDRI 1"/>
        <s v="KOKAR"/>
        <s v="NAWATAND"/>
        <s v="CHATWAL"/>
        <s v="KATAIYA"/>
        <s v="LUNDRI 2"/>
        <s v="PATRA TOLI"/>
        <s v="MADINA NAGAR"/>
        <s v="KOTHI TOLA"/>
        <s v="Bajra"/>
        <s v="KULLU"/>
        <s v="GANESHPUR"/>
        <s v="TUTLO"/>
        <s v="DUMRI"/>
        <s v="NARKOPI"/>
        <s v="BHOGLA TOLI"/>
        <s v="Chanho"/>
        <s v="Naudi"/>
      </sharedItems>
    </cacheField>
    <cacheField name="collection_date" numFmtId="14">
      <sharedItems containsSemiMixedTypes="0" containsNonDate="0" containsDate="1" containsString="0" minDate="2026-04-01T00:00:00" maxDate="2026-04-03T00:00:00"/>
    </cacheField>
    <cacheField name="Shift" numFmtId="0">
      <sharedItems/>
    </cacheField>
    <cacheField name="animal_type_name" numFmtId="0">
      <sharedItems/>
    </cacheField>
    <cacheField name="qty" numFmtId="0">
      <sharedItems containsSemiMixedTypes="0" containsString="0" containsNumber="1" minValue="1.46" maxValue="3010.22"/>
    </cacheField>
    <cacheField name="fat" numFmtId="0">
      <sharedItems containsSemiMixedTypes="0" containsString="0" containsNumber="1" minValue="2.5" maxValue="7.3"/>
    </cacheField>
    <cacheField name="snf" numFmtId="0">
      <sharedItems containsSemiMixedTypes="0" containsString="0" containsNumber="1" minValue="7.5" maxValue="9.3000000000000007"/>
    </cacheField>
    <cacheField name="rate" numFmtId="0">
      <sharedItems containsSemiMixedTypes="0" containsString="0" containsNumber="1" minValue="28.69" maxValue="55.01"/>
    </cacheField>
    <cacheField name="amount" numFmtId="0">
      <sharedItems containsSemiMixedTypes="0" containsString="0" containsNumber="1" minValue="51.96" maxValue="127573.12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3">
  <r>
    <s v="2001"/>
    <s v="200101"/>
    <s v="Itki"/>
    <x v="0"/>
    <x v="0"/>
    <d v="2026-04-01T00:00:00"/>
    <s v="Morning"/>
    <s v="Cow"/>
    <n v="19.2"/>
    <n v="2.9"/>
    <n v="7.5"/>
    <n v="30.11"/>
    <n v="578.11"/>
    <s v="M"/>
  </r>
  <r>
    <s v="2001"/>
    <s v="200101"/>
    <s v="Itki"/>
    <x v="1"/>
    <x v="1"/>
    <d v="2026-04-01T00:00:00"/>
    <s v="Morning"/>
    <s v="Cow"/>
    <n v="261.22000000000003"/>
    <n v="3.8"/>
    <n v="8.5"/>
    <n v="39"/>
    <n v="10187.58"/>
    <s v="A"/>
  </r>
  <r>
    <s v="2001"/>
    <s v="200101"/>
    <s v="Itki"/>
    <x v="2"/>
    <x v="2"/>
    <d v="2026-04-01T00:00:00"/>
    <s v="Morning"/>
    <s v="Cow"/>
    <n v="51.8"/>
    <n v="4.5999999999999996"/>
    <n v="8.5"/>
    <n v="42"/>
    <n v="2175.6"/>
    <s v="M"/>
  </r>
  <r>
    <s v="2001"/>
    <s v="200101"/>
    <s v="Itki"/>
    <x v="3"/>
    <x v="3"/>
    <d v="2026-04-01T00:00:00"/>
    <s v="Morning"/>
    <s v="Cow"/>
    <n v="13.36"/>
    <n v="3.9"/>
    <n v="8.4"/>
    <n v="38.76"/>
    <n v="517.83000000000004"/>
    <s v="A"/>
  </r>
  <r>
    <s v="2001"/>
    <s v="200101"/>
    <s v="Itki"/>
    <x v="4"/>
    <x v="4"/>
    <d v="2026-04-01T00:00:00"/>
    <s v="Morning"/>
    <s v="Cow"/>
    <n v="50.32"/>
    <n v="4.4000000000000004"/>
    <n v="8.3000000000000007"/>
    <n v="40.36"/>
    <n v="2030.92"/>
    <s v="A"/>
  </r>
  <r>
    <s v="2001"/>
    <s v="200101"/>
    <s v="Itki"/>
    <x v="5"/>
    <x v="5"/>
    <d v="2026-04-01T00:00:00"/>
    <s v="Morning"/>
    <s v="Cow"/>
    <n v="150.12"/>
    <n v="3.4"/>
    <n v="8"/>
    <n v="35.51"/>
    <n v="5330.76"/>
    <s v="M"/>
  </r>
  <r>
    <s v="2001"/>
    <s v="200101"/>
    <s v="Itki"/>
    <x v="6"/>
    <x v="6"/>
    <d v="2026-04-01T00:00:00"/>
    <s v="Morning"/>
    <s v="Cow"/>
    <n v="94.44"/>
    <n v="3.7"/>
    <n v="8.1"/>
    <n v="36.85"/>
    <n v="3480.11"/>
    <s v="A"/>
  </r>
  <r>
    <s v="2001"/>
    <s v="200101"/>
    <s v="Itki"/>
    <x v="7"/>
    <x v="7"/>
    <d v="2026-04-01T00:00:00"/>
    <s v="Morning"/>
    <s v="Mix"/>
    <n v="62.32"/>
    <n v="5"/>
    <n v="8.4"/>
    <n v="43.42"/>
    <n v="2705.93"/>
    <s v="A"/>
  </r>
  <r>
    <s v="2001"/>
    <s v="200101"/>
    <s v="Itki"/>
    <x v="8"/>
    <x v="8"/>
    <d v="2026-04-01T00:00:00"/>
    <s v="Morning"/>
    <s v="Cow"/>
    <n v="42.32"/>
    <n v="4.5999999999999996"/>
    <n v="8.4"/>
    <n v="41.35"/>
    <n v="1749.93"/>
    <s v="A"/>
  </r>
  <r>
    <s v="2001"/>
    <s v="200101"/>
    <s v="Itki"/>
    <x v="9"/>
    <x v="9"/>
    <d v="2026-04-01T00:00:00"/>
    <s v="Morning"/>
    <s v="Cow"/>
    <n v="5"/>
    <n v="2.5"/>
    <n v="7.5"/>
    <n v="28.69"/>
    <n v="143.44999999999999"/>
    <s v="M"/>
  </r>
  <r>
    <s v="2001"/>
    <s v="200102"/>
    <s v="ITKI 2"/>
    <x v="10"/>
    <x v="10"/>
    <d v="2026-04-01T00:00:00"/>
    <s v="Morning"/>
    <s v="Cow"/>
    <n v="127.76"/>
    <n v="3.9"/>
    <n v="8.3000000000000007"/>
    <n v="38.51"/>
    <n v="4920.04"/>
    <s v="A"/>
  </r>
  <r>
    <s v="2001"/>
    <s v="200102"/>
    <s v="ITKI 2"/>
    <x v="11"/>
    <x v="11"/>
    <d v="2026-04-01T00:00:00"/>
    <s v="Morning"/>
    <s v="Cow"/>
    <n v="147.91999999999999"/>
    <n v="3.6"/>
    <n v="8.5"/>
    <n v="38.25"/>
    <n v="5657.94"/>
    <s v="A"/>
  </r>
  <r>
    <s v="2001"/>
    <s v="200102"/>
    <s v="ITKI 2"/>
    <x v="12"/>
    <x v="12"/>
    <d v="2026-04-01T00:00:00"/>
    <s v="Morning"/>
    <s v="Cow"/>
    <n v="54.1"/>
    <n v="4.0999999999999996"/>
    <n v="8.1999999999999993"/>
    <n v="38.56"/>
    <n v="2086.1"/>
    <s v="M"/>
  </r>
  <r>
    <s v="2001"/>
    <s v="200102"/>
    <s v="ITKI 2"/>
    <x v="13"/>
    <x v="13"/>
    <d v="2026-04-01T00:00:00"/>
    <s v="Morning"/>
    <s v="Cow"/>
    <n v="12.04"/>
    <n v="3.2"/>
    <n v="8.5"/>
    <n v="36.75"/>
    <n v="442.47"/>
    <s v="A"/>
  </r>
  <r>
    <s v="2001"/>
    <s v="200102"/>
    <s v="ITKI 2"/>
    <x v="14"/>
    <x v="14"/>
    <d v="2026-04-01T00:00:00"/>
    <s v="Morning"/>
    <s v="Cow"/>
    <n v="68.66"/>
    <n v="3.5"/>
    <n v="8.6"/>
    <n v="38.130000000000003"/>
    <n v="2618.0100000000002"/>
    <s v="A"/>
  </r>
  <r>
    <s v="2001"/>
    <s v="200102"/>
    <s v="ITKI 2"/>
    <x v="15"/>
    <x v="15"/>
    <d v="2026-04-01T00:00:00"/>
    <s v="Morning"/>
    <s v="Cow"/>
    <n v="29.9"/>
    <n v="4"/>
    <n v="8"/>
    <n v="37.700000000000003"/>
    <n v="1127.23"/>
    <s v="M"/>
  </r>
  <r>
    <s v="2001"/>
    <s v="200102"/>
    <s v="ITKI 2"/>
    <x v="16"/>
    <x v="16"/>
    <d v="2026-04-01T00:00:00"/>
    <s v="Morning"/>
    <s v="Cow"/>
    <n v="32.700000000000003"/>
    <n v="3.8"/>
    <n v="8.1"/>
    <n v="37.22"/>
    <n v="1217.0899999999999"/>
    <s v="A"/>
  </r>
  <r>
    <s v="2001"/>
    <s v="200102"/>
    <s v="ITKI 2"/>
    <x v="17"/>
    <x v="17"/>
    <d v="2026-04-01T00:00:00"/>
    <s v="Morning"/>
    <s v="Cow"/>
    <n v="5.78"/>
    <n v="3.8"/>
    <n v="8.1"/>
    <n v="37.22"/>
    <n v="215.13"/>
    <s v="A"/>
  </r>
  <r>
    <s v="2001"/>
    <s v="200102"/>
    <s v="ITKI 2"/>
    <x v="18"/>
    <x v="18"/>
    <d v="2026-04-01T00:00:00"/>
    <s v="Morning"/>
    <s v="Cow"/>
    <n v="19.64"/>
    <n v="4.0999999999999996"/>
    <n v="7.5"/>
    <n v="34.369999999999997"/>
    <n v="675.03"/>
    <s v="A"/>
  </r>
  <r>
    <s v="2001"/>
    <s v="200102"/>
    <s v="ITKI 2"/>
    <x v="19"/>
    <x v="19"/>
    <d v="2026-04-01T00:00:00"/>
    <s v="Morning"/>
    <s v="Cow"/>
    <n v="21.08"/>
    <n v="4.3"/>
    <n v="8.6"/>
    <n v="41.13"/>
    <n v="867.02"/>
    <s v="A"/>
  </r>
  <r>
    <s v="2001"/>
    <s v="200102"/>
    <s v="ITKI 2"/>
    <x v="20"/>
    <x v="20"/>
    <d v="2026-04-01T00:00:00"/>
    <s v="Morning"/>
    <s v="Mix"/>
    <n v="23.52"/>
    <n v="4.9000000000000004"/>
    <n v="8.4"/>
    <n v="42.4"/>
    <n v="997.25"/>
    <s v="A"/>
  </r>
  <r>
    <s v="2001"/>
    <s v="200102"/>
    <s v="ITKI 2"/>
    <x v="21"/>
    <x v="21"/>
    <d v="2026-04-01T00:00:00"/>
    <s v="Morning"/>
    <s v="Cow"/>
    <n v="17.22"/>
    <n v="4"/>
    <n v="7.9"/>
    <n v="35.869999999999997"/>
    <n v="617.67999999999995"/>
    <s v="A"/>
  </r>
  <r>
    <s v="2001"/>
    <s v="200102"/>
    <s v="ITKI 2"/>
    <x v="22"/>
    <x v="22"/>
    <d v="2026-04-01T00:00:00"/>
    <s v="Morning"/>
    <s v="Cow"/>
    <n v="17.34"/>
    <n v="4"/>
    <n v="7.9"/>
    <n v="35.869999999999997"/>
    <n v="621.99"/>
    <s v="A"/>
  </r>
  <r>
    <s v="2001"/>
    <s v="200102"/>
    <s v="ITKI 2"/>
    <x v="23"/>
    <x v="23"/>
    <d v="2026-04-01T00:00:00"/>
    <s v="Morning"/>
    <s v="Cow"/>
    <n v="56.92"/>
    <n v="3.8"/>
    <n v="8.1"/>
    <n v="37.22"/>
    <n v="2118.56"/>
    <s v="A"/>
  </r>
  <r>
    <s v="2001"/>
    <s v="200102"/>
    <s v="ITKI 2"/>
    <x v="24"/>
    <x v="24"/>
    <d v="2026-04-01T00:00:00"/>
    <s v="Morning"/>
    <s v="Cow"/>
    <n v="61.42"/>
    <n v="4.0999999999999996"/>
    <n v="8.1999999999999993"/>
    <n v="38.56"/>
    <n v="2368.36"/>
    <s v="A"/>
  </r>
  <r>
    <s v="2001"/>
    <s v="200101"/>
    <s v="Itki"/>
    <x v="25"/>
    <x v="25"/>
    <d v="2026-04-01T00:00:00"/>
    <s v="Morning"/>
    <s v="Cow"/>
    <n v="28.96"/>
    <n v="4.3"/>
    <n v="8.3000000000000007"/>
    <n v="39.99"/>
    <n v="1158.1099999999999"/>
    <s v="A"/>
  </r>
  <r>
    <s v="2001"/>
    <s v="200100"/>
    <s v="DIRECT"/>
    <x v="26"/>
    <x v="26"/>
    <d v="2026-04-01T00:00:00"/>
    <s v="Morning"/>
    <s v="Cow"/>
    <n v="2461.6799999999998"/>
    <n v="4.7"/>
    <n v="8.5"/>
    <n v="42.3"/>
    <n v="104129.2"/>
    <s v="A"/>
  </r>
  <r>
    <s v="2001"/>
    <s v="200100"/>
    <s v="DIRECT"/>
    <x v="26"/>
    <x v="26"/>
    <d v="2026-04-01T00:00:00"/>
    <s v="Morning"/>
    <s v="Mix"/>
    <n v="21.9"/>
    <n v="5.2"/>
    <n v="8.1999999999999993"/>
    <n v="43.17"/>
    <n v="945.42"/>
    <s v="A"/>
  </r>
  <r>
    <s v="2001"/>
    <s v="200101"/>
    <s v="Itki"/>
    <x v="1"/>
    <x v="1"/>
    <d v="2026-04-01T00:00:00"/>
    <s v="Evening"/>
    <s v="Cow"/>
    <n v="152.16"/>
    <n v="4.2"/>
    <n v="8.5"/>
    <n v="40.5"/>
    <n v="6162.48"/>
    <s v="M"/>
  </r>
  <r>
    <s v="2001"/>
    <s v="200101"/>
    <s v="Itki"/>
    <x v="2"/>
    <x v="2"/>
    <d v="2026-04-01T00:00:00"/>
    <s v="Evening"/>
    <s v="Cow"/>
    <n v="36.840000000000003"/>
    <n v="3.5"/>
    <n v="8.3000000000000007"/>
    <n v="37.03"/>
    <n v="1364.19"/>
    <s v="A"/>
  </r>
  <r>
    <s v="2001"/>
    <s v="200102"/>
    <s v="ITKI 2"/>
    <x v="16"/>
    <x v="16"/>
    <d v="2026-04-01T00:00:00"/>
    <s v="Evening"/>
    <s v="Cow"/>
    <n v="18"/>
    <n v="3.2"/>
    <n v="7.9"/>
    <n v="33.03"/>
    <n v="594.54"/>
    <s v="A"/>
  </r>
  <r>
    <s v="2001"/>
    <s v="200102"/>
    <s v="ITKI 2"/>
    <x v="12"/>
    <x v="12"/>
    <d v="2026-04-01T00:00:00"/>
    <s v="Evening"/>
    <s v="Cow"/>
    <n v="48.26"/>
    <n v="4.4000000000000004"/>
    <n v="8.1999999999999993"/>
    <n v="39.65"/>
    <n v="1913.51"/>
    <s v="A"/>
  </r>
  <r>
    <s v="2001"/>
    <s v="200102"/>
    <s v="ITKI 2"/>
    <x v="15"/>
    <x v="15"/>
    <d v="2026-04-01T00:00:00"/>
    <s v="Evening"/>
    <s v="Cow"/>
    <n v="28.9"/>
    <n v="4.4000000000000004"/>
    <n v="8.1999999999999993"/>
    <n v="39.65"/>
    <n v="1145.8900000000001"/>
    <s v="A"/>
  </r>
  <r>
    <s v="2001"/>
    <s v="200102"/>
    <s v="ITKI 2"/>
    <x v="14"/>
    <x v="14"/>
    <d v="2026-04-01T00:00:00"/>
    <s v="Evening"/>
    <s v="Cow"/>
    <n v="40.06"/>
    <n v="3.8"/>
    <n v="8.5"/>
    <n v="39"/>
    <n v="1562.34"/>
    <s v="M"/>
  </r>
  <r>
    <s v="2001"/>
    <s v="200102"/>
    <s v="ITKI 2"/>
    <x v="20"/>
    <x v="20"/>
    <d v="2026-04-01T00:00:00"/>
    <s v="Evening"/>
    <s v="Cow"/>
    <n v="20.32"/>
    <n v="4.3"/>
    <n v="8.1"/>
    <n v="39.04"/>
    <n v="793.29"/>
    <s v="A"/>
  </r>
  <r>
    <s v="2001"/>
    <s v="200102"/>
    <s v="ITKI 2"/>
    <x v="23"/>
    <x v="23"/>
    <d v="2026-04-01T00:00:00"/>
    <s v="Evening"/>
    <s v="Cow"/>
    <n v="36.1"/>
    <n v="3.7"/>
    <n v="8.1"/>
    <n v="36.85"/>
    <n v="1330.29"/>
    <s v="A"/>
  </r>
  <r>
    <s v="2001"/>
    <s v="200102"/>
    <s v="ITKI 2"/>
    <x v="11"/>
    <x v="11"/>
    <d v="2026-04-01T00:00:00"/>
    <s v="Evening"/>
    <s v="Cow"/>
    <n v="39.76"/>
    <n v="3.7"/>
    <n v="8.6"/>
    <n v="38.880000000000003"/>
    <n v="1545.87"/>
    <s v="A"/>
  </r>
  <r>
    <s v="2001"/>
    <s v="200102"/>
    <s v="ITKI 2"/>
    <x v="17"/>
    <x v="17"/>
    <d v="2026-04-01T00:00:00"/>
    <s v="Evening"/>
    <s v="Cow"/>
    <n v="4.3"/>
    <n v="3.7"/>
    <n v="8.6"/>
    <n v="38.880000000000003"/>
    <n v="167.18"/>
    <s v="A"/>
  </r>
  <r>
    <s v="2001"/>
    <s v="200102"/>
    <s v="ITKI 2"/>
    <x v="24"/>
    <x v="24"/>
    <d v="2026-04-01T00:00:00"/>
    <s v="Evening"/>
    <s v="Cow"/>
    <n v="27.22"/>
    <n v="3.9"/>
    <n v="8.1"/>
    <n v="37.58"/>
    <n v="1022.93"/>
    <s v="A"/>
  </r>
  <r>
    <s v="2001"/>
    <s v="200102"/>
    <s v="ITKI 2"/>
    <x v="13"/>
    <x v="13"/>
    <d v="2026-04-01T00:00:00"/>
    <s v="Evening"/>
    <s v="Cow"/>
    <n v="24.46"/>
    <n v="3.2"/>
    <n v="8.4"/>
    <n v="36.17"/>
    <n v="884.72"/>
    <s v="A"/>
  </r>
  <r>
    <s v="2001"/>
    <s v="200102"/>
    <s v="ITKI 2"/>
    <x v="10"/>
    <x v="10"/>
    <d v="2026-04-01T00:00:00"/>
    <s v="Evening"/>
    <s v="Cow"/>
    <n v="31.8"/>
    <n v="3.5"/>
    <n v="8.1999999999999993"/>
    <n v="36.369999999999997"/>
    <n v="1156.57"/>
    <s v="A"/>
  </r>
  <r>
    <s v="2001"/>
    <s v="200102"/>
    <s v="ITKI 2"/>
    <x v="18"/>
    <x v="18"/>
    <d v="2026-04-01T00:00:00"/>
    <s v="Evening"/>
    <s v="Cow"/>
    <n v="12.68"/>
    <n v="3.9"/>
    <n v="7.7"/>
    <n v="34.67"/>
    <n v="439.62"/>
    <s v="A"/>
  </r>
  <r>
    <s v="2001"/>
    <s v="200102"/>
    <s v="ITKI 2"/>
    <x v="21"/>
    <x v="21"/>
    <d v="2026-04-01T00:00:00"/>
    <s v="Evening"/>
    <s v="Cow"/>
    <n v="6.08"/>
    <n v="4.3"/>
    <n v="8.1"/>
    <n v="39.04"/>
    <n v="237.36"/>
    <s v="A"/>
  </r>
  <r>
    <s v="2001"/>
    <s v="200101"/>
    <s v="Itki"/>
    <x v="4"/>
    <x v="4"/>
    <d v="2026-04-01T00:00:00"/>
    <s v="Evening"/>
    <s v="Cow"/>
    <n v="105.12"/>
    <n v="3.7"/>
    <n v="7.8"/>
    <n v="34.58"/>
    <n v="3635.05"/>
    <s v="A"/>
  </r>
  <r>
    <s v="2001"/>
    <s v="200101"/>
    <s v="Itki"/>
    <x v="3"/>
    <x v="3"/>
    <d v="2026-04-01T00:00:00"/>
    <s v="Evening"/>
    <s v="Cow"/>
    <n v="12.78"/>
    <n v="4"/>
    <n v="8.5"/>
    <n v="39.75"/>
    <n v="508.01"/>
    <s v="A"/>
  </r>
  <r>
    <s v="2001"/>
    <s v="200101"/>
    <s v="Itki"/>
    <x v="5"/>
    <x v="5"/>
    <d v="2026-04-01T00:00:00"/>
    <s v="Evening"/>
    <s v="Cow"/>
    <n v="119.22"/>
    <n v="3.5"/>
    <n v="7.9"/>
    <n v="34.1"/>
    <n v="4065.4"/>
    <s v="A"/>
  </r>
  <r>
    <s v="2001"/>
    <s v="200101"/>
    <s v="Itki"/>
    <x v="6"/>
    <x v="6"/>
    <d v="2026-04-01T00:00:00"/>
    <s v="Evening"/>
    <s v="Cow"/>
    <n v="63.66"/>
    <n v="4.0999999999999996"/>
    <n v="8.3000000000000007"/>
    <n v="39.25"/>
    <n v="2498.65"/>
    <s v="A"/>
  </r>
  <r>
    <s v="2001"/>
    <s v="200101"/>
    <s v="Itki"/>
    <x v="7"/>
    <x v="7"/>
    <d v="2026-04-01T00:00:00"/>
    <s v="Evening"/>
    <s v="Cow"/>
    <n v="23.28"/>
    <n v="3.9"/>
    <n v="7.8"/>
    <n v="35.29"/>
    <n v="821.55"/>
    <s v="A"/>
  </r>
  <r>
    <s v="2001"/>
    <s v="200101"/>
    <s v="Itki"/>
    <x v="8"/>
    <x v="8"/>
    <d v="2026-04-01T00:00:00"/>
    <s v="Evening"/>
    <s v="Cow"/>
    <n v="18.32"/>
    <n v="4"/>
    <n v="8.1"/>
    <n v="37.950000000000003"/>
    <n v="695.24"/>
    <s v="A"/>
  </r>
  <r>
    <s v="2001"/>
    <s v="200101"/>
    <s v="Itki"/>
    <x v="25"/>
    <x v="25"/>
    <d v="2026-04-01T00:00:00"/>
    <s v="Evening"/>
    <s v="Cow"/>
    <n v="8.5"/>
    <n v="4.0999999999999996"/>
    <n v="8.3000000000000007"/>
    <n v="39.25"/>
    <n v="333.63"/>
    <s v="A"/>
  </r>
  <r>
    <s v="2001"/>
    <s v="200101"/>
    <s v="Itki"/>
    <x v="9"/>
    <x v="9"/>
    <d v="2026-04-01T00:00:00"/>
    <s v="Evening"/>
    <s v="Cow"/>
    <n v="8.5"/>
    <n v="2.5"/>
    <n v="7.5"/>
    <n v="28.69"/>
    <n v="243.87"/>
    <s v="M"/>
  </r>
  <r>
    <s v="2001"/>
    <s v="200100"/>
    <s v="DIRECT"/>
    <x v="26"/>
    <x v="26"/>
    <d v="2026-04-01T00:00:00"/>
    <s v="Evening"/>
    <s v="Cow"/>
    <n v="691.76"/>
    <n v="4.2"/>
    <n v="8.5"/>
    <n v="40.33"/>
    <n v="27899.88"/>
    <s v="A"/>
  </r>
  <r>
    <s v="2001"/>
    <s v="200100"/>
    <s v="DIRECT"/>
    <x v="26"/>
    <x v="26"/>
    <d v="2026-04-01T00:00:00"/>
    <s v="Evening"/>
    <s v="Mix"/>
    <n v="8.26"/>
    <n v="5"/>
    <n v="9.1"/>
    <n v="45.11"/>
    <n v="372.63"/>
    <s v="A"/>
  </r>
  <r>
    <s v="2001"/>
    <s v="200101"/>
    <s v="Itki"/>
    <x v="0"/>
    <x v="0"/>
    <d v="2026-04-02T00:00:00"/>
    <s v="Morning"/>
    <s v="Cow"/>
    <n v="18.5"/>
    <n v="2.9"/>
    <n v="7.5"/>
    <n v="30.11"/>
    <n v="557.04"/>
    <s v="M"/>
  </r>
  <r>
    <s v="2001"/>
    <s v="200101"/>
    <s v="Itki"/>
    <x v="1"/>
    <x v="1"/>
    <d v="2026-04-02T00:00:00"/>
    <s v="Morning"/>
    <s v="Cow"/>
    <n v="255.74"/>
    <n v="3.8"/>
    <n v="8.3000000000000007"/>
    <n v="38.14"/>
    <n v="9753.92"/>
    <s v="A"/>
  </r>
  <r>
    <s v="2001"/>
    <s v="200101"/>
    <s v="Itki"/>
    <x v="2"/>
    <x v="2"/>
    <d v="2026-04-02T00:00:00"/>
    <s v="Morning"/>
    <s v="Cow"/>
    <n v="51.4"/>
    <n v="4.4000000000000004"/>
    <n v="8.3000000000000007"/>
    <n v="40.36"/>
    <n v="2074.5"/>
    <s v="M"/>
  </r>
  <r>
    <s v="2001"/>
    <s v="200101"/>
    <s v="Itki"/>
    <x v="25"/>
    <x v="25"/>
    <d v="2026-04-02T00:00:00"/>
    <s v="Morning"/>
    <s v="Cow"/>
    <n v="25.2"/>
    <n v="4.5999999999999996"/>
    <n v="8.4"/>
    <n v="41.35"/>
    <n v="1042.02"/>
    <s v="A"/>
  </r>
  <r>
    <s v="2001"/>
    <s v="200102"/>
    <s v="ITKI 2"/>
    <x v="16"/>
    <x v="16"/>
    <d v="2026-04-02T00:00:00"/>
    <s v="Morning"/>
    <s v="Cow"/>
    <n v="56.5"/>
    <n v="3.9"/>
    <n v="8.4"/>
    <n v="38.76"/>
    <n v="2189.94"/>
    <s v="M"/>
  </r>
  <r>
    <s v="2001"/>
    <s v="200102"/>
    <s v="ITKI 2"/>
    <x v="11"/>
    <x v="11"/>
    <d v="2026-04-02T00:00:00"/>
    <s v="Morning"/>
    <s v="Cow"/>
    <n v="140.38"/>
    <n v="3.6"/>
    <n v="8.4"/>
    <n v="37.65"/>
    <n v="5285.31"/>
    <s v="A"/>
  </r>
  <r>
    <s v="2001"/>
    <s v="200102"/>
    <s v="ITKI 2"/>
    <x v="13"/>
    <x v="13"/>
    <d v="2026-04-02T00:00:00"/>
    <s v="Morning"/>
    <s v="Cow"/>
    <n v="16.739999999999998"/>
    <n v="3.2"/>
    <n v="8.4"/>
    <n v="36.17"/>
    <n v="605.49"/>
    <s v="A"/>
  </r>
  <r>
    <s v="2001"/>
    <s v="200102"/>
    <s v="ITKI 2"/>
    <x v="12"/>
    <x v="12"/>
    <d v="2026-04-02T00:00:00"/>
    <s v="Morning"/>
    <s v="Cow"/>
    <n v="64.84"/>
    <n v="4.4000000000000004"/>
    <n v="8.1999999999999993"/>
    <n v="39.65"/>
    <n v="2570.91"/>
    <s v="A"/>
  </r>
  <r>
    <s v="2001"/>
    <s v="200102"/>
    <s v="ITKI 2"/>
    <x v="14"/>
    <x v="14"/>
    <d v="2026-04-02T00:00:00"/>
    <s v="Morning"/>
    <s v="Cow"/>
    <n v="69.12"/>
    <n v="3.7"/>
    <n v="8.5"/>
    <n v="38.630000000000003"/>
    <n v="2670.11"/>
    <s v="A"/>
  </r>
  <r>
    <s v="2001"/>
    <s v="200102"/>
    <s v="ITKI 2"/>
    <x v="15"/>
    <x v="15"/>
    <d v="2026-04-02T00:00:00"/>
    <s v="Morning"/>
    <s v="Cow"/>
    <n v="27"/>
    <n v="3.7"/>
    <n v="8.5"/>
    <n v="38.630000000000003"/>
    <n v="1043.01"/>
    <s v="M"/>
  </r>
  <r>
    <s v="2001"/>
    <s v="200102"/>
    <s v="ITKI 2"/>
    <x v="19"/>
    <x v="19"/>
    <d v="2026-04-02T00:00:00"/>
    <s v="Morning"/>
    <s v="Cow"/>
    <n v="19.059999999999999"/>
    <n v="4.7"/>
    <n v="8.8000000000000007"/>
    <n v="43.13"/>
    <n v="822.06"/>
    <s v="A"/>
  </r>
  <r>
    <s v="2001"/>
    <s v="200102"/>
    <s v="ITKI 2"/>
    <x v="10"/>
    <x v="10"/>
    <d v="2026-04-02T00:00:00"/>
    <s v="Morning"/>
    <s v="Cow"/>
    <n v="133.16"/>
    <n v="3.8"/>
    <n v="8.1999999999999993"/>
    <n v="37.46"/>
    <n v="4988.17"/>
    <s v="A"/>
  </r>
  <r>
    <s v="2001"/>
    <s v="200102"/>
    <s v="ITKI 2"/>
    <x v="18"/>
    <x v="18"/>
    <d v="2026-04-02T00:00:00"/>
    <s v="Morning"/>
    <s v="Cow"/>
    <n v="19.66"/>
    <n v="4.0999999999999996"/>
    <n v="7.5"/>
    <n v="34.369999999999997"/>
    <n v="675.71"/>
    <s v="A"/>
  </r>
  <r>
    <s v="2001"/>
    <s v="200102"/>
    <s v="ITKI 2"/>
    <x v="24"/>
    <x v="24"/>
    <d v="2026-04-02T00:00:00"/>
    <s v="Morning"/>
    <s v="Cow"/>
    <n v="60.3"/>
    <n v="4"/>
    <n v="8.1"/>
    <n v="37.950000000000003"/>
    <n v="2288.39"/>
    <s v="A"/>
  </r>
  <r>
    <s v="2001"/>
    <s v="200102"/>
    <s v="ITKI 2"/>
    <x v="22"/>
    <x v="22"/>
    <d v="2026-04-02T00:00:00"/>
    <s v="Morning"/>
    <s v="Cow"/>
    <n v="15.86"/>
    <n v="4"/>
    <n v="8.1"/>
    <n v="37.950000000000003"/>
    <n v="601.89"/>
    <s v="A"/>
  </r>
  <r>
    <s v="2001"/>
    <s v="200102"/>
    <s v="ITKI 2"/>
    <x v="20"/>
    <x v="20"/>
    <d v="2026-04-02T00:00:00"/>
    <s v="Morning"/>
    <s v="Cow"/>
    <n v="32.36"/>
    <n v="4.4000000000000004"/>
    <n v="8.1999999999999993"/>
    <n v="39.65"/>
    <n v="1283.07"/>
    <s v="A"/>
  </r>
  <r>
    <s v="2001"/>
    <s v="200102"/>
    <s v="ITKI 2"/>
    <x v="23"/>
    <x v="23"/>
    <d v="2026-04-02T00:00:00"/>
    <s v="Morning"/>
    <s v="Cow"/>
    <n v="58.28"/>
    <n v="4.0999999999999996"/>
    <n v="8.3000000000000007"/>
    <n v="39.25"/>
    <n v="2287.4899999999998"/>
    <s v="A"/>
  </r>
  <r>
    <s v="2001"/>
    <s v="200102"/>
    <s v="ITKI 2"/>
    <x v="17"/>
    <x v="17"/>
    <d v="2026-04-02T00:00:00"/>
    <s v="Morning"/>
    <s v="Cow"/>
    <n v="10.38"/>
    <n v="4.0999999999999996"/>
    <n v="8.3000000000000007"/>
    <n v="39.25"/>
    <n v="407.42"/>
    <s v="A"/>
  </r>
  <r>
    <s v="2001"/>
    <s v="200102"/>
    <s v="ITKI 2"/>
    <x v="21"/>
    <x v="21"/>
    <d v="2026-04-02T00:00:00"/>
    <s v="Morning"/>
    <s v="Cow"/>
    <n v="15.72"/>
    <n v="4.0999999999999996"/>
    <n v="7.9"/>
    <n v="36.229999999999997"/>
    <n v="569.54"/>
    <s v="A"/>
  </r>
  <r>
    <s v="2001"/>
    <s v="200101"/>
    <s v="Itki"/>
    <x v="3"/>
    <x v="3"/>
    <d v="2026-04-02T00:00:00"/>
    <s v="Morning"/>
    <s v="Cow"/>
    <n v="12.48"/>
    <n v="4.2"/>
    <n v="8.5"/>
    <n v="40.5"/>
    <n v="505.44"/>
    <s v="A"/>
  </r>
  <r>
    <s v="2001"/>
    <s v="200101"/>
    <s v="Itki"/>
    <x v="4"/>
    <x v="4"/>
    <d v="2026-04-02T00:00:00"/>
    <s v="Morning"/>
    <s v="Cow"/>
    <n v="37.44"/>
    <n v="4.3"/>
    <n v="8.5"/>
    <n v="40.880000000000003"/>
    <n v="1530.55"/>
    <s v="A"/>
  </r>
  <r>
    <s v="2001"/>
    <s v="200101"/>
    <s v="Itki"/>
    <x v="5"/>
    <x v="5"/>
    <d v="2026-04-02T00:00:00"/>
    <s v="Morning"/>
    <s v="Cow"/>
    <n v="153.69999999999999"/>
    <n v="3.6"/>
    <n v="8.1"/>
    <n v="36.49"/>
    <n v="5608.51"/>
    <s v="A"/>
  </r>
  <r>
    <s v="2001"/>
    <s v="200101"/>
    <s v="Itki"/>
    <x v="6"/>
    <x v="6"/>
    <d v="2026-04-02T00:00:00"/>
    <s v="Morning"/>
    <s v="Cow"/>
    <n v="92.88"/>
    <n v="3.8"/>
    <n v="8.1999999999999993"/>
    <n v="37.46"/>
    <n v="3479.28"/>
    <s v="A"/>
  </r>
  <r>
    <s v="2001"/>
    <s v="200101"/>
    <s v="Itki"/>
    <x v="7"/>
    <x v="7"/>
    <d v="2026-04-02T00:00:00"/>
    <s v="Morning"/>
    <s v="Mix"/>
    <n v="56.16"/>
    <n v="5"/>
    <n v="8.5"/>
    <n v="43.67"/>
    <n v="2452.5100000000002"/>
    <s v="A"/>
  </r>
  <r>
    <s v="2001"/>
    <s v="200101"/>
    <s v="Itki"/>
    <x v="8"/>
    <x v="8"/>
    <d v="2026-04-02T00:00:00"/>
    <s v="Morning"/>
    <s v="Cow"/>
    <n v="43.56"/>
    <n v="4.5999999999999996"/>
    <n v="8.1999999999999993"/>
    <n v="40.380000000000003"/>
    <n v="1758.95"/>
    <s v="A"/>
  </r>
  <r>
    <s v="2001"/>
    <s v="200101"/>
    <s v="Itki"/>
    <x v="9"/>
    <x v="9"/>
    <d v="2026-04-02T00:00:00"/>
    <s v="Morning"/>
    <s v="Cow"/>
    <n v="7"/>
    <n v="2.5"/>
    <n v="7.5"/>
    <n v="28.69"/>
    <n v="200.83"/>
    <s v="M"/>
  </r>
  <r>
    <s v="2001"/>
    <s v="200100"/>
    <s v="DIRECT"/>
    <x v="26"/>
    <x v="26"/>
    <d v="2026-04-02T00:00:00"/>
    <s v="Morning"/>
    <s v="Cow"/>
    <n v="2810.42"/>
    <n v="4.5999999999999996"/>
    <n v="8.5"/>
    <n v="41.94"/>
    <n v="117867.95"/>
    <s v="A"/>
  </r>
  <r>
    <s v="2001"/>
    <s v="200100"/>
    <s v="DIRECT"/>
    <x v="26"/>
    <x v="26"/>
    <d v="2026-04-02T00:00:00"/>
    <s v="Morning"/>
    <s v="Mix"/>
    <n v="9.26"/>
    <n v="5.3"/>
    <n v="9"/>
    <n v="45.65"/>
    <n v="422.74"/>
    <s v="A"/>
  </r>
  <r>
    <s v="2001"/>
    <s v="200101"/>
    <s v="Itki"/>
    <x v="1"/>
    <x v="1"/>
    <d v="2026-04-02T00:00:00"/>
    <s v="Evening"/>
    <s v="Cow"/>
    <n v="154.94"/>
    <n v="4.2"/>
    <n v="8.4"/>
    <n v="39.869999999999997"/>
    <n v="6177.46"/>
    <s v="A"/>
  </r>
  <r>
    <s v="2001"/>
    <s v="200101"/>
    <s v="Itki"/>
    <x v="2"/>
    <x v="2"/>
    <d v="2026-04-02T00:00:00"/>
    <s v="Evening"/>
    <s v="Cow"/>
    <n v="38.04"/>
    <n v="3.5"/>
    <n v="8"/>
    <n v="35.880000000000003"/>
    <n v="1364.88"/>
    <s v="A"/>
  </r>
  <r>
    <s v="2001"/>
    <s v="200102"/>
    <s v="ITKI 2"/>
    <x v="10"/>
    <x v="10"/>
    <d v="2026-04-02T00:00:00"/>
    <s v="Evening"/>
    <s v="Cow"/>
    <n v="76.66"/>
    <n v="3.4"/>
    <n v="8.1"/>
    <n v="35.76"/>
    <n v="2741.36"/>
    <s v="A"/>
  </r>
  <r>
    <s v="2001"/>
    <s v="200102"/>
    <s v="ITKI 2"/>
    <x v="13"/>
    <x v="13"/>
    <d v="2026-04-02T00:00:00"/>
    <s v="Evening"/>
    <s v="Cow"/>
    <n v="24.78"/>
    <n v="3.2"/>
    <n v="8.1"/>
    <n v="35.03"/>
    <n v="868.04"/>
    <s v="A"/>
  </r>
  <r>
    <s v="2001"/>
    <s v="200102"/>
    <s v="ITKI 2"/>
    <x v="16"/>
    <x v="16"/>
    <d v="2026-04-02T00:00:00"/>
    <s v="Evening"/>
    <s v="Cow"/>
    <n v="21.04"/>
    <n v="3.3"/>
    <n v="7.9"/>
    <n v="33.39"/>
    <n v="702.53"/>
    <s v="A"/>
  </r>
  <r>
    <s v="2001"/>
    <s v="200102"/>
    <s v="ITKI 2"/>
    <x v="20"/>
    <x v="20"/>
    <d v="2026-04-02T00:00:00"/>
    <s v="Evening"/>
    <s v="Cow"/>
    <n v="25.16"/>
    <n v="4.2"/>
    <n v="8.1999999999999993"/>
    <n v="38.92"/>
    <n v="979.23"/>
    <s v="A"/>
  </r>
  <r>
    <s v="2001"/>
    <s v="200102"/>
    <s v="ITKI 2"/>
    <x v="15"/>
    <x v="15"/>
    <d v="2026-04-02T00:00:00"/>
    <s v="Evening"/>
    <s v="Cow"/>
    <n v="30.74"/>
    <n v="4.2"/>
    <n v="8.1999999999999993"/>
    <n v="38.92"/>
    <n v="1196.4000000000001"/>
    <s v="A"/>
  </r>
  <r>
    <s v="2001"/>
    <s v="200102"/>
    <s v="ITKI 2"/>
    <x v="12"/>
    <x v="12"/>
    <d v="2026-04-02T00:00:00"/>
    <s v="Evening"/>
    <s v="Cow"/>
    <n v="44.14"/>
    <n v="4.4000000000000004"/>
    <n v="8.1"/>
    <n v="39.409999999999997"/>
    <n v="1739.56"/>
    <s v="A"/>
  </r>
  <r>
    <s v="2001"/>
    <s v="200102"/>
    <s v="ITKI 2"/>
    <x v="14"/>
    <x v="14"/>
    <d v="2026-04-02T00:00:00"/>
    <s v="Evening"/>
    <s v="Cow"/>
    <n v="36.78"/>
    <n v="3.4"/>
    <n v="8.4"/>
    <n v="36.909999999999997"/>
    <n v="1357.55"/>
    <s v="A"/>
  </r>
  <r>
    <s v="2001"/>
    <s v="200102"/>
    <s v="ITKI 2"/>
    <x v="23"/>
    <x v="23"/>
    <d v="2026-04-02T00:00:00"/>
    <s v="Evening"/>
    <s v="Cow"/>
    <n v="33.32"/>
    <n v="3.5"/>
    <n v="8"/>
    <n v="35.880000000000003"/>
    <n v="1195.52"/>
    <s v="A"/>
  </r>
  <r>
    <s v="2001"/>
    <s v="200102"/>
    <s v="ITKI 2"/>
    <x v="24"/>
    <x v="24"/>
    <d v="2026-04-02T00:00:00"/>
    <s v="Evening"/>
    <s v="Cow"/>
    <n v="29.98"/>
    <n v="4"/>
    <n v="8"/>
    <n v="37.700000000000003"/>
    <n v="1130.25"/>
    <s v="A"/>
  </r>
  <r>
    <s v="2001"/>
    <s v="200102"/>
    <s v="ITKI 2"/>
    <x v="11"/>
    <x v="11"/>
    <d v="2026-04-02T00:00:00"/>
    <s v="Evening"/>
    <s v="Cow"/>
    <n v="39.659999999999997"/>
    <n v="3.7"/>
    <n v="8.5"/>
    <n v="38.630000000000003"/>
    <n v="1532.07"/>
    <s v="A"/>
  </r>
  <r>
    <s v="2001"/>
    <s v="200102"/>
    <s v="ITKI 2"/>
    <x v="21"/>
    <x v="21"/>
    <d v="2026-04-02T00:00:00"/>
    <s v="Evening"/>
    <s v="Cow"/>
    <n v="6.38"/>
    <n v="3.7"/>
    <n v="8.5"/>
    <n v="38.630000000000003"/>
    <n v="246.46"/>
    <s v="A"/>
  </r>
  <r>
    <s v="2001"/>
    <s v="200102"/>
    <s v="ITKI 2"/>
    <x v="17"/>
    <x v="17"/>
    <d v="2026-04-02T00:00:00"/>
    <s v="Evening"/>
    <s v="Cow"/>
    <n v="6.62"/>
    <n v="3.7"/>
    <n v="8.5"/>
    <n v="38.630000000000003"/>
    <n v="255.73"/>
    <s v="A"/>
  </r>
  <r>
    <s v="2001"/>
    <s v="200102"/>
    <s v="ITKI 2"/>
    <x v="18"/>
    <x v="18"/>
    <d v="2026-04-02T00:00:00"/>
    <s v="Evening"/>
    <s v="Cow"/>
    <n v="12.58"/>
    <n v="4.2"/>
    <n v="7.7"/>
    <n v="35.74"/>
    <n v="449.61"/>
    <s v="A"/>
  </r>
  <r>
    <s v="2001"/>
    <s v="200101"/>
    <s v="Itki"/>
    <x v="4"/>
    <x v="4"/>
    <d v="2026-04-02T00:00:00"/>
    <s v="Evening"/>
    <s v="Cow"/>
    <n v="90.22"/>
    <n v="3.8"/>
    <n v="8.1"/>
    <n v="37.22"/>
    <n v="3357.99"/>
    <s v="A"/>
  </r>
  <r>
    <s v="2001"/>
    <s v="200101"/>
    <s v="Itki"/>
    <x v="3"/>
    <x v="3"/>
    <d v="2026-04-02T00:00:00"/>
    <s v="Evening"/>
    <s v="Cow"/>
    <n v="12.42"/>
    <n v="4.2"/>
    <n v="8.6"/>
    <n v="40.75"/>
    <n v="506.12"/>
    <s v="A"/>
  </r>
  <r>
    <s v="2001"/>
    <s v="200101"/>
    <s v="Itki"/>
    <x v="5"/>
    <x v="5"/>
    <d v="2026-04-02T00:00:00"/>
    <s v="Evening"/>
    <s v="Cow"/>
    <n v="117.84"/>
    <n v="3.6"/>
    <n v="7.7"/>
    <n v="33.61"/>
    <n v="3960.6"/>
    <s v="A"/>
  </r>
  <r>
    <s v="2001"/>
    <s v="200101"/>
    <s v="Itki"/>
    <x v="6"/>
    <x v="6"/>
    <d v="2026-04-02T00:00:00"/>
    <s v="Evening"/>
    <s v="Cow"/>
    <n v="64.760000000000005"/>
    <n v="4.0999999999999996"/>
    <n v="8"/>
    <n v="38.07"/>
    <n v="2465.41"/>
    <s v="A"/>
  </r>
  <r>
    <s v="2001"/>
    <s v="200101"/>
    <s v="Itki"/>
    <x v="8"/>
    <x v="8"/>
    <d v="2026-04-02T00:00:00"/>
    <s v="Evening"/>
    <s v="Cow"/>
    <n v="20.58"/>
    <n v="4"/>
    <n v="7.8"/>
    <n v="35.64"/>
    <n v="733.47"/>
    <s v="A"/>
  </r>
  <r>
    <s v="2001"/>
    <s v="200101"/>
    <s v="Itki"/>
    <x v="7"/>
    <x v="7"/>
    <d v="2026-04-02T00:00:00"/>
    <s v="Evening"/>
    <s v="Cow"/>
    <n v="21.1"/>
    <n v="3.5"/>
    <n v="7.5"/>
    <n v="32.24"/>
    <n v="680.26"/>
    <s v="M"/>
  </r>
  <r>
    <s v="2001"/>
    <s v="200101"/>
    <s v="Itki"/>
    <x v="9"/>
    <x v="9"/>
    <d v="2026-04-02T00:00:00"/>
    <s v="Evening"/>
    <s v="Cow"/>
    <n v="5"/>
    <n v="2.5"/>
    <n v="7.5"/>
    <n v="28.69"/>
    <n v="143.44999999999999"/>
    <s v="M"/>
  </r>
  <r>
    <s v="2001"/>
    <s v="200101"/>
    <s v="Itki"/>
    <x v="25"/>
    <x v="25"/>
    <d v="2026-04-02T00:00:00"/>
    <s v="Evening"/>
    <s v="Cow"/>
    <n v="4.8"/>
    <n v="4.5"/>
    <n v="8.6"/>
    <n v="41.88"/>
    <n v="201.02"/>
    <s v="M"/>
  </r>
  <r>
    <s v="2001"/>
    <s v="200100"/>
    <s v="DIRECT"/>
    <x v="26"/>
    <x v="26"/>
    <d v="2026-04-02T00:00:00"/>
    <s v="Evening"/>
    <s v="Cow"/>
    <n v="3010.22"/>
    <n v="4.7"/>
    <n v="8.5"/>
    <n v="42.38"/>
    <n v="127573.12"/>
    <s v="A"/>
  </r>
  <r>
    <s v="2001"/>
    <s v="200100"/>
    <s v="DIRECT"/>
    <x v="26"/>
    <x v="26"/>
    <d v="2026-04-02T00:00:00"/>
    <s v="Evening"/>
    <s v="Mix"/>
    <n v="20.84"/>
    <n v="4.9000000000000004"/>
    <n v="8.3000000000000007"/>
    <n v="41.23"/>
    <n v="859.28"/>
    <s v="A"/>
  </r>
  <r>
    <s v="2002"/>
    <s v="200203"/>
    <s v="Baski 2"/>
    <x v="27"/>
    <x v="27"/>
    <d v="2026-04-01T00:00:00"/>
    <s v="Morning"/>
    <s v="Cow"/>
    <n v="137.6"/>
    <n v="4.2"/>
    <n v="8.4"/>
    <n v="39.869999999999997"/>
    <n v="5486.11"/>
    <s v="M"/>
  </r>
  <r>
    <s v="2002"/>
    <s v="200203"/>
    <s v="Baski 2"/>
    <x v="28"/>
    <x v="28"/>
    <d v="2026-04-01T00:00:00"/>
    <s v="Morning"/>
    <s v="Cow"/>
    <n v="82"/>
    <n v="3.7"/>
    <n v="8.5"/>
    <n v="38.630000000000003"/>
    <n v="3167.66"/>
    <s v="M"/>
  </r>
  <r>
    <s v="2002"/>
    <s v="200203"/>
    <s v="Baski 2"/>
    <x v="29"/>
    <x v="29"/>
    <d v="2026-04-01T00:00:00"/>
    <s v="Morning"/>
    <s v="Cow"/>
    <n v="52.5"/>
    <n v="4.0999999999999996"/>
    <n v="8.4"/>
    <n v="39.5"/>
    <n v="2073.75"/>
    <s v="M"/>
  </r>
  <r>
    <s v="2002"/>
    <s v="200203"/>
    <s v="Baski 2"/>
    <x v="30"/>
    <x v="30"/>
    <d v="2026-04-01T00:00:00"/>
    <s v="Morning"/>
    <s v="Cow"/>
    <n v="62.8"/>
    <n v="3.3"/>
    <n v="8.4"/>
    <n v="36.54"/>
    <n v="2294.71"/>
    <s v="M"/>
  </r>
  <r>
    <s v="2002"/>
    <s v="200203"/>
    <s v="Baski 2"/>
    <x v="31"/>
    <x v="31"/>
    <d v="2026-04-01T00:00:00"/>
    <s v="Morning"/>
    <s v="Cow"/>
    <n v="35"/>
    <n v="4"/>
    <n v="8.4"/>
    <n v="39.130000000000003"/>
    <n v="1369.55"/>
    <s v="M"/>
  </r>
  <r>
    <s v="2002"/>
    <s v="200203"/>
    <s v="Baski 2"/>
    <x v="32"/>
    <x v="32"/>
    <d v="2026-04-01T00:00:00"/>
    <s v="Morning"/>
    <s v="Cow"/>
    <n v="91.7"/>
    <n v="3.7"/>
    <n v="8.5"/>
    <n v="38.630000000000003"/>
    <n v="3542.37"/>
    <s v="M"/>
  </r>
  <r>
    <s v="2002"/>
    <s v="200203"/>
    <s v="Baski 2"/>
    <x v="33"/>
    <x v="33"/>
    <d v="2026-04-01T00:00:00"/>
    <s v="Morning"/>
    <s v="Cow"/>
    <n v="36.299999999999997"/>
    <n v="3.8"/>
    <n v="8.5"/>
    <n v="39"/>
    <n v="1415.7"/>
    <s v="A"/>
  </r>
  <r>
    <s v="2002"/>
    <s v="200202"/>
    <s v="PAALI 2"/>
    <x v="34"/>
    <x v="34"/>
    <d v="2026-04-01T00:00:00"/>
    <s v="Morning"/>
    <s v="Cow"/>
    <n v="121.3"/>
    <n v="3.6"/>
    <n v="8.6"/>
    <n v="38.5"/>
    <n v="4670.05"/>
    <s v="M"/>
  </r>
  <r>
    <s v="2002"/>
    <s v="200202"/>
    <s v="PAALI 2"/>
    <x v="35"/>
    <x v="35"/>
    <d v="2026-04-01T00:00:00"/>
    <s v="Morning"/>
    <s v="Cow"/>
    <n v="41.1"/>
    <n v="3.8"/>
    <n v="8.5"/>
    <n v="39"/>
    <n v="1602.9"/>
    <s v="M"/>
  </r>
  <r>
    <s v="2002"/>
    <s v="200202"/>
    <s v="PAALI 2"/>
    <x v="36"/>
    <x v="36"/>
    <d v="2026-04-01T00:00:00"/>
    <s v="Morning"/>
    <s v="Cow"/>
    <n v="18.399999999999999"/>
    <n v="4.8"/>
    <n v="8.3000000000000007"/>
    <n v="41.84"/>
    <n v="769.86"/>
    <s v="M"/>
  </r>
  <r>
    <s v="2002"/>
    <s v="200202"/>
    <s v="PAALI 2"/>
    <x v="37"/>
    <x v="37"/>
    <d v="2026-04-01T00:00:00"/>
    <s v="Morning"/>
    <s v="Cow"/>
    <n v="10.8"/>
    <n v="3.7"/>
    <n v="8.6999999999999993"/>
    <n v="39.130000000000003"/>
    <n v="422.6"/>
    <s v="M"/>
  </r>
  <r>
    <s v="2002"/>
    <s v="200202"/>
    <s v="PAALI 2"/>
    <x v="37"/>
    <x v="37"/>
    <d v="2026-04-01T00:00:00"/>
    <s v="Morning"/>
    <s v="Cow"/>
    <n v="40.700000000000003"/>
    <n v="3.7"/>
    <n v="8.6999999999999993"/>
    <n v="39.130000000000003"/>
    <n v="1592.59"/>
    <s v="M"/>
  </r>
  <r>
    <s v="2002"/>
    <s v="200202"/>
    <s v="PAALI 2"/>
    <x v="38"/>
    <x v="38"/>
    <d v="2026-04-01T00:00:00"/>
    <s v="Morning"/>
    <s v="Cow"/>
    <n v="117"/>
    <n v="3.4"/>
    <n v="8.3000000000000007"/>
    <n v="36.659999999999997"/>
    <n v="4289.22"/>
    <s v="M"/>
  </r>
  <r>
    <s v="2002"/>
    <s v="200201"/>
    <s v="Paali"/>
    <x v="39"/>
    <x v="39"/>
    <d v="2026-04-01T00:00:00"/>
    <s v="Morning"/>
    <s v="Cow"/>
    <n v="71.599999999999994"/>
    <n v="3.7"/>
    <n v="8.4"/>
    <n v="38.020000000000003"/>
    <n v="2722.23"/>
    <s v="M"/>
  </r>
  <r>
    <s v="2002"/>
    <s v="200201"/>
    <s v="Paali"/>
    <x v="40"/>
    <x v="40"/>
    <d v="2026-04-01T00:00:00"/>
    <s v="Morning"/>
    <s v="Cow"/>
    <n v="58.4"/>
    <n v="3.9"/>
    <n v="8.4"/>
    <n v="38.76"/>
    <n v="2263.58"/>
    <s v="M"/>
  </r>
  <r>
    <s v="2002"/>
    <s v="200201"/>
    <s v="Paali"/>
    <x v="41"/>
    <x v="41"/>
    <d v="2026-04-01T00:00:00"/>
    <s v="Morning"/>
    <s v="Cow"/>
    <n v="120.1"/>
    <n v="3.9"/>
    <n v="8.5"/>
    <n v="39.380000000000003"/>
    <n v="4729.54"/>
    <s v="M"/>
  </r>
  <r>
    <s v="2002"/>
    <s v="200201"/>
    <s v="Paali"/>
    <x v="42"/>
    <x v="42"/>
    <d v="2026-04-01T00:00:00"/>
    <s v="Morning"/>
    <s v="Cow"/>
    <n v="148.69999999999999"/>
    <n v="3.5"/>
    <n v="8.6"/>
    <n v="38.130000000000003"/>
    <n v="5669.93"/>
    <s v="M"/>
  </r>
  <r>
    <s v="2002"/>
    <s v="200201"/>
    <s v="Paali"/>
    <x v="43"/>
    <x v="43"/>
    <d v="2026-04-01T00:00:00"/>
    <s v="Morning"/>
    <s v="Cow"/>
    <n v="151.6"/>
    <n v="3.9"/>
    <n v="8.4"/>
    <n v="38.76"/>
    <n v="5876.02"/>
    <s v="M"/>
  </r>
  <r>
    <s v="2002"/>
    <s v="200201"/>
    <s v="Paali"/>
    <x v="44"/>
    <x v="44"/>
    <d v="2026-04-01T00:00:00"/>
    <s v="Morning"/>
    <s v="Cow"/>
    <n v="37"/>
    <n v="3.5"/>
    <n v="8.4"/>
    <n v="37.28"/>
    <n v="1379.36"/>
    <s v="M"/>
  </r>
  <r>
    <s v="2002"/>
    <s v="200201"/>
    <s v="Paali"/>
    <x v="45"/>
    <x v="45"/>
    <d v="2026-04-01T00:00:00"/>
    <s v="Morning"/>
    <s v="Cow"/>
    <n v="40.1"/>
    <n v="3.2"/>
    <n v="8.3000000000000007"/>
    <n v="35.92"/>
    <n v="1440.39"/>
    <s v="M"/>
  </r>
  <r>
    <s v="2002"/>
    <s v="200200"/>
    <s v="DIRECT"/>
    <x v="46"/>
    <x v="46"/>
    <d v="2026-04-01T00:00:00"/>
    <s v="Morning"/>
    <s v="Cow"/>
    <n v="657.3"/>
    <n v="4.2"/>
    <n v="8.5"/>
    <n v="40.549999999999997"/>
    <n v="26655.360000000001"/>
    <s v="A"/>
  </r>
  <r>
    <s v="2002"/>
    <s v="200200"/>
    <s v="DIRECT"/>
    <x v="46"/>
    <x v="46"/>
    <d v="2026-04-01T00:00:00"/>
    <s v="Morning"/>
    <s v="Mix"/>
    <n v="33.9"/>
    <n v="6.9"/>
    <n v="8.6"/>
    <n v="54.91"/>
    <n v="1861.59"/>
    <s v="A"/>
  </r>
  <r>
    <s v="2002"/>
    <s v="200203"/>
    <s v="Baski 2"/>
    <x v="27"/>
    <x v="27"/>
    <d v="2026-04-01T00:00:00"/>
    <s v="Evening"/>
    <s v="Cow"/>
    <n v="42.8"/>
    <n v="3.5"/>
    <n v="8.5"/>
    <n v="37.880000000000003"/>
    <n v="1621.26"/>
    <s v="M"/>
  </r>
  <r>
    <s v="2002"/>
    <s v="200203"/>
    <s v="Baski 2"/>
    <x v="29"/>
    <x v="29"/>
    <d v="2026-04-01T00:00:00"/>
    <s v="Evening"/>
    <s v="Cow"/>
    <n v="16.399999999999999"/>
    <n v="3.5"/>
    <n v="8.5"/>
    <n v="37.880000000000003"/>
    <n v="621.23"/>
    <s v="M"/>
  </r>
  <r>
    <s v="2002"/>
    <s v="200203"/>
    <s v="Baski 2"/>
    <x v="28"/>
    <x v="28"/>
    <d v="2026-04-01T00:00:00"/>
    <s v="Evening"/>
    <s v="Cow"/>
    <n v="24.1"/>
    <n v="3.8"/>
    <n v="8.5"/>
    <n v="39"/>
    <n v="939.9"/>
    <s v="M"/>
  </r>
  <r>
    <s v="2002"/>
    <s v="200203"/>
    <s v="Baski 2"/>
    <x v="33"/>
    <x v="33"/>
    <d v="2026-04-01T00:00:00"/>
    <s v="Evening"/>
    <s v="Cow"/>
    <n v="17"/>
    <n v="4.2"/>
    <n v="8.5"/>
    <n v="40.5"/>
    <n v="688.5"/>
    <s v="M"/>
  </r>
  <r>
    <s v="2002"/>
    <s v="200203"/>
    <s v="Baski 2"/>
    <x v="32"/>
    <x v="32"/>
    <d v="2026-04-01T00:00:00"/>
    <s v="Evening"/>
    <s v="Cow"/>
    <n v="55.8"/>
    <n v="3.5"/>
    <n v="8.3000000000000007"/>
    <n v="37.03"/>
    <n v="2066.27"/>
    <s v="M"/>
  </r>
  <r>
    <s v="2002"/>
    <s v="200203"/>
    <s v="Baski 2"/>
    <x v="30"/>
    <x v="30"/>
    <d v="2026-04-01T00:00:00"/>
    <s v="Evening"/>
    <s v="Cow"/>
    <n v="33.799999999999997"/>
    <n v="3"/>
    <n v="8.3000000000000007"/>
    <n v="35.18"/>
    <n v="1189.08"/>
    <s v="M"/>
  </r>
  <r>
    <s v="2002"/>
    <s v="200203"/>
    <s v="Baski 2"/>
    <x v="31"/>
    <x v="31"/>
    <d v="2026-04-01T00:00:00"/>
    <s v="Evening"/>
    <s v="Cow"/>
    <n v="10"/>
    <n v="3.7"/>
    <n v="8.5"/>
    <n v="38.630000000000003"/>
    <n v="386.3"/>
    <s v="M"/>
  </r>
  <r>
    <s v="2002"/>
    <s v="200201"/>
    <s v="Paali"/>
    <x v="40"/>
    <x v="40"/>
    <d v="2026-04-01T00:00:00"/>
    <s v="Evening"/>
    <s v="Cow"/>
    <n v="76.599999999999994"/>
    <n v="3.5"/>
    <n v="8.5"/>
    <n v="37.880000000000003"/>
    <n v="2901.61"/>
    <s v="M"/>
  </r>
  <r>
    <s v="2002"/>
    <s v="200201"/>
    <s v="Paali"/>
    <x v="39"/>
    <x v="39"/>
    <d v="2026-04-01T00:00:00"/>
    <s v="Evening"/>
    <s v="Cow"/>
    <n v="23"/>
    <n v="3.4"/>
    <n v="8.4"/>
    <n v="36.909999999999997"/>
    <n v="848.93"/>
    <s v="M"/>
  </r>
  <r>
    <s v="2002"/>
    <s v="200201"/>
    <s v="Paali"/>
    <x v="41"/>
    <x v="41"/>
    <d v="2026-04-01T00:00:00"/>
    <s v="Evening"/>
    <s v="Cow"/>
    <n v="56.1"/>
    <n v="3.8"/>
    <n v="8.4"/>
    <n v="38.39"/>
    <n v="2153.6799999999998"/>
    <s v="M"/>
  </r>
  <r>
    <s v="2002"/>
    <s v="200201"/>
    <s v="Paali"/>
    <x v="42"/>
    <x v="42"/>
    <d v="2026-04-01T00:00:00"/>
    <s v="Evening"/>
    <s v="Cow"/>
    <n v="89.7"/>
    <n v="3.6"/>
    <n v="8.5"/>
    <n v="38.25"/>
    <n v="3431.03"/>
    <s v="M"/>
  </r>
  <r>
    <s v="2002"/>
    <s v="200201"/>
    <s v="Paali"/>
    <x v="43"/>
    <x v="43"/>
    <d v="2026-04-01T00:00:00"/>
    <s v="Evening"/>
    <s v="Cow"/>
    <n v="60.7"/>
    <n v="3.8"/>
    <n v="8.4"/>
    <n v="38.39"/>
    <n v="2330.27"/>
    <s v="M"/>
  </r>
  <r>
    <s v="2002"/>
    <s v="200201"/>
    <s v="Paali"/>
    <x v="44"/>
    <x v="44"/>
    <d v="2026-04-01T00:00:00"/>
    <s v="Evening"/>
    <s v="Cow"/>
    <n v="21.3"/>
    <n v="3.7"/>
    <n v="8.4"/>
    <n v="38.020000000000003"/>
    <n v="809.83"/>
    <s v="M"/>
  </r>
  <r>
    <s v="2002"/>
    <s v="200202"/>
    <s v="PAALI 2"/>
    <x v="34"/>
    <x v="34"/>
    <d v="2026-04-01T00:00:00"/>
    <s v="Evening"/>
    <s v="Cow"/>
    <n v="144.69999999999999"/>
    <n v="3.7"/>
    <n v="8.4"/>
    <n v="38.020000000000003"/>
    <n v="5501.49"/>
    <s v="M"/>
  </r>
  <r>
    <s v="2002"/>
    <s v="200202"/>
    <s v="PAALI 2"/>
    <x v="36"/>
    <x v="36"/>
    <d v="2026-04-01T00:00:00"/>
    <s v="Evening"/>
    <s v="Cow"/>
    <n v="6.5"/>
    <n v="3.3"/>
    <n v="8.3000000000000007"/>
    <n v="36.29"/>
    <n v="235.89"/>
    <s v="M"/>
  </r>
  <r>
    <s v="2002"/>
    <s v="200202"/>
    <s v="PAALI 2"/>
    <x v="35"/>
    <x v="35"/>
    <d v="2026-04-01T00:00:00"/>
    <s v="Evening"/>
    <s v="Cow"/>
    <n v="135"/>
    <n v="3.6"/>
    <n v="8.4"/>
    <n v="37.65"/>
    <n v="5082.75"/>
    <s v="M"/>
  </r>
  <r>
    <s v="2002"/>
    <s v="200202"/>
    <s v="PAALI 2"/>
    <x v="38"/>
    <x v="38"/>
    <d v="2026-04-01T00:00:00"/>
    <s v="Evening"/>
    <s v="Cow"/>
    <n v="104.6"/>
    <n v="3.8"/>
    <n v="8.4"/>
    <n v="38.39"/>
    <n v="4015.59"/>
    <s v="M"/>
  </r>
  <r>
    <s v="2002"/>
    <s v="200202"/>
    <s v="PAALI 2"/>
    <x v="37"/>
    <x v="37"/>
    <d v="2026-04-01T00:00:00"/>
    <s v="Evening"/>
    <s v="Cow"/>
    <n v="37.6"/>
    <n v="4"/>
    <n v="8.4"/>
    <n v="39.130000000000003"/>
    <n v="1471.29"/>
    <s v="M"/>
  </r>
  <r>
    <s v="2002"/>
    <s v="200201"/>
    <s v="Paali"/>
    <x v="45"/>
    <x v="45"/>
    <d v="2026-04-01T00:00:00"/>
    <s v="Evening"/>
    <s v="Cow"/>
    <n v="40.1"/>
    <n v="3.8"/>
    <n v="8.4"/>
    <n v="38.39"/>
    <n v="1539.44"/>
    <s v="M"/>
  </r>
  <r>
    <s v="2002"/>
    <s v="200200"/>
    <s v="DIRECT"/>
    <x v="46"/>
    <x v="46"/>
    <d v="2026-04-01T00:00:00"/>
    <s v="Evening"/>
    <s v="Cow"/>
    <n v="550.4"/>
    <n v="4"/>
    <n v="8.4"/>
    <n v="39.21"/>
    <n v="21581.72"/>
    <s v="A"/>
  </r>
  <r>
    <s v="2002"/>
    <s v="200200"/>
    <s v="DIRECT"/>
    <x v="46"/>
    <x v="46"/>
    <d v="2026-04-01T00:00:00"/>
    <s v="Evening"/>
    <s v="Mix"/>
    <n v="15"/>
    <n v="6.4"/>
    <n v="8.6"/>
    <n v="51.99"/>
    <n v="779.89"/>
    <s v="A"/>
  </r>
  <r>
    <s v="2002"/>
    <s v="200201"/>
    <s v="Paali"/>
    <x v="40"/>
    <x v="40"/>
    <d v="2026-04-02T00:00:00"/>
    <s v="Morning"/>
    <s v="Cow"/>
    <n v="104.3"/>
    <n v="3.7"/>
    <n v="8.5"/>
    <n v="38.630000000000003"/>
    <n v="4029.11"/>
    <s v="M"/>
  </r>
  <r>
    <s v="2002"/>
    <s v="200201"/>
    <s v="Paali"/>
    <x v="39"/>
    <x v="39"/>
    <d v="2026-04-02T00:00:00"/>
    <s v="Morning"/>
    <s v="Cow"/>
    <n v="58.4"/>
    <n v="4"/>
    <n v="8.3000000000000007"/>
    <n v="38.880000000000003"/>
    <n v="2270.59"/>
    <s v="M"/>
  </r>
  <r>
    <s v="2002"/>
    <s v="200201"/>
    <s v="Paali"/>
    <x v="41"/>
    <x v="41"/>
    <d v="2026-04-02T00:00:00"/>
    <s v="Morning"/>
    <s v="Cow"/>
    <n v="112.3"/>
    <n v="3.9"/>
    <n v="8.4"/>
    <n v="38.76"/>
    <n v="4352.75"/>
    <s v="M"/>
  </r>
  <r>
    <s v="2002"/>
    <s v="200201"/>
    <s v="Paali"/>
    <x v="42"/>
    <x v="42"/>
    <d v="2026-04-02T00:00:00"/>
    <s v="Morning"/>
    <s v="Cow"/>
    <n v="147.6"/>
    <n v="3.5"/>
    <n v="8.5"/>
    <n v="37.880000000000003"/>
    <n v="5591.09"/>
    <s v="M"/>
  </r>
  <r>
    <s v="2002"/>
    <s v="200201"/>
    <s v="Paali"/>
    <x v="43"/>
    <x v="43"/>
    <d v="2026-04-02T00:00:00"/>
    <s v="Morning"/>
    <s v="Cow"/>
    <n v="129.4"/>
    <n v="3.8"/>
    <n v="8.4"/>
    <n v="38.39"/>
    <n v="4967.67"/>
    <s v="M"/>
  </r>
  <r>
    <s v="2002"/>
    <s v="200201"/>
    <s v="Paali"/>
    <x v="44"/>
    <x v="44"/>
    <d v="2026-04-02T00:00:00"/>
    <s v="Morning"/>
    <s v="Cow"/>
    <n v="19.3"/>
    <n v="4"/>
    <n v="8.3000000000000007"/>
    <n v="38.880000000000003"/>
    <n v="750.38"/>
    <s v="M"/>
  </r>
  <r>
    <s v="2002"/>
    <s v="200203"/>
    <s v="Baski 2"/>
    <x v="27"/>
    <x v="27"/>
    <d v="2026-04-02T00:00:00"/>
    <s v="Morning"/>
    <s v="Cow"/>
    <n v="137.5"/>
    <n v="4.2"/>
    <n v="8.4"/>
    <n v="39.869999999999997"/>
    <n v="5482.13"/>
    <s v="M"/>
  </r>
  <r>
    <s v="2002"/>
    <s v="200203"/>
    <s v="Baski 2"/>
    <x v="28"/>
    <x v="28"/>
    <d v="2026-04-02T00:00:00"/>
    <s v="Morning"/>
    <s v="Cow"/>
    <n v="85.1"/>
    <n v="3.9"/>
    <n v="8.4"/>
    <n v="38.76"/>
    <n v="3298.48"/>
    <s v="M"/>
  </r>
  <r>
    <s v="2002"/>
    <s v="200203"/>
    <s v="Baski 2"/>
    <x v="29"/>
    <x v="29"/>
    <d v="2026-04-02T00:00:00"/>
    <s v="Morning"/>
    <s v="Cow"/>
    <n v="60.7"/>
    <n v="4"/>
    <n v="8.4"/>
    <n v="39.130000000000003"/>
    <n v="2375.19"/>
    <s v="M"/>
  </r>
  <r>
    <s v="2002"/>
    <s v="200203"/>
    <s v="Baski 2"/>
    <x v="30"/>
    <x v="30"/>
    <d v="2026-04-02T00:00:00"/>
    <s v="Morning"/>
    <s v="Cow"/>
    <n v="66.3"/>
    <n v="3.3"/>
    <n v="8.3000000000000007"/>
    <n v="36.29"/>
    <n v="2406.0300000000002"/>
    <s v="M"/>
  </r>
  <r>
    <s v="2002"/>
    <s v="200203"/>
    <s v="Baski 2"/>
    <x v="32"/>
    <x v="32"/>
    <d v="2026-04-02T00:00:00"/>
    <s v="Morning"/>
    <s v="Cow"/>
    <n v="86.5"/>
    <n v="3.7"/>
    <n v="8.5"/>
    <n v="38.630000000000003"/>
    <n v="3341.5"/>
    <s v="M"/>
  </r>
  <r>
    <s v="2002"/>
    <s v="200203"/>
    <s v="Baski 2"/>
    <x v="31"/>
    <x v="31"/>
    <d v="2026-04-02T00:00:00"/>
    <s v="Morning"/>
    <s v="Cow"/>
    <n v="34.200000000000003"/>
    <n v="3.9"/>
    <n v="8.5"/>
    <n v="39.380000000000003"/>
    <n v="1346.8"/>
    <s v="M"/>
  </r>
  <r>
    <s v="2002"/>
    <s v="200203"/>
    <s v="Baski 2"/>
    <x v="33"/>
    <x v="33"/>
    <d v="2026-04-02T00:00:00"/>
    <s v="Morning"/>
    <s v="Cow"/>
    <n v="38.9"/>
    <n v="4.2"/>
    <n v="8.4"/>
    <n v="39.869999999999997"/>
    <n v="1550.94"/>
    <s v="M"/>
  </r>
  <r>
    <s v="2002"/>
    <s v="200202"/>
    <s v="PAALI 2"/>
    <x v="34"/>
    <x v="34"/>
    <d v="2026-04-02T00:00:00"/>
    <s v="Morning"/>
    <s v="Cow"/>
    <n v="169.8"/>
    <n v="3.6"/>
    <n v="8.5"/>
    <n v="38.25"/>
    <n v="6494.85"/>
    <s v="M"/>
  </r>
  <r>
    <s v="2002"/>
    <s v="200202"/>
    <s v="PAALI 2"/>
    <x v="38"/>
    <x v="38"/>
    <d v="2026-04-02T00:00:00"/>
    <s v="Morning"/>
    <s v="Cow"/>
    <n v="112"/>
    <n v="3.3"/>
    <n v="8.4"/>
    <n v="36.54"/>
    <n v="4092.48"/>
    <s v="M"/>
  </r>
  <r>
    <s v="2002"/>
    <s v="200202"/>
    <s v="PAALI 2"/>
    <x v="36"/>
    <x v="36"/>
    <d v="2026-04-02T00:00:00"/>
    <s v="Morning"/>
    <s v="Cow"/>
    <n v="19"/>
    <n v="4.5999999999999996"/>
    <n v="8.5"/>
    <n v="42"/>
    <n v="798"/>
    <s v="M"/>
  </r>
  <r>
    <s v="2002"/>
    <s v="200202"/>
    <s v="PAALI 2"/>
    <x v="37"/>
    <x v="37"/>
    <d v="2026-04-02T00:00:00"/>
    <s v="Morning"/>
    <s v="Cow"/>
    <n v="52.5"/>
    <n v="3.5"/>
    <n v="8.4"/>
    <n v="37.28"/>
    <n v="1957.2"/>
    <s v="M"/>
  </r>
  <r>
    <s v="2002"/>
    <s v="200202"/>
    <s v="PAALI 2"/>
    <x v="35"/>
    <x v="35"/>
    <d v="2026-04-02T00:00:00"/>
    <s v="Morning"/>
    <s v="Cow"/>
    <n v="41.6"/>
    <n v="3.8"/>
    <n v="8.4"/>
    <n v="38.39"/>
    <n v="1597.02"/>
    <s v="M"/>
  </r>
  <r>
    <s v="2002"/>
    <s v="200202"/>
    <s v="PAALI 2"/>
    <x v="47"/>
    <x v="47"/>
    <d v="2026-04-02T00:00:00"/>
    <s v="Morning"/>
    <s v="Cow"/>
    <n v="30.9"/>
    <n v="4.4000000000000004"/>
    <n v="8.4"/>
    <n v="40.61"/>
    <n v="1254.8499999999999"/>
    <s v="M"/>
  </r>
  <r>
    <s v="2002"/>
    <s v="200201"/>
    <s v="Paali"/>
    <x v="45"/>
    <x v="45"/>
    <d v="2026-04-02T00:00:00"/>
    <s v="Morning"/>
    <s v="Cow"/>
    <n v="80.7"/>
    <n v="4"/>
    <n v="8.3000000000000007"/>
    <n v="38.880000000000003"/>
    <n v="3137.62"/>
    <s v="M"/>
  </r>
  <r>
    <s v="2002"/>
    <s v="200200"/>
    <s v="DIRECT"/>
    <x v="46"/>
    <x v="46"/>
    <d v="2026-04-02T00:00:00"/>
    <s v="Morning"/>
    <s v="Cow"/>
    <n v="1472.5"/>
    <n v="4.0999999999999996"/>
    <n v="8.4"/>
    <n v="39.39"/>
    <n v="57997.57"/>
    <s v="A"/>
  </r>
  <r>
    <s v="2002"/>
    <s v="200200"/>
    <s v="DIRECT"/>
    <x v="46"/>
    <x v="46"/>
    <d v="2026-04-02T00:00:00"/>
    <s v="Morning"/>
    <s v="Mix"/>
    <n v="43.4"/>
    <n v="6.7"/>
    <n v="8.6"/>
    <n v="54.03"/>
    <n v="2344.9699999999998"/>
    <s v="A"/>
  </r>
  <r>
    <s v="2002"/>
    <s v="200201"/>
    <s v="Paali"/>
    <x v="40"/>
    <x v="40"/>
    <d v="2026-04-02T00:00:00"/>
    <s v="Evening"/>
    <s v="Cow"/>
    <n v="76.7"/>
    <n v="3.8"/>
    <n v="8.4"/>
    <n v="38.39"/>
    <n v="2944.51"/>
    <s v="M"/>
  </r>
  <r>
    <s v="2002"/>
    <s v="200201"/>
    <s v="Paali"/>
    <x v="39"/>
    <x v="39"/>
    <d v="2026-04-02T00:00:00"/>
    <s v="Evening"/>
    <s v="Cow"/>
    <n v="26.9"/>
    <n v="3.7"/>
    <n v="8.4"/>
    <n v="38.020000000000003"/>
    <n v="1022.74"/>
    <s v="M"/>
  </r>
  <r>
    <s v="2002"/>
    <s v="200201"/>
    <s v="Paali"/>
    <x v="41"/>
    <x v="41"/>
    <d v="2026-04-02T00:00:00"/>
    <s v="Evening"/>
    <s v="Cow"/>
    <n v="55.7"/>
    <n v="3.8"/>
    <n v="8.5"/>
    <n v="39"/>
    <n v="2172.3000000000002"/>
    <s v="A"/>
  </r>
  <r>
    <s v="2002"/>
    <s v="200201"/>
    <s v="Paali"/>
    <x v="42"/>
    <x v="42"/>
    <d v="2026-04-02T00:00:00"/>
    <s v="Evening"/>
    <s v="Cow"/>
    <n v="80.400000000000006"/>
    <n v="3.5"/>
    <n v="8.3000000000000007"/>
    <n v="37.03"/>
    <n v="2977.21"/>
    <s v="M"/>
  </r>
  <r>
    <s v="2002"/>
    <s v="200201"/>
    <s v="Paali"/>
    <x v="43"/>
    <x v="43"/>
    <d v="2026-04-02T00:00:00"/>
    <s v="Evening"/>
    <s v="Cow"/>
    <n v="61"/>
    <n v="3.4"/>
    <n v="8.4"/>
    <n v="36.909999999999997"/>
    <n v="2251.5100000000002"/>
    <s v="M"/>
  </r>
  <r>
    <s v="2002"/>
    <s v="200201"/>
    <s v="Paali"/>
    <x v="44"/>
    <x v="44"/>
    <d v="2026-04-02T00:00:00"/>
    <s v="Evening"/>
    <s v="Cow"/>
    <n v="25"/>
    <n v="3.6"/>
    <n v="8.3000000000000007"/>
    <n v="37.4"/>
    <n v="935"/>
    <s v="M"/>
  </r>
  <r>
    <s v="2002"/>
    <s v="200201"/>
    <s v="Paali"/>
    <x v="42"/>
    <x v="42"/>
    <d v="2026-04-02T00:00:00"/>
    <s v="Evening"/>
    <s v="Cow"/>
    <n v="8.8000000000000007"/>
    <n v="3.5"/>
    <n v="8.3000000000000007"/>
    <n v="37.03"/>
    <n v="325.86"/>
    <s v="M"/>
  </r>
  <r>
    <s v="2002"/>
    <s v="200202"/>
    <s v="PAALI 2"/>
    <x v="34"/>
    <x v="34"/>
    <d v="2026-04-02T00:00:00"/>
    <s v="Evening"/>
    <s v="Cow"/>
    <n v="140.19999999999999"/>
    <n v="3.7"/>
    <n v="8.4"/>
    <n v="38.020000000000003"/>
    <n v="5330.4"/>
    <s v="M"/>
  </r>
  <r>
    <s v="2002"/>
    <s v="200202"/>
    <s v="PAALI 2"/>
    <x v="35"/>
    <x v="35"/>
    <d v="2026-04-02T00:00:00"/>
    <s v="Evening"/>
    <s v="Cow"/>
    <n v="110.8"/>
    <n v="3.3"/>
    <n v="8.3000000000000007"/>
    <n v="36.29"/>
    <n v="4020.93"/>
    <s v="M"/>
  </r>
  <r>
    <s v="2002"/>
    <s v="200202"/>
    <s v="PAALI 2"/>
    <x v="36"/>
    <x v="36"/>
    <d v="2026-04-02T00:00:00"/>
    <s v="Evening"/>
    <s v="Cow"/>
    <n v="7.9"/>
    <n v="3.3"/>
    <n v="8.4"/>
    <n v="36.54"/>
    <n v="288.67"/>
    <s v="M"/>
  </r>
  <r>
    <s v="2002"/>
    <s v="200202"/>
    <s v="PAALI 2"/>
    <x v="38"/>
    <x v="38"/>
    <d v="2026-04-02T00:00:00"/>
    <s v="Evening"/>
    <s v="Cow"/>
    <n v="97.6"/>
    <n v="3.6"/>
    <n v="8.3000000000000007"/>
    <n v="37.4"/>
    <n v="3650.24"/>
    <s v="M"/>
  </r>
  <r>
    <s v="2002"/>
    <s v="200202"/>
    <s v="PAALI 2"/>
    <x v="47"/>
    <x v="47"/>
    <d v="2026-04-02T00:00:00"/>
    <s v="Evening"/>
    <s v="Cow"/>
    <n v="20.3"/>
    <n v="4.7"/>
    <n v="8.4"/>
    <n v="41.72"/>
    <n v="846.92"/>
    <s v="M"/>
  </r>
  <r>
    <s v="2002"/>
    <s v="200202"/>
    <s v="PAALI 2"/>
    <x v="37"/>
    <x v="37"/>
    <d v="2026-04-02T00:00:00"/>
    <s v="Evening"/>
    <s v="Cow"/>
    <n v="36.200000000000003"/>
    <n v="3.9"/>
    <n v="8.4"/>
    <n v="38.76"/>
    <n v="1403.11"/>
    <s v="M"/>
  </r>
  <r>
    <s v="2002"/>
    <s v="200203"/>
    <s v="Baski 2"/>
    <x v="33"/>
    <x v="33"/>
    <d v="2026-04-02T00:00:00"/>
    <s v="Evening"/>
    <s v="Cow"/>
    <n v="7.2"/>
    <n v="4"/>
    <n v="8.3000000000000007"/>
    <n v="38.880000000000003"/>
    <n v="279.94"/>
    <s v="M"/>
  </r>
  <r>
    <s v="2002"/>
    <s v="200203"/>
    <s v="Baski 2"/>
    <x v="28"/>
    <x v="28"/>
    <d v="2026-04-02T00:00:00"/>
    <s v="Evening"/>
    <s v="Cow"/>
    <n v="21.1"/>
    <n v="3.8"/>
    <n v="8.4"/>
    <n v="38.39"/>
    <n v="810.03"/>
    <s v="M"/>
  </r>
  <r>
    <s v="2002"/>
    <s v="200203"/>
    <s v="Baski 2"/>
    <x v="30"/>
    <x v="30"/>
    <d v="2026-04-02T00:00:00"/>
    <s v="Evening"/>
    <s v="Cow"/>
    <n v="34.200000000000003"/>
    <n v="3.1"/>
    <n v="8.3000000000000007"/>
    <n v="35.549999999999997"/>
    <n v="1215.81"/>
    <s v="M"/>
  </r>
  <r>
    <s v="2002"/>
    <s v="200203"/>
    <s v="Baski 2"/>
    <x v="32"/>
    <x v="32"/>
    <d v="2026-04-02T00:00:00"/>
    <s v="Evening"/>
    <s v="Cow"/>
    <n v="57.2"/>
    <n v="3.8"/>
    <n v="8.4"/>
    <n v="38.39"/>
    <n v="2195.91"/>
    <s v="M"/>
  </r>
  <r>
    <s v="2002"/>
    <s v="200203"/>
    <s v="Baski 2"/>
    <x v="29"/>
    <x v="29"/>
    <d v="2026-04-02T00:00:00"/>
    <s v="Evening"/>
    <s v="Cow"/>
    <n v="15.9"/>
    <n v="4"/>
    <n v="8.4"/>
    <n v="39.130000000000003"/>
    <n v="622.16999999999996"/>
    <s v="M"/>
  </r>
  <r>
    <s v="2002"/>
    <s v="200203"/>
    <s v="Baski 2"/>
    <x v="31"/>
    <x v="31"/>
    <d v="2026-04-02T00:00:00"/>
    <s v="Evening"/>
    <s v="Cow"/>
    <n v="26.2"/>
    <n v="4.4000000000000004"/>
    <n v="8.4"/>
    <n v="40.61"/>
    <n v="1063.98"/>
    <s v="M"/>
  </r>
  <r>
    <s v="2002"/>
    <s v="200200"/>
    <s v="DIRECT"/>
    <x v="46"/>
    <x v="46"/>
    <d v="2026-04-02T00:00:00"/>
    <s v="Evening"/>
    <s v="Cow"/>
    <n v="616.5"/>
    <n v="4.0999999999999996"/>
    <n v="8.4"/>
    <n v="39.29"/>
    <n v="24221.19"/>
    <s v="A"/>
  </r>
  <r>
    <s v="2002"/>
    <s v="200200"/>
    <s v="DIRECT"/>
    <x v="46"/>
    <x v="46"/>
    <d v="2026-04-02T00:00:00"/>
    <s v="Evening"/>
    <s v="Mix"/>
    <n v="37.6"/>
    <n v="6"/>
    <n v="8.4"/>
    <n v="49.23"/>
    <n v="1850.9"/>
    <s v="A"/>
  </r>
  <r>
    <s v="2002"/>
    <s v="200203"/>
    <s v="Baski 2"/>
    <x v="27"/>
    <x v="27"/>
    <d v="2026-04-02T00:00:00"/>
    <s v="Evening"/>
    <s v="Cow"/>
    <n v="43"/>
    <n v="3.9"/>
    <n v="8.3000000000000007"/>
    <n v="38.51"/>
    <n v="1655.93"/>
    <s v="M"/>
  </r>
  <r>
    <s v="2003"/>
    <s v="200301"/>
    <s v="Hisri Thakurgaon"/>
    <x v="48"/>
    <x v="48"/>
    <d v="2026-04-01T00:00:00"/>
    <s v="Morning"/>
    <s v="Cow"/>
    <n v="4.72"/>
    <n v="3.8"/>
    <n v="8.6"/>
    <n v="39.25"/>
    <n v="185.26"/>
    <s v="A"/>
  </r>
  <r>
    <s v="2003"/>
    <s v="200301"/>
    <s v="Hisri Thakurgaon"/>
    <x v="49"/>
    <x v="49"/>
    <d v="2026-04-01T00:00:00"/>
    <s v="Morning"/>
    <s v="Cow"/>
    <n v="42.51"/>
    <n v="3.8"/>
    <n v="8"/>
    <n v="36.97"/>
    <n v="1571.59"/>
    <s v="A"/>
  </r>
  <r>
    <s v="2003"/>
    <s v="200301"/>
    <s v="Hisri Thakurgaon"/>
    <x v="50"/>
    <x v="50"/>
    <d v="2026-04-01T00:00:00"/>
    <s v="Morning"/>
    <s v="Cow"/>
    <n v="39.950000000000003"/>
    <n v="3.8"/>
    <n v="8"/>
    <n v="36.97"/>
    <n v="1476.95"/>
    <s v="A"/>
  </r>
  <r>
    <s v="2003"/>
    <s v="200301"/>
    <s v="Hisri Thakurgaon"/>
    <x v="51"/>
    <x v="51"/>
    <d v="2026-04-01T00:00:00"/>
    <s v="Morning"/>
    <s v="Cow"/>
    <n v="47.57"/>
    <n v="4"/>
    <n v="8.3000000000000007"/>
    <n v="38.880000000000003"/>
    <n v="1849.52"/>
    <s v="A"/>
  </r>
  <r>
    <s v="2003"/>
    <s v="200300"/>
    <s v="DIRECT"/>
    <x v="52"/>
    <x v="52"/>
    <d v="2026-04-01T00:00:00"/>
    <s v="Morning"/>
    <s v="Cow"/>
    <n v="452.11"/>
    <n v="3.7"/>
    <n v="8.4"/>
    <n v="37.58"/>
    <n v="16989.990000000002"/>
    <s v="A"/>
  </r>
  <r>
    <s v="2003"/>
    <s v="200300"/>
    <s v="DIRECT"/>
    <x v="52"/>
    <x v="52"/>
    <d v="2026-04-01T00:00:00"/>
    <s v="Morning"/>
    <s v="Mix"/>
    <n v="12.37"/>
    <n v="5.2"/>
    <n v="8.6"/>
    <n v="44.03"/>
    <n v="544.61"/>
    <s v="A"/>
  </r>
  <r>
    <s v="2003"/>
    <s v="200301"/>
    <s v="Hisri Thakurgaon"/>
    <x v="48"/>
    <x v="48"/>
    <d v="2026-04-01T00:00:00"/>
    <s v="Evening"/>
    <s v="Cow"/>
    <n v="6.95"/>
    <n v="4.3"/>
    <n v="8.6999999999999993"/>
    <n v="41.38"/>
    <n v="287.58999999999997"/>
    <s v="A"/>
  </r>
  <r>
    <s v="2003"/>
    <s v="200300"/>
    <s v="DIRECT"/>
    <x v="52"/>
    <x v="52"/>
    <d v="2026-04-01T00:00:00"/>
    <s v="Evening"/>
    <s v="Cow"/>
    <n v="183.46"/>
    <n v="3.6"/>
    <n v="8.1"/>
    <n v="35.869999999999997"/>
    <n v="6581.43"/>
    <s v="A"/>
  </r>
  <r>
    <s v="2003"/>
    <s v="200300"/>
    <s v="DIRECT"/>
    <x v="52"/>
    <x v="52"/>
    <d v="2026-04-01T00:00:00"/>
    <s v="Evening"/>
    <s v="Mix"/>
    <n v="10.85"/>
    <n v="5.9"/>
    <n v="8.6999999999999993"/>
    <n v="47.12"/>
    <n v="511.29"/>
    <s v="A"/>
  </r>
  <r>
    <s v="2003"/>
    <s v="200301"/>
    <s v="Hisri Thakurgaon"/>
    <x v="48"/>
    <x v="48"/>
    <d v="2026-04-02T00:00:00"/>
    <s v="Morning"/>
    <s v="Cow"/>
    <n v="5.13"/>
    <n v="4"/>
    <n v="8.6999999999999993"/>
    <n v="40.25"/>
    <n v="206.48"/>
    <s v="A"/>
  </r>
  <r>
    <s v="2003"/>
    <s v="200301"/>
    <s v="Hisri Thakurgaon"/>
    <x v="49"/>
    <x v="49"/>
    <d v="2026-04-02T00:00:00"/>
    <s v="Morning"/>
    <s v="Cow"/>
    <n v="42.17"/>
    <n v="3.6"/>
    <n v="7.8"/>
    <n v="34.22"/>
    <n v="1443.06"/>
    <s v="A"/>
  </r>
  <r>
    <s v="2003"/>
    <s v="200301"/>
    <s v="Hisri Thakurgaon"/>
    <x v="51"/>
    <x v="51"/>
    <d v="2026-04-02T00:00:00"/>
    <s v="Morning"/>
    <s v="Cow"/>
    <n v="46.41"/>
    <n v="3.6"/>
    <n v="8.1999999999999993"/>
    <n v="36.729999999999997"/>
    <n v="1704.64"/>
    <s v="A"/>
  </r>
  <r>
    <s v="2003"/>
    <s v="200301"/>
    <s v="Hisri Thakurgaon"/>
    <x v="50"/>
    <x v="50"/>
    <d v="2026-04-02T00:00:00"/>
    <s v="Morning"/>
    <s v="Cow"/>
    <n v="49.14"/>
    <n v="3.6"/>
    <n v="8"/>
    <n v="36.24"/>
    <n v="1780.83"/>
    <s v="A"/>
  </r>
  <r>
    <s v="2003"/>
    <s v="200300"/>
    <s v="DIRECT"/>
    <x v="52"/>
    <x v="52"/>
    <d v="2026-04-02T00:00:00"/>
    <s v="Morning"/>
    <s v="Cow"/>
    <n v="389.44"/>
    <n v="3.7"/>
    <n v="8.3000000000000007"/>
    <n v="37.770000000000003"/>
    <n v="14709.15"/>
    <s v="A"/>
  </r>
  <r>
    <s v="2003"/>
    <s v="200300"/>
    <s v="DIRECT"/>
    <x v="52"/>
    <x v="52"/>
    <d v="2026-04-02T00:00:00"/>
    <s v="Morning"/>
    <s v="Mix"/>
    <n v="9.82"/>
    <n v="5.7"/>
    <n v="8.8000000000000007"/>
    <n v="46.49"/>
    <n v="456.57"/>
    <s v="A"/>
  </r>
  <r>
    <s v="2003"/>
    <s v="200301"/>
    <s v="Hisri Thakurgaon"/>
    <x v="48"/>
    <x v="48"/>
    <d v="2026-04-02T00:00:00"/>
    <s v="Evening"/>
    <s v="Cow"/>
    <n v="5.42"/>
    <n v="4.0999999999999996"/>
    <n v="8.6"/>
    <n v="40.380000000000003"/>
    <n v="218.86"/>
    <s v="A"/>
  </r>
  <r>
    <s v="2003"/>
    <s v="200300"/>
    <s v="DIRECT"/>
    <x v="52"/>
    <x v="52"/>
    <d v="2026-04-02T00:00:00"/>
    <s v="Evening"/>
    <s v="Cow"/>
    <n v="182.29"/>
    <n v="3.7"/>
    <n v="8.1"/>
    <n v="36.17"/>
    <n v="6593.66"/>
    <s v="A"/>
  </r>
  <r>
    <s v="2003"/>
    <s v="200300"/>
    <s v="DIRECT"/>
    <x v="52"/>
    <x v="52"/>
    <d v="2026-04-02T00:00:00"/>
    <s v="Evening"/>
    <s v="Mix"/>
    <n v="14.79"/>
    <n v="5.4"/>
    <n v="8.6999999999999993"/>
    <n v="45.48"/>
    <n v="672.65"/>
    <s v="A"/>
  </r>
  <r>
    <s v="2004"/>
    <s v="200401"/>
    <s v="Choreya"/>
    <x v="53"/>
    <x v="53"/>
    <d v="2026-04-01T00:00:00"/>
    <s v="Morning"/>
    <s v="Cow"/>
    <n v="27.24"/>
    <n v="4.2"/>
    <n v="8"/>
    <n v="38.43"/>
    <n v="1046.83"/>
    <s v="A"/>
  </r>
  <r>
    <s v="2004"/>
    <s v="200401"/>
    <s v="Choreya"/>
    <x v="54"/>
    <x v="54"/>
    <d v="2026-04-01T00:00:00"/>
    <s v="Morning"/>
    <s v="Cow"/>
    <n v="38.47"/>
    <n v="4.2"/>
    <n v="8.3000000000000007"/>
    <n v="39.619999999999997"/>
    <n v="1524.18"/>
    <s v="A"/>
  </r>
  <r>
    <s v="2004"/>
    <s v="200400"/>
    <s v="DIRECT"/>
    <x v="55"/>
    <x v="55"/>
    <d v="2026-04-01T00:00:00"/>
    <s v="Morning"/>
    <s v="Cow"/>
    <n v="123.44"/>
    <n v="3"/>
    <n v="8"/>
    <n v="32.85"/>
    <n v="4055.42"/>
    <s v="A"/>
  </r>
  <r>
    <s v="2004"/>
    <s v="200400"/>
    <s v="DIRECT"/>
    <x v="55"/>
    <x v="55"/>
    <d v="2026-04-01T00:00:00"/>
    <s v="Morning"/>
    <s v="Mix"/>
    <n v="1.76"/>
    <n v="5.6"/>
    <n v="8.4"/>
    <n v="44.19"/>
    <n v="77.77"/>
    <s v="A"/>
  </r>
  <r>
    <s v="2004"/>
    <s v="200401"/>
    <s v="Choreya"/>
    <x v="54"/>
    <x v="54"/>
    <d v="2026-04-01T00:00:00"/>
    <s v="Evening"/>
    <s v="Cow"/>
    <n v="14.4"/>
    <n v="3.6"/>
    <n v="8.4"/>
    <n v="37.65"/>
    <n v="542.16"/>
    <s v="A"/>
  </r>
  <r>
    <s v="2004"/>
    <s v="200401"/>
    <s v="Choreya"/>
    <x v="53"/>
    <x v="53"/>
    <d v="2026-04-01T00:00:00"/>
    <s v="Evening"/>
    <s v="Cow"/>
    <n v="9.56"/>
    <n v="4"/>
    <n v="7.8"/>
    <n v="35.64"/>
    <n v="340.72"/>
    <s v="A"/>
  </r>
  <r>
    <s v="2004"/>
    <s v="200400"/>
    <s v="DIRECT"/>
    <x v="55"/>
    <x v="55"/>
    <d v="2026-04-01T00:00:00"/>
    <s v="Evening"/>
    <s v="Cow"/>
    <n v="396.82"/>
    <n v="3.5"/>
    <n v="8.1"/>
    <n v="35.81"/>
    <n v="14210.9"/>
    <s v="A"/>
  </r>
  <r>
    <s v="2004"/>
    <s v="200401"/>
    <s v="Choreya"/>
    <x v="54"/>
    <x v="54"/>
    <d v="2026-04-02T00:00:00"/>
    <s v="Morning"/>
    <s v="Cow"/>
    <n v="39.15"/>
    <n v="4.5"/>
    <n v="8.4"/>
    <n v="40.98"/>
    <n v="1604.37"/>
    <s v="A"/>
  </r>
  <r>
    <s v="2004"/>
    <s v="200401"/>
    <s v="Choreya"/>
    <x v="53"/>
    <x v="53"/>
    <d v="2026-04-02T00:00:00"/>
    <s v="Morning"/>
    <s v="Cow"/>
    <n v="31.06"/>
    <n v="4.0999999999999996"/>
    <n v="8"/>
    <n v="38.07"/>
    <n v="1182.45"/>
    <s v="A"/>
  </r>
  <r>
    <s v="2004"/>
    <s v="200400"/>
    <s v="DIRECT"/>
    <x v="55"/>
    <x v="55"/>
    <d v="2026-04-02T00:00:00"/>
    <s v="Morning"/>
    <s v="Cow"/>
    <n v="151.02000000000001"/>
    <n v="2.7"/>
    <n v="7.8"/>
    <n v="30.92"/>
    <n v="4669.57"/>
    <s v="A"/>
  </r>
  <r>
    <s v="2004"/>
    <s v="200400"/>
    <s v="DIRECT"/>
    <x v="55"/>
    <x v="55"/>
    <d v="2026-04-02T00:00:00"/>
    <s v="Morning"/>
    <s v="Mix"/>
    <n v="2.06"/>
    <n v="6"/>
    <n v="8.1999999999999993"/>
    <n v="44.8"/>
    <n v="92.29"/>
    <s v="A"/>
  </r>
  <r>
    <s v="2004"/>
    <s v="200401"/>
    <s v="Choreya"/>
    <x v="54"/>
    <x v="54"/>
    <d v="2026-04-02T00:00:00"/>
    <s v="Evening"/>
    <s v="Cow"/>
    <n v="15.03"/>
    <n v="3.6"/>
    <n v="8.1999999999999993"/>
    <n v="36.729999999999997"/>
    <n v="552.04999999999995"/>
    <s v="A"/>
  </r>
  <r>
    <s v="2004"/>
    <s v="200401"/>
    <s v="Choreya"/>
    <x v="53"/>
    <x v="53"/>
    <d v="2026-04-02T00:00:00"/>
    <s v="Evening"/>
    <s v="Cow"/>
    <n v="10.66"/>
    <n v="4.0999999999999996"/>
    <n v="8"/>
    <n v="38.07"/>
    <n v="405.83"/>
    <s v="A"/>
  </r>
  <r>
    <s v="2004"/>
    <s v="200400"/>
    <s v="DIRECT"/>
    <x v="55"/>
    <x v="55"/>
    <d v="2026-04-02T00:00:00"/>
    <s v="Evening"/>
    <s v="Cow"/>
    <n v="622.85"/>
    <n v="2.6"/>
    <n v="8.1"/>
    <n v="32.700000000000003"/>
    <n v="20366.740000000002"/>
    <s v="A"/>
  </r>
  <r>
    <s v="2004"/>
    <s v="200400"/>
    <s v="DIRECT"/>
    <x v="55"/>
    <x v="55"/>
    <d v="2026-04-02T00:00:00"/>
    <s v="Evening"/>
    <s v="Mix"/>
    <n v="3.53"/>
    <n v="5.0999999999999996"/>
    <n v="9.3000000000000007"/>
    <n v="45.31"/>
    <n v="159.94"/>
    <s v="A"/>
  </r>
  <r>
    <s v="2006"/>
    <s v="200601"/>
    <s v="ORMANJHI"/>
    <x v="56"/>
    <x v="56"/>
    <d v="2026-04-01T00:00:00"/>
    <s v="Morning"/>
    <s v="Cow"/>
    <n v="111.89"/>
    <n v="3.5"/>
    <n v="8.6999999999999993"/>
    <n v="38.380000000000003"/>
    <n v="4294.34"/>
    <s v="A"/>
  </r>
  <r>
    <s v="2006"/>
    <s v="200601"/>
    <s v="ORMANJHI"/>
    <x v="57"/>
    <x v="57"/>
    <d v="2026-04-01T00:00:00"/>
    <s v="Morning"/>
    <s v="Cow"/>
    <n v="100.7"/>
    <n v="3.8"/>
    <n v="8.5"/>
    <n v="39"/>
    <n v="3927.3"/>
    <s v="A"/>
  </r>
  <r>
    <s v="2006"/>
    <s v="200601"/>
    <s v="ORMANJHI"/>
    <x v="58"/>
    <x v="58"/>
    <d v="2026-04-01T00:00:00"/>
    <s v="Morning"/>
    <s v="Cow"/>
    <n v="52.28"/>
    <n v="4.2"/>
    <n v="8.1999999999999993"/>
    <n v="38.92"/>
    <n v="2034.74"/>
    <s v="A"/>
  </r>
  <r>
    <s v="2006"/>
    <s v="200601"/>
    <s v="ORMANJHI"/>
    <x v="59"/>
    <x v="59"/>
    <d v="2026-04-01T00:00:00"/>
    <s v="Morning"/>
    <s v="Cow"/>
    <n v="49.4"/>
    <n v="4.5"/>
    <n v="8"/>
    <n v="39.53"/>
    <n v="1952.78"/>
    <s v="A"/>
  </r>
  <r>
    <s v="2006"/>
    <s v="200601"/>
    <s v="ORMANJHI"/>
    <x v="60"/>
    <x v="60"/>
    <d v="2026-04-01T00:00:00"/>
    <s v="Morning"/>
    <s v="Mix"/>
    <n v="40.21"/>
    <n v="4.9000000000000004"/>
    <n v="8.1"/>
    <n v="41.23"/>
    <n v="1657.86"/>
    <s v="A"/>
  </r>
  <r>
    <s v="2006"/>
    <s v="200601"/>
    <s v="ORMANJHI"/>
    <x v="61"/>
    <x v="61"/>
    <d v="2026-04-01T00:00:00"/>
    <s v="Morning"/>
    <s v="Mix"/>
    <n v="5.88"/>
    <n v="5.7"/>
    <n v="9"/>
    <n v="47.56"/>
    <n v="279.64999999999998"/>
    <s v="A"/>
  </r>
  <r>
    <s v="2006"/>
    <s v="200600"/>
    <s v="DIRECT"/>
    <x v="62"/>
    <x v="62"/>
    <d v="2026-04-01T00:00:00"/>
    <s v="Morning"/>
    <s v="Cow"/>
    <n v="71.13"/>
    <n v="3"/>
    <n v="8.3000000000000007"/>
    <n v="35.18"/>
    <n v="2502.35"/>
    <s v="A"/>
  </r>
  <r>
    <s v="2006"/>
    <s v="200601"/>
    <s v="ORMANJHI"/>
    <x v="63"/>
    <x v="63"/>
    <d v="2026-04-01T00:00:00"/>
    <s v="Morning"/>
    <s v="Cow"/>
    <n v="104.35"/>
    <n v="3.5"/>
    <n v="8.4"/>
    <n v="37.28"/>
    <n v="3890.17"/>
    <s v="A"/>
  </r>
  <r>
    <s v="2006"/>
    <s v="200601"/>
    <s v="ORMANJHI"/>
    <x v="64"/>
    <x v="64"/>
    <d v="2026-04-01T00:00:00"/>
    <s v="Morning"/>
    <s v="Cow"/>
    <n v="6.04"/>
    <n v="4"/>
    <n v="8.9"/>
    <n v="40.75"/>
    <n v="246.13"/>
    <s v="A"/>
  </r>
  <r>
    <s v="2006"/>
    <s v="200601"/>
    <s v="ORMANJHI"/>
    <x v="65"/>
    <x v="65"/>
    <d v="2026-04-01T00:00:00"/>
    <s v="Morning"/>
    <s v="Cow"/>
    <n v="10.17"/>
    <n v="3.4"/>
    <n v="7.8"/>
    <n v="33.51"/>
    <n v="340.8"/>
    <s v="A"/>
  </r>
  <r>
    <s v="2006"/>
    <s v="200601"/>
    <s v="ORMANJHI"/>
    <x v="66"/>
    <x v="66"/>
    <d v="2026-04-01T00:00:00"/>
    <s v="Morning"/>
    <s v="Cow"/>
    <n v="179.05"/>
    <n v="3.5"/>
    <n v="8.3000000000000007"/>
    <n v="37.03"/>
    <n v="6630.22"/>
    <s v="A"/>
  </r>
  <r>
    <s v="2006"/>
    <s v="200601"/>
    <s v="ORMANJHI"/>
    <x v="67"/>
    <x v="67"/>
    <d v="2026-04-01T00:00:00"/>
    <s v="Morning"/>
    <s v="Cow"/>
    <n v="185.21"/>
    <n v="3.8"/>
    <n v="8.5"/>
    <n v="39"/>
    <n v="7223.19"/>
    <s v="A"/>
  </r>
  <r>
    <s v="2006"/>
    <s v="200600"/>
    <s v="DIRECT"/>
    <x v="68"/>
    <x v="68"/>
    <d v="2026-04-01T00:00:00"/>
    <s v="Morning"/>
    <s v="Cow"/>
    <n v="27.95"/>
    <n v="4.0999999999999996"/>
    <n v="8.3000000000000007"/>
    <n v="37.9"/>
    <n v="1059.3599999999999"/>
    <s v="A"/>
  </r>
  <r>
    <s v="2006"/>
    <s v="200600"/>
    <s v="DIRECT"/>
    <x v="68"/>
    <x v="68"/>
    <d v="2026-04-01T00:00:00"/>
    <s v="Morning"/>
    <s v="Mix"/>
    <n v="5.81"/>
    <n v="5.3"/>
    <n v="8.9"/>
    <n v="45.8"/>
    <n v="266.10000000000002"/>
    <s v="A"/>
  </r>
  <r>
    <s v="2006"/>
    <s v="200601"/>
    <s v="ORMANJHI"/>
    <x v="56"/>
    <x v="56"/>
    <d v="2026-04-01T00:00:00"/>
    <s v="Evening"/>
    <s v="Cow"/>
    <n v="127.25"/>
    <n v="3.6"/>
    <n v="8.3000000000000007"/>
    <n v="37.4"/>
    <n v="4759.1499999999996"/>
    <s v="A"/>
  </r>
  <r>
    <s v="2006"/>
    <s v="200601"/>
    <s v="ORMANJHI"/>
    <x v="57"/>
    <x v="57"/>
    <d v="2026-04-01T00:00:00"/>
    <s v="Evening"/>
    <s v="Cow"/>
    <n v="101.52"/>
    <n v="4"/>
    <n v="8.6999999999999993"/>
    <n v="40.25"/>
    <n v="4086.18"/>
    <s v="A"/>
  </r>
  <r>
    <s v="2006"/>
    <s v="200601"/>
    <s v="ORMANJHI"/>
    <x v="58"/>
    <x v="58"/>
    <d v="2026-04-01T00:00:00"/>
    <s v="Evening"/>
    <s v="Cow"/>
    <n v="25.1"/>
    <n v="4.2"/>
    <n v="8.1"/>
    <n v="38.68"/>
    <n v="970.87"/>
    <s v="A"/>
  </r>
  <r>
    <s v="2006"/>
    <s v="200601"/>
    <s v="ORMANJHI"/>
    <x v="59"/>
    <x v="59"/>
    <d v="2026-04-01T00:00:00"/>
    <s v="Evening"/>
    <s v="Cow"/>
    <n v="22.42"/>
    <n v="4.0999999999999996"/>
    <n v="8.1999999999999993"/>
    <n v="38.56"/>
    <n v="864.52"/>
    <s v="A"/>
  </r>
  <r>
    <s v="2006"/>
    <s v="200601"/>
    <s v="ORMANJHI"/>
    <x v="61"/>
    <x v="61"/>
    <d v="2026-04-01T00:00:00"/>
    <s v="Evening"/>
    <s v="Cow"/>
    <n v="20.8"/>
    <n v="3.7"/>
    <n v="8.1"/>
    <n v="36.85"/>
    <n v="766.48"/>
    <s v="A"/>
  </r>
  <r>
    <s v="2006"/>
    <s v="200601"/>
    <s v="ORMANJHI"/>
    <x v="60"/>
    <x v="60"/>
    <d v="2026-04-01T00:00:00"/>
    <s v="Evening"/>
    <s v="Cow"/>
    <n v="2.25"/>
    <n v="2.9"/>
    <n v="8"/>
    <n v="33.68"/>
    <n v="75.78"/>
    <s v="A"/>
  </r>
  <r>
    <s v="2006"/>
    <s v="200601"/>
    <s v="ORMANJHI"/>
    <x v="63"/>
    <x v="63"/>
    <d v="2026-04-01T00:00:00"/>
    <s v="Evening"/>
    <s v="Cow"/>
    <n v="111.2"/>
    <n v="4.2"/>
    <n v="8.1"/>
    <n v="38.68"/>
    <n v="4301.22"/>
    <s v="A"/>
  </r>
  <r>
    <s v="2006"/>
    <s v="200601"/>
    <s v="ORMANJHI"/>
    <x v="67"/>
    <x v="67"/>
    <d v="2026-04-01T00:00:00"/>
    <s v="Evening"/>
    <s v="Cow"/>
    <n v="133.71"/>
    <n v="4.3"/>
    <n v="8.6"/>
    <n v="41.13"/>
    <n v="5499.49"/>
    <s v="A"/>
  </r>
  <r>
    <s v="2006"/>
    <s v="200600"/>
    <s v="DIRECT"/>
    <x v="62"/>
    <x v="62"/>
    <d v="2026-04-01T00:00:00"/>
    <s v="Evening"/>
    <s v="Cow"/>
    <n v="50.48"/>
    <n v="3.4"/>
    <n v="7.5"/>
    <n v="31.88"/>
    <n v="1609.3"/>
    <s v="A"/>
  </r>
  <r>
    <s v="2006"/>
    <s v="200601"/>
    <s v="ORMANJHI"/>
    <x v="69"/>
    <x v="69"/>
    <d v="2026-04-01T00:00:00"/>
    <s v="Evening"/>
    <s v="Cow"/>
    <n v="117.15"/>
    <n v="3.9"/>
    <n v="8.6"/>
    <n v="39.630000000000003"/>
    <n v="4642.6499999999996"/>
    <s v="A"/>
  </r>
  <r>
    <s v="2006"/>
    <s v="200601"/>
    <s v="ORMANJHI"/>
    <x v="65"/>
    <x v="65"/>
    <d v="2026-04-01T00:00:00"/>
    <s v="Evening"/>
    <s v="Cow"/>
    <n v="50.93"/>
    <n v="3.4"/>
    <n v="7.9"/>
    <n v="33.74"/>
    <n v="1718.38"/>
    <s v="A"/>
  </r>
  <r>
    <s v="2006"/>
    <s v="200601"/>
    <s v="ORMANJHI"/>
    <x v="66"/>
    <x v="66"/>
    <d v="2026-04-01T00:00:00"/>
    <s v="Evening"/>
    <s v="Cow"/>
    <n v="2.98"/>
    <n v="3.4"/>
    <n v="7.9"/>
    <n v="33.74"/>
    <n v="100.55"/>
    <s v="A"/>
  </r>
  <r>
    <s v="2006"/>
    <s v="200601"/>
    <s v="ORMANJHI"/>
    <x v="70"/>
    <x v="70"/>
    <d v="2026-04-01T00:00:00"/>
    <s v="Evening"/>
    <s v="Cow"/>
    <n v="1.54"/>
    <n v="3.4"/>
    <n v="7.9"/>
    <n v="33.74"/>
    <n v="51.96"/>
    <s v="A"/>
  </r>
  <r>
    <s v="2006"/>
    <s v="200600"/>
    <s v="DIRECT"/>
    <x v="68"/>
    <x v="68"/>
    <d v="2026-04-01T00:00:00"/>
    <s v="Evening"/>
    <s v="Cow"/>
    <n v="9.82"/>
    <n v="4"/>
    <n v="8.4"/>
    <n v="38.26"/>
    <n v="375.73"/>
    <s v="A"/>
  </r>
  <r>
    <s v="2006"/>
    <s v="200600"/>
    <s v="DIRECT"/>
    <x v="68"/>
    <x v="68"/>
    <d v="2026-04-01T00:00:00"/>
    <s v="Evening"/>
    <s v="Mix"/>
    <n v="13.85"/>
    <n v="5.4"/>
    <n v="8.3000000000000007"/>
    <n v="43.53"/>
    <n v="602.91999999999996"/>
    <s v="A"/>
  </r>
  <r>
    <s v="2006"/>
    <s v="200601"/>
    <s v="ORMANJHI"/>
    <x v="66"/>
    <x v="66"/>
    <d v="2026-04-02T00:00:00"/>
    <s v="Morning"/>
    <s v="Cow"/>
    <n v="152.18"/>
    <n v="3.7"/>
    <n v="8.4"/>
    <n v="38.020000000000003"/>
    <n v="5785.88"/>
    <s v="A"/>
  </r>
  <r>
    <s v="2006"/>
    <s v="200601"/>
    <s v="ORMANJHI"/>
    <x v="58"/>
    <x v="58"/>
    <d v="2026-04-02T00:00:00"/>
    <s v="Morning"/>
    <s v="Cow"/>
    <n v="50.63"/>
    <n v="4"/>
    <n v="8"/>
    <n v="37.700000000000003"/>
    <n v="1908.75"/>
    <s v="A"/>
  </r>
  <r>
    <s v="2006"/>
    <s v="200601"/>
    <s v="ORMANJHI"/>
    <x v="57"/>
    <x v="57"/>
    <d v="2026-04-02T00:00:00"/>
    <s v="Morning"/>
    <s v="Cow"/>
    <n v="101.64"/>
    <n v="3.7"/>
    <n v="8.6999999999999993"/>
    <n v="39.130000000000003"/>
    <n v="3977.17"/>
    <s v="A"/>
  </r>
  <r>
    <s v="2006"/>
    <s v="200601"/>
    <s v="ORMANJHI"/>
    <x v="56"/>
    <x v="56"/>
    <d v="2026-04-02T00:00:00"/>
    <s v="Morning"/>
    <s v="Cow"/>
    <n v="107.69"/>
    <n v="3.5"/>
    <n v="8.6"/>
    <n v="38.130000000000003"/>
    <n v="4106.22"/>
    <s v="A"/>
  </r>
  <r>
    <s v="2006"/>
    <s v="200601"/>
    <s v="ORMANJHI"/>
    <x v="60"/>
    <x v="60"/>
    <d v="2026-04-02T00:00:00"/>
    <s v="Morning"/>
    <s v="Mix"/>
    <n v="37.61"/>
    <n v="4.9000000000000004"/>
    <n v="8.1999999999999993"/>
    <n v="41.48"/>
    <n v="1560.06"/>
    <s v="A"/>
  </r>
  <r>
    <s v="2006"/>
    <s v="200601"/>
    <s v="ORMANJHI"/>
    <x v="59"/>
    <x v="59"/>
    <d v="2026-04-02T00:00:00"/>
    <s v="Morning"/>
    <s v="Cow"/>
    <n v="58.79"/>
    <n v="4.7"/>
    <n v="8.4"/>
    <n v="41.72"/>
    <n v="2452.7199999999998"/>
    <s v="A"/>
  </r>
  <r>
    <s v="2006"/>
    <s v="200601"/>
    <s v="ORMANJHI"/>
    <x v="63"/>
    <x v="63"/>
    <d v="2026-04-02T00:00:00"/>
    <s v="Morning"/>
    <s v="Cow"/>
    <n v="117.02"/>
    <n v="3.6"/>
    <n v="8.1"/>
    <n v="36.49"/>
    <n v="4270.0600000000004"/>
    <s v="A"/>
  </r>
  <r>
    <s v="2006"/>
    <s v="200601"/>
    <s v="ORMANJHI"/>
    <x v="67"/>
    <x v="67"/>
    <d v="2026-04-02T00:00:00"/>
    <s v="Morning"/>
    <s v="Cow"/>
    <n v="152.37"/>
    <n v="3.9"/>
    <n v="8.4"/>
    <n v="38.76"/>
    <n v="5905.86"/>
    <s v="A"/>
  </r>
  <r>
    <s v="2006"/>
    <s v="200601"/>
    <s v="ORMANJHI"/>
    <x v="69"/>
    <x v="69"/>
    <d v="2026-04-02T00:00:00"/>
    <s v="Morning"/>
    <s v="Cow"/>
    <n v="112.06"/>
    <n v="3.3"/>
    <n v="8.5"/>
    <n v="37.130000000000003"/>
    <n v="4160.79"/>
    <s v="A"/>
  </r>
  <r>
    <s v="2006"/>
    <s v="200600"/>
    <s v="DIRECT"/>
    <x v="62"/>
    <x v="62"/>
    <d v="2026-04-02T00:00:00"/>
    <s v="Morning"/>
    <s v="Cow"/>
    <n v="67.040000000000006"/>
    <n v="3.1"/>
    <n v="8.4"/>
    <n v="35.799999999999997"/>
    <n v="2400.0300000000002"/>
    <s v="A"/>
  </r>
  <r>
    <s v="2006"/>
    <s v="200601"/>
    <s v="ORMANJHI"/>
    <x v="61"/>
    <x v="61"/>
    <d v="2026-04-02T00:00:00"/>
    <s v="Morning"/>
    <s v="Cow"/>
    <n v="8.3699999999999992"/>
    <n v="3.9"/>
    <n v="8.9"/>
    <n v="40.380000000000003"/>
    <n v="337.98"/>
    <s v="A"/>
  </r>
  <r>
    <s v="2006"/>
    <s v="200600"/>
    <s v="DIRECT"/>
    <x v="68"/>
    <x v="68"/>
    <d v="2026-04-02T00:00:00"/>
    <s v="Morning"/>
    <s v="Cow"/>
    <n v="27.78"/>
    <n v="4.2"/>
    <n v="8.3000000000000007"/>
    <n v="38.799999999999997"/>
    <n v="1077.95"/>
    <s v="A"/>
  </r>
  <r>
    <s v="2006"/>
    <s v="200600"/>
    <s v="DIRECT"/>
    <x v="68"/>
    <x v="68"/>
    <d v="2026-04-02T00:00:00"/>
    <s v="Morning"/>
    <s v="Mix"/>
    <n v="5.75"/>
    <n v="5.3"/>
    <n v="8.5"/>
    <n v="44.8"/>
    <n v="257.60000000000002"/>
    <s v="A"/>
  </r>
  <r>
    <s v="2006"/>
    <s v="200600"/>
    <s v="DIRECT"/>
    <x v="71"/>
    <x v="71"/>
    <d v="2026-04-02T00:00:00"/>
    <s v="Evening"/>
    <s v="Cow"/>
    <n v="104.77"/>
    <n v="3.8"/>
    <n v="7.9"/>
    <n v="35.159999999999997"/>
    <n v="3683.71"/>
    <s v="A"/>
  </r>
  <r>
    <s v="2006"/>
    <s v="200601"/>
    <s v="ORMANJHI"/>
    <x v="56"/>
    <x v="56"/>
    <d v="2026-04-02T00:00:00"/>
    <s v="Evening"/>
    <s v="Cow"/>
    <n v="132.65"/>
    <n v="3.5"/>
    <n v="8.5"/>
    <n v="37.880000000000003"/>
    <n v="5024.78"/>
    <s v="A"/>
  </r>
  <r>
    <s v="2006"/>
    <s v="200601"/>
    <s v="ORMANJHI"/>
    <x v="57"/>
    <x v="57"/>
    <d v="2026-04-02T00:00:00"/>
    <s v="Evening"/>
    <s v="Cow"/>
    <n v="94.01"/>
    <n v="4"/>
    <n v="8.6"/>
    <n v="40"/>
    <n v="3760.4"/>
    <s v="A"/>
  </r>
  <r>
    <s v="2006"/>
    <s v="200601"/>
    <s v="ORMANJHI"/>
    <x v="58"/>
    <x v="58"/>
    <d v="2026-04-02T00:00:00"/>
    <s v="Evening"/>
    <s v="Cow"/>
    <n v="25.07"/>
    <n v="4.5"/>
    <n v="8"/>
    <n v="39.53"/>
    <n v="991.02"/>
    <s v="A"/>
  </r>
  <r>
    <s v="2006"/>
    <s v="200601"/>
    <s v="ORMANJHI"/>
    <x v="61"/>
    <x v="61"/>
    <d v="2026-04-02T00:00:00"/>
    <s v="Evening"/>
    <s v="Cow"/>
    <n v="17.07"/>
    <n v="3.9"/>
    <n v="8.5"/>
    <n v="39.380000000000003"/>
    <n v="672.22"/>
    <s v="A"/>
  </r>
  <r>
    <s v="2006"/>
    <s v="200601"/>
    <s v="ORMANJHI"/>
    <x v="59"/>
    <x v="59"/>
    <d v="2026-04-02T00:00:00"/>
    <s v="Evening"/>
    <s v="Cow"/>
    <n v="51.21"/>
    <n v="4"/>
    <n v="8.1999999999999993"/>
    <n v="38.19"/>
    <n v="1955.71"/>
    <s v="A"/>
  </r>
  <r>
    <s v="2006"/>
    <s v="200601"/>
    <s v="ORMANJHI"/>
    <x v="60"/>
    <x v="60"/>
    <d v="2026-04-02T00:00:00"/>
    <s v="Evening"/>
    <s v="Cow"/>
    <n v="2.8"/>
    <n v="3.1"/>
    <n v="7.6"/>
    <n v="31.23"/>
    <n v="87.44"/>
    <s v="A"/>
  </r>
  <r>
    <s v="2006"/>
    <s v="200601"/>
    <s v="ORMANJHI"/>
    <x v="69"/>
    <x v="69"/>
    <d v="2026-04-02T00:00:00"/>
    <s v="Evening"/>
    <s v="Cow"/>
    <n v="107.03"/>
    <n v="3.9"/>
    <n v="8.5"/>
    <n v="39.380000000000003"/>
    <n v="4214.84"/>
    <s v="A"/>
  </r>
  <r>
    <s v="2006"/>
    <s v="200601"/>
    <s v="ORMANJHI"/>
    <x v="63"/>
    <x v="63"/>
    <d v="2026-04-02T00:00:00"/>
    <s v="Evening"/>
    <s v="Cow"/>
    <n v="132.49"/>
    <n v="4.0999999999999996"/>
    <n v="8.1999999999999993"/>
    <n v="38.56"/>
    <n v="5108.8100000000004"/>
    <s v="A"/>
  </r>
  <r>
    <s v="2006"/>
    <s v="200601"/>
    <s v="ORMANJHI"/>
    <x v="65"/>
    <x v="65"/>
    <d v="2026-04-02T00:00:00"/>
    <s v="Evening"/>
    <s v="Cow"/>
    <n v="26.03"/>
    <n v="2.9"/>
    <n v="8.1"/>
    <n v="33.93"/>
    <n v="883.2"/>
    <s v="A"/>
  </r>
  <r>
    <s v="2006"/>
    <s v="200600"/>
    <s v="DIRECT"/>
    <x v="62"/>
    <x v="62"/>
    <d v="2026-04-02T00:00:00"/>
    <s v="Evening"/>
    <s v="Cow"/>
    <n v="55.37"/>
    <n v="3.1"/>
    <n v="8.1999999999999993"/>
    <n v="34.909999999999997"/>
    <n v="1932.97"/>
    <s v="A"/>
  </r>
  <r>
    <s v="2006"/>
    <s v="200601"/>
    <s v="ORMANJHI"/>
    <x v="67"/>
    <x v="67"/>
    <d v="2026-04-02T00:00:00"/>
    <s v="Evening"/>
    <s v="Cow"/>
    <n v="129.52000000000001"/>
    <n v="4.3"/>
    <n v="8.4"/>
    <n v="40.24"/>
    <n v="5211.88"/>
    <s v="A"/>
  </r>
  <r>
    <s v="2006"/>
    <s v="200600"/>
    <s v="DIRECT"/>
    <x v="68"/>
    <x v="68"/>
    <d v="2026-04-02T00:00:00"/>
    <s v="Evening"/>
    <s v="Cow"/>
    <n v="280.13"/>
    <n v="3.8"/>
    <n v="8.3000000000000007"/>
    <n v="38.200000000000003"/>
    <n v="10702.16"/>
    <s v="A"/>
  </r>
  <r>
    <s v="2006"/>
    <s v="200600"/>
    <s v="DIRECT"/>
    <x v="68"/>
    <x v="68"/>
    <d v="2026-04-02T00:00:00"/>
    <s v="Evening"/>
    <s v="Mix"/>
    <n v="17.079999999999998"/>
    <n v="5.0999999999999996"/>
    <n v="8.3000000000000007"/>
    <n v="43.13"/>
    <n v="736.72"/>
    <s v="A"/>
  </r>
  <r>
    <s v="2007"/>
    <s v="200701"/>
    <s v="PIRAGUTU"/>
    <x v="72"/>
    <x v="72"/>
    <d v="2026-04-01T00:00:00"/>
    <s v="Morning"/>
    <s v="Cow"/>
    <n v="34.6"/>
    <n v="4.3"/>
    <n v="8.6999999999999993"/>
    <n v="41.38"/>
    <n v="1431.75"/>
    <s v="A"/>
  </r>
  <r>
    <s v="2007"/>
    <s v="200701"/>
    <s v="PIRAGUTU"/>
    <x v="73"/>
    <x v="73"/>
    <d v="2026-04-01T00:00:00"/>
    <s v="Morning"/>
    <s v="Cow"/>
    <n v="58.35"/>
    <n v="4.0999999999999996"/>
    <n v="8.6"/>
    <n v="40.380000000000003"/>
    <n v="2356.17"/>
    <s v="A"/>
  </r>
  <r>
    <s v="2007"/>
    <s v="200701"/>
    <s v="PIRAGUTU"/>
    <x v="74"/>
    <x v="74"/>
    <d v="2026-04-01T00:00:00"/>
    <s v="Morning"/>
    <s v="Cow"/>
    <n v="26.73"/>
    <n v="4.4000000000000004"/>
    <n v="8.9"/>
    <n v="42.25"/>
    <n v="1129.3399999999999"/>
    <s v="A"/>
  </r>
  <r>
    <s v="2007"/>
    <s v="200701"/>
    <s v="PIRAGUTU"/>
    <x v="75"/>
    <x v="75"/>
    <d v="2026-04-01T00:00:00"/>
    <s v="Morning"/>
    <s v="Cow"/>
    <n v="71.239999999999995"/>
    <n v="4.4000000000000004"/>
    <n v="9"/>
    <n v="42.5"/>
    <n v="3027.7"/>
    <s v="A"/>
  </r>
  <r>
    <s v="2007"/>
    <s v="200701"/>
    <s v="PIRAGUTU"/>
    <x v="76"/>
    <x v="76"/>
    <d v="2026-04-01T00:00:00"/>
    <s v="Morning"/>
    <s v="Cow"/>
    <n v="34.409999999999997"/>
    <n v="4.2"/>
    <n v="8.5"/>
    <n v="40.5"/>
    <n v="1393.6"/>
    <s v="A"/>
  </r>
  <r>
    <s v="2007"/>
    <s v="200701"/>
    <s v="PIRAGUTU"/>
    <x v="77"/>
    <x v="77"/>
    <d v="2026-04-01T00:00:00"/>
    <s v="Morning"/>
    <s v="Mix"/>
    <n v="10.23"/>
    <n v="5"/>
    <n v="8.8000000000000007"/>
    <n v="44.43"/>
    <n v="454.52"/>
    <s v="A"/>
  </r>
  <r>
    <s v="2007"/>
    <s v="200701"/>
    <s v="PIRAGUTU"/>
    <x v="78"/>
    <x v="78"/>
    <d v="2026-04-01T00:00:00"/>
    <s v="Morning"/>
    <s v="Cow"/>
    <n v="55.8"/>
    <n v="4.5999999999999996"/>
    <n v="8.8000000000000007"/>
    <n v="42.75"/>
    <n v="2385.4499999999998"/>
    <s v="A"/>
  </r>
  <r>
    <s v="2007"/>
    <s v="200702"/>
    <s v="Piragutu 2"/>
    <x v="79"/>
    <x v="79"/>
    <d v="2026-04-01T00:00:00"/>
    <s v="Morning"/>
    <s v="Mix"/>
    <n v="66.739999999999995"/>
    <n v="5.9"/>
    <n v="9.3000000000000007"/>
    <n v="48.31"/>
    <n v="3224.21"/>
    <s v="A"/>
  </r>
  <r>
    <s v="2007"/>
    <s v="200702"/>
    <s v="Piragutu 2"/>
    <x v="80"/>
    <x v="80"/>
    <d v="2026-04-01T00:00:00"/>
    <s v="Morning"/>
    <s v="Cow"/>
    <n v="50.25"/>
    <n v="3.8"/>
    <n v="8.6"/>
    <n v="39.25"/>
    <n v="1972.31"/>
    <s v="A"/>
  </r>
  <r>
    <s v="2007"/>
    <s v="200702"/>
    <s v="Piragutu 2"/>
    <x v="81"/>
    <x v="81"/>
    <d v="2026-04-01T00:00:00"/>
    <s v="Morning"/>
    <s v="Mix"/>
    <n v="62.71"/>
    <n v="5"/>
    <n v="8.8000000000000007"/>
    <n v="44.43"/>
    <n v="2786.21"/>
    <s v="A"/>
  </r>
  <r>
    <s v="2007"/>
    <s v="200702"/>
    <s v="Piragutu 2"/>
    <x v="82"/>
    <x v="82"/>
    <d v="2026-04-01T00:00:00"/>
    <s v="Morning"/>
    <s v="Cow"/>
    <n v="18.03"/>
    <n v="4.7"/>
    <n v="8.5"/>
    <n v="42.38"/>
    <n v="764.11"/>
    <s v="A"/>
  </r>
  <r>
    <s v="2007"/>
    <s v="200702"/>
    <s v="Piragutu 2"/>
    <x v="83"/>
    <x v="83"/>
    <d v="2026-04-01T00:00:00"/>
    <s v="Morning"/>
    <s v="Cow"/>
    <n v="40.56"/>
    <n v="4.2"/>
    <n v="8.5"/>
    <n v="40.5"/>
    <n v="1642.68"/>
    <s v="A"/>
  </r>
  <r>
    <s v="2007"/>
    <s v="200702"/>
    <s v="Piragutu 2"/>
    <x v="84"/>
    <x v="84"/>
    <d v="2026-04-01T00:00:00"/>
    <s v="Morning"/>
    <s v="Cow"/>
    <n v="40.56"/>
    <n v="4.5999999999999996"/>
    <n v="8.5"/>
    <n v="42"/>
    <n v="1703.52"/>
    <s v="A"/>
  </r>
  <r>
    <s v="2007"/>
    <s v="200700"/>
    <s v="DIRECT"/>
    <x v="85"/>
    <x v="85"/>
    <d v="2026-04-01T00:00:00"/>
    <s v="Morning"/>
    <s v="Cow"/>
    <n v="23.06"/>
    <n v="3.9"/>
    <n v="8.6"/>
    <n v="39.54"/>
    <n v="911.84"/>
    <s v="A"/>
  </r>
  <r>
    <s v="2007"/>
    <s v="200700"/>
    <s v="DIRECT"/>
    <x v="85"/>
    <x v="85"/>
    <d v="2026-04-01T00:00:00"/>
    <s v="Morning"/>
    <s v="Mix"/>
    <n v="5.46"/>
    <n v="6.4"/>
    <n v="8.6999999999999993"/>
    <n v="51.93"/>
    <n v="283.52999999999997"/>
    <s v="A"/>
  </r>
  <r>
    <s v="2007"/>
    <s v="200701"/>
    <s v="PIRAGUTU"/>
    <x v="86"/>
    <x v="86"/>
    <d v="2026-04-01T00:00:00"/>
    <s v="Morning"/>
    <s v="Cow"/>
    <n v="94"/>
    <n v="4.7"/>
    <n v="8.6999999999999993"/>
    <n v="42.88"/>
    <n v="4030.72"/>
    <s v="M"/>
  </r>
  <r>
    <s v="2007"/>
    <s v="200702"/>
    <s v="Piragutu 2"/>
    <x v="87"/>
    <x v="87"/>
    <d v="2026-04-01T00:00:00"/>
    <s v="Morning"/>
    <s v="Mix"/>
    <n v="24"/>
    <n v="6.7"/>
    <n v="8.6999999999999993"/>
    <n v="50.92"/>
    <n v="1222.08"/>
    <s v="M"/>
  </r>
  <r>
    <s v="2007"/>
    <s v="200701"/>
    <s v="PIRAGUTU"/>
    <x v="86"/>
    <x v="86"/>
    <d v="2026-04-01T00:00:00"/>
    <s v="Evening"/>
    <s v="Mix"/>
    <n v="67.349999999999994"/>
    <n v="5.0999999999999996"/>
    <n v="8.5"/>
    <n v="44.05"/>
    <n v="2966.77"/>
    <s v="A"/>
  </r>
  <r>
    <s v="2007"/>
    <s v="200701"/>
    <s v="PIRAGUTU"/>
    <x v="73"/>
    <x v="73"/>
    <d v="2026-04-01T00:00:00"/>
    <s v="Evening"/>
    <s v="Cow"/>
    <n v="43.19"/>
    <n v="3.9"/>
    <n v="8.3000000000000007"/>
    <n v="38.51"/>
    <n v="1663.25"/>
    <s v="A"/>
  </r>
  <r>
    <s v="2007"/>
    <s v="200701"/>
    <s v="PIRAGUTU"/>
    <x v="75"/>
    <x v="75"/>
    <d v="2026-04-01T00:00:00"/>
    <s v="Evening"/>
    <s v="Cow"/>
    <n v="24.29"/>
    <n v="4.2"/>
    <n v="8.8000000000000007"/>
    <n v="41.25"/>
    <n v="1001.96"/>
    <s v="A"/>
  </r>
  <r>
    <s v="2007"/>
    <s v="200701"/>
    <s v="PIRAGUTU"/>
    <x v="76"/>
    <x v="76"/>
    <d v="2026-04-01T00:00:00"/>
    <s v="Evening"/>
    <s v="Cow"/>
    <n v="5.24"/>
    <n v="4.8"/>
    <n v="8.1"/>
    <n v="40.869999999999997"/>
    <n v="214.16"/>
    <s v="A"/>
  </r>
  <r>
    <s v="2007"/>
    <s v="200701"/>
    <s v="PIRAGUTU"/>
    <x v="72"/>
    <x v="72"/>
    <d v="2026-04-01T00:00:00"/>
    <s v="Evening"/>
    <s v="Cow"/>
    <n v="16.940000000000001"/>
    <n v="4"/>
    <n v="8.4"/>
    <n v="39.130000000000003"/>
    <n v="662.86"/>
    <s v="A"/>
  </r>
  <r>
    <s v="2007"/>
    <s v="200701"/>
    <s v="PIRAGUTU"/>
    <x v="74"/>
    <x v="74"/>
    <d v="2026-04-01T00:00:00"/>
    <s v="Evening"/>
    <s v="Cow"/>
    <n v="57.42"/>
    <n v="4.0999999999999996"/>
    <n v="8.9"/>
    <n v="41.13"/>
    <n v="2361.6799999999998"/>
    <s v="A"/>
  </r>
  <r>
    <s v="2007"/>
    <s v="200701"/>
    <s v="PIRAGUTU"/>
    <x v="78"/>
    <x v="78"/>
    <d v="2026-04-01T00:00:00"/>
    <s v="Evening"/>
    <s v="Cow"/>
    <n v="24.38"/>
    <n v="4.0999999999999996"/>
    <n v="8"/>
    <n v="38.07"/>
    <n v="928.15"/>
    <s v="A"/>
  </r>
  <r>
    <s v="2007"/>
    <s v="200702"/>
    <s v="Piragutu 2"/>
    <x v="88"/>
    <x v="88"/>
    <d v="2026-04-01T00:00:00"/>
    <s v="Evening"/>
    <s v="Cow"/>
    <n v="20.49"/>
    <n v="3.8"/>
    <n v="8.1"/>
    <n v="37.22"/>
    <n v="762.64"/>
    <s v="A"/>
  </r>
  <r>
    <s v="2007"/>
    <s v="200702"/>
    <s v="Piragutu 2"/>
    <x v="87"/>
    <x v="87"/>
    <d v="2026-04-01T00:00:00"/>
    <s v="Evening"/>
    <s v="Mix"/>
    <n v="24.93"/>
    <n v="5.6"/>
    <n v="8.5"/>
    <n v="45.92"/>
    <n v="1144.79"/>
    <s v="A"/>
  </r>
  <r>
    <s v="2007"/>
    <s v="200702"/>
    <s v="Piragutu 2"/>
    <x v="81"/>
    <x v="81"/>
    <d v="2026-04-01T00:00:00"/>
    <s v="Evening"/>
    <s v="Cow"/>
    <n v="21.49"/>
    <n v="4"/>
    <n v="8.6999999999999993"/>
    <n v="40.25"/>
    <n v="864.97"/>
    <s v="A"/>
  </r>
  <r>
    <s v="2007"/>
    <s v="200702"/>
    <s v="Piragutu 2"/>
    <x v="84"/>
    <x v="84"/>
    <d v="2026-04-01T00:00:00"/>
    <s v="Evening"/>
    <s v="Mix"/>
    <n v="32.5"/>
    <n v="5"/>
    <n v="8.9"/>
    <n v="44.68"/>
    <n v="1452.1"/>
    <s v="A"/>
  </r>
  <r>
    <s v="2007"/>
    <s v="200702"/>
    <s v="Piragutu 2"/>
    <x v="80"/>
    <x v="80"/>
    <d v="2026-04-01T00:00:00"/>
    <s v="Evening"/>
    <s v="Cow"/>
    <n v="41.7"/>
    <n v="3.6"/>
    <n v="8.6"/>
    <n v="38.5"/>
    <n v="1605.45"/>
    <s v="A"/>
  </r>
  <r>
    <s v="2007"/>
    <s v="200702"/>
    <s v="Piragutu 2"/>
    <x v="83"/>
    <x v="83"/>
    <d v="2026-04-01T00:00:00"/>
    <s v="Evening"/>
    <s v="Cow"/>
    <n v="13.43"/>
    <n v="3.9"/>
    <n v="8.8000000000000007"/>
    <n v="40.130000000000003"/>
    <n v="538.95000000000005"/>
    <s v="A"/>
  </r>
  <r>
    <s v="2007"/>
    <s v="200700"/>
    <s v="DIRECT"/>
    <x v="85"/>
    <x v="85"/>
    <d v="2026-04-01T00:00:00"/>
    <s v="Evening"/>
    <s v="Cow"/>
    <n v="13.43"/>
    <n v="3.9"/>
    <n v="8.8000000000000007"/>
    <n v="40.130000000000003"/>
    <n v="538.95000000000005"/>
    <s v="A"/>
  </r>
  <r>
    <s v="2007"/>
    <s v="200702"/>
    <s v="Piragutu 2"/>
    <x v="82"/>
    <x v="82"/>
    <d v="2026-04-01T00:00:00"/>
    <s v="Evening"/>
    <s v="Cow"/>
    <n v="4.0999999999999996"/>
    <n v="4.5"/>
    <n v="8.1999999999999993"/>
    <n v="40.020000000000003"/>
    <n v="164.08"/>
    <s v="M"/>
  </r>
  <r>
    <s v="2007"/>
    <s v="200701"/>
    <s v="PIRAGUTU"/>
    <x v="75"/>
    <x v="75"/>
    <d v="2026-04-02T00:00:00"/>
    <s v="Morning"/>
    <s v="Cow"/>
    <n v="68.48"/>
    <n v="4.4000000000000004"/>
    <n v="9.1"/>
    <n v="42.5"/>
    <n v="2910.4"/>
    <s v="A"/>
  </r>
  <r>
    <s v="2007"/>
    <s v="200701"/>
    <s v="PIRAGUTU"/>
    <x v="86"/>
    <x v="86"/>
    <d v="2026-04-02T00:00:00"/>
    <s v="Morning"/>
    <s v="Cow"/>
    <n v="101.17"/>
    <n v="4.7"/>
    <n v="8.6999999999999993"/>
    <n v="42.88"/>
    <n v="4338.17"/>
    <s v="A"/>
  </r>
  <r>
    <s v="2007"/>
    <s v="200701"/>
    <s v="PIRAGUTU"/>
    <x v="76"/>
    <x v="76"/>
    <d v="2026-04-02T00:00:00"/>
    <s v="Morning"/>
    <s v="Cow"/>
    <n v="36.57"/>
    <n v="4.5999999999999996"/>
    <n v="8.6"/>
    <n v="42.25"/>
    <n v="1545.08"/>
    <s v="A"/>
  </r>
  <r>
    <s v="2007"/>
    <s v="200701"/>
    <s v="PIRAGUTU"/>
    <x v="73"/>
    <x v="73"/>
    <d v="2026-04-02T00:00:00"/>
    <s v="Morning"/>
    <s v="Cow"/>
    <n v="62.2"/>
    <n v="4"/>
    <n v="8.6"/>
    <n v="40"/>
    <n v="2488"/>
    <s v="A"/>
  </r>
  <r>
    <s v="2007"/>
    <s v="200701"/>
    <s v="PIRAGUTU"/>
    <x v="74"/>
    <x v="74"/>
    <d v="2026-04-02T00:00:00"/>
    <s v="Morning"/>
    <s v="Cow"/>
    <n v="54.97"/>
    <n v="4.2"/>
    <n v="9"/>
    <n v="41.75"/>
    <n v="2295"/>
    <s v="A"/>
  </r>
  <r>
    <s v="2007"/>
    <s v="200701"/>
    <s v="PIRAGUTU"/>
    <x v="72"/>
    <x v="72"/>
    <d v="2026-04-02T00:00:00"/>
    <s v="Morning"/>
    <s v="Cow"/>
    <n v="33.01"/>
    <n v="4"/>
    <n v="8.6999999999999993"/>
    <n v="40.25"/>
    <n v="1328.65"/>
    <s v="A"/>
  </r>
  <r>
    <s v="2007"/>
    <s v="200701"/>
    <s v="PIRAGUTU"/>
    <x v="78"/>
    <x v="78"/>
    <d v="2026-04-02T00:00:00"/>
    <s v="Morning"/>
    <s v="Cow"/>
    <n v="51.95"/>
    <n v="4.3"/>
    <n v="8.9"/>
    <n v="41.88"/>
    <n v="2175.67"/>
    <s v="A"/>
  </r>
  <r>
    <s v="2007"/>
    <s v="200701"/>
    <s v="PIRAGUTU"/>
    <x v="77"/>
    <x v="77"/>
    <d v="2026-04-02T00:00:00"/>
    <s v="Morning"/>
    <s v="Mix"/>
    <n v="10.029999999999999"/>
    <n v="5.0999999999999996"/>
    <n v="8.6999999999999993"/>
    <n v="44.55"/>
    <n v="446.84"/>
    <s v="A"/>
  </r>
  <r>
    <s v="2007"/>
    <s v="200702"/>
    <s v="Piragutu 2"/>
    <x v="83"/>
    <x v="83"/>
    <d v="2026-04-02T00:00:00"/>
    <s v="Morning"/>
    <s v="Cow"/>
    <n v="43.1"/>
    <n v="4.2"/>
    <n v="8.5"/>
    <n v="40.5"/>
    <n v="1745.55"/>
    <s v="A"/>
  </r>
  <r>
    <s v="2007"/>
    <s v="200702"/>
    <s v="Piragutu 2"/>
    <x v="81"/>
    <x v="81"/>
    <d v="2026-04-02T00:00:00"/>
    <s v="Morning"/>
    <s v="Mix"/>
    <n v="61.85"/>
    <n v="5"/>
    <n v="9"/>
    <n v="44.93"/>
    <n v="2778.92"/>
    <s v="A"/>
  </r>
  <r>
    <s v="2007"/>
    <s v="200702"/>
    <s v="Piragutu 2"/>
    <x v="88"/>
    <x v="88"/>
    <d v="2026-04-02T00:00:00"/>
    <s v="Morning"/>
    <s v="Cow"/>
    <n v="10.99"/>
    <n v="3.7"/>
    <n v="8.4"/>
    <n v="38.020000000000003"/>
    <n v="417.84"/>
    <s v="A"/>
  </r>
  <r>
    <s v="2007"/>
    <s v="200702"/>
    <s v="Piragutu 2"/>
    <x v="87"/>
    <x v="87"/>
    <d v="2026-04-02T00:00:00"/>
    <s v="Morning"/>
    <s v="Mix"/>
    <n v="59.06"/>
    <n v="6.7"/>
    <n v="8.6999999999999993"/>
    <n v="50.92"/>
    <n v="3007.34"/>
    <s v="A"/>
  </r>
  <r>
    <s v="2007"/>
    <s v="200702"/>
    <s v="Piragutu 2"/>
    <x v="80"/>
    <x v="80"/>
    <d v="2026-04-02T00:00:00"/>
    <s v="Morning"/>
    <s v="Cow"/>
    <n v="45.26"/>
    <n v="3.8"/>
    <n v="8.5"/>
    <n v="39"/>
    <n v="1765.14"/>
    <s v="A"/>
  </r>
  <r>
    <s v="2007"/>
    <s v="200702"/>
    <s v="Piragutu 2"/>
    <x v="79"/>
    <x v="79"/>
    <d v="2026-04-02T00:00:00"/>
    <s v="Morning"/>
    <s v="Mix"/>
    <n v="76.239999999999995"/>
    <n v="5.6"/>
    <n v="9.1"/>
    <n v="47.18"/>
    <n v="3597"/>
    <s v="A"/>
  </r>
  <r>
    <s v="2007"/>
    <s v="200700"/>
    <s v="DIRECT"/>
    <x v="85"/>
    <x v="85"/>
    <d v="2026-04-02T00:00:00"/>
    <s v="Morning"/>
    <s v="Cow"/>
    <n v="567.30999999999995"/>
    <n v="3.4"/>
    <n v="9.1"/>
    <n v="38.770000000000003"/>
    <n v="21993.200000000001"/>
    <s v="A"/>
  </r>
  <r>
    <s v="2007"/>
    <s v="200700"/>
    <s v="DIRECT"/>
    <x v="85"/>
    <x v="85"/>
    <d v="2026-04-02T00:00:00"/>
    <s v="Morning"/>
    <s v="Mix"/>
    <n v="2.2599999999999998"/>
    <n v="7.3"/>
    <n v="9.3000000000000007"/>
    <n v="55.01"/>
    <n v="124.32"/>
    <s v="A"/>
  </r>
  <r>
    <s v="2007"/>
    <s v="200702"/>
    <s v="Piragutu 2"/>
    <x v="82"/>
    <x v="82"/>
    <d v="2026-04-02T00:00:00"/>
    <s v="Morning"/>
    <s v="Cow"/>
    <n v="18.03"/>
    <n v="4.7"/>
    <n v="8.5"/>
    <n v="42.38"/>
    <n v="764.11"/>
    <s v="M"/>
  </r>
  <r>
    <s v="2007"/>
    <s v="200700"/>
    <s v="DIRECT"/>
    <x v="85"/>
    <x v="85"/>
    <d v="2026-04-02T00:00:00"/>
    <s v="Evening"/>
    <s v="Cow"/>
    <n v="800"/>
    <n v="3.3"/>
    <n v="7.9"/>
    <n v="33.39"/>
    <n v="26712"/>
    <s v="M"/>
  </r>
  <r>
    <s v="2007"/>
    <s v="200701"/>
    <s v="PIRAGUTU"/>
    <x v="86"/>
    <x v="86"/>
    <d v="2026-04-02T00:00:00"/>
    <s v="Evening"/>
    <s v="Cow"/>
    <n v="61.1"/>
    <n v="5.0999999999999996"/>
    <n v="8.5"/>
    <n v="44.05"/>
    <n v="2691.45"/>
    <s v="M"/>
  </r>
  <r>
    <s v="2007"/>
    <s v="200701"/>
    <s v="PIRAGUTU"/>
    <x v="75"/>
    <x v="75"/>
    <d v="2026-04-02T00:00:00"/>
    <s v="Evening"/>
    <s v="Cow"/>
    <n v="28.3"/>
    <n v="4.2"/>
    <n v="8.8000000000000007"/>
    <n v="41.25"/>
    <n v="1167.3800000000001"/>
    <s v="M"/>
  </r>
  <r>
    <s v="2007"/>
    <s v="200701"/>
    <s v="PIRAGUTU"/>
    <x v="73"/>
    <x v="73"/>
    <d v="2026-04-02T00:00:00"/>
    <s v="Evening"/>
    <s v="Cow"/>
    <n v="45.9"/>
    <n v="3.9"/>
    <n v="8.3000000000000007"/>
    <n v="38.51"/>
    <n v="1767.61"/>
    <s v="M"/>
  </r>
  <r>
    <s v="2007"/>
    <s v="200701"/>
    <s v="PIRAGUTU"/>
    <x v="78"/>
    <x v="78"/>
    <d v="2026-04-02T00:00:00"/>
    <s v="Evening"/>
    <s v="Cow"/>
    <n v="27.4"/>
    <n v="4.0999999999999996"/>
    <n v="8"/>
    <n v="38.07"/>
    <n v="1043.1199999999999"/>
    <s v="M"/>
  </r>
  <r>
    <s v="2007"/>
    <s v="200701"/>
    <s v="PIRAGUTU"/>
    <x v="74"/>
    <x v="74"/>
    <d v="2026-04-02T00:00:00"/>
    <s v="Evening"/>
    <s v="Cow"/>
    <n v="33.1"/>
    <n v="4.0999999999999996"/>
    <n v="8.9"/>
    <n v="41.13"/>
    <n v="1361.4"/>
    <s v="M"/>
  </r>
  <r>
    <s v="2007"/>
    <s v="200701"/>
    <s v="PIRAGUTU"/>
    <x v="72"/>
    <x v="72"/>
    <d v="2026-04-02T00:00:00"/>
    <s v="Evening"/>
    <s v="Cow"/>
    <n v="16.100000000000001"/>
    <n v="4"/>
    <n v="8.4"/>
    <n v="39.130000000000003"/>
    <n v="629.99"/>
    <s v="M"/>
  </r>
  <r>
    <s v="2007"/>
    <s v="200702"/>
    <s v="Piragutu 2"/>
    <x v="83"/>
    <x v="83"/>
    <d v="2026-04-02T00:00:00"/>
    <s v="Evening"/>
    <s v="Cow"/>
    <n v="15.8"/>
    <n v="3.9"/>
    <n v="8.8000000000000007"/>
    <n v="40.130000000000003"/>
    <n v="634.04999999999995"/>
    <s v="M"/>
  </r>
  <r>
    <s v="2007"/>
    <s v="200702"/>
    <s v="Piragutu 2"/>
    <x v="88"/>
    <x v="88"/>
    <d v="2026-04-02T00:00:00"/>
    <s v="Evening"/>
    <s v="Cow"/>
    <n v="24.44"/>
    <n v="3.8"/>
    <n v="8.1"/>
    <n v="37.22"/>
    <n v="909.66"/>
    <s v="M"/>
  </r>
  <r>
    <s v="2007"/>
    <s v="200702"/>
    <s v="Piragutu 2"/>
    <x v="84"/>
    <x v="84"/>
    <d v="2026-04-02T00:00:00"/>
    <s v="Evening"/>
    <s v="Mix"/>
    <n v="32.299999999999997"/>
    <n v="5"/>
    <n v="8.9"/>
    <n v="44.68"/>
    <n v="1443.16"/>
    <s v="M"/>
  </r>
  <r>
    <s v="2007"/>
    <s v="200701"/>
    <s v="PIRAGUTU"/>
    <x v="76"/>
    <x v="76"/>
    <d v="2026-04-02T00:00:00"/>
    <s v="Evening"/>
    <s v="Mix"/>
    <n v="4.5999999999999996"/>
    <n v="4.8"/>
    <n v="8.1"/>
    <n v="40.869999999999997"/>
    <n v="188"/>
    <s v="M"/>
  </r>
  <r>
    <s v="2007"/>
    <s v="200702"/>
    <s v="Piragutu 2"/>
    <x v="81"/>
    <x v="81"/>
    <d v="2026-04-02T00:00:00"/>
    <s v="Evening"/>
    <s v="Mix"/>
    <n v="26"/>
    <n v="4"/>
    <n v="8.6999999999999993"/>
    <n v="40.25"/>
    <n v="1046.5"/>
    <s v="M"/>
  </r>
  <r>
    <s v="2007"/>
    <s v="200702"/>
    <s v="Piragutu 2"/>
    <x v="82"/>
    <x v="82"/>
    <d v="2026-04-02T00:00:00"/>
    <s v="Evening"/>
    <s v="Cow"/>
    <n v="4"/>
    <n v="4.5"/>
    <n v="8.6999999999999993"/>
    <n v="42.13"/>
    <n v="168.52"/>
    <s v="M"/>
  </r>
  <r>
    <s v="2007"/>
    <s v="200702"/>
    <s v="Piragutu 2"/>
    <x v="87"/>
    <x v="87"/>
    <d v="2026-04-02T00:00:00"/>
    <s v="Evening"/>
    <s v="Cow"/>
    <n v="28.1"/>
    <n v="5.6"/>
    <n v="8.5"/>
    <n v="45.92"/>
    <n v="1290.3499999999999"/>
    <s v="M"/>
  </r>
  <r>
    <s v="2007"/>
    <s v="200702"/>
    <s v="Piragutu 2"/>
    <x v="80"/>
    <x v="80"/>
    <d v="2026-04-02T00:00:00"/>
    <s v="Evening"/>
    <s v="Cow"/>
    <n v="43.29"/>
    <n v="3.6"/>
    <n v="8.6"/>
    <n v="38.5"/>
    <n v="1666.66"/>
    <s v="M"/>
  </r>
  <r>
    <s v="2008"/>
    <s v="200801"/>
    <s v="CHATTI BHANDRA"/>
    <x v="89"/>
    <x v="89"/>
    <d v="2026-04-01T00:00:00"/>
    <s v="Morning"/>
    <s v="Cow"/>
    <n v="69.78"/>
    <n v="4.3"/>
    <n v="8.4"/>
    <n v="40.24"/>
    <n v="2807.95"/>
    <s v="A"/>
  </r>
  <r>
    <s v="2008"/>
    <s v="200801"/>
    <s v="CHATTI BHANDRA"/>
    <x v="90"/>
    <x v="90"/>
    <d v="2026-04-01T00:00:00"/>
    <s v="Morning"/>
    <s v="Cow"/>
    <n v="77.02"/>
    <n v="3.6"/>
    <n v="8.4"/>
    <n v="37.65"/>
    <n v="2899.8"/>
    <s v="A"/>
  </r>
  <r>
    <s v="2008"/>
    <s v="200801"/>
    <s v="CHATTI BHANDRA"/>
    <x v="91"/>
    <x v="91"/>
    <d v="2026-04-01T00:00:00"/>
    <s v="Morning"/>
    <s v="Cow"/>
    <n v="57.22"/>
    <n v="4.0999999999999996"/>
    <n v="8.1"/>
    <n v="38.31"/>
    <n v="2192.1"/>
    <s v="A"/>
  </r>
  <r>
    <s v="2008"/>
    <s v="200801"/>
    <s v="CHATTI BHANDRA"/>
    <x v="92"/>
    <x v="92"/>
    <d v="2026-04-01T00:00:00"/>
    <s v="Morning"/>
    <s v="Cow"/>
    <n v="38.96"/>
    <n v="3.9"/>
    <n v="8.3000000000000007"/>
    <n v="38.51"/>
    <n v="1500.35"/>
    <s v="A"/>
  </r>
  <r>
    <s v="2008"/>
    <s v="200803"/>
    <s v="C Bhandra 3"/>
    <x v="93"/>
    <x v="93"/>
    <d v="2026-04-01T00:00:00"/>
    <s v="Morning"/>
    <s v="Cow"/>
    <n v="262.52"/>
    <n v="3.4"/>
    <n v="8"/>
    <n v="35.51"/>
    <n v="9322.09"/>
    <s v="A"/>
  </r>
  <r>
    <s v="2008"/>
    <s v="200803"/>
    <s v="C Bhandra 3"/>
    <x v="94"/>
    <x v="94"/>
    <d v="2026-04-01T00:00:00"/>
    <s v="Morning"/>
    <s v="Cow"/>
    <n v="115.84"/>
    <n v="3.8"/>
    <n v="8.6999999999999993"/>
    <n v="39.5"/>
    <n v="4575.68"/>
    <s v="A"/>
  </r>
  <r>
    <s v="2008"/>
    <s v="200803"/>
    <s v="C Bhandra 3"/>
    <x v="95"/>
    <x v="95"/>
    <d v="2026-04-01T00:00:00"/>
    <s v="Morning"/>
    <s v="Cow"/>
    <n v="47.02"/>
    <n v="4.2"/>
    <n v="8"/>
    <n v="38.43"/>
    <n v="1806.98"/>
    <s v="A"/>
  </r>
  <r>
    <s v="2008"/>
    <s v="200803"/>
    <s v="C Bhandra 3"/>
    <x v="96"/>
    <x v="96"/>
    <d v="2026-04-01T00:00:00"/>
    <s v="Morning"/>
    <s v="Cow"/>
    <n v="40.28"/>
    <n v="4"/>
    <n v="8.5"/>
    <n v="39.75"/>
    <n v="1601.13"/>
    <s v="A"/>
  </r>
  <r>
    <s v="2008"/>
    <s v="200803"/>
    <s v="C Bhandra 3"/>
    <x v="97"/>
    <x v="97"/>
    <d v="2026-04-01T00:00:00"/>
    <s v="Morning"/>
    <s v="Cow"/>
    <n v="14.04"/>
    <n v="4.8"/>
    <n v="8.1"/>
    <n v="40.869999999999997"/>
    <n v="573.80999999999995"/>
    <s v="A"/>
  </r>
  <r>
    <s v="2008"/>
    <s v="200803"/>
    <s v="C Bhandra 3"/>
    <x v="98"/>
    <x v="98"/>
    <d v="2026-04-01T00:00:00"/>
    <s v="Morning"/>
    <s v="Cow"/>
    <n v="5.2"/>
    <n v="4.7"/>
    <n v="8.4"/>
    <n v="41.72"/>
    <n v="216.94"/>
    <s v="A"/>
  </r>
  <r>
    <s v="2008"/>
    <s v="200802"/>
    <s v="C Bhandra 2"/>
    <x v="99"/>
    <x v="99"/>
    <d v="2026-04-01T00:00:00"/>
    <s v="Morning"/>
    <s v="Cow"/>
    <n v="43.42"/>
    <n v="3.8"/>
    <n v="8.3000000000000007"/>
    <n v="38.14"/>
    <n v="1656.04"/>
    <s v="A"/>
  </r>
  <r>
    <s v="2008"/>
    <s v="200802"/>
    <s v="C Bhandra 2"/>
    <x v="100"/>
    <x v="100"/>
    <d v="2026-04-01T00:00:00"/>
    <s v="Morning"/>
    <s v="Cow"/>
    <n v="56.42"/>
    <n v="4"/>
    <n v="8.1"/>
    <n v="37.950000000000003"/>
    <n v="2141.14"/>
    <s v="A"/>
  </r>
  <r>
    <s v="2008"/>
    <s v="200802"/>
    <s v="C Bhandra 2"/>
    <x v="101"/>
    <x v="101"/>
    <d v="2026-04-01T00:00:00"/>
    <s v="Morning"/>
    <s v="Cow"/>
    <n v="34.5"/>
    <n v="4.5999999999999996"/>
    <n v="8.1999999999999993"/>
    <n v="40.380000000000003"/>
    <n v="1393.11"/>
    <s v="A"/>
  </r>
  <r>
    <s v="2008"/>
    <s v="200802"/>
    <s v="C Bhandra 2"/>
    <x v="102"/>
    <x v="102"/>
    <d v="2026-04-01T00:00:00"/>
    <s v="Morning"/>
    <s v="Cow"/>
    <n v="66.7"/>
    <n v="3.7"/>
    <n v="7.9"/>
    <n v="34.81"/>
    <n v="2321.83"/>
    <s v="A"/>
  </r>
  <r>
    <s v="2008"/>
    <s v="200802"/>
    <s v="C Bhandra 2"/>
    <x v="103"/>
    <x v="103"/>
    <d v="2026-04-01T00:00:00"/>
    <s v="Morning"/>
    <s v="Cow"/>
    <n v="31.38"/>
    <n v="4.0999999999999996"/>
    <n v="8"/>
    <n v="38.07"/>
    <n v="1194.6400000000001"/>
    <s v="A"/>
  </r>
  <r>
    <s v="2008"/>
    <s v="200802"/>
    <s v="C Bhandra 2"/>
    <x v="104"/>
    <x v="104"/>
    <d v="2026-04-01T00:00:00"/>
    <s v="Morning"/>
    <s v="Cow"/>
    <n v="48.44"/>
    <n v="4.0999999999999996"/>
    <n v="7.9"/>
    <n v="36.229999999999997"/>
    <n v="1754.98"/>
    <s v="A"/>
  </r>
  <r>
    <s v="2008"/>
    <s v="200802"/>
    <s v="C Bhandra 2"/>
    <x v="105"/>
    <x v="105"/>
    <d v="2026-04-01T00:00:00"/>
    <s v="Morning"/>
    <s v="Cow"/>
    <n v="84.22"/>
    <n v="4.3"/>
    <n v="8.3000000000000007"/>
    <n v="39.99"/>
    <n v="3367.96"/>
    <s v="A"/>
  </r>
  <r>
    <s v="2008"/>
    <s v="200802"/>
    <s v="C Bhandra 2"/>
    <x v="106"/>
    <x v="106"/>
    <d v="2026-04-01T00:00:00"/>
    <s v="Morning"/>
    <s v="Cow"/>
    <n v="13.72"/>
    <n v="4.3"/>
    <n v="8.1999999999999993"/>
    <n v="39.29"/>
    <n v="539.05999999999995"/>
    <s v="A"/>
  </r>
  <r>
    <s v="2008"/>
    <s v="200801"/>
    <s v="CHATTI BHANDRA"/>
    <x v="107"/>
    <x v="107"/>
    <d v="2026-04-01T00:00:00"/>
    <s v="Morning"/>
    <s v="Cow"/>
    <n v="25.14"/>
    <n v="4.8"/>
    <n v="8"/>
    <n v="40.619999999999997"/>
    <n v="1021.19"/>
    <s v="A"/>
  </r>
  <r>
    <s v="2008"/>
    <s v="200802"/>
    <s v="C Bhandra 2"/>
    <x v="108"/>
    <x v="108"/>
    <d v="2026-04-01T00:00:00"/>
    <s v="Morning"/>
    <s v="Cow"/>
    <n v="50.02"/>
    <n v="3.9"/>
    <n v="8.3000000000000007"/>
    <n v="38.51"/>
    <n v="1926.27"/>
    <s v="A"/>
  </r>
  <r>
    <s v="2008"/>
    <s v="200802"/>
    <s v="C Bhandra 2"/>
    <x v="109"/>
    <x v="109"/>
    <d v="2026-04-01T00:00:00"/>
    <s v="Morning"/>
    <s v="Cow"/>
    <n v="6.92"/>
    <n v="3.9"/>
    <n v="8.5"/>
    <n v="39.380000000000003"/>
    <n v="272.51"/>
    <s v="A"/>
  </r>
  <r>
    <s v="2008"/>
    <s v="200801"/>
    <s v="CHATTI BHANDRA"/>
    <x v="110"/>
    <x v="110"/>
    <d v="2026-04-01T00:00:00"/>
    <s v="Morning"/>
    <s v="Cow"/>
    <n v="65.400000000000006"/>
    <n v="4.3"/>
    <n v="8.4"/>
    <n v="40.24"/>
    <n v="2631.7"/>
    <s v="A"/>
  </r>
  <r>
    <s v="2008"/>
    <s v="200800"/>
    <s v="DIRECT"/>
    <x v="111"/>
    <x v="111"/>
    <d v="2026-04-01T00:00:00"/>
    <s v="Morning"/>
    <s v="Cow"/>
    <n v="231.26"/>
    <n v="3.8"/>
    <n v="8.6999999999999993"/>
    <n v="39.42"/>
    <n v="9116.56"/>
    <s v="A"/>
  </r>
  <r>
    <s v="2008"/>
    <s v="200800"/>
    <s v="DIRECT"/>
    <x v="111"/>
    <x v="111"/>
    <d v="2026-04-01T00:00:00"/>
    <s v="Morning"/>
    <s v="Mix"/>
    <n v="20.34"/>
    <n v="5.6"/>
    <n v="8.5"/>
    <n v="46.57"/>
    <n v="947.14"/>
    <s v="A"/>
  </r>
  <r>
    <s v="2008"/>
    <s v="200803"/>
    <s v="C Bhandra 3"/>
    <x v="112"/>
    <x v="112"/>
    <d v="2026-04-01T00:00:00"/>
    <s v="Morning"/>
    <s v="Cow"/>
    <n v="56.42"/>
    <n v="3.6"/>
    <n v="8"/>
    <n v="36.24"/>
    <n v="2044.66"/>
    <s v="M"/>
  </r>
  <r>
    <s v="2008"/>
    <s v="200801"/>
    <s v="CHATTI BHANDRA"/>
    <x v="90"/>
    <x v="90"/>
    <d v="2026-04-01T00:00:00"/>
    <s v="Evening"/>
    <s v="Cow"/>
    <n v="48.28"/>
    <n v="4"/>
    <n v="8.3000000000000007"/>
    <n v="38.880000000000003"/>
    <n v="1877.13"/>
    <s v="A"/>
  </r>
  <r>
    <s v="2008"/>
    <s v="200801"/>
    <s v="CHATTI BHANDRA"/>
    <x v="91"/>
    <x v="91"/>
    <d v="2026-04-01T00:00:00"/>
    <s v="Evening"/>
    <s v="Cow"/>
    <n v="74.98"/>
    <n v="3.6"/>
    <n v="8.5"/>
    <n v="38.25"/>
    <n v="2867.99"/>
    <s v="A"/>
  </r>
  <r>
    <s v="2008"/>
    <s v="200801"/>
    <s v="CHATTI BHANDRA"/>
    <x v="92"/>
    <x v="92"/>
    <d v="2026-04-01T00:00:00"/>
    <s v="Evening"/>
    <s v="Cow"/>
    <n v="87.96"/>
    <n v="4"/>
    <n v="8.1"/>
    <n v="37.950000000000003"/>
    <n v="3338.08"/>
    <s v="A"/>
  </r>
  <r>
    <s v="2008"/>
    <s v="200802"/>
    <s v="C Bhandra 2"/>
    <x v="109"/>
    <x v="109"/>
    <d v="2026-04-01T00:00:00"/>
    <s v="Evening"/>
    <s v="Cow"/>
    <n v="5.64"/>
    <n v="4.2"/>
    <n v="9"/>
    <n v="41.75"/>
    <n v="235.47"/>
    <s v="A"/>
  </r>
  <r>
    <s v="2008"/>
    <s v="200802"/>
    <s v="C Bhandra 2"/>
    <x v="102"/>
    <x v="102"/>
    <d v="2026-04-01T00:00:00"/>
    <s v="Evening"/>
    <s v="Cow"/>
    <n v="38.06"/>
    <n v="4.0999999999999996"/>
    <n v="8"/>
    <n v="38.07"/>
    <n v="1448.94"/>
    <s v="A"/>
  </r>
  <r>
    <s v="2008"/>
    <s v="200802"/>
    <s v="C Bhandra 2"/>
    <x v="105"/>
    <x v="105"/>
    <d v="2026-04-01T00:00:00"/>
    <s v="Evening"/>
    <s v="Cow"/>
    <n v="2.78"/>
    <n v="3.1"/>
    <n v="7.8"/>
    <n v="32.450000000000003"/>
    <n v="90.21"/>
    <s v="A"/>
  </r>
  <r>
    <s v="2008"/>
    <s v="200802"/>
    <s v="C Bhandra 2"/>
    <x v="100"/>
    <x v="100"/>
    <d v="2026-04-01T00:00:00"/>
    <s v="Evening"/>
    <s v="Cow"/>
    <n v="3.96"/>
    <n v="2.8"/>
    <n v="7.6"/>
    <n v="30.16"/>
    <n v="119.43"/>
    <s v="A"/>
  </r>
  <r>
    <s v="2008"/>
    <s v="200802"/>
    <s v="C Bhandra 2"/>
    <x v="106"/>
    <x v="106"/>
    <d v="2026-04-01T00:00:00"/>
    <s v="Evening"/>
    <s v="Cow"/>
    <n v="3.98"/>
    <n v="4.0999999999999996"/>
    <n v="8.1999999999999993"/>
    <n v="38.56"/>
    <n v="153.47"/>
    <s v="A"/>
  </r>
  <r>
    <s v="2008"/>
    <s v="200802"/>
    <s v="C Bhandra 2"/>
    <x v="101"/>
    <x v="101"/>
    <d v="2026-04-01T00:00:00"/>
    <s v="Evening"/>
    <s v="Cow"/>
    <n v="5.9"/>
    <n v="4"/>
    <n v="7.9"/>
    <n v="35.869999999999997"/>
    <n v="211.63"/>
    <s v="A"/>
  </r>
  <r>
    <s v="2008"/>
    <s v="200802"/>
    <s v="C Bhandra 2"/>
    <x v="104"/>
    <x v="104"/>
    <d v="2026-04-01T00:00:00"/>
    <s v="Evening"/>
    <s v="Cow"/>
    <n v="16.68"/>
    <n v="3.9"/>
    <n v="8.1"/>
    <n v="37.58"/>
    <n v="626.83000000000004"/>
    <s v="A"/>
  </r>
  <r>
    <s v="2008"/>
    <s v="200802"/>
    <s v="C Bhandra 2"/>
    <x v="108"/>
    <x v="108"/>
    <d v="2026-04-01T00:00:00"/>
    <s v="Evening"/>
    <s v="Cow"/>
    <n v="18.48"/>
    <n v="4.3"/>
    <n v="8.4"/>
    <n v="40.24"/>
    <n v="743.64"/>
    <s v="A"/>
  </r>
  <r>
    <s v="2008"/>
    <s v="200802"/>
    <s v="C Bhandra 2"/>
    <x v="99"/>
    <x v="99"/>
    <d v="2026-04-01T00:00:00"/>
    <s v="Evening"/>
    <s v="Cow"/>
    <n v="14.58"/>
    <n v="4.0999999999999996"/>
    <n v="8.1"/>
    <n v="38.31"/>
    <n v="558.55999999999995"/>
    <s v="A"/>
  </r>
  <r>
    <s v="2008"/>
    <s v="200803"/>
    <s v="C Bhandra 3"/>
    <x v="93"/>
    <x v="93"/>
    <d v="2026-04-01T00:00:00"/>
    <s v="Evening"/>
    <s v="Cow"/>
    <n v="185.7"/>
    <n v="3.7"/>
    <n v="8"/>
    <n v="36.61"/>
    <n v="6798.48"/>
    <s v="A"/>
  </r>
  <r>
    <s v="2008"/>
    <s v="200803"/>
    <s v="C Bhandra 3"/>
    <x v="95"/>
    <x v="95"/>
    <d v="2026-04-01T00:00:00"/>
    <s v="Evening"/>
    <s v="Cow"/>
    <n v="47.2"/>
    <n v="3.8"/>
    <n v="8.1999999999999993"/>
    <n v="37.46"/>
    <n v="1768.11"/>
    <s v="A"/>
  </r>
  <r>
    <s v="2008"/>
    <s v="200803"/>
    <s v="C Bhandra 3"/>
    <x v="97"/>
    <x v="97"/>
    <d v="2026-04-01T00:00:00"/>
    <s v="Evening"/>
    <s v="Cow"/>
    <n v="11.74"/>
    <n v="3.9"/>
    <n v="8"/>
    <n v="37.340000000000003"/>
    <n v="438.37"/>
    <s v="A"/>
  </r>
  <r>
    <s v="2008"/>
    <s v="200803"/>
    <s v="C Bhandra 3"/>
    <x v="96"/>
    <x v="96"/>
    <d v="2026-04-01T00:00:00"/>
    <s v="Evening"/>
    <s v="Cow"/>
    <n v="28.98"/>
    <n v="3.4"/>
    <n v="8.3000000000000007"/>
    <n v="36.659999999999997"/>
    <n v="1062.4100000000001"/>
    <s v="A"/>
  </r>
  <r>
    <s v="2008"/>
    <s v="200803"/>
    <s v="C Bhandra 3"/>
    <x v="94"/>
    <x v="94"/>
    <d v="2026-04-01T00:00:00"/>
    <s v="Evening"/>
    <s v="Cow"/>
    <n v="77.66"/>
    <n v="3.8"/>
    <n v="8.4"/>
    <n v="38.39"/>
    <n v="2981.37"/>
    <s v="A"/>
  </r>
  <r>
    <s v="2008"/>
    <s v="200800"/>
    <s v="DIRECT"/>
    <x v="111"/>
    <x v="111"/>
    <d v="2026-04-01T00:00:00"/>
    <s v="Evening"/>
    <s v="Cow"/>
    <n v="146.80000000000001"/>
    <n v="3.9"/>
    <n v="8.4"/>
    <n v="38.72"/>
    <n v="5683.53"/>
    <s v="A"/>
  </r>
  <r>
    <s v="2008"/>
    <s v="200803"/>
    <s v="C Bhandra 3"/>
    <x v="112"/>
    <x v="112"/>
    <d v="2026-04-01T00:00:00"/>
    <s v="Evening"/>
    <s v="Cow"/>
    <n v="19.84"/>
    <n v="3.6"/>
    <n v="8"/>
    <n v="36.24"/>
    <n v="719"/>
    <s v="M"/>
  </r>
  <r>
    <s v="2008"/>
    <s v="200801"/>
    <s v="CHATTI BHANDRA"/>
    <x v="89"/>
    <x v="89"/>
    <d v="2026-04-01T00:00:00"/>
    <s v="Evening"/>
    <s v="Cow"/>
    <n v="20.96"/>
    <n v="4.5"/>
    <n v="8.5"/>
    <n v="41.63"/>
    <n v="872.56"/>
    <s v="M"/>
  </r>
  <r>
    <s v="2008"/>
    <s v="200801"/>
    <s v="CHATTI BHANDRA"/>
    <x v="91"/>
    <x v="91"/>
    <d v="2026-04-02T00:00:00"/>
    <s v="Morning"/>
    <s v="Cow"/>
    <n v="69.14"/>
    <n v="4.2"/>
    <n v="8.5"/>
    <n v="40.5"/>
    <n v="2800.17"/>
    <s v="A"/>
  </r>
  <r>
    <s v="2008"/>
    <s v="200801"/>
    <s v="CHATTI BHANDRA"/>
    <x v="92"/>
    <x v="92"/>
    <d v="2026-04-02T00:00:00"/>
    <s v="Morning"/>
    <s v="Cow"/>
    <n v="74.5"/>
    <n v="4.0999999999999996"/>
    <n v="8.1999999999999993"/>
    <n v="38.56"/>
    <n v="2872.72"/>
    <s v="A"/>
  </r>
  <r>
    <s v="2008"/>
    <s v="200803"/>
    <s v="C Bhandra 3"/>
    <x v="112"/>
    <x v="112"/>
    <d v="2026-04-02T00:00:00"/>
    <s v="Morning"/>
    <s v="Cow"/>
    <n v="65.38"/>
    <n v="3.7"/>
    <n v="7.7"/>
    <n v="33.96"/>
    <n v="2220.3000000000002"/>
    <s v="A"/>
  </r>
  <r>
    <s v="2008"/>
    <s v="200803"/>
    <s v="C Bhandra 3"/>
    <x v="94"/>
    <x v="94"/>
    <d v="2026-04-02T00:00:00"/>
    <s v="Morning"/>
    <s v="Cow"/>
    <n v="115.8"/>
    <n v="3.8"/>
    <n v="8.6"/>
    <n v="39.25"/>
    <n v="4545.1499999999996"/>
    <s v="A"/>
  </r>
  <r>
    <s v="2008"/>
    <s v="200803"/>
    <s v="C Bhandra 3"/>
    <x v="93"/>
    <x v="93"/>
    <d v="2026-04-02T00:00:00"/>
    <s v="Morning"/>
    <s v="Cow"/>
    <n v="281.2"/>
    <n v="3.7"/>
    <n v="8.1999999999999993"/>
    <n v="37.1"/>
    <n v="10432.52"/>
    <s v="A"/>
  </r>
  <r>
    <s v="2008"/>
    <s v="200803"/>
    <s v="C Bhandra 3"/>
    <x v="96"/>
    <x v="96"/>
    <d v="2026-04-02T00:00:00"/>
    <s v="Morning"/>
    <s v="Cow"/>
    <n v="39.28"/>
    <n v="3.9"/>
    <n v="8.4"/>
    <n v="38.76"/>
    <n v="1522.49"/>
    <s v="A"/>
  </r>
  <r>
    <s v="2008"/>
    <s v="200803"/>
    <s v="C Bhandra 3"/>
    <x v="97"/>
    <x v="97"/>
    <d v="2026-04-02T00:00:00"/>
    <s v="Morning"/>
    <s v="Cow"/>
    <n v="14.16"/>
    <n v="4.7"/>
    <n v="8.1999999999999993"/>
    <n v="40.75"/>
    <n v="577.02"/>
    <s v="A"/>
  </r>
  <r>
    <s v="2008"/>
    <s v="200803"/>
    <s v="C Bhandra 3"/>
    <x v="95"/>
    <x v="95"/>
    <d v="2026-04-02T00:00:00"/>
    <s v="Morning"/>
    <s v="Cow"/>
    <n v="40.14"/>
    <n v="4.5"/>
    <n v="8.5"/>
    <n v="41.63"/>
    <n v="1671.03"/>
    <s v="A"/>
  </r>
  <r>
    <s v="2008"/>
    <s v="200803"/>
    <s v="C Bhandra 3"/>
    <x v="98"/>
    <x v="98"/>
    <d v="2026-04-02T00:00:00"/>
    <s v="Morning"/>
    <s v="Mix"/>
    <n v="5.8"/>
    <n v="4.9000000000000004"/>
    <n v="8.3000000000000007"/>
    <n v="42.21"/>
    <n v="244.82"/>
    <s v="A"/>
  </r>
  <r>
    <s v="2008"/>
    <s v="200801"/>
    <s v="CHATTI BHANDRA"/>
    <x v="110"/>
    <x v="110"/>
    <d v="2026-04-02T00:00:00"/>
    <s v="Morning"/>
    <s v="Cow"/>
    <n v="61.34"/>
    <n v="4.4000000000000004"/>
    <n v="8.4"/>
    <n v="40.61"/>
    <n v="2491.02"/>
    <s v="A"/>
  </r>
  <r>
    <s v="2008"/>
    <s v="200802"/>
    <s v="C Bhandra 2"/>
    <x v="99"/>
    <x v="99"/>
    <d v="2026-04-02T00:00:00"/>
    <s v="Morning"/>
    <s v="Cow"/>
    <n v="41.92"/>
    <n v="3.4"/>
    <n v="8.1999999999999993"/>
    <n v="36"/>
    <n v="1509.12"/>
    <s v="A"/>
  </r>
  <r>
    <s v="2008"/>
    <s v="200802"/>
    <s v="C Bhandra 2"/>
    <x v="105"/>
    <x v="105"/>
    <d v="2026-04-02T00:00:00"/>
    <s v="Morning"/>
    <s v="Cow"/>
    <n v="78.88"/>
    <n v="4.4000000000000004"/>
    <n v="8.1999999999999993"/>
    <n v="39.65"/>
    <n v="3127.59"/>
    <s v="A"/>
  </r>
  <r>
    <s v="2008"/>
    <s v="200802"/>
    <s v="C Bhandra 2"/>
    <x v="100"/>
    <x v="100"/>
    <d v="2026-04-02T00:00:00"/>
    <s v="Morning"/>
    <s v="Cow"/>
    <n v="57.36"/>
    <n v="4.0999999999999996"/>
    <n v="8.1"/>
    <n v="38.31"/>
    <n v="2197.46"/>
    <s v="A"/>
  </r>
  <r>
    <s v="2008"/>
    <s v="200802"/>
    <s v="C Bhandra 2"/>
    <x v="103"/>
    <x v="103"/>
    <d v="2026-04-02T00:00:00"/>
    <s v="Morning"/>
    <s v="Cow"/>
    <n v="32.68"/>
    <n v="4.2"/>
    <n v="8"/>
    <n v="38.43"/>
    <n v="1255.8900000000001"/>
    <s v="A"/>
  </r>
  <r>
    <s v="2008"/>
    <s v="200801"/>
    <s v="CHATTI BHANDRA"/>
    <x v="107"/>
    <x v="107"/>
    <d v="2026-04-02T00:00:00"/>
    <s v="Morning"/>
    <s v="Cow"/>
    <n v="21.66"/>
    <n v="4.8"/>
    <n v="8"/>
    <n v="40.619999999999997"/>
    <n v="879.83"/>
    <s v="A"/>
  </r>
  <r>
    <s v="2008"/>
    <s v="200802"/>
    <s v="C Bhandra 2"/>
    <x v="101"/>
    <x v="101"/>
    <d v="2026-04-02T00:00:00"/>
    <s v="Morning"/>
    <s v="Cow"/>
    <n v="23.74"/>
    <n v="4.7"/>
    <n v="8.3000000000000007"/>
    <n v="41.47"/>
    <n v="984.5"/>
    <s v="A"/>
  </r>
  <r>
    <s v="2008"/>
    <s v="200802"/>
    <s v="C Bhandra 2"/>
    <x v="106"/>
    <x v="106"/>
    <d v="2026-04-02T00:00:00"/>
    <s v="Morning"/>
    <s v="Cow"/>
    <n v="13.62"/>
    <n v="4.0999999999999996"/>
    <n v="8.1"/>
    <n v="38.31"/>
    <n v="521.78"/>
    <s v="A"/>
  </r>
  <r>
    <s v="2008"/>
    <s v="200802"/>
    <s v="C Bhandra 2"/>
    <x v="109"/>
    <x v="109"/>
    <d v="2026-04-02T00:00:00"/>
    <s v="Morning"/>
    <s v="Cow"/>
    <n v="6.7"/>
    <n v="3.5"/>
    <n v="8.6"/>
    <n v="38.130000000000003"/>
    <n v="255.47"/>
    <s v="A"/>
  </r>
  <r>
    <s v="2008"/>
    <s v="200802"/>
    <s v="C Bhandra 2"/>
    <x v="102"/>
    <x v="102"/>
    <d v="2026-04-02T00:00:00"/>
    <s v="Morning"/>
    <s v="Cow"/>
    <n v="69.12"/>
    <n v="3.8"/>
    <n v="7.9"/>
    <n v="35.159999999999997"/>
    <n v="2430.2600000000002"/>
    <s v="A"/>
  </r>
  <r>
    <s v="2008"/>
    <s v="200802"/>
    <s v="C Bhandra 2"/>
    <x v="104"/>
    <x v="104"/>
    <d v="2026-04-02T00:00:00"/>
    <s v="Morning"/>
    <s v="Cow"/>
    <n v="49.82"/>
    <n v="4"/>
    <n v="8.1999999999999993"/>
    <n v="38.19"/>
    <n v="1902.63"/>
    <s v="A"/>
  </r>
  <r>
    <s v="2008"/>
    <s v="200802"/>
    <s v="C Bhandra 2"/>
    <x v="108"/>
    <x v="108"/>
    <d v="2026-04-02T00:00:00"/>
    <s v="Morning"/>
    <s v="Cow"/>
    <n v="54.12"/>
    <n v="3.8"/>
    <n v="8.1"/>
    <n v="37.22"/>
    <n v="2014.35"/>
    <s v="A"/>
  </r>
  <r>
    <s v="2008"/>
    <s v="200800"/>
    <s v="DIRECT"/>
    <x v="111"/>
    <x v="111"/>
    <d v="2026-04-02T00:00:00"/>
    <s v="Morning"/>
    <s v="Cow"/>
    <n v="263.54000000000002"/>
    <n v="3.8"/>
    <n v="8.6"/>
    <n v="39.17"/>
    <n v="10322.48"/>
    <s v="A"/>
  </r>
  <r>
    <s v="2008"/>
    <s v="200800"/>
    <s v="DIRECT"/>
    <x v="111"/>
    <x v="111"/>
    <d v="2026-04-02T00:00:00"/>
    <s v="Morning"/>
    <s v="Mix"/>
    <n v="5.72"/>
    <n v="6.3"/>
    <n v="8.4"/>
    <n v="49.28"/>
    <n v="281.91000000000003"/>
    <s v="A"/>
  </r>
  <r>
    <s v="2008"/>
    <s v="200801"/>
    <s v="CHATTI BHANDRA"/>
    <x v="89"/>
    <x v="89"/>
    <d v="2026-04-02T00:00:00"/>
    <s v="Morning"/>
    <s v="Cow"/>
    <n v="78.099999999999994"/>
    <n v="4.5"/>
    <n v="8.5"/>
    <n v="41.63"/>
    <n v="3251.3"/>
    <s v="M"/>
  </r>
  <r>
    <s v="2008"/>
    <s v="200801"/>
    <s v="CHATTI BHANDRA"/>
    <x v="90"/>
    <x v="90"/>
    <d v="2026-04-02T00:00:00"/>
    <s v="Morning"/>
    <s v="Cow"/>
    <n v="77.58"/>
    <n v="3.7"/>
    <n v="8.4"/>
    <n v="38.020000000000003"/>
    <n v="2949.59"/>
    <s v="M"/>
  </r>
  <r>
    <s v="2008"/>
    <s v="200801"/>
    <s v="CHATTI BHANDRA"/>
    <x v="92"/>
    <x v="92"/>
    <d v="2026-04-02T00:00:00"/>
    <s v="Evening"/>
    <s v="Cow"/>
    <n v="112.68"/>
    <n v="4"/>
    <n v="8.4"/>
    <n v="39.130000000000003"/>
    <n v="4409.17"/>
    <s v="A"/>
  </r>
  <r>
    <s v="2008"/>
    <s v="200801"/>
    <s v="CHATTI BHANDRA"/>
    <x v="90"/>
    <x v="90"/>
    <d v="2026-04-02T00:00:00"/>
    <s v="Evening"/>
    <s v="Cow"/>
    <n v="50.02"/>
    <n v="4.0999999999999996"/>
    <n v="8.5"/>
    <n v="40.130000000000003"/>
    <n v="2007.3"/>
    <s v="A"/>
  </r>
  <r>
    <s v="2008"/>
    <s v="200801"/>
    <s v="CHATTI BHANDRA"/>
    <x v="91"/>
    <x v="91"/>
    <d v="2026-04-02T00:00:00"/>
    <s v="Evening"/>
    <s v="Cow"/>
    <n v="75.64"/>
    <n v="3.8"/>
    <n v="8.4"/>
    <n v="38.39"/>
    <n v="2903.82"/>
    <s v="A"/>
  </r>
  <r>
    <s v="2008"/>
    <s v="200802"/>
    <s v="C Bhandra 2"/>
    <x v="109"/>
    <x v="109"/>
    <d v="2026-04-02T00:00:00"/>
    <s v="Evening"/>
    <s v="Cow"/>
    <n v="6.2"/>
    <n v="3.9"/>
    <n v="7.7"/>
    <n v="34.67"/>
    <n v="214.95"/>
    <s v="A"/>
  </r>
  <r>
    <s v="2008"/>
    <s v="200802"/>
    <s v="C Bhandra 2"/>
    <x v="101"/>
    <x v="101"/>
    <d v="2026-04-02T00:00:00"/>
    <s v="Evening"/>
    <s v="Cow"/>
    <n v="3.16"/>
    <n v="4.7"/>
    <n v="8.1999999999999993"/>
    <n v="40.75"/>
    <n v="128.77000000000001"/>
    <s v="A"/>
  </r>
  <r>
    <s v="2008"/>
    <s v="200802"/>
    <s v="C Bhandra 2"/>
    <x v="104"/>
    <x v="104"/>
    <d v="2026-04-02T00:00:00"/>
    <s v="Evening"/>
    <s v="Cow"/>
    <n v="16.12"/>
    <n v="3.7"/>
    <n v="8.1"/>
    <n v="36.85"/>
    <n v="594.02"/>
    <s v="A"/>
  </r>
  <r>
    <s v="2008"/>
    <s v="200802"/>
    <s v="C Bhandra 2"/>
    <x v="102"/>
    <x v="102"/>
    <d v="2026-04-02T00:00:00"/>
    <s v="Evening"/>
    <s v="Cow"/>
    <n v="37.979999999999997"/>
    <n v="4.0999999999999996"/>
    <n v="8"/>
    <n v="38.07"/>
    <n v="1445.9"/>
    <s v="A"/>
  </r>
  <r>
    <s v="2008"/>
    <s v="200802"/>
    <s v="C Bhandra 2"/>
    <x v="99"/>
    <x v="99"/>
    <d v="2026-04-02T00:00:00"/>
    <s v="Evening"/>
    <s v="Cow"/>
    <n v="11.62"/>
    <n v="4.0999999999999996"/>
    <n v="8"/>
    <n v="38.07"/>
    <n v="442.37"/>
    <s v="A"/>
  </r>
  <r>
    <s v="2008"/>
    <s v="200802"/>
    <s v="C Bhandra 2"/>
    <x v="108"/>
    <x v="108"/>
    <d v="2026-04-02T00:00:00"/>
    <s v="Evening"/>
    <s v="Cow"/>
    <n v="19.18"/>
    <n v="4.3"/>
    <n v="8.1"/>
    <n v="39.04"/>
    <n v="748.79"/>
    <s v="A"/>
  </r>
  <r>
    <s v="2008"/>
    <s v="200803"/>
    <s v="C Bhandra 3"/>
    <x v="112"/>
    <x v="112"/>
    <d v="2026-04-02T00:00:00"/>
    <s v="Evening"/>
    <s v="Cow"/>
    <n v="22.18"/>
    <n v="3.7"/>
    <n v="7.5"/>
    <n v="32.950000000000003"/>
    <n v="730.83"/>
    <s v="A"/>
  </r>
  <r>
    <s v="2008"/>
    <s v="200803"/>
    <s v="C Bhandra 3"/>
    <x v="93"/>
    <x v="93"/>
    <d v="2026-04-02T00:00:00"/>
    <s v="Evening"/>
    <s v="Cow"/>
    <n v="178.78"/>
    <n v="3.7"/>
    <n v="8"/>
    <n v="36.61"/>
    <n v="6545.14"/>
    <s v="A"/>
  </r>
  <r>
    <s v="2008"/>
    <s v="200803"/>
    <s v="C Bhandra 3"/>
    <x v="94"/>
    <x v="94"/>
    <d v="2026-04-02T00:00:00"/>
    <s v="Evening"/>
    <s v="Cow"/>
    <n v="79.92"/>
    <n v="4.0999999999999996"/>
    <n v="8.1"/>
    <n v="38.31"/>
    <n v="3061.74"/>
    <s v="A"/>
  </r>
  <r>
    <s v="2008"/>
    <s v="200803"/>
    <s v="C Bhandra 3"/>
    <x v="96"/>
    <x v="96"/>
    <d v="2026-04-02T00:00:00"/>
    <s v="Evening"/>
    <s v="Cow"/>
    <n v="31.02"/>
    <n v="3.2"/>
    <n v="8.4"/>
    <n v="36.17"/>
    <n v="1121.99"/>
    <s v="A"/>
  </r>
  <r>
    <s v="2008"/>
    <s v="200803"/>
    <s v="C Bhandra 3"/>
    <x v="97"/>
    <x v="97"/>
    <d v="2026-04-02T00:00:00"/>
    <s v="Evening"/>
    <s v="Cow"/>
    <n v="10.220000000000001"/>
    <n v="4"/>
    <n v="8.1"/>
    <n v="37.950000000000003"/>
    <n v="387.85"/>
    <s v="A"/>
  </r>
  <r>
    <s v="2008"/>
    <s v="200800"/>
    <s v="DIRECT"/>
    <x v="111"/>
    <x v="111"/>
    <d v="2026-04-02T00:00:00"/>
    <s v="Evening"/>
    <s v="Cow"/>
    <n v="209.98"/>
    <n v="3.9"/>
    <n v="8.4"/>
    <n v="38.700000000000003"/>
    <n v="8127.09"/>
    <s v="A"/>
  </r>
  <r>
    <s v="2008"/>
    <s v="200801"/>
    <s v="CHATTI BHANDRA"/>
    <x v="89"/>
    <x v="89"/>
    <d v="2026-04-02T00:00:00"/>
    <s v="Evening"/>
    <s v="Cow"/>
    <n v="27.24"/>
    <n v="4.2"/>
    <n v="8.4"/>
    <n v="39.869999999999997"/>
    <n v="1086.06"/>
    <s v="M"/>
  </r>
  <r>
    <s v="2008"/>
    <s v="200803"/>
    <s v="C Bhandra 3"/>
    <x v="95"/>
    <x v="95"/>
    <d v="2026-04-02T00:00:00"/>
    <s v="Evening"/>
    <s v="Cow"/>
    <n v="46.6"/>
    <n v="3.8"/>
    <n v="8.3000000000000007"/>
    <n v="38.14"/>
    <n v="1777.32"/>
    <s v="M"/>
  </r>
  <r>
    <s v="2008"/>
    <s v="200802"/>
    <s v="C Bhandra 2"/>
    <x v="106"/>
    <x v="106"/>
    <d v="2026-04-02T00:00:00"/>
    <s v="Evening"/>
    <s v="Cow"/>
    <n v="3.16"/>
    <n v="4.7"/>
    <n v="8.1999999999999993"/>
    <n v="40.75"/>
    <n v="128.77000000000001"/>
    <s v="M"/>
  </r>
  <r>
    <s v="2009"/>
    <s v="200902"/>
    <s v="Chanho 2"/>
    <x v="113"/>
    <x v="113"/>
    <d v="2026-04-01T00:00:00"/>
    <s v="Morning"/>
    <s v="Cow"/>
    <n v="111.31"/>
    <n v="3.8"/>
    <n v="8.4"/>
    <n v="38.39"/>
    <n v="4273.1899999999996"/>
    <s v="A"/>
  </r>
  <r>
    <s v="2009"/>
    <s v="200902"/>
    <s v="Chanho 2"/>
    <x v="114"/>
    <x v="114"/>
    <d v="2026-04-01T00:00:00"/>
    <s v="Morning"/>
    <s v="Cow"/>
    <n v="41.9"/>
    <n v="4.3"/>
    <n v="8.4"/>
    <n v="40.24"/>
    <n v="1686.06"/>
    <s v="A"/>
  </r>
  <r>
    <s v="2009"/>
    <s v="200902"/>
    <s v="Chanho 2"/>
    <x v="115"/>
    <x v="115"/>
    <d v="2026-04-01T00:00:00"/>
    <s v="Morning"/>
    <s v="Cow"/>
    <n v="77.81"/>
    <n v="3.8"/>
    <n v="8.4"/>
    <n v="38.39"/>
    <n v="2987.13"/>
    <s v="A"/>
  </r>
  <r>
    <s v="2009"/>
    <s v="200902"/>
    <s v="Chanho 2"/>
    <x v="116"/>
    <x v="116"/>
    <d v="2026-04-01T00:00:00"/>
    <s v="Morning"/>
    <s v="Cow"/>
    <n v="48.13"/>
    <n v="3.7"/>
    <n v="8.1"/>
    <n v="36.85"/>
    <n v="1773.59"/>
    <s v="A"/>
  </r>
  <r>
    <s v="2009"/>
    <s v="200902"/>
    <s v="Chanho 2"/>
    <x v="117"/>
    <x v="117"/>
    <d v="2026-04-01T00:00:00"/>
    <s v="Morning"/>
    <s v="Cow"/>
    <n v="25.39"/>
    <n v="3.4"/>
    <n v="8.1999999999999993"/>
    <n v="36"/>
    <n v="914.04"/>
    <s v="A"/>
  </r>
  <r>
    <s v="2009"/>
    <s v="200902"/>
    <s v="Chanho 2"/>
    <x v="118"/>
    <x v="118"/>
    <d v="2026-04-01T00:00:00"/>
    <s v="Morning"/>
    <s v="Cow"/>
    <n v="62.1"/>
    <n v="3.9"/>
    <n v="8.3000000000000007"/>
    <n v="38.51"/>
    <n v="2391.4699999999998"/>
    <s v="A"/>
  </r>
  <r>
    <s v="2009"/>
    <s v="200902"/>
    <s v="Chanho 2"/>
    <x v="119"/>
    <x v="119"/>
    <d v="2026-04-01T00:00:00"/>
    <s v="Morning"/>
    <s v="Cow"/>
    <n v="101.64"/>
    <n v="4"/>
    <n v="8.5"/>
    <n v="39.75"/>
    <n v="4040.19"/>
    <s v="A"/>
  </r>
  <r>
    <s v="2009"/>
    <s v="200902"/>
    <s v="Chanho 2"/>
    <x v="120"/>
    <x v="120"/>
    <d v="2026-04-01T00:00:00"/>
    <s v="Morning"/>
    <s v="Cow"/>
    <n v="51.25"/>
    <n v="4.4000000000000004"/>
    <n v="8.3000000000000007"/>
    <n v="40.36"/>
    <n v="2068.4499999999998"/>
    <s v="A"/>
  </r>
  <r>
    <s v="2009"/>
    <s v="200902"/>
    <s v="Chanho 2"/>
    <x v="121"/>
    <x v="121"/>
    <d v="2026-04-01T00:00:00"/>
    <s v="Morning"/>
    <s v="Cow"/>
    <n v="37.82"/>
    <n v="4"/>
    <n v="8.1999999999999993"/>
    <n v="38.19"/>
    <n v="1444.35"/>
    <s v="A"/>
  </r>
  <r>
    <s v="2009"/>
    <s v="200902"/>
    <s v="Chanho 2"/>
    <x v="122"/>
    <x v="122"/>
    <d v="2026-04-01T00:00:00"/>
    <s v="Morning"/>
    <s v="Cow"/>
    <n v="27.12"/>
    <n v="3.7"/>
    <n v="8"/>
    <n v="36.61"/>
    <n v="992.86"/>
    <s v="A"/>
  </r>
  <r>
    <s v="2009"/>
    <s v="200902"/>
    <s v="Chanho 2"/>
    <x v="123"/>
    <x v="123"/>
    <d v="2026-04-01T00:00:00"/>
    <s v="Morning"/>
    <s v="Cow"/>
    <n v="16.47"/>
    <n v="4.0999999999999996"/>
    <n v="8.6"/>
    <n v="40.380000000000003"/>
    <n v="665.06"/>
    <s v="A"/>
  </r>
  <r>
    <s v="2009"/>
    <s v="200902"/>
    <s v="Chanho 2"/>
    <x v="124"/>
    <x v="124"/>
    <d v="2026-04-01T00:00:00"/>
    <s v="Morning"/>
    <s v="Cow"/>
    <n v="12.32"/>
    <n v="4"/>
    <n v="8.1999999999999993"/>
    <n v="38.19"/>
    <n v="470.5"/>
    <s v="A"/>
  </r>
  <r>
    <s v="2009"/>
    <s v="200902"/>
    <s v="Chanho 2"/>
    <x v="125"/>
    <x v="125"/>
    <d v="2026-04-01T00:00:00"/>
    <s v="Morning"/>
    <s v="Cow"/>
    <n v="5.33"/>
    <n v="3.3"/>
    <n v="8.5"/>
    <n v="37.130000000000003"/>
    <n v="197.9"/>
    <s v="A"/>
  </r>
  <r>
    <s v="2009"/>
    <s v="200902"/>
    <s v="Chanho 2"/>
    <x v="126"/>
    <x v="126"/>
    <d v="2026-04-01T00:00:00"/>
    <s v="Morning"/>
    <s v="Cow"/>
    <n v="14.39"/>
    <n v="3.4"/>
    <n v="8"/>
    <n v="35.51"/>
    <n v="510.99"/>
    <s v="A"/>
  </r>
  <r>
    <s v="2009"/>
    <s v="200901"/>
    <s v="Chanho"/>
    <x v="127"/>
    <x v="127"/>
    <d v="2026-04-01T00:00:00"/>
    <s v="Morning"/>
    <s v="Cow"/>
    <n v="28.89"/>
    <n v="3.8"/>
    <n v="8.3000000000000007"/>
    <n v="38.14"/>
    <n v="1101.8599999999999"/>
    <s v="A"/>
  </r>
  <r>
    <s v="2009"/>
    <s v="200901"/>
    <s v="Chanho"/>
    <x v="128"/>
    <x v="128"/>
    <d v="2026-04-01T00:00:00"/>
    <s v="Morning"/>
    <s v="Cow"/>
    <n v="51.56"/>
    <n v="4.0999999999999996"/>
    <n v="8.3000000000000007"/>
    <n v="39.25"/>
    <n v="2023.73"/>
    <s v="A"/>
  </r>
  <r>
    <s v="2009"/>
    <s v="200901"/>
    <s v="Chanho"/>
    <x v="129"/>
    <x v="129"/>
    <d v="2026-04-01T00:00:00"/>
    <s v="Morning"/>
    <s v="Cow"/>
    <n v="162.72"/>
    <n v="4.4000000000000004"/>
    <n v="8.5"/>
    <n v="41.25"/>
    <n v="6712.2"/>
    <s v="A"/>
  </r>
  <r>
    <s v="2009"/>
    <s v="200901"/>
    <s v="Chanho"/>
    <x v="130"/>
    <x v="130"/>
    <d v="2026-04-01T00:00:00"/>
    <s v="Morning"/>
    <s v="Cow"/>
    <n v="125.23"/>
    <n v="3.9"/>
    <n v="8.4"/>
    <n v="38.76"/>
    <n v="4853.91"/>
    <s v="A"/>
  </r>
  <r>
    <s v="2009"/>
    <s v="200901"/>
    <s v="Chanho"/>
    <x v="131"/>
    <x v="131"/>
    <d v="2026-04-01T00:00:00"/>
    <s v="Morning"/>
    <s v="Cow"/>
    <n v="73.260000000000005"/>
    <n v="4"/>
    <n v="8.5"/>
    <n v="39.75"/>
    <n v="2912.09"/>
    <s v="A"/>
  </r>
  <r>
    <s v="2009"/>
    <s v="200901"/>
    <s v="Chanho"/>
    <x v="132"/>
    <x v="132"/>
    <d v="2026-04-01T00:00:00"/>
    <s v="Morning"/>
    <s v="Cow"/>
    <n v="95.19"/>
    <n v="3.9"/>
    <n v="8.1999999999999993"/>
    <n v="37.83"/>
    <n v="3601.04"/>
    <s v="A"/>
  </r>
  <r>
    <s v="2009"/>
    <s v="200901"/>
    <s v="Chanho"/>
    <x v="133"/>
    <x v="133"/>
    <d v="2026-04-01T00:00:00"/>
    <s v="Morning"/>
    <s v="Cow"/>
    <n v="36.07"/>
    <n v="4.2"/>
    <n v="8.1"/>
    <n v="38.68"/>
    <n v="1395.19"/>
    <s v="A"/>
  </r>
  <r>
    <s v="2009"/>
    <s v="200901"/>
    <s v="Chanho"/>
    <x v="134"/>
    <x v="134"/>
    <d v="2026-04-01T00:00:00"/>
    <s v="Morning"/>
    <s v="Cow"/>
    <n v="60.37"/>
    <n v="4.2"/>
    <n v="8.6999999999999993"/>
    <n v="40.950000000000003"/>
    <n v="2472.21"/>
    <s v="A"/>
  </r>
  <r>
    <s v="2009"/>
    <s v="200901"/>
    <s v="Chanho"/>
    <x v="134"/>
    <x v="134"/>
    <d v="2026-04-01T00:00:00"/>
    <s v="Morning"/>
    <s v="Mix"/>
    <n v="2.13"/>
    <n v="6.8"/>
    <n v="8.5"/>
    <n v="50.79"/>
    <n v="108.18"/>
    <s v="A"/>
  </r>
  <r>
    <s v="2009"/>
    <s v="200902"/>
    <s v="Chanho 2"/>
    <x v="114"/>
    <x v="114"/>
    <d v="2026-04-01T00:00:00"/>
    <s v="Evening"/>
    <s v="Cow"/>
    <n v="22.75"/>
    <n v="4.7"/>
    <n v="8.5"/>
    <n v="42.38"/>
    <n v="964.15"/>
    <s v="A"/>
  </r>
  <r>
    <s v="2009"/>
    <s v="200901"/>
    <s v="Chanho"/>
    <x v="129"/>
    <x v="129"/>
    <d v="2026-04-01T00:00:00"/>
    <s v="Evening"/>
    <s v="Cow"/>
    <n v="94.44"/>
    <n v="4.0999999999999996"/>
    <n v="8.1999999999999993"/>
    <n v="38.56"/>
    <n v="3641.61"/>
    <s v="A"/>
  </r>
  <r>
    <s v="2009"/>
    <s v="200901"/>
    <s v="Chanho"/>
    <x v="130"/>
    <x v="130"/>
    <d v="2026-04-01T00:00:00"/>
    <s v="Evening"/>
    <s v="Cow"/>
    <n v="68.28"/>
    <n v="3.4"/>
    <n v="8.4"/>
    <n v="36.909999999999997"/>
    <n v="2520.21"/>
    <s v="A"/>
  </r>
  <r>
    <s v="2009"/>
    <s v="200901"/>
    <s v="Chanho"/>
    <x v="127"/>
    <x v="127"/>
    <d v="2026-04-01T00:00:00"/>
    <s v="Evening"/>
    <s v="Cow"/>
    <n v="20.059999999999999"/>
    <n v="4.3"/>
    <n v="8.1999999999999993"/>
    <n v="39.29"/>
    <n v="788.16"/>
    <s v="A"/>
  </r>
  <r>
    <s v="2009"/>
    <s v="200901"/>
    <s v="Chanho"/>
    <x v="132"/>
    <x v="132"/>
    <d v="2026-04-01T00:00:00"/>
    <s v="Evening"/>
    <s v="Cow"/>
    <n v="47.39"/>
    <n v="3.5"/>
    <n v="8.1999999999999993"/>
    <n v="36.369999999999997"/>
    <n v="1723.57"/>
    <s v="A"/>
  </r>
  <r>
    <s v="2009"/>
    <s v="200901"/>
    <s v="Chanho"/>
    <x v="131"/>
    <x v="131"/>
    <d v="2026-04-01T00:00:00"/>
    <s v="Evening"/>
    <s v="Cow"/>
    <n v="18.190000000000001"/>
    <n v="4.5"/>
    <n v="8.6999999999999993"/>
    <n v="42.13"/>
    <n v="766.34"/>
    <s v="A"/>
  </r>
  <r>
    <s v="2009"/>
    <s v="200901"/>
    <s v="Chanho"/>
    <x v="133"/>
    <x v="133"/>
    <d v="2026-04-01T00:00:00"/>
    <s v="Evening"/>
    <s v="Cow"/>
    <n v="16.62"/>
    <n v="3.8"/>
    <n v="8.1999999999999993"/>
    <n v="37.46"/>
    <n v="622.59"/>
    <s v="A"/>
  </r>
  <r>
    <s v="2009"/>
    <s v="200902"/>
    <s v="Chanho 2"/>
    <x v="113"/>
    <x v="113"/>
    <d v="2026-04-01T00:00:00"/>
    <s v="Evening"/>
    <s v="Cow"/>
    <n v="108.04"/>
    <n v="3.8"/>
    <n v="8"/>
    <n v="36.97"/>
    <n v="3994.24"/>
    <s v="A"/>
  </r>
  <r>
    <s v="2009"/>
    <s v="200902"/>
    <s v="Chanho 2"/>
    <x v="115"/>
    <x v="115"/>
    <d v="2026-04-01T00:00:00"/>
    <s v="Evening"/>
    <s v="Cow"/>
    <n v="51.71"/>
    <n v="3.9"/>
    <n v="8.4"/>
    <n v="38.76"/>
    <n v="2004.28"/>
    <s v="A"/>
  </r>
  <r>
    <s v="2009"/>
    <s v="200902"/>
    <s v="Chanho 2"/>
    <x v="123"/>
    <x v="123"/>
    <d v="2026-04-01T00:00:00"/>
    <s v="Evening"/>
    <s v="Cow"/>
    <n v="16.45"/>
    <n v="4.7"/>
    <n v="8.5"/>
    <n v="42.38"/>
    <n v="697.15"/>
    <s v="A"/>
  </r>
  <r>
    <s v="2009"/>
    <s v="200902"/>
    <s v="Chanho 2"/>
    <x v="119"/>
    <x v="119"/>
    <d v="2026-04-01T00:00:00"/>
    <s v="Evening"/>
    <s v="Cow"/>
    <n v="57.17"/>
    <n v="4.7"/>
    <n v="8.5"/>
    <n v="42.38"/>
    <n v="2422.86"/>
    <s v="A"/>
  </r>
  <r>
    <s v="2009"/>
    <s v="200902"/>
    <s v="Chanho 2"/>
    <x v="116"/>
    <x v="116"/>
    <d v="2026-04-01T00:00:00"/>
    <s v="Evening"/>
    <s v="Cow"/>
    <n v="39.75"/>
    <n v="3.7"/>
    <n v="8"/>
    <n v="36.61"/>
    <n v="1455.25"/>
    <s v="A"/>
  </r>
  <r>
    <s v="2009"/>
    <s v="200902"/>
    <s v="Chanho 2"/>
    <x v="117"/>
    <x v="117"/>
    <d v="2026-04-01T00:00:00"/>
    <s v="Evening"/>
    <s v="Cow"/>
    <n v="24.79"/>
    <n v="3.7"/>
    <n v="7.9"/>
    <n v="34.81"/>
    <n v="862.94"/>
    <s v="A"/>
  </r>
  <r>
    <s v="2009"/>
    <s v="200902"/>
    <s v="Chanho 2"/>
    <x v="120"/>
    <x v="120"/>
    <d v="2026-04-01T00:00:00"/>
    <s v="Evening"/>
    <s v="Cow"/>
    <n v="23.22"/>
    <n v="4.3"/>
    <n v="8.1"/>
    <n v="39.04"/>
    <n v="906.51"/>
    <s v="A"/>
  </r>
  <r>
    <s v="2009"/>
    <s v="200902"/>
    <s v="Chanho 2"/>
    <x v="118"/>
    <x v="118"/>
    <d v="2026-04-01T00:00:00"/>
    <s v="Evening"/>
    <s v="Cow"/>
    <n v="37.69"/>
    <n v="4.2"/>
    <n v="8.1"/>
    <n v="38.68"/>
    <n v="1457.85"/>
    <s v="A"/>
  </r>
  <r>
    <s v="2009"/>
    <s v="200902"/>
    <s v="Chanho 2"/>
    <x v="121"/>
    <x v="121"/>
    <d v="2026-04-01T00:00:00"/>
    <s v="Evening"/>
    <s v="Cow"/>
    <n v="21.66"/>
    <n v="3.9"/>
    <n v="8.3000000000000007"/>
    <n v="38.51"/>
    <n v="834.13"/>
    <s v="A"/>
  </r>
  <r>
    <s v="2009"/>
    <s v="200902"/>
    <s v="Chanho 2"/>
    <x v="122"/>
    <x v="122"/>
    <d v="2026-04-01T00:00:00"/>
    <s v="Evening"/>
    <s v="Cow"/>
    <n v="23.49"/>
    <n v="3.9"/>
    <n v="8.3000000000000007"/>
    <n v="38.51"/>
    <n v="904.6"/>
    <s v="A"/>
  </r>
  <r>
    <s v="2009"/>
    <s v="200902"/>
    <s v="Chanho 2"/>
    <x v="125"/>
    <x v="125"/>
    <d v="2026-04-01T00:00:00"/>
    <s v="Evening"/>
    <s v="Cow"/>
    <n v="2.2999999999999998"/>
    <n v="3.8"/>
    <n v="7.9"/>
    <n v="35.159999999999997"/>
    <n v="80.87"/>
    <s v="A"/>
  </r>
  <r>
    <s v="2009"/>
    <s v="200902"/>
    <s v="Chanho 2"/>
    <x v="126"/>
    <x v="126"/>
    <d v="2026-04-01T00:00:00"/>
    <s v="Evening"/>
    <s v="Cow"/>
    <n v="10.07"/>
    <n v="3.8"/>
    <n v="7.9"/>
    <n v="35.159999999999997"/>
    <n v="354.06"/>
    <s v="A"/>
  </r>
  <r>
    <s v="2009"/>
    <s v="200902"/>
    <s v="Chanho 2"/>
    <x v="124"/>
    <x v="124"/>
    <d v="2026-04-01T00:00:00"/>
    <s v="Evening"/>
    <s v="Cow"/>
    <n v="7.86"/>
    <n v="4.3"/>
    <n v="8.5"/>
    <n v="40.880000000000003"/>
    <n v="321.32"/>
    <s v="A"/>
  </r>
  <r>
    <s v="2009"/>
    <s v="200901"/>
    <s v="Chanho"/>
    <x v="134"/>
    <x v="134"/>
    <d v="2026-04-01T00:00:00"/>
    <s v="Evening"/>
    <s v="Cow"/>
    <n v="39.29"/>
    <n v="4.3"/>
    <n v="8.6"/>
    <n v="41.08"/>
    <n v="1613.95"/>
    <s v="A"/>
  </r>
  <r>
    <s v="2009"/>
    <s v="200902"/>
    <s v="Chanho 2"/>
    <x v="114"/>
    <x v="114"/>
    <d v="2026-04-02T00:00:00"/>
    <s v="Morning"/>
    <s v="Cow"/>
    <n v="54.79"/>
    <n v="4.3"/>
    <n v="8.4"/>
    <n v="40.24"/>
    <n v="2204.75"/>
    <s v="A"/>
  </r>
  <r>
    <s v="2009"/>
    <s v="200902"/>
    <s v="Chanho 2"/>
    <x v="115"/>
    <x v="115"/>
    <d v="2026-04-02T00:00:00"/>
    <s v="Morning"/>
    <s v="Cow"/>
    <n v="61.02"/>
    <n v="3.7"/>
    <n v="8.4"/>
    <n v="38.020000000000003"/>
    <n v="2319.98"/>
    <s v="A"/>
  </r>
  <r>
    <s v="2009"/>
    <s v="200902"/>
    <s v="Chanho 2"/>
    <x v="117"/>
    <x v="117"/>
    <d v="2026-04-02T00:00:00"/>
    <s v="Morning"/>
    <s v="Cow"/>
    <n v="31.76"/>
    <n v="3.5"/>
    <n v="8.1"/>
    <n v="36.119999999999997"/>
    <n v="1147.17"/>
    <s v="A"/>
  </r>
  <r>
    <s v="2009"/>
    <s v="200902"/>
    <s v="Chanho 2"/>
    <x v="113"/>
    <x v="113"/>
    <d v="2026-04-02T00:00:00"/>
    <s v="Morning"/>
    <s v="Cow"/>
    <n v="109.26"/>
    <n v="4"/>
    <n v="8.4"/>
    <n v="39.130000000000003"/>
    <n v="4275.34"/>
    <s v="A"/>
  </r>
  <r>
    <s v="2009"/>
    <s v="200902"/>
    <s v="Chanho 2"/>
    <x v="118"/>
    <x v="118"/>
    <d v="2026-04-02T00:00:00"/>
    <s v="Morning"/>
    <s v="Cow"/>
    <n v="59.53"/>
    <n v="3.9"/>
    <n v="8.3000000000000007"/>
    <n v="38.51"/>
    <n v="2292.5"/>
    <s v="A"/>
  </r>
  <r>
    <s v="2009"/>
    <s v="200902"/>
    <s v="Chanho 2"/>
    <x v="116"/>
    <x v="116"/>
    <d v="2026-04-02T00:00:00"/>
    <s v="Morning"/>
    <s v="Cow"/>
    <n v="55.46"/>
    <n v="3.8"/>
    <n v="8.3000000000000007"/>
    <n v="38.14"/>
    <n v="2115.2399999999998"/>
    <s v="A"/>
  </r>
  <r>
    <s v="2009"/>
    <s v="200902"/>
    <s v="Chanho 2"/>
    <x v="120"/>
    <x v="120"/>
    <d v="2026-04-02T00:00:00"/>
    <s v="Morning"/>
    <s v="Cow"/>
    <n v="50.68"/>
    <n v="4.2"/>
    <n v="8.3000000000000007"/>
    <n v="39.619999999999997"/>
    <n v="2007.94"/>
    <s v="A"/>
  </r>
  <r>
    <s v="2009"/>
    <s v="200902"/>
    <s v="Chanho 2"/>
    <x v="119"/>
    <x v="119"/>
    <d v="2026-04-02T00:00:00"/>
    <s v="Morning"/>
    <s v="Cow"/>
    <n v="98.11"/>
    <n v="4.2"/>
    <n v="8.6999999999999993"/>
    <n v="41"/>
    <n v="4022.51"/>
    <s v="A"/>
  </r>
  <r>
    <s v="2009"/>
    <s v="200902"/>
    <s v="Chanho 2"/>
    <x v="123"/>
    <x v="123"/>
    <d v="2026-04-02T00:00:00"/>
    <s v="Morning"/>
    <s v="Cow"/>
    <n v="17.55"/>
    <n v="4.2"/>
    <n v="8.6999999999999993"/>
    <n v="41"/>
    <n v="719.55"/>
    <s v="A"/>
  </r>
  <r>
    <s v="2009"/>
    <s v="200902"/>
    <s v="Chanho 2"/>
    <x v="121"/>
    <x v="121"/>
    <d v="2026-04-02T00:00:00"/>
    <s v="Morning"/>
    <s v="Cow"/>
    <n v="39.19"/>
    <n v="4.0999999999999996"/>
    <n v="8.5"/>
    <n v="40.130000000000003"/>
    <n v="1572.69"/>
    <s v="A"/>
  </r>
  <r>
    <s v="2009"/>
    <s v="200902"/>
    <s v="Chanho 2"/>
    <x v="122"/>
    <x v="122"/>
    <d v="2026-04-02T00:00:00"/>
    <s v="Morning"/>
    <s v="Cow"/>
    <n v="26.14"/>
    <n v="3.9"/>
    <n v="8.1"/>
    <n v="37.58"/>
    <n v="982.34"/>
    <s v="A"/>
  </r>
  <r>
    <s v="2009"/>
    <s v="200902"/>
    <s v="Chanho 2"/>
    <x v="124"/>
    <x v="124"/>
    <d v="2026-04-02T00:00:00"/>
    <s v="Morning"/>
    <s v="Cow"/>
    <n v="11.01"/>
    <n v="3.9"/>
    <n v="8.4"/>
    <n v="38.76"/>
    <n v="426.75"/>
    <s v="A"/>
  </r>
  <r>
    <s v="2009"/>
    <s v="200902"/>
    <s v="Chanho 2"/>
    <x v="126"/>
    <x v="126"/>
    <d v="2026-04-02T00:00:00"/>
    <s v="Morning"/>
    <s v="Cow"/>
    <n v="14.13"/>
    <n v="3.1"/>
    <n v="8.1999999999999993"/>
    <n v="34.909999999999997"/>
    <n v="493.28"/>
    <s v="A"/>
  </r>
  <r>
    <s v="2009"/>
    <s v="200902"/>
    <s v="Chanho 2"/>
    <x v="125"/>
    <x v="125"/>
    <d v="2026-04-02T00:00:00"/>
    <s v="Morning"/>
    <s v="Cow"/>
    <n v="8.19"/>
    <n v="3.1"/>
    <n v="8.1999999999999993"/>
    <n v="34.909999999999997"/>
    <n v="285.91000000000003"/>
    <s v="A"/>
  </r>
  <r>
    <s v="2009"/>
    <s v="200901"/>
    <s v="Chanho"/>
    <x v="129"/>
    <x v="129"/>
    <d v="2026-04-02T00:00:00"/>
    <s v="Morning"/>
    <s v="Cow"/>
    <n v="156.84"/>
    <n v="4.5"/>
    <n v="8.5"/>
    <n v="41.63"/>
    <n v="6529.25"/>
    <s v="A"/>
  </r>
  <r>
    <s v="2009"/>
    <s v="200901"/>
    <s v="Chanho"/>
    <x v="128"/>
    <x v="128"/>
    <d v="2026-04-02T00:00:00"/>
    <s v="Morning"/>
    <s v="Cow"/>
    <n v="44.26"/>
    <n v="4.2"/>
    <n v="8.4"/>
    <n v="39.869999999999997"/>
    <n v="1764.65"/>
    <s v="A"/>
  </r>
  <r>
    <s v="2009"/>
    <s v="200901"/>
    <s v="Chanho"/>
    <x v="131"/>
    <x v="131"/>
    <d v="2026-04-02T00:00:00"/>
    <s v="Morning"/>
    <s v="Cow"/>
    <n v="64.37"/>
    <n v="4.0999999999999996"/>
    <n v="8.6999999999999993"/>
    <n v="40.630000000000003"/>
    <n v="2615.35"/>
    <s v="A"/>
  </r>
  <r>
    <s v="2009"/>
    <s v="200901"/>
    <s v="Chanho"/>
    <x v="127"/>
    <x v="127"/>
    <d v="2026-04-02T00:00:00"/>
    <s v="Morning"/>
    <s v="Cow"/>
    <n v="32.07"/>
    <n v="4"/>
    <n v="8.4"/>
    <n v="39.130000000000003"/>
    <n v="1254.9000000000001"/>
    <s v="A"/>
  </r>
  <r>
    <s v="2009"/>
    <s v="200901"/>
    <s v="Chanho"/>
    <x v="130"/>
    <x v="130"/>
    <d v="2026-04-02T00:00:00"/>
    <s v="Morning"/>
    <s v="Cow"/>
    <n v="123.84"/>
    <n v="4"/>
    <n v="8.4"/>
    <n v="39.130000000000003"/>
    <n v="4845.8599999999997"/>
    <s v="A"/>
  </r>
  <r>
    <s v="2009"/>
    <s v="200901"/>
    <s v="Chanho"/>
    <x v="132"/>
    <x v="132"/>
    <d v="2026-04-02T00:00:00"/>
    <s v="Morning"/>
    <s v="Cow"/>
    <n v="89.57"/>
    <n v="4.2"/>
    <n v="8.3000000000000007"/>
    <n v="39.619999999999997"/>
    <n v="3548.76"/>
    <s v="A"/>
  </r>
  <r>
    <s v="2009"/>
    <s v="200901"/>
    <s v="Chanho"/>
    <x v="133"/>
    <x v="133"/>
    <d v="2026-04-02T00:00:00"/>
    <s v="Morning"/>
    <s v="Cow"/>
    <n v="35.770000000000003"/>
    <n v="4.2"/>
    <n v="8.4"/>
    <n v="39.869999999999997"/>
    <n v="1426.15"/>
    <s v="A"/>
  </r>
  <r>
    <s v="2009"/>
    <s v="200901"/>
    <s v="Chanho"/>
    <x v="135"/>
    <x v="135"/>
    <d v="2026-04-02T00:00:00"/>
    <s v="Morning"/>
    <s v="Cow"/>
    <n v="1.46"/>
    <n v="4.2"/>
    <n v="8.4"/>
    <n v="39.869999999999997"/>
    <n v="58.21"/>
    <s v="A"/>
  </r>
  <r>
    <s v="2009"/>
    <s v="200901"/>
    <s v="Chanho"/>
    <x v="134"/>
    <x v="134"/>
    <d v="2026-04-02T00:00:00"/>
    <s v="Morning"/>
    <s v="Cow"/>
    <n v="63.92"/>
    <n v="4.0999999999999996"/>
    <n v="8.6999999999999993"/>
    <n v="40.630000000000003"/>
    <n v="2597.31"/>
    <s v="A"/>
  </r>
  <r>
    <s v="2009"/>
    <s v="200901"/>
    <s v="Chanho"/>
    <x v="134"/>
    <x v="134"/>
    <d v="2026-04-02T00:00:00"/>
    <s v="Morning"/>
    <s v="Mix"/>
    <n v="2.33"/>
    <n v="6.5"/>
    <n v="8.6"/>
    <n v="49.91"/>
    <n v="116.29"/>
    <s v="A"/>
  </r>
  <r>
    <s v="2009"/>
    <s v="200902"/>
    <s v="Chanho 2"/>
    <x v="114"/>
    <x v="114"/>
    <d v="2026-04-02T00:00:00"/>
    <s v="Evening"/>
    <s v="Mix"/>
    <n v="23.49"/>
    <n v="4.9000000000000004"/>
    <n v="8.5"/>
    <n v="43.13"/>
    <n v="1013.12"/>
    <s v="A"/>
  </r>
  <r>
    <s v="2009"/>
    <s v="200901"/>
    <s v="Chanho"/>
    <x v="127"/>
    <x v="127"/>
    <d v="2026-04-02T00:00:00"/>
    <s v="Evening"/>
    <s v="Cow"/>
    <n v="18.11"/>
    <n v="3.9"/>
    <n v="8"/>
    <n v="37.340000000000003"/>
    <n v="676.23"/>
    <s v="A"/>
  </r>
  <r>
    <s v="2009"/>
    <s v="200901"/>
    <s v="Chanho"/>
    <x v="129"/>
    <x v="129"/>
    <d v="2026-04-02T00:00:00"/>
    <s v="Evening"/>
    <s v="Cow"/>
    <n v="86.15"/>
    <n v="3.9"/>
    <n v="8.1999999999999993"/>
    <n v="37.83"/>
    <n v="3259.05"/>
    <s v="A"/>
  </r>
  <r>
    <s v="2009"/>
    <s v="200901"/>
    <s v="Chanho"/>
    <x v="131"/>
    <x v="131"/>
    <d v="2026-04-02T00:00:00"/>
    <s v="Evening"/>
    <s v="Cow"/>
    <n v="16.73"/>
    <n v="4.3"/>
    <n v="8.6"/>
    <n v="41.13"/>
    <n v="688.1"/>
    <s v="A"/>
  </r>
  <r>
    <s v="2009"/>
    <s v="200901"/>
    <s v="Chanho"/>
    <x v="133"/>
    <x v="133"/>
    <d v="2026-04-02T00:00:00"/>
    <s v="Evening"/>
    <s v="Cow"/>
    <n v="16.010000000000002"/>
    <n v="4.2"/>
    <n v="8.5"/>
    <n v="40.5"/>
    <n v="648.41"/>
    <s v="A"/>
  </r>
  <r>
    <s v="2009"/>
    <s v="200901"/>
    <s v="Chanho"/>
    <x v="130"/>
    <x v="130"/>
    <d v="2026-04-02T00:00:00"/>
    <s v="Evening"/>
    <s v="Cow"/>
    <n v="72.05"/>
    <n v="3.5"/>
    <n v="8.3000000000000007"/>
    <n v="37.03"/>
    <n v="2668.01"/>
    <s v="A"/>
  </r>
  <r>
    <s v="2009"/>
    <s v="200901"/>
    <s v="Chanho"/>
    <x v="132"/>
    <x v="132"/>
    <d v="2026-04-02T00:00:00"/>
    <s v="Evening"/>
    <s v="Cow"/>
    <n v="49.82"/>
    <n v="3.5"/>
    <n v="8.1999999999999993"/>
    <n v="36.369999999999997"/>
    <n v="1811.95"/>
    <s v="A"/>
  </r>
  <r>
    <s v="2009"/>
    <s v="200902"/>
    <s v="Chanho 2"/>
    <x v="113"/>
    <x v="113"/>
    <d v="2026-04-02T00:00:00"/>
    <s v="Evening"/>
    <s v="Cow"/>
    <n v="110.78"/>
    <n v="3.9"/>
    <n v="8"/>
    <n v="37.340000000000003"/>
    <n v="4136.53"/>
    <s v="A"/>
  </r>
  <r>
    <s v="2009"/>
    <s v="200902"/>
    <s v="Chanho 2"/>
    <x v="118"/>
    <x v="118"/>
    <d v="2026-04-02T00:00:00"/>
    <s v="Evening"/>
    <s v="Cow"/>
    <n v="29.3"/>
    <n v="4"/>
    <n v="8.1"/>
    <n v="37.950000000000003"/>
    <n v="1111.94"/>
    <s v="A"/>
  </r>
  <r>
    <s v="2009"/>
    <s v="200902"/>
    <s v="Chanho 2"/>
    <x v="117"/>
    <x v="117"/>
    <d v="2026-04-02T00:00:00"/>
    <s v="Evening"/>
    <s v="Cow"/>
    <n v="25.87"/>
    <n v="3.5"/>
    <n v="8"/>
    <n v="35.880000000000003"/>
    <n v="928.22"/>
    <s v="A"/>
  </r>
  <r>
    <s v="2009"/>
    <s v="200902"/>
    <s v="Chanho 2"/>
    <x v="116"/>
    <x v="116"/>
    <d v="2026-04-02T00:00:00"/>
    <s v="Evening"/>
    <s v="Cow"/>
    <n v="35.299999999999997"/>
    <n v="3.6"/>
    <n v="8"/>
    <n v="36.24"/>
    <n v="1279.27"/>
    <s v="A"/>
  </r>
  <r>
    <s v="2009"/>
    <s v="200902"/>
    <s v="Chanho 2"/>
    <x v="119"/>
    <x v="119"/>
    <d v="2026-04-02T00:00:00"/>
    <s v="Evening"/>
    <s v="Cow"/>
    <n v="61.03"/>
    <n v="4.2"/>
    <n v="8.4"/>
    <n v="39.869999999999997"/>
    <n v="2433.27"/>
    <s v="A"/>
  </r>
  <r>
    <s v="2009"/>
    <s v="200902"/>
    <s v="Chanho 2"/>
    <x v="122"/>
    <x v="122"/>
    <d v="2026-04-02T00:00:00"/>
    <s v="Evening"/>
    <s v="Cow"/>
    <n v="12"/>
    <n v="3.7"/>
    <n v="8.3000000000000007"/>
    <n v="37.770000000000003"/>
    <n v="453.24"/>
    <s v="A"/>
  </r>
  <r>
    <s v="2009"/>
    <s v="200902"/>
    <s v="Chanho 2"/>
    <x v="115"/>
    <x v="115"/>
    <d v="2026-04-02T00:00:00"/>
    <s v="Evening"/>
    <s v="Cow"/>
    <n v="52.11"/>
    <n v="3.8"/>
    <n v="8.3000000000000007"/>
    <n v="38.14"/>
    <n v="1987.48"/>
    <s v="A"/>
  </r>
  <r>
    <s v="2009"/>
    <s v="200902"/>
    <s v="Chanho 2"/>
    <x v="121"/>
    <x v="121"/>
    <d v="2026-04-02T00:00:00"/>
    <s v="Evening"/>
    <s v="Cow"/>
    <n v="16.47"/>
    <n v="3.8"/>
    <n v="8.1999999999999993"/>
    <n v="37.46"/>
    <n v="616.97"/>
    <s v="A"/>
  </r>
  <r>
    <s v="2009"/>
    <s v="200902"/>
    <s v="Chanho 2"/>
    <x v="123"/>
    <x v="123"/>
    <d v="2026-04-02T00:00:00"/>
    <s v="Evening"/>
    <s v="Cow"/>
    <n v="16.2"/>
    <n v="4.7"/>
    <n v="8.5"/>
    <n v="42.38"/>
    <n v="686.56"/>
    <s v="A"/>
  </r>
  <r>
    <s v="2009"/>
    <s v="200902"/>
    <s v="Chanho 2"/>
    <x v="124"/>
    <x v="124"/>
    <d v="2026-04-02T00:00:00"/>
    <s v="Evening"/>
    <s v="Cow"/>
    <n v="8.11"/>
    <n v="4.4000000000000004"/>
    <n v="8.4"/>
    <n v="40.61"/>
    <n v="329.35"/>
    <s v="A"/>
  </r>
  <r>
    <s v="2009"/>
    <s v="200902"/>
    <s v="Chanho 2"/>
    <x v="125"/>
    <x v="125"/>
    <d v="2026-04-02T00:00:00"/>
    <s v="Evening"/>
    <s v="Cow"/>
    <n v="6.05"/>
    <n v="3.8"/>
    <n v="8.3000000000000007"/>
    <n v="38.14"/>
    <n v="230.75"/>
    <s v="A"/>
  </r>
  <r>
    <s v="2009"/>
    <s v="200902"/>
    <s v="Chanho 2"/>
    <x v="126"/>
    <x v="126"/>
    <d v="2026-04-02T00:00:00"/>
    <s v="Evening"/>
    <s v="Cow"/>
    <n v="10.79"/>
    <n v="3.9"/>
    <n v="7.8"/>
    <n v="35.29"/>
    <n v="380.78"/>
    <s v="A"/>
  </r>
  <r>
    <s v="2009"/>
    <s v="200902"/>
    <s v="Chanho 2"/>
    <x v="120"/>
    <x v="120"/>
    <d v="2026-04-02T00:00:00"/>
    <s v="Evening"/>
    <s v="Cow"/>
    <n v="26"/>
    <n v="4.0999999999999996"/>
    <n v="8.1"/>
    <n v="38.31"/>
    <n v="996.06"/>
    <s v="A"/>
  </r>
  <r>
    <s v="2009"/>
    <s v="200901"/>
    <s v="Chanho"/>
    <x v="134"/>
    <x v="134"/>
    <d v="2026-04-02T00:00:00"/>
    <s v="Evening"/>
    <s v="Cow"/>
    <n v="100.03"/>
    <n v="4.7"/>
    <n v="8.5"/>
    <n v="42.38"/>
    <n v="4239.2700000000004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305A7-8419-4151-8FA3-AD891B626EE5}" name="PivotTable2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41" firstHeaderRow="1" firstDataRow="2" firstDataCol="2"/>
  <pivotFields count="14">
    <pivotField compact="0" outline="0" showAll="0"/>
    <pivotField compact="0" outline="0" showAll="0"/>
    <pivotField compact="0" outline="0" showAll="0"/>
    <pivotField axis="axisRow" compact="0" outline="0" showAll="0" defaultSubtotal="0">
      <items count="136">
        <item x="26"/>
        <item x="11"/>
        <item x="6"/>
        <item x="5"/>
        <item x="2"/>
        <item x="9"/>
        <item x="1"/>
        <item x="19"/>
        <item x="10"/>
        <item x="8"/>
        <item x="24"/>
        <item x="20"/>
        <item x="16"/>
        <item x="22"/>
        <item x="15"/>
        <item x="13"/>
        <item x="14"/>
        <item x="17"/>
        <item x="7"/>
        <item x="23"/>
        <item x="4"/>
        <item x="130"/>
        <item x="132"/>
        <item x="12"/>
        <item x="18"/>
        <item x="21"/>
        <item x="0"/>
        <item x="3"/>
        <item x="25"/>
        <item x="46"/>
        <item x="43"/>
        <item x="38"/>
        <item x="36"/>
        <item x="29"/>
        <item x="34"/>
        <item x="27"/>
        <item x="37"/>
        <item x="39"/>
        <item x="35"/>
        <item x="40"/>
        <item x="42"/>
        <item x="44"/>
        <item x="45"/>
        <item x="41"/>
        <item x="33"/>
        <item x="31"/>
        <item x="47"/>
        <item x="52"/>
        <item x="50"/>
        <item x="48"/>
        <item x="49"/>
        <item x="51"/>
        <item x="55"/>
        <item x="54"/>
        <item x="53"/>
        <item x="28"/>
        <item x="30"/>
        <item x="32"/>
        <item x="68"/>
        <item x="61"/>
        <item x="69"/>
        <item x="63"/>
        <item x="58"/>
        <item x="57"/>
        <item x="67"/>
        <item x="60"/>
        <item x="66"/>
        <item x="71"/>
        <item x="59"/>
        <item x="64"/>
        <item x="56"/>
        <item x="65"/>
        <item x="62"/>
        <item x="70"/>
        <item x="85"/>
        <item x="86"/>
        <item x="75"/>
        <item x="73"/>
        <item x="78"/>
        <item x="74"/>
        <item x="72"/>
        <item x="83"/>
        <item x="88"/>
        <item x="84"/>
        <item x="76"/>
        <item x="81"/>
        <item x="77"/>
        <item x="82"/>
        <item x="79"/>
        <item x="87"/>
        <item x="80"/>
        <item x="111"/>
        <item x="104"/>
        <item x="94"/>
        <item x="98"/>
        <item x="91"/>
        <item x="93"/>
        <item x="90"/>
        <item x="102"/>
        <item x="105"/>
        <item x="112"/>
        <item x="92"/>
        <item x="99"/>
        <item x="96"/>
        <item x="97"/>
        <item x="101"/>
        <item x="89"/>
        <item x="95"/>
        <item x="103"/>
        <item x="108"/>
        <item x="110"/>
        <item x="109"/>
        <item x="107"/>
        <item x="100"/>
        <item x="106"/>
        <item x="134"/>
        <item x="127"/>
        <item x="135"/>
        <item x="131"/>
        <item x="122"/>
        <item x="129"/>
        <item x="121"/>
        <item x="116"/>
        <item x="123"/>
        <item x="118"/>
        <item x="113"/>
        <item x="114"/>
        <item x="120"/>
        <item x="126"/>
        <item x="125"/>
        <item x="115"/>
        <item x="124"/>
        <item x="117"/>
        <item x="119"/>
        <item x="128"/>
        <item x="133"/>
      </items>
    </pivotField>
    <pivotField axis="axisRow" compact="0" outline="0" showAll="0">
      <items count="137">
        <item x="67"/>
        <item x="47"/>
        <item x="35"/>
        <item x="127"/>
        <item x="44"/>
        <item x="65"/>
        <item x="40"/>
        <item x="116"/>
        <item x="31"/>
        <item x="6"/>
        <item x="29"/>
        <item x="28"/>
        <item x="97"/>
        <item x="11"/>
        <item x="98"/>
        <item x="104"/>
        <item x="133"/>
        <item x="112"/>
        <item x="38"/>
        <item x="1"/>
        <item x="15"/>
        <item x="134"/>
        <item x="66"/>
        <item x="111"/>
        <item x="121"/>
        <item x="99"/>
        <item x="37"/>
        <item x="91"/>
        <item x="76"/>
        <item x="55"/>
        <item x="63"/>
        <item x="92"/>
        <item x="23"/>
        <item x="39"/>
        <item x="10"/>
        <item x="69"/>
        <item x="131"/>
        <item x="5"/>
        <item x="129"/>
        <item x="16"/>
        <item x="14"/>
        <item x="22"/>
        <item x="94"/>
        <item x="52"/>
        <item x="57"/>
        <item x="56"/>
        <item x="113"/>
        <item x="82"/>
        <item x="71"/>
        <item x="19"/>
        <item x="26"/>
        <item x="0"/>
        <item x="89"/>
        <item x="43"/>
        <item x="110"/>
        <item x="58"/>
        <item x="108"/>
        <item x="106"/>
        <item x="54"/>
        <item x="30"/>
        <item x="72"/>
        <item x="21"/>
        <item x="122"/>
        <item x="117"/>
        <item x="8"/>
        <item x="73"/>
        <item x="20"/>
        <item x="119"/>
        <item x="126"/>
        <item x="60"/>
        <item x="59"/>
        <item x="128"/>
        <item x="4"/>
        <item x="109"/>
        <item x="83"/>
        <item x="103"/>
        <item x="118"/>
        <item x="123"/>
        <item x="53"/>
        <item x="125"/>
        <item x="62"/>
        <item x="84"/>
        <item x="2"/>
        <item x="100"/>
        <item x="61"/>
        <item x="102"/>
        <item x="12"/>
        <item x="88"/>
        <item x="95"/>
        <item x="79"/>
        <item x="24"/>
        <item x="75"/>
        <item x="74"/>
        <item x="96"/>
        <item x="9"/>
        <item x="132"/>
        <item x="135"/>
        <item x="120"/>
        <item x="80"/>
        <item x="90"/>
        <item x="68"/>
        <item x="46"/>
        <item x="105"/>
        <item x="107"/>
        <item x="114"/>
        <item x="115"/>
        <item x="64"/>
        <item x="18"/>
        <item x="36"/>
        <item x="124"/>
        <item x="42"/>
        <item x="85"/>
        <item x="25"/>
        <item x="33"/>
        <item x="70"/>
        <item x="93"/>
        <item x="34"/>
        <item x="7"/>
        <item x="78"/>
        <item x="45"/>
        <item x="86"/>
        <item x="3"/>
        <item x="101"/>
        <item x="87"/>
        <item x="49"/>
        <item x="27"/>
        <item x="17"/>
        <item x="48"/>
        <item x="41"/>
        <item x="13"/>
        <item x="130"/>
        <item x="32"/>
        <item x="81"/>
        <item x="50"/>
        <item x="51"/>
        <item x="77"/>
        <item t="default"/>
      </items>
    </pivotField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2">
    <field x="3"/>
    <field x="4"/>
  </rowFields>
  <rowItems count="137">
    <i>
      <x/>
      <x v="50"/>
    </i>
    <i>
      <x v="1"/>
      <x v="13"/>
    </i>
    <i>
      <x v="2"/>
      <x v="9"/>
    </i>
    <i>
      <x v="3"/>
      <x v="37"/>
    </i>
    <i>
      <x v="4"/>
      <x v="82"/>
    </i>
    <i>
      <x v="5"/>
      <x v="94"/>
    </i>
    <i>
      <x v="6"/>
      <x v="19"/>
    </i>
    <i>
      <x v="7"/>
      <x v="49"/>
    </i>
    <i>
      <x v="8"/>
      <x v="34"/>
    </i>
    <i>
      <x v="9"/>
      <x v="64"/>
    </i>
    <i>
      <x v="10"/>
      <x v="90"/>
    </i>
    <i>
      <x v="11"/>
      <x v="66"/>
    </i>
    <i>
      <x v="12"/>
      <x v="39"/>
    </i>
    <i>
      <x v="13"/>
      <x v="41"/>
    </i>
    <i>
      <x v="14"/>
      <x v="20"/>
    </i>
    <i>
      <x v="15"/>
      <x v="129"/>
    </i>
    <i>
      <x v="16"/>
      <x v="40"/>
    </i>
    <i>
      <x v="17"/>
      <x v="126"/>
    </i>
    <i>
      <x v="18"/>
      <x v="117"/>
    </i>
    <i>
      <x v="19"/>
      <x v="32"/>
    </i>
    <i>
      <x v="20"/>
      <x v="72"/>
    </i>
    <i>
      <x v="21"/>
      <x v="130"/>
    </i>
    <i>
      <x v="22"/>
      <x v="95"/>
    </i>
    <i>
      <x v="23"/>
      <x v="86"/>
    </i>
    <i>
      <x v="24"/>
      <x v="107"/>
    </i>
    <i>
      <x v="25"/>
      <x v="61"/>
    </i>
    <i>
      <x v="26"/>
      <x v="51"/>
    </i>
    <i>
      <x v="27"/>
      <x v="121"/>
    </i>
    <i>
      <x v="28"/>
      <x v="112"/>
    </i>
    <i>
      <x v="29"/>
      <x v="101"/>
    </i>
    <i>
      <x v="30"/>
      <x v="53"/>
    </i>
    <i>
      <x v="31"/>
      <x v="18"/>
    </i>
    <i>
      <x v="32"/>
      <x v="108"/>
    </i>
    <i>
      <x v="33"/>
      <x v="10"/>
    </i>
    <i>
      <x v="34"/>
      <x v="116"/>
    </i>
    <i>
      <x v="35"/>
      <x v="125"/>
    </i>
    <i>
      <x v="36"/>
      <x v="26"/>
    </i>
    <i>
      <x v="37"/>
      <x v="33"/>
    </i>
    <i>
      <x v="38"/>
      <x v="2"/>
    </i>
    <i>
      <x v="39"/>
      <x v="6"/>
    </i>
    <i>
      <x v="40"/>
      <x v="110"/>
    </i>
    <i>
      <x v="41"/>
      <x v="4"/>
    </i>
    <i>
      <x v="42"/>
      <x v="119"/>
    </i>
    <i>
      <x v="43"/>
      <x v="128"/>
    </i>
    <i>
      <x v="44"/>
      <x v="113"/>
    </i>
    <i>
      <x v="45"/>
      <x v="8"/>
    </i>
    <i>
      <x v="46"/>
      <x v="1"/>
    </i>
    <i>
      <x v="47"/>
      <x v="43"/>
    </i>
    <i>
      <x v="48"/>
      <x v="133"/>
    </i>
    <i>
      <x v="49"/>
      <x v="127"/>
    </i>
    <i>
      <x v="50"/>
      <x v="124"/>
    </i>
    <i>
      <x v="51"/>
      <x v="134"/>
    </i>
    <i>
      <x v="52"/>
      <x v="29"/>
    </i>
    <i>
      <x v="53"/>
      <x v="58"/>
    </i>
    <i>
      <x v="54"/>
      <x v="78"/>
    </i>
    <i>
      <x v="55"/>
      <x v="11"/>
    </i>
    <i>
      <x v="56"/>
      <x v="59"/>
    </i>
    <i>
      <x v="57"/>
      <x v="131"/>
    </i>
    <i>
      <x v="58"/>
      <x v="100"/>
    </i>
    <i>
      <x v="59"/>
      <x v="84"/>
    </i>
    <i>
      <x v="60"/>
      <x v="35"/>
    </i>
    <i>
      <x v="61"/>
      <x v="30"/>
    </i>
    <i>
      <x v="62"/>
      <x v="55"/>
    </i>
    <i>
      <x v="63"/>
      <x v="44"/>
    </i>
    <i>
      <x v="64"/>
      <x/>
    </i>
    <i>
      <x v="65"/>
      <x v="69"/>
    </i>
    <i>
      <x v="66"/>
      <x v="22"/>
    </i>
    <i>
      <x v="67"/>
      <x v="48"/>
    </i>
    <i>
      <x v="68"/>
      <x v="70"/>
    </i>
    <i>
      <x v="69"/>
      <x v="106"/>
    </i>
    <i>
      <x v="70"/>
      <x v="45"/>
    </i>
    <i>
      <x v="71"/>
      <x v="5"/>
    </i>
    <i>
      <x v="72"/>
      <x v="80"/>
    </i>
    <i>
      <x v="73"/>
      <x v="114"/>
    </i>
    <i>
      <x v="74"/>
      <x v="111"/>
    </i>
    <i>
      <x v="75"/>
      <x v="120"/>
    </i>
    <i>
      <x v="76"/>
      <x v="91"/>
    </i>
    <i>
      <x v="77"/>
      <x v="65"/>
    </i>
    <i>
      <x v="78"/>
      <x v="118"/>
    </i>
    <i>
      <x v="79"/>
      <x v="92"/>
    </i>
    <i>
      <x v="80"/>
      <x v="60"/>
    </i>
    <i>
      <x v="81"/>
      <x v="74"/>
    </i>
    <i>
      <x v="82"/>
      <x v="87"/>
    </i>
    <i>
      <x v="83"/>
      <x v="81"/>
    </i>
    <i>
      <x v="84"/>
      <x v="28"/>
    </i>
    <i>
      <x v="85"/>
      <x v="132"/>
    </i>
    <i>
      <x v="86"/>
      <x v="135"/>
    </i>
    <i>
      <x v="87"/>
      <x v="47"/>
    </i>
    <i>
      <x v="88"/>
      <x v="89"/>
    </i>
    <i>
      <x v="89"/>
      <x v="123"/>
    </i>
    <i>
      <x v="90"/>
      <x v="98"/>
    </i>
    <i>
      <x v="91"/>
      <x v="23"/>
    </i>
    <i>
      <x v="92"/>
      <x v="15"/>
    </i>
    <i>
      <x v="93"/>
      <x v="42"/>
    </i>
    <i>
      <x v="94"/>
      <x v="14"/>
    </i>
    <i>
      <x v="95"/>
      <x v="27"/>
    </i>
    <i>
      <x v="96"/>
      <x v="115"/>
    </i>
    <i>
      <x v="97"/>
      <x v="99"/>
    </i>
    <i>
      <x v="98"/>
      <x v="85"/>
    </i>
    <i>
      <x v="99"/>
      <x v="102"/>
    </i>
    <i>
      <x v="100"/>
      <x v="17"/>
    </i>
    <i>
      <x v="101"/>
      <x v="31"/>
    </i>
    <i>
      <x v="102"/>
      <x v="25"/>
    </i>
    <i>
      <x v="103"/>
      <x v="93"/>
    </i>
    <i>
      <x v="104"/>
      <x v="12"/>
    </i>
    <i>
      <x v="105"/>
      <x v="122"/>
    </i>
    <i>
      <x v="106"/>
      <x v="52"/>
    </i>
    <i>
      <x v="107"/>
      <x v="88"/>
    </i>
    <i>
      <x v="108"/>
      <x v="75"/>
    </i>
    <i>
      <x v="109"/>
      <x v="56"/>
    </i>
    <i>
      <x v="110"/>
      <x v="54"/>
    </i>
    <i>
      <x v="111"/>
      <x v="73"/>
    </i>
    <i>
      <x v="112"/>
      <x v="103"/>
    </i>
    <i>
      <x v="113"/>
      <x v="83"/>
    </i>
    <i>
      <x v="114"/>
      <x v="57"/>
    </i>
    <i>
      <x v="115"/>
      <x v="21"/>
    </i>
    <i>
      <x v="116"/>
      <x v="3"/>
    </i>
    <i>
      <x v="117"/>
      <x v="96"/>
    </i>
    <i>
      <x v="118"/>
      <x v="36"/>
    </i>
    <i>
      <x v="119"/>
      <x v="62"/>
    </i>
    <i>
      <x v="120"/>
      <x v="38"/>
    </i>
    <i>
      <x v="121"/>
      <x v="24"/>
    </i>
    <i>
      <x v="122"/>
      <x v="7"/>
    </i>
    <i>
      <x v="123"/>
      <x v="77"/>
    </i>
    <i>
      <x v="124"/>
      <x v="76"/>
    </i>
    <i>
      <x v="125"/>
      <x v="46"/>
    </i>
    <i>
      <x v="126"/>
      <x v="104"/>
    </i>
    <i>
      <x v="127"/>
      <x v="97"/>
    </i>
    <i>
      <x v="128"/>
      <x v="68"/>
    </i>
    <i>
      <x v="129"/>
      <x v="79"/>
    </i>
    <i>
      <x v="130"/>
      <x v="105"/>
    </i>
    <i>
      <x v="131"/>
      <x v="109"/>
    </i>
    <i>
      <x v="132"/>
      <x v="63"/>
    </i>
    <i>
      <x v="133"/>
      <x v="67"/>
    </i>
    <i>
      <x v="134"/>
      <x v="71"/>
    </i>
    <i>
      <x v="135"/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8" baseField="0" baseItem="0"/>
    <dataField name="Sum of amount" fld="1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CB38-AE64-4980-8399-FA2D34E51041}">
  <dimension ref="A3:H141"/>
  <sheetViews>
    <sheetView tabSelected="1" topLeftCell="A105" workbookViewId="0">
      <selection activeCell="S118" sqref="S118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10.42578125" bestFit="1" customWidth="1"/>
    <col min="4" max="4" width="14.5703125" bestFit="1" customWidth="1"/>
    <col min="7" max="7" width="11" bestFit="1" customWidth="1"/>
    <col min="8" max="8" width="15.140625" bestFit="1" customWidth="1"/>
  </cols>
  <sheetData>
    <row r="3" spans="1:8" x14ac:dyDescent="0.25">
      <c r="A3" s="2"/>
      <c r="B3" s="3"/>
      <c r="C3" s="5" t="s">
        <v>195</v>
      </c>
      <c r="D3" s="4"/>
    </row>
    <row r="4" spans="1:8" x14ac:dyDescent="0.25">
      <c r="A4" s="5" t="s">
        <v>3</v>
      </c>
      <c r="B4" s="5" t="s">
        <v>4</v>
      </c>
      <c r="C4" s="2" t="s">
        <v>194</v>
      </c>
      <c r="D4" s="8" t="s">
        <v>196</v>
      </c>
      <c r="G4" s="13"/>
    </row>
    <row r="5" spans="1:8" x14ac:dyDescent="0.25">
      <c r="A5" s="2">
        <v>20010001</v>
      </c>
      <c r="B5" s="2" t="s">
        <v>15</v>
      </c>
      <c r="C5" s="9">
        <v>9034.34</v>
      </c>
      <c r="D5" s="10">
        <v>380070.22000000003</v>
      </c>
      <c r="F5" t="str">
        <f>_xlfn.XLOOKUP(A5,Sheet1!D:D,Sheet1!A:A)</f>
        <v>2001</v>
      </c>
      <c r="G5" s="13" t="s">
        <v>197</v>
      </c>
      <c r="H5" t="str">
        <f>CONCATENATE(G5,F5)</f>
        <v>BMC Code :2001</v>
      </c>
    </row>
    <row r="6" spans="1:8" x14ac:dyDescent="0.25">
      <c r="A6" s="2">
        <v>20010003</v>
      </c>
      <c r="B6" s="2" t="s">
        <v>34</v>
      </c>
      <c r="C6" s="9">
        <v>367.71999999999991</v>
      </c>
      <c r="D6" s="10">
        <v>14021.189999999999</v>
      </c>
      <c r="F6" t="str">
        <f>_xlfn.XLOOKUP(A6,Sheet1!D:D,Sheet1!A:A)</f>
        <v>2001</v>
      </c>
      <c r="G6" s="13" t="s">
        <v>197</v>
      </c>
      <c r="H6" t="str">
        <f t="shared" ref="H6:H69" si="0">CONCATENATE(G6,F6)</f>
        <v>BMC Code :2001</v>
      </c>
    </row>
    <row r="7" spans="1:8" x14ac:dyDescent="0.25">
      <c r="A7" s="2">
        <v>20010005</v>
      </c>
      <c r="B7" s="2" t="s">
        <v>27</v>
      </c>
      <c r="C7" s="9">
        <v>315.74</v>
      </c>
      <c r="D7" s="10">
        <v>11923.45</v>
      </c>
      <c r="F7" t="str">
        <f>_xlfn.XLOOKUP(A7,Sheet1!D:D,Sheet1!A:A)</f>
        <v>2001</v>
      </c>
      <c r="G7" s="13" t="s">
        <v>197</v>
      </c>
      <c r="H7" t="str">
        <f t="shared" si="0"/>
        <v>BMC Code :2001</v>
      </c>
    </row>
    <row r="8" spans="1:8" x14ac:dyDescent="0.25">
      <c r="A8" s="2">
        <v>20010008</v>
      </c>
      <c r="B8" s="2" t="s">
        <v>26</v>
      </c>
      <c r="C8" s="9">
        <v>540.88</v>
      </c>
      <c r="D8" s="10">
        <v>18965.27</v>
      </c>
      <c r="F8" t="str">
        <f>_xlfn.XLOOKUP(A8,Sheet1!D:D,Sheet1!A:A)</f>
        <v>2001</v>
      </c>
      <c r="G8" s="13" t="s">
        <v>197</v>
      </c>
      <c r="H8" t="str">
        <f t="shared" si="0"/>
        <v>BMC Code :2001</v>
      </c>
    </row>
    <row r="9" spans="1:8" x14ac:dyDescent="0.25">
      <c r="A9" s="2">
        <v>20010009</v>
      </c>
      <c r="B9" s="2" t="s">
        <v>23</v>
      </c>
      <c r="C9" s="9">
        <v>178.07999999999998</v>
      </c>
      <c r="D9" s="10">
        <v>6979.17</v>
      </c>
      <c r="F9" t="str">
        <f>_xlfn.XLOOKUP(A9,Sheet1!D:D,Sheet1!A:A)</f>
        <v>2001</v>
      </c>
      <c r="G9" s="13" t="s">
        <v>197</v>
      </c>
      <c r="H9" t="str">
        <f t="shared" si="0"/>
        <v>BMC Code :2001</v>
      </c>
    </row>
    <row r="10" spans="1:8" x14ac:dyDescent="0.25">
      <c r="A10" s="2">
        <v>20010012</v>
      </c>
      <c r="B10" s="2" t="s">
        <v>31</v>
      </c>
      <c r="C10" s="9">
        <v>25.5</v>
      </c>
      <c r="D10" s="10">
        <v>731.59999999999991</v>
      </c>
      <c r="F10" t="str">
        <f>_xlfn.XLOOKUP(A10,Sheet1!D:D,Sheet1!A:A)</f>
        <v>2001</v>
      </c>
      <c r="G10" s="13" t="s">
        <v>197</v>
      </c>
      <c r="H10" t="str">
        <f t="shared" si="0"/>
        <v>BMC Code :2001</v>
      </c>
    </row>
    <row r="11" spans="1:8" x14ac:dyDescent="0.25">
      <c r="A11" s="2">
        <v>20010015</v>
      </c>
      <c r="B11" s="2" t="s">
        <v>21</v>
      </c>
      <c r="C11" s="9">
        <v>824.06</v>
      </c>
      <c r="D11" s="10">
        <v>32281.439999999999</v>
      </c>
      <c r="F11" t="str">
        <f>_xlfn.XLOOKUP(A11,Sheet1!D:D,Sheet1!A:A)</f>
        <v>2001</v>
      </c>
      <c r="G11" s="13" t="s">
        <v>197</v>
      </c>
      <c r="H11" t="str">
        <f t="shared" si="0"/>
        <v>BMC Code :2001</v>
      </c>
    </row>
    <row r="12" spans="1:8" x14ac:dyDescent="0.25">
      <c r="A12" s="2">
        <v>20010016</v>
      </c>
      <c r="B12" s="2" t="s">
        <v>42</v>
      </c>
      <c r="C12" s="9">
        <v>40.14</v>
      </c>
      <c r="D12" s="10">
        <v>1689.08</v>
      </c>
      <c r="F12" t="str">
        <f>_xlfn.XLOOKUP(A12,Sheet1!D:D,Sheet1!A:A)</f>
        <v>2001</v>
      </c>
      <c r="G12" s="13" t="s">
        <v>197</v>
      </c>
      <c r="H12" t="str">
        <f t="shared" si="0"/>
        <v>BMC Code :2001</v>
      </c>
    </row>
    <row r="13" spans="1:8" x14ac:dyDescent="0.25">
      <c r="A13" s="2">
        <v>20010017</v>
      </c>
      <c r="B13" s="2" t="s">
        <v>33</v>
      </c>
      <c r="C13" s="9">
        <v>369.38</v>
      </c>
      <c r="D13" s="10">
        <v>13806.14</v>
      </c>
      <c r="F13" t="str">
        <f>_xlfn.XLOOKUP(A13,Sheet1!D:D,Sheet1!A:A)</f>
        <v>2001</v>
      </c>
      <c r="G13" s="13" t="s">
        <v>197</v>
      </c>
      <c r="H13" t="str">
        <f t="shared" si="0"/>
        <v>BMC Code :2001</v>
      </c>
    </row>
    <row r="14" spans="1:8" x14ac:dyDescent="0.25">
      <c r="A14" s="2">
        <v>20010023</v>
      </c>
      <c r="B14" s="2" t="s">
        <v>30</v>
      </c>
      <c r="C14" s="9">
        <v>124.78</v>
      </c>
      <c r="D14" s="10">
        <v>4937.59</v>
      </c>
      <c r="F14" t="str">
        <f>_xlfn.XLOOKUP(A14,Sheet1!D:D,Sheet1!A:A)</f>
        <v>2001</v>
      </c>
      <c r="G14" s="13" t="s">
        <v>197</v>
      </c>
      <c r="H14" t="str">
        <f t="shared" si="0"/>
        <v>BMC Code :2001</v>
      </c>
    </row>
    <row r="15" spans="1:8" x14ac:dyDescent="0.25">
      <c r="A15" s="2">
        <v>20010027</v>
      </c>
      <c r="B15" s="2" t="s">
        <v>47</v>
      </c>
      <c r="C15" s="9">
        <v>178.92</v>
      </c>
      <c r="D15" s="10">
        <v>6809.93</v>
      </c>
      <c r="F15" t="str">
        <f>_xlfn.XLOOKUP(A15,Sheet1!D:D,Sheet1!A:A)</f>
        <v>2001</v>
      </c>
      <c r="G15" s="13" t="s">
        <v>197</v>
      </c>
      <c r="H15" t="str">
        <f t="shared" si="0"/>
        <v>BMC Code :2001</v>
      </c>
    </row>
    <row r="16" spans="1:8" x14ac:dyDescent="0.25">
      <c r="A16" s="2">
        <v>20010033</v>
      </c>
      <c r="B16" s="2" t="s">
        <v>43</v>
      </c>
      <c r="C16" s="9">
        <v>101.36</v>
      </c>
      <c r="D16" s="10">
        <v>4052.8399999999997</v>
      </c>
      <c r="F16" t="str">
        <f>_xlfn.XLOOKUP(A16,Sheet1!D:D,Sheet1!A:A)</f>
        <v>2001</v>
      </c>
      <c r="G16" s="13" t="s">
        <v>197</v>
      </c>
      <c r="H16" t="str">
        <f t="shared" si="0"/>
        <v>BMC Code :2001</v>
      </c>
    </row>
    <row r="17" spans="1:8" x14ac:dyDescent="0.25">
      <c r="A17" s="2">
        <v>20010034</v>
      </c>
      <c r="B17" s="2" t="s">
        <v>39</v>
      </c>
      <c r="C17" s="9">
        <v>128.24</v>
      </c>
      <c r="D17" s="10">
        <v>4704.0999999999995</v>
      </c>
      <c r="F17" t="str">
        <f>_xlfn.XLOOKUP(A17,Sheet1!D:D,Sheet1!A:A)</f>
        <v>2001</v>
      </c>
      <c r="G17" s="13" t="s">
        <v>197</v>
      </c>
      <c r="H17" t="str">
        <f t="shared" si="0"/>
        <v>BMC Code :2001</v>
      </c>
    </row>
    <row r="18" spans="1:8" x14ac:dyDescent="0.25">
      <c r="A18" s="2">
        <v>20010036</v>
      </c>
      <c r="B18" s="2" t="s">
        <v>45</v>
      </c>
      <c r="C18" s="9">
        <v>33.200000000000003</v>
      </c>
      <c r="D18" s="10">
        <v>1223.8800000000001</v>
      </c>
      <c r="F18" t="str">
        <f>_xlfn.XLOOKUP(A18,Sheet1!D:D,Sheet1!A:A)</f>
        <v>2001</v>
      </c>
      <c r="G18" s="13" t="s">
        <v>197</v>
      </c>
      <c r="H18" t="str">
        <f t="shared" si="0"/>
        <v>BMC Code :2001</v>
      </c>
    </row>
    <row r="19" spans="1:8" x14ac:dyDescent="0.25">
      <c r="A19" s="2">
        <v>20010037</v>
      </c>
      <c r="B19" s="2" t="s">
        <v>38</v>
      </c>
      <c r="C19" s="9">
        <v>116.53999999999999</v>
      </c>
      <c r="D19" s="10">
        <v>4512.5300000000007</v>
      </c>
      <c r="F19" t="str">
        <f>_xlfn.XLOOKUP(A19,Sheet1!D:D,Sheet1!A:A)</f>
        <v>2001</v>
      </c>
      <c r="G19" s="13" t="s">
        <v>197</v>
      </c>
      <c r="H19" t="str">
        <f t="shared" si="0"/>
        <v>BMC Code :2001</v>
      </c>
    </row>
    <row r="20" spans="1:8" x14ac:dyDescent="0.25">
      <c r="A20" s="2">
        <v>20010038</v>
      </c>
      <c r="B20" s="2" t="s">
        <v>36</v>
      </c>
      <c r="C20" s="9">
        <v>78.02</v>
      </c>
      <c r="D20" s="10">
        <v>2800.7200000000003</v>
      </c>
      <c r="F20" t="str">
        <f>_xlfn.XLOOKUP(A20,Sheet1!D:D,Sheet1!A:A)</f>
        <v>2001</v>
      </c>
      <c r="G20" s="13" t="s">
        <v>197</v>
      </c>
      <c r="H20" t="str">
        <f t="shared" si="0"/>
        <v>BMC Code :2001</v>
      </c>
    </row>
    <row r="21" spans="1:8" x14ac:dyDescent="0.25">
      <c r="A21" s="2">
        <v>20010040</v>
      </c>
      <c r="B21" s="2" t="s">
        <v>37</v>
      </c>
      <c r="C21" s="9">
        <v>214.62</v>
      </c>
      <c r="D21" s="10">
        <v>8208.01</v>
      </c>
      <c r="F21" t="str">
        <f>_xlfn.XLOOKUP(A21,Sheet1!D:D,Sheet1!A:A)</f>
        <v>2001</v>
      </c>
      <c r="G21" s="13" t="s">
        <v>197</v>
      </c>
      <c r="H21" t="str">
        <f t="shared" si="0"/>
        <v>BMC Code :2001</v>
      </c>
    </row>
    <row r="22" spans="1:8" x14ac:dyDescent="0.25">
      <c r="A22" s="2">
        <v>20010041</v>
      </c>
      <c r="B22" s="2" t="s">
        <v>40</v>
      </c>
      <c r="C22" s="9">
        <v>27.080000000000002</v>
      </c>
      <c r="D22" s="10">
        <v>1045.46</v>
      </c>
      <c r="F22" t="str">
        <f>_xlfn.XLOOKUP(A22,Sheet1!D:D,Sheet1!A:A)</f>
        <v>2001</v>
      </c>
      <c r="G22" s="13" t="s">
        <v>197</v>
      </c>
      <c r="H22" t="str">
        <f t="shared" si="0"/>
        <v>BMC Code :2001</v>
      </c>
    </row>
    <row r="23" spans="1:8" x14ac:dyDescent="0.25">
      <c r="A23" s="2">
        <v>20010042</v>
      </c>
      <c r="B23" s="2" t="s">
        <v>28</v>
      </c>
      <c r="C23" s="9">
        <v>162.85999999999999</v>
      </c>
      <c r="D23" s="10">
        <v>6660.25</v>
      </c>
      <c r="F23" t="str">
        <f>_xlfn.XLOOKUP(A23,Sheet1!D:D,Sheet1!A:A)</f>
        <v>2001</v>
      </c>
      <c r="G23" s="13" t="s">
        <v>197</v>
      </c>
      <c r="H23" t="str">
        <f t="shared" si="0"/>
        <v>BMC Code :2001</v>
      </c>
    </row>
    <row r="24" spans="1:8" x14ac:dyDescent="0.25">
      <c r="A24" s="2">
        <v>20010043</v>
      </c>
      <c r="B24" s="2" t="s">
        <v>46</v>
      </c>
      <c r="C24" s="9">
        <v>184.62</v>
      </c>
      <c r="D24" s="10">
        <v>6931.8600000000006</v>
      </c>
      <c r="F24" t="str">
        <f>_xlfn.XLOOKUP(A24,Sheet1!D:D,Sheet1!A:A)</f>
        <v>2001</v>
      </c>
      <c r="G24" s="13" t="s">
        <v>197</v>
      </c>
      <c r="H24" t="str">
        <f t="shared" si="0"/>
        <v>BMC Code :2001</v>
      </c>
    </row>
    <row r="25" spans="1:8" x14ac:dyDescent="0.25">
      <c r="A25" s="2">
        <v>20010052</v>
      </c>
      <c r="B25" s="2" t="s">
        <v>25</v>
      </c>
      <c r="C25" s="9">
        <v>283.10000000000002</v>
      </c>
      <c r="D25" s="10">
        <v>10554.51</v>
      </c>
      <c r="F25" t="str">
        <f>_xlfn.XLOOKUP(A25,Sheet1!D:D,Sheet1!A:A)</f>
        <v>2001</v>
      </c>
      <c r="G25" s="13" t="s">
        <v>197</v>
      </c>
      <c r="H25" t="str">
        <f t="shared" si="0"/>
        <v>BMC Code :2001</v>
      </c>
    </row>
    <row r="26" spans="1:8" x14ac:dyDescent="0.25">
      <c r="A26" s="2">
        <v>20010053</v>
      </c>
      <c r="B26" s="2" t="s">
        <v>188</v>
      </c>
      <c r="C26" s="9">
        <v>389.40000000000003</v>
      </c>
      <c r="D26" s="10">
        <v>14887.99</v>
      </c>
      <c r="F26" t="str">
        <f>_xlfn.XLOOKUP(A26,Sheet1!D:D,Sheet1!A:A)</f>
        <v>2009</v>
      </c>
      <c r="G26" s="13" t="s">
        <v>197</v>
      </c>
      <c r="H26" t="str">
        <f t="shared" si="0"/>
        <v>BMC Code :2009</v>
      </c>
    </row>
    <row r="27" spans="1:8" x14ac:dyDescent="0.25">
      <c r="A27" s="2">
        <v>20010054</v>
      </c>
      <c r="B27" s="2" t="s">
        <v>190</v>
      </c>
      <c r="C27" s="9">
        <v>281.96999999999997</v>
      </c>
      <c r="D27" s="10">
        <v>10685.32</v>
      </c>
      <c r="F27" t="str">
        <f>_xlfn.XLOOKUP(A27,Sheet1!D:D,Sheet1!A:A)</f>
        <v>2009</v>
      </c>
      <c r="G27" s="13" t="s">
        <v>197</v>
      </c>
      <c r="H27" t="str">
        <f t="shared" si="0"/>
        <v>BMC Code :2009</v>
      </c>
    </row>
    <row r="28" spans="1:8" x14ac:dyDescent="0.25">
      <c r="A28" s="2">
        <v>20010055</v>
      </c>
      <c r="B28" s="2" t="s">
        <v>35</v>
      </c>
      <c r="C28" s="9">
        <v>211.33999999999997</v>
      </c>
      <c r="D28" s="10">
        <v>8310.08</v>
      </c>
      <c r="F28" t="str">
        <f>_xlfn.XLOOKUP(A28,Sheet1!D:D,Sheet1!A:A)</f>
        <v>2001</v>
      </c>
      <c r="G28" s="13" t="s">
        <v>197</v>
      </c>
      <c r="H28" t="str">
        <f t="shared" si="0"/>
        <v>BMC Code :2001</v>
      </c>
    </row>
    <row r="29" spans="1:8" x14ac:dyDescent="0.25">
      <c r="A29" s="2">
        <v>20010057</v>
      </c>
      <c r="B29" s="2" t="s">
        <v>41</v>
      </c>
      <c r="C29" s="9">
        <v>64.56</v>
      </c>
      <c r="D29" s="10">
        <v>2239.9700000000003</v>
      </c>
      <c r="F29" t="str">
        <f>_xlfn.XLOOKUP(A29,Sheet1!D:D,Sheet1!A:A)</f>
        <v>2001</v>
      </c>
      <c r="G29" s="13" t="s">
        <v>197</v>
      </c>
      <c r="H29" t="str">
        <f t="shared" si="0"/>
        <v>BMC Code :2001</v>
      </c>
    </row>
    <row r="30" spans="1:8" x14ac:dyDescent="0.25">
      <c r="A30" s="2">
        <v>20010059</v>
      </c>
      <c r="B30" s="2" t="s">
        <v>44</v>
      </c>
      <c r="C30" s="9">
        <v>45.4</v>
      </c>
      <c r="D30" s="10">
        <v>1671.04</v>
      </c>
      <c r="F30" t="str">
        <f>_xlfn.XLOOKUP(A30,Sheet1!D:D,Sheet1!A:A)</f>
        <v>2001</v>
      </c>
      <c r="G30" s="13" t="s">
        <v>197</v>
      </c>
      <c r="H30" t="str">
        <f t="shared" si="0"/>
        <v>BMC Code :2001</v>
      </c>
    </row>
    <row r="31" spans="1:8" x14ac:dyDescent="0.25">
      <c r="A31" s="2">
        <v>20010060</v>
      </c>
      <c r="B31" s="2" t="s">
        <v>17</v>
      </c>
      <c r="C31" s="9">
        <v>37.700000000000003</v>
      </c>
      <c r="D31" s="10">
        <v>1135.1500000000001</v>
      </c>
      <c r="F31" t="str">
        <f>_xlfn.XLOOKUP(A31,Sheet1!D:D,Sheet1!A:A)</f>
        <v>2001</v>
      </c>
      <c r="G31" s="13" t="s">
        <v>197</v>
      </c>
      <c r="H31" t="str">
        <f t="shared" si="0"/>
        <v>BMC Code :2001</v>
      </c>
    </row>
    <row r="32" spans="1:8" x14ac:dyDescent="0.25">
      <c r="A32" s="2">
        <v>20010061</v>
      </c>
      <c r="B32" s="2" t="s">
        <v>24</v>
      </c>
      <c r="C32" s="9">
        <v>51.040000000000006</v>
      </c>
      <c r="D32" s="10">
        <v>2037.4</v>
      </c>
      <c r="F32" t="str">
        <f>_xlfn.XLOOKUP(A32,Sheet1!D:D,Sheet1!A:A)</f>
        <v>2001</v>
      </c>
      <c r="G32" s="13" t="s">
        <v>197</v>
      </c>
      <c r="H32" t="str">
        <f t="shared" si="0"/>
        <v>BMC Code :2001</v>
      </c>
    </row>
    <row r="33" spans="1:8" x14ac:dyDescent="0.25">
      <c r="A33" s="2">
        <v>20010062</v>
      </c>
      <c r="B33" s="2" t="s">
        <v>48</v>
      </c>
      <c r="C33" s="9">
        <v>67.459999999999994</v>
      </c>
      <c r="D33" s="10">
        <v>2734.7799999999997</v>
      </c>
      <c r="F33" t="str">
        <f>_xlfn.XLOOKUP(A33,Sheet1!D:D,Sheet1!A:A)</f>
        <v>2001</v>
      </c>
      <c r="G33" s="13" t="s">
        <v>197</v>
      </c>
      <c r="H33" t="str">
        <f t="shared" si="0"/>
        <v>BMC Code :2001</v>
      </c>
    </row>
    <row r="34" spans="1:8" x14ac:dyDescent="0.25">
      <c r="A34" s="2">
        <v>20020001</v>
      </c>
      <c r="B34" s="2" t="s">
        <v>53</v>
      </c>
      <c r="C34" s="9">
        <v>3426.6</v>
      </c>
      <c r="D34" s="10">
        <v>137293.19</v>
      </c>
      <c r="F34" t="str">
        <f>_xlfn.XLOOKUP(A34,Sheet1!D:D,Sheet1!A:A)</f>
        <v>2002</v>
      </c>
      <c r="G34" s="13" t="s">
        <v>197</v>
      </c>
      <c r="H34" t="str">
        <f t="shared" si="0"/>
        <v>BMC Code :2002</v>
      </c>
    </row>
    <row r="35" spans="1:8" x14ac:dyDescent="0.25">
      <c r="A35" s="2">
        <v>20020002</v>
      </c>
      <c r="B35" s="2" t="s">
        <v>74</v>
      </c>
      <c r="C35" s="9">
        <v>402.70000000000005</v>
      </c>
      <c r="D35" s="10">
        <v>15425.470000000001</v>
      </c>
      <c r="F35" t="str">
        <f>_xlfn.XLOOKUP(A35,Sheet1!D:D,Sheet1!A:A)</f>
        <v>2002</v>
      </c>
      <c r="G35" s="13" t="s">
        <v>197</v>
      </c>
      <c r="H35" t="str">
        <f t="shared" si="0"/>
        <v>BMC Code :2002</v>
      </c>
    </row>
    <row r="36" spans="1:8" x14ac:dyDescent="0.25">
      <c r="A36" s="2">
        <v>20020003</v>
      </c>
      <c r="B36" s="2" t="s">
        <v>68</v>
      </c>
      <c r="C36" s="9">
        <v>431.20000000000005</v>
      </c>
      <c r="D36" s="10">
        <v>16047.53</v>
      </c>
      <c r="F36" t="str">
        <f>_xlfn.XLOOKUP(A36,Sheet1!D:D,Sheet1!A:A)</f>
        <v>2002</v>
      </c>
      <c r="G36" s="13" t="s">
        <v>197</v>
      </c>
      <c r="H36" t="str">
        <f t="shared" si="0"/>
        <v>BMC Code :2002</v>
      </c>
    </row>
    <row r="37" spans="1:8" x14ac:dyDescent="0.25">
      <c r="A37" s="2">
        <v>20020004</v>
      </c>
      <c r="B37" s="2" t="s">
        <v>66</v>
      </c>
      <c r="C37" s="9">
        <v>51.8</v>
      </c>
      <c r="D37" s="10">
        <v>2092.42</v>
      </c>
      <c r="F37" t="str">
        <f>_xlfn.XLOOKUP(A37,Sheet1!D:D,Sheet1!A:A)</f>
        <v>2002</v>
      </c>
      <c r="G37" s="13" t="s">
        <v>197</v>
      </c>
      <c r="H37" t="str">
        <f t="shared" si="0"/>
        <v>BMC Code :2002</v>
      </c>
    </row>
    <row r="38" spans="1:8" x14ac:dyDescent="0.25">
      <c r="A38" s="2">
        <v>20020005</v>
      </c>
      <c r="B38" s="2" t="s">
        <v>57</v>
      </c>
      <c r="C38" s="9">
        <v>145.50000000000003</v>
      </c>
      <c r="D38" s="10">
        <v>5692.34</v>
      </c>
      <c r="F38" t="str">
        <f>_xlfn.XLOOKUP(A38,Sheet1!D:D,Sheet1!A:A)</f>
        <v>2002</v>
      </c>
      <c r="G38" s="13" t="s">
        <v>197</v>
      </c>
      <c r="H38" t="str">
        <f t="shared" si="0"/>
        <v>BMC Code :2002</v>
      </c>
    </row>
    <row r="39" spans="1:8" x14ac:dyDescent="0.25">
      <c r="A39" s="2">
        <v>20020006</v>
      </c>
      <c r="B39" s="2" t="s">
        <v>64</v>
      </c>
      <c r="C39" s="9">
        <v>576</v>
      </c>
      <c r="D39" s="10">
        <v>21996.79</v>
      </c>
      <c r="F39" t="str">
        <f>_xlfn.XLOOKUP(A39,Sheet1!D:D,Sheet1!A:A)</f>
        <v>2002</v>
      </c>
      <c r="G39" s="13" t="s">
        <v>197</v>
      </c>
      <c r="H39" t="str">
        <f t="shared" si="0"/>
        <v>BMC Code :2002</v>
      </c>
    </row>
    <row r="40" spans="1:8" x14ac:dyDescent="0.25">
      <c r="A40" s="2">
        <v>20020007</v>
      </c>
      <c r="B40" s="2" t="s">
        <v>56</v>
      </c>
      <c r="C40" s="9">
        <v>360.9</v>
      </c>
      <c r="D40" s="10">
        <v>14245.43</v>
      </c>
      <c r="F40" t="str">
        <f>_xlfn.XLOOKUP(A40,Sheet1!D:D,Sheet1!A:A)</f>
        <v>2002</v>
      </c>
      <c r="G40" s="13" t="s">
        <v>197</v>
      </c>
      <c r="H40" t="str">
        <f t="shared" si="0"/>
        <v>BMC Code :2002</v>
      </c>
    </row>
    <row r="41" spans="1:8" x14ac:dyDescent="0.25">
      <c r="A41" s="2">
        <v>20020010</v>
      </c>
      <c r="B41" s="2" t="s">
        <v>67</v>
      </c>
      <c r="C41" s="9">
        <v>177.8</v>
      </c>
      <c r="D41" s="10">
        <v>6846.79</v>
      </c>
      <c r="F41" t="str">
        <f>_xlfn.XLOOKUP(A41,Sheet1!D:D,Sheet1!A:A)</f>
        <v>2002</v>
      </c>
      <c r="G41" s="13" t="s">
        <v>197</v>
      </c>
      <c r="H41" t="str">
        <f t="shared" si="0"/>
        <v>BMC Code :2002</v>
      </c>
    </row>
    <row r="42" spans="1:8" x14ac:dyDescent="0.25">
      <c r="A42" s="2">
        <v>20020011</v>
      </c>
      <c r="B42" s="2" t="s">
        <v>70</v>
      </c>
      <c r="C42" s="9">
        <v>179.9</v>
      </c>
      <c r="D42" s="10">
        <v>6864.49</v>
      </c>
      <c r="F42" t="str">
        <f>_xlfn.XLOOKUP(A42,Sheet1!D:D,Sheet1!A:A)</f>
        <v>2002</v>
      </c>
      <c r="G42" s="13" t="s">
        <v>197</v>
      </c>
      <c r="H42" t="str">
        <f t="shared" si="0"/>
        <v>BMC Code :2002</v>
      </c>
    </row>
    <row r="43" spans="1:8" x14ac:dyDescent="0.25">
      <c r="A43" s="2">
        <v>20020013</v>
      </c>
      <c r="B43" s="2" t="s">
        <v>65</v>
      </c>
      <c r="C43" s="9">
        <v>328.5</v>
      </c>
      <c r="D43" s="10">
        <v>12303.6</v>
      </c>
      <c r="F43" t="str">
        <f>_xlfn.XLOOKUP(A43,Sheet1!D:D,Sheet1!A:A)</f>
        <v>2002</v>
      </c>
      <c r="G43" s="13" t="s">
        <v>197</v>
      </c>
      <c r="H43" t="str">
        <f t="shared" si="0"/>
        <v>BMC Code :2002</v>
      </c>
    </row>
    <row r="44" spans="1:8" x14ac:dyDescent="0.25">
      <c r="A44" s="2">
        <v>20020014</v>
      </c>
      <c r="B44" s="2" t="s">
        <v>71</v>
      </c>
      <c r="C44" s="9">
        <v>316</v>
      </c>
      <c r="D44" s="10">
        <v>12138.810000000001</v>
      </c>
      <c r="F44" t="str">
        <f>_xlfn.XLOOKUP(A44,Sheet1!D:D,Sheet1!A:A)</f>
        <v>2002</v>
      </c>
      <c r="G44" s="13" t="s">
        <v>197</v>
      </c>
      <c r="H44" t="str">
        <f t="shared" si="0"/>
        <v>BMC Code :2002</v>
      </c>
    </row>
    <row r="45" spans="1:8" x14ac:dyDescent="0.25">
      <c r="A45" s="2">
        <v>20020015</v>
      </c>
      <c r="B45" s="2" t="s">
        <v>73</v>
      </c>
      <c r="C45" s="9">
        <v>475.2</v>
      </c>
      <c r="D45" s="10">
        <v>17995.120000000003</v>
      </c>
      <c r="F45" t="str">
        <f>_xlfn.XLOOKUP(A45,Sheet1!D:D,Sheet1!A:A)</f>
        <v>2002</v>
      </c>
      <c r="G45" s="13" t="s">
        <v>197</v>
      </c>
      <c r="H45" t="str">
        <f t="shared" si="0"/>
        <v>BMC Code :2002</v>
      </c>
    </row>
    <row r="46" spans="1:8" x14ac:dyDescent="0.25">
      <c r="A46" s="2">
        <v>20020016</v>
      </c>
      <c r="B46" s="2" t="s">
        <v>75</v>
      </c>
      <c r="C46" s="9">
        <v>102.6</v>
      </c>
      <c r="D46" s="10">
        <v>3874.57</v>
      </c>
      <c r="F46" t="str">
        <f>_xlfn.XLOOKUP(A46,Sheet1!D:D,Sheet1!A:A)</f>
        <v>2002</v>
      </c>
      <c r="G46" s="13" t="s">
        <v>197</v>
      </c>
      <c r="H46" t="str">
        <f t="shared" si="0"/>
        <v>BMC Code :2002</v>
      </c>
    </row>
    <row r="47" spans="1:8" x14ac:dyDescent="0.25">
      <c r="A47" s="2">
        <v>20020017</v>
      </c>
      <c r="B47" s="2" t="s">
        <v>76</v>
      </c>
      <c r="C47" s="9">
        <v>160.9</v>
      </c>
      <c r="D47" s="10">
        <v>6117.45</v>
      </c>
      <c r="F47" t="str">
        <f>_xlfn.XLOOKUP(A47,Sheet1!D:D,Sheet1!A:A)</f>
        <v>2002</v>
      </c>
      <c r="G47" s="13" t="s">
        <v>197</v>
      </c>
      <c r="H47" t="str">
        <f t="shared" si="0"/>
        <v>BMC Code :2002</v>
      </c>
    </row>
    <row r="48" spans="1:8" x14ac:dyDescent="0.25">
      <c r="A48" s="2">
        <v>20020020</v>
      </c>
      <c r="B48" s="2" t="s">
        <v>72</v>
      </c>
      <c r="C48" s="9">
        <v>344.2</v>
      </c>
      <c r="D48" s="10">
        <v>13408.27</v>
      </c>
      <c r="F48" t="str">
        <f>_xlfn.XLOOKUP(A48,Sheet1!D:D,Sheet1!A:A)</f>
        <v>2002</v>
      </c>
      <c r="G48" s="13" t="s">
        <v>197</v>
      </c>
      <c r="H48" t="str">
        <f t="shared" si="0"/>
        <v>BMC Code :2002</v>
      </c>
    </row>
    <row r="49" spans="1:8" x14ac:dyDescent="0.25">
      <c r="A49" s="2">
        <v>20020021</v>
      </c>
      <c r="B49" s="2" t="s">
        <v>61</v>
      </c>
      <c r="C49" s="9">
        <v>99.399999999999991</v>
      </c>
      <c r="D49" s="10">
        <v>3935.08</v>
      </c>
      <c r="F49" t="str">
        <f>_xlfn.XLOOKUP(A49,Sheet1!D:D,Sheet1!A:A)</f>
        <v>2002</v>
      </c>
      <c r="G49" s="13" t="s">
        <v>197</v>
      </c>
      <c r="H49" t="str">
        <f t="shared" si="0"/>
        <v>BMC Code :2002</v>
      </c>
    </row>
    <row r="50" spans="1:8" x14ac:dyDescent="0.25">
      <c r="A50" s="2">
        <v>20020023</v>
      </c>
      <c r="B50" s="2" t="s">
        <v>59</v>
      </c>
      <c r="C50" s="9">
        <v>105.4</v>
      </c>
      <c r="D50" s="10">
        <v>4166.6299999999992</v>
      </c>
      <c r="F50" t="str">
        <f>_xlfn.XLOOKUP(A50,Sheet1!D:D,Sheet1!A:A)</f>
        <v>2002</v>
      </c>
      <c r="G50" s="13" t="s">
        <v>197</v>
      </c>
      <c r="H50" t="str">
        <f t="shared" si="0"/>
        <v>BMC Code :2002</v>
      </c>
    </row>
    <row r="51" spans="1:8" x14ac:dyDescent="0.25">
      <c r="A51" s="2">
        <v>20020025</v>
      </c>
      <c r="B51" s="2" t="s">
        <v>78</v>
      </c>
      <c r="C51" s="9">
        <v>51.2</v>
      </c>
      <c r="D51" s="10">
        <v>2101.77</v>
      </c>
      <c r="F51" t="str">
        <f>_xlfn.XLOOKUP(A51,Sheet1!D:D,Sheet1!A:A)</f>
        <v>2002</v>
      </c>
      <c r="G51" s="13" t="s">
        <v>197</v>
      </c>
      <c r="H51" t="str">
        <f t="shared" si="0"/>
        <v>BMC Code :2002</v>
      </c>
    </row>
    <row r="52" spans="1:8" x14ac:dyDescent="0.25">
      <c r="A52" s="2">
        <v>20030001</v>
      </c>
      <c r="B52" s="2" t="s">
        <v>80</v>
      </c>
      <c r="C52" s="9">
        <v>1255.1299999999999</v>
      </c>
      <c r="D52" s="10">
        <v>47059.35</v>
      </c>
      <c r="F52" t="str">
        <f>_xlfn.XLOOKUP(A52,Sheet1!D:D,Sheet1!A:A)</f>
        <v>2003</v>
      </c>
      <c r="G52" s="13" t="s">
        <v>197</v>
      </c>
      <c r="H52" t="str">
        <f t="shared" si="0"/>
        <v>BMC Code :2003</v>
      </c>
    </row>
    <row r="53" spans="1:8" x14ac:dyDescent="0.25">
      <c r="A53" s="2">
        <v>20030002</v>
      </c>
      <c r="B53" s="2" t="s">
        <v>84</v>
      </c>
      <c r="C53" s="9">
        <v>89.09</v>
      </c>
      <c r="D53" s="10">
        <v>3257.7799999999997</v>
      </c>
      <c r="F53" t="str">
        <f>_xlfn.XLOOKUP(A53,Sheet1!D:D,Sheet1!A:A)</f>
        <v>2003</v>
      </c>
      <c r="G53" s="13" t="s">
        <v>197</v>
      </c>
      <c r="H53" t="str">
        <f t="shared" si="0"/>
        <v>BMC Code :2003</v>
      </c>
    </row>
    <row r="54" spans="1:8" x14ac:dyDescent="0.25">
      <c r="A54" s="2">
        <v>20030005</v>
      </c>
      <c r="B54" s="2" t="s">
        <v>82</v>
      </c>
      <c r="C54" s="9">
        <v>22.22</v>
      </c>
      <c r="D54" s="10">
        <v>898.18999999999994</v>
      </c>
      <c r="F54" t="str">
        <f>_xlfn.XLOOKUP(A54,Sheet1!D:D,Sheet1!A:A)</f>
        <v>2003</v>
      </c>
      <c r="G54" s="13" t="s">
        <v>197</v>
      </c>
      <c r="H54" t="str">
        <f t="shared" si="0"/>
        <v>BMC Code :2003</v>
      </c>
    </row>
    <row r="55" spans="1:8" x14ac:dyDescent="0.25">
      <c r="A55" s="2">
        <v>20030009</v>
      </c>
      <c r="B55" s="2" t="s">
        <v>83</v>
      </c>
      <c r="C55" s="9">
        <v>84.68</v>
      </c>
      <c r="D55" s="10">
        <v>3014.6499999999996</v>
      </c>
      <c r="F55" t="str">
        <f>_xlfn.XLOOKUP(A55,Sheet1!D:D,Sheet1!A:A)</f>
        <v>2003</v>
      </c>
      <c r="G55" s="13" t="s">
        <v>197</v>
      </c>
      <c r="H55" t="str">
        <f t="shared" si="0"/>
        <v>BMC Code :2003</v>
      </c>
    </row>
    <row r="56" spans="1:8" x14ac:dyDescent="0.25">
      <c r="A56" s="2">
        <v>20030012</v>
      </c>
      <c r="B56" s="2" t="s">
        <v>85</v>
      </c>
      <c r="C56" s="9">
        <v>93.97999999999999</v>
      </c>
      <c r="D56" s="10">
        <v>3554.16</v>
      </c>
      <c r="F56" t="str">
        <f>_xlfn.XLOOKUP(A56,Sheet1!D:D,Sheet1!A:A)</f>
        <v>2003</v>
      </c>
      <c r="G56" s="13" t="s">
        <v>197</v>
      </c>
      <c r="H56" t="str">
        <f t="shared" si="0"/>
        <v>BMC Code :2003</v>
      </c>
    </row>
    <row r="57" spans="1:8" x14ac:dyDescent="0.25">
      <c r="A57" s="2">
        <v>20040001</v>
      </c>
      <c r="B57" s="2" t="s">
        <v>93</v>
      </c>
      <c r="C57" s="9">
        <v>1301.4799999999998</v>
      </c>
      <c r="D57" s="10">
        <v>43632.630000000005</v>
      </c>
      <c r="F57" t="str">
        <f>_xlfn.XLOOKUP(A57,Sheet1!D:D,Sheet1!A:A)</f>
        <v>2004</v>
      </c>
      <c r="G57" s="13" t="s">
        <v>197</v>
      </c>
      <c r="H57" t="str">
        <f t="shared" si="0"/>
        <v>BMC Code :2004</v>
      </c>
    </row>
    <row r="58" spans="1:8" x14ac:dyDescent="0.25">
      <c r="A58" s="2">
        <v>20040006</v>
      </c>
      <c r="B58" s="2" t="s">
        <v>91</v>
      </c>
      <c r="C58" s="9">
        <v>107.05</v>
      </c>
      <c r="D58" s="10">
        <v>4222.76</v>
      </c>
      <c r="F58" t="str">
        <f>_xlfn.XLOOKUP(A58,Sheet1!D:D,Sheet1!A:A)</f>
        <v>2004</v>
      </c>
      <c r="G58" s="13" t="s">
        <v>197</v>
      </c>
      <c r="H58" t="str">
        <f t="shared" si="0"/>
        <v>BMC Code :2004</v>
      </c>
    </row>
    <row r="59" spans="1:8" x14ac:dyDescent="0.25">
      <c r="A59" s="2">
        <v>20040007</v>
      </c>
      <c r="B59" s="2" t="s">
        <v>90</v>
      </c>
      <c r="C59" s="9">
        <v>78.52</v>
      </c>
      <c r="D59" s="10">
        <v>2975.83</v>
      </c>
      <c r="F59" t="str">
        <f>_xlfn.XLOOKUP(A59,Sheet1!D:D,Sheet1!A:A)</f>
        <v>2004</v>
      </c>
      <c r="G59" s="13" t="s">
        <v>197</v>
      </c>
      <c r="H59" t="str">
        <f t="shared" si="0"/>
        <v>BMC Code :2004</v>
      </c>
    </row>
    <row r="60" spans="1:8" x14ac:dyDescent="0.25">
      <c r="A60" s="2">
        <v>20050001</v>
      </c>
      <c r="B60" s="2" t="s">
        <v>55</v>
      </c>
      <c r="C60" s="9">
        <v>212.29999999999998</v>
      </c>
      <c r="D60" s="10">
        <v>8216.07</v>
      </c>
      <c r="F60" t="str">
        <f>_xlfn.XLOOKUP(A60,Sheet1!D:D,Sheet1!A:A)</f>
        <v>2002</v>
      </c>
      <c r="G60" s="13" t="s">
        <v>197</v>
      </c>
      <c r="H60" t="str">
        <f t="shared" si="0"/>
        <v>BMC Code :2002</v>
      </c>
    </row>
    <row r="61" spans="1:8" x14ac:dyDescent="0.25">
      <c r="A61" s="2">
        <v>20050002</v>
      </c>
      <c r="B61" s="2" t="s">
        <v>58</v>
      </c>
      <c r="C61" s="9">
        <v>197.09999999999997</v>
      </c>
      <c r="D61" s="10">
        <v>7105.6299999999992</v>
      </c>
      <c r="F61" t="str">
        <f>_xlfn.XLOOKUP(A61,Sheet1!D:D,Sheet1!A:A)</f>
        <v>2002</v>
      </c>
      <c r="G61" s="13" t="s">
        <v>197</v>
      </c>
      <c r="H61" t="str">
        <f t="shared" si="0"/>
        <v>BMC Code :2002</v>
      </c>
    </row>
    <row r="62" spans="1:8" x14ac:dyDescent="0.25">
      <c r="A62" s="2">
        <v>20050003</v>
      </c>
      <c r="B62" s="2" t="s">
        <v>60</v>
      </c>
      <c r="C62" s="9">
        <v>291.2</v>
      </c>
      <c r="D62" s="10">
        <v>11146.05</v>
      </c>
      <c r="F62" t="str">
        <f>_xlfn.XLOOKUP(A62,Sheet1!D:D,Sheet1!A:A)</f>
        <v>2002</v>
      </c>
      <c r="G62" s="13" t="s">
        <v>197</v>
      </c>
      <c r="H62" t="str">
        <f t="shared" si="0"/>
        <v>BMC Code :2002</v>
      </c>
    </row>
    <row r="63" spans="1:8" x14ac:dyDescent="0.25">
      <c r="A63" s="2">
        <v>20060001</v>
      </c>
      <c r="B63" s="2" t="s">
        <v>95</v>
      </c>
      <c r="C63" s="9">
        <v>388.17</v>
      </c>
      <c r="D63" s="10">
        <v>15078.539999999999</v>
      </c>
      <c r="F63" t="str">
        <f>_xlfn.XLOOKUP(A63,Sheet1!D:D,Sheet1!A:A)</f>
        <v>2006</v>
      </c>
      <c r="G63" s="13" t="s">
        <v>197</v>
      </c>
      <c r="H63" t="str">
        <f t="shared" si="0"/>
        <v>BMC Code :2006</v>
      </c>
    </row>
    <row r="64" spans="1:8" x14ac:dyDescent="0.25">
      <c r="A64" s="2">
        <v>20060002</v>
      </c>
      <c r="B64" s="2" t="s">
        <v>102</v>
      </c>
      <c r="C64" s="9">
        <v>52.12</v>
      </c>
      <c r="D64" s="10">
        <v>2056.33</v>
      </c>
      <c r="F64" t="str">
        <f>_xlfn.XLOOKUP(A64,Sheet1!D:D,Sheet1!A:A)</f>
        <v>2006</v>
      </c>
      <c r="G64" s="13" t="s">
        <v>197</v>
      </c>
      <c r="H64" t="str">
        <f t="shared" si="0"/>
        <v>BMC Code :2006</v>
      </c>
    </row>
    <row r="65" spans="1:8" x14ac:dyDescent="0.25">
      <c r="A65" s="2">
        <v>20060003</v>
      </c>
      <c r="B65" s="2" t="s">
        <v>110</v>
      </c>
      <c r="C65" s="9">
        <v>336.24</v>
      </c>
      <c r="D65" s="10">
        <v>13018.279999999999</v>
      </c>
      <c r="F65" t="str">
        <f>_xlfn.XLOOKUP(A65,Sheet1!D:D,Sheet1!A:A)</f>
        <v>2006</v>
      </c>
      <c r="G65" s="13" t="s">
        <v>197</v>
      </c>
      <c r="H65" t="str">
        <f t="shared" si="0"/>
        <v>BMC Code :2006</v>
      </c>
    </row>
    <row r="66" spans="1:8" x14ac:dyDescent="0.25">
      <c r="A66" s="2">
        <v>20060004</v>
      </c>
      <c r="B66" s="2" t="s">
        <v>105</v>
      </c>
      <c r="C66" s="9">
        <v>465.06</v>
      </c>
      <c r="D66" s="10">
        <v>17570.260000000002</v>
      </c>
      <c r="F66" t="str">
        <f>_xlfn.XLOOKUP(A66,Sheet1!D:D,Sheet1!A:A)</f>
        <v>2006</v>
      </c>
      <c r="G66" s="13" t="s">
        <v>197</v>
      </c>
      <c r="H66" t="str">
        <f t="shared" si="0"/>
        <v>BMC Code :2006</v>
      </c>
    </row>
    <row r="67" spans="1:8" x14ac:dyDescent="0.25">
      <c r="A67" s="2">
        <v>20060005</v>
      </c>
      <c r="B67" s="2" t="s">
        <v>99</v>
      </c>
      <c r="C67" s="9">
        <v>153.07999999999998</v>
      </c>
      <c r="D67" s="10">
        <v>5905.380000000001</v>
      </c>
      <c r="F67" t="str">
        <f>_xlfn.XLOOKUP(A67,Sheet1!D:D,Sheet1!A:A)</f>
        <v>2006</v>
      </c>
      <c r="G67" s="13" t="s">
        <v>197</v>
      </c>
      <c r="H67" t="str">
        <f t="shared" si="0"/>
        <v>BMC Code :2006</v>
      </c>
    </row>
    <row r="68" spans="1:8" x14ac:dyDescent="0.25">
      <c r="A68" s="2">
        <v>20060007</v>
      </c>
      <c r="B68" s="2" t="s">
        <v>98</v>
      </c>
      <c r="C68" s="9">
        <v>397.87</v>
      </c>
      <c r="D68" s="10">
        <v>15751.05</v>
      </c>
      <c r="F68" t="str">
        <f>_xlfn.XLOOKUP(A68,Sheet1!D:D,Sheet1!A:A)</f>
        <v>2006</v>
      </c>
      <c r="G68" s="13" t="s">
        <v>197</v>
      </c>
      <c r="H68" t="str">
        <f t="shared" si="0"/>
        <v>BMC Code :2006</v>
      </c>
    </row>
    <row r="69" spans="1:8" x14ac:dyDescent="0.25">
      <c r="A69" s="2">
        <v>20060008</v>
      </c>
      <c r="B69" s="2" t="s">
        <v>109</v>
      </c>
      <c r="C69" s="9">
        <v>600.81000000000006</v>
      </c>
      <c r="D69" s="10">
        <v>23840.420000000002</v>
      </c>
      <c r="F69" t="str">
        <f>_xlfn.XLOOKUP(A69,Sheet1!D:D,Sheet1!A:A)</f>
        <v>2006</v>
      </c>
      <c r="G69" s="13" t="s">
        <v>197</v>
      </c>
      <c r="H69" t="str">
        <f t="shared" si="0"/>
        <v>BMC Code :2006</v>
      </c>
    </row>
    <row r="70" spans="1:8" x14ac:dyDescent="0.25">
      <c r="A70" s="2">
        <v>20060009</v>
      </c>
      <c r="B70" s="2" t="s">
        <v>101</v>
      </c>
      <c r="C70" s="9">
        <v>82.86999999999999</v>
      </c>
      <c r="D70" s="10">
        <v>3381.14</v>
      </c>
      <c r="F70" t="str">
        <f>_xlfn.XLOOKUP(A70,Sheet1!D:D,Sheet1!A:A)</f>
        <v>2006</v>
      </c>
      <c r="G70" s="13" t="s">
        <v>197</v>
      </c>
      <c r="H70" t="str">
        <f t="shared" ref="H70:H133" si="1">CONCATENATE(G70,F70)</f>
        <v>BMC Code :2006</v>
      </c>
    </row>
    <row r="71" spans="1:8" x14ac:dyDescent="0.25">
      <c r="A71" s="2">
        <v>20060013</v>
      </c>
      <c r="B71" s="2" t="s">
        <v>108</v>
      </c>
      <c r="C71" s="9">
        <v>334.21000000000004</v>
      </c>
      <c r="D71" s="10">
        <v>12516.650000000001</v>
      </c>
      <c r="F71" t="str">
        <f>_xlfn.XLOOKUP(A71,Sheet1!D:D,Sheet1!A:A)</f>
        <v>2006</v>
      </c>
      <c r="G71" s="13" t="s">
        <v>197</v>
      </c>
      <c r="H71" t="str">
        <f t="shared" si="1"/>
        <v>BMC Code :2006</v>
      </c>
    </row>
    <row r="72" spans="1:8" x14ac:dyDescent="0.25">
      <c r="A72" s="2">
        <v>20060015</v>
      </c>
      <c r="B72" s="2" t="s">
        <v>112</v>
      </c>
      <c r="C72" s="9">
        <v>104.77</v>
      </c>
      <c r="D72" s="10">
        <v>3683.71</v>
      </c>
      <c r="F72" t="str">
        <f>_xlfn.XLOOKUP(A72,Sheet1!D:D,Sheet1!A:A)</f>
        <v>2006</v>
      </c>
      <c r="G72" s="13" t="s">
        <v>197</v>
      </c>
      <c r="H72" t="str">
        <f t="shared" si="1"/>
        <v>BMC Code :2006</v>
      </c>
    </row>
    <row r="73" spans="1:8" x14ac:dyDescent="0.25">
      <c r="A73" s="2">
        <v>20060017</v>
      </c>
      <c r="B73" s="2" t="s">
        <v>100</v>
      </c>
      <c r="C73" s="9">
        <v>181.82</v>
      </c>
      <c r="D73" s="10">
        <v>7225.7300000000005</v>
      </c>
      <c r="F73" t="str">
        <f>_xlfn.XLOOKUP(A73,Sheet1!D:D,Sheet1!A:A)</f>
        <v>2006</v>
      </c>
      <c r="G73" s="13" t="s">
        <v>197</v>
      </c>
      <c r="H73" t="str">
        <f t="shared" si="1"/>
        <v>BMC Code :2006</v>
      </c>
    </row>
    <row r="74" spans="1:8" x14ac:dyDescent="0.25">
      <c r="A74" s="2">
        <v>20060018</v>
      </c>
      <c r="B74" s="2" t="s">
        <v>106</v>
      </c>
      <c r="C74" s="9">
        <v>6.04</v>
      </c>
      <c r="D74" s="10">
        <v>246.13</v>
      </c>
      <c r="F74" t="str">
        <f>_xlfn.XLOOKUP(A74,Sheet1!D:D,Sheet1!A:A)</f>
        <v>2006</v>
      </c>
      <c r="G74" s="13" t="s">
        <v>197</v>
      </c>
      <c r="H74" t="str">
        <f t="shared" si="1"/>
        <v>BMC Code :2006</v>
      </c>
    </row>
    <row r="75" spans="1:8" x14ac:dyDescent="0.25">
      <c r="A75" s="2">
        <v>20060019</v>
      </c>
      <c r="B75" s="2" t="s">
        <v>97</v>
      </c>
      <c r="C75" s="9">
        <v>479.48</v>
      </c>
      <c r="D75" s="10">
        <v>18184.489999999998</v>
      </c>
      <c r="F75" t="str">
        <f>_xlfn.XLOOKUP(A75,Sheet1!D:D,Sheet1!A:A)</f>
        <v>2006</v>
      </c>
      <c r="G75" s="13" t="s">
        <v>197</v>
      </c>
      <c r="H75" t="str">
        <f t="shared" si="1"/>
        <v>BMC Code :2006</v>
      </c>
    </row>
    <row r="76" spans="1:8" x14ac:dyDescent="0.25">
      <c r="A76" s="2">
        <v>20060020</v>
      </c>
      <c r="B76" s="2" t="s">
        <v>107</v>
      </c>
      <c r="C76" s="9">
        <v>87.13</v>
      </c>
      <c r="D76" s="10">
        <v>2942.38</v>
      </c>
      <c r="F76" t="str">
        <f>_xlfn.XLOOKUP(A76,Sheet1!D:D,Sheet1!A:A)</f>
        <v>2006</v>
      </c>
      <c r="G76" s="13" t="s">
        <v>197</v>
      </c>
      <c r="H76" t="str">
        <f t="shared" si="1"/>
        <v>BMC Code :2006</v>
      </c>
    </row>
    <row r="77" spans="1:8" x14ac:dyDescent="0.25">
      <c r="A77" s="2">
        <v>20060022</v>
      </c>
      <c r="B77" s="2" t="s">
        <v>104</v>
      </c>
      <c r="C77" s="9">
        <v>244.01999999999998</v>
      </c>
      <c r="D77" s="10">
        <v>8444.65</v>
      </c>
      <c r="F77" t="str">
        <f>_xlfn.XLOOKUP(A77,Sheet1!D:D,Sheet1!A:A)</f>
        <v>2006</v>
      </c>
      <c r="G77" s="13" t="s">
        <v>197</v>
      </c>
      <c r="H77" t="str">
        <f t="shared" si="1"/>
        <v>BMC Code :2006</v>
      </c>
    </row>
    <row r="78" spans="1:8" x14ac:dyDescent="0.25">
      <c r="A78" s="2">
        <v>20060025</v>
      </c>
      <c r="B78" s="2" t="s">
        <v>111</v>
      </c>
      <c r="C78" s="9">
        <v>1.54</v>
      </c>
      <c r="D78" s="10">
        <v>51.96</v>
      </c>
      <c r="F78" t="str">
        <f>_xlfn.XLOOKUP(A78,Sheet1!D:D,Sheet1!A:A)</f>
        <v>2006</v>
      </c>
      <c r="G78" s="13" t="s">
        <v>197</v>
      </c>
      <c r="H78" t="str">
        <f t="shared" si="1"/>
        <v>BMC Code :2006</v>
      </c>
    </row>
    <row r="79" spans="1:8" x14ac:dyDescent="0.25">
      <c r="A79" s="2">
        <v>20070001</v>
      </c>
      <c r="B79" s="2" t="s">
        <v>114</v>
      </c>
      <c r="C79" s="9">
        <v>1411.52</v>
      </c>
      <c r="D79" s="10">
        <v>50563.839999999997</v>
      </c>
      <c r="F79" t="str">
        <f>_xlfn.XLOOKUP(A79,Sheet1!D:D,Sheet1!A:A)</f>
        <v>2007</v>
      </c>
      <c r="G79" s="13" t="s">
        <v>197</v>
      </c>
      <c r="H79" t="str">
        <f t="shared" si="1"/>
        <v>BMC Code :2007</v>
      </c>
    </row>
    <row r="80" spans="1:8" x14ac:dyDescent="0.25">
      <c r="A80" s="2">
        <v>20070002</v>
      </c>
      <c r="B80" s="2" t="s">
        <v>132</v>
      </c>
      <c r="C80" s="9">
        <v>323.62</v>
      </c>
      <c r="D80" s="10">
        <v>14027.11</v>
      </c>
      <c r="F80" t="str">
        <f>_xlfn.XLOOKUP(A80,Sheet1!D:D,Sheet1!A:A)</f>
        <v>2007</v>
      </c>
      <c r="G80" s="13" t="s">
        <v>197</v>
      </c>
      <c r="H80" t="str">
        <f t="shared" si="1"/>
        <v>BMC Code :2007</v>
      </c>
    </row>
    <row r="81" spans="1:8" x14ac:dyDescent="0.25">
      <c r="A81" s="2">
        <v>20070003</v>
      </c>
      <c r="B81" s="2" t="s">
        <v>119</v>
      </c>
      <c r="C81" s="9">
        <v>192.31</v>
      </c>
      <c r="D81" s="10">
        <v>8107.44</v>
      </c>
      <c r="F81" t="str">
        <f>_xlfn.XLOOKUP(A81,Sheet1!D:D,Sheet1!A:A)</f>
        <v>2007</v>
      </c>
      <c r="G81" s="13" t="s">
        <v>197</v>
      </c>
      <c r="H81" t="str">
        <f t="shared" si="1"/>
        <v>BMC Code :2007</v>
      </c>
    </row>
    <row r="82" spans="1:8" x14ac:dyDescent="0.25">
      <c r="A82" s="2">
        <v>20070004</v>
      </c>
      <c r="B82" s="2" t="s">
        <v>117</v>
      </c>
      <c r="C82" s="9">
        <v>209.64000000000001</v>
      </c>
      <c r="D82" s="10">
        <v>8275.0300000000007</v>
      </c>
      <c r="F82" t="str">
        <f>_xlfn.XLOOKUP(A82,Sheet1!D:D,Sheet1!A:A)</f>
        <v>2007</v>
      </c>
      <c r="G82" s="13" t="s">
        <v>197</v>
      </c>
      <c r="H82" t="str">
        <f t="shared" si="1"/>
        <v>BMC Code :2007</v>
      </c>
    </row>
    <row r="83" spans="1:8" x14ac:dyDescent="0.25">
      <c r="A83" s="2">
        <v>20070006</v>
      </c>
      <c r="B83" s="2" t="s">
        <v>122</v>
      </c>
      <c r="C83" s="9">
        <v>159.53</v>
      </c>
      <c r="D83" s="10">
        <v>6532.39</v>
      </c>
      <c r="F83" t="str">
        <f>_xlfn.XLOOKUP(A83,Sheet1!D:D,Sheet1!A:A)</f>
        <v>2007</v>
      </c>
      <c r="G83" s="13" t="s">
        <v>197</v>
      </c>
      <c r="H83" t="str">
        <f t="shared" si="1"/>
        <v>BMC Code :2007</v>
      </c>
    </row>
    <row r="84" spans="1:8" x14ac:dyDescent="0.25">
      <c r="A84" s="2">
        <v>20070007</v>
      </c>
      <c r="B84" s="2" t="s">
        <v>118</v>
      </c>
      <c r="C84" s="9">
        <v>172.22</v>
      </c>
      <c r="D84" s="10">
        <v>7147.42</v>
      </c>
      <c r="F84" t="str">
        <f>_xlfn.XLOOKUP(A84,Sheet1!D:D,Sheet1!A:A)</f>
        <v>2007</v>
      </c>
      <c r="G84" s="13" t="s">
        <v>197</v>
      </c>
      <c r="H84" t="str">
        <f t="shared" si="1"/>
        <v>BMC Code :2007</v>
      </c>
    </row>
    <row r="85" spans="1:8" x14ac:dyDescent="0.25">
      <c r="A85" s="2">
        <v>20070009</v>
      </c>
      <c r="B85" s="2" t="s">
        <v>116</v>
      </c>
      <c r="C85" s="9">
        <v>100.65</v>
      </c>
      <c r="D85" s="10">
        <v>4053.25</v>
      </c>
      <c r="F85" t="str">
        <f>_xlfn.XLOOKUP(A85,Sheet1!D:D,Sheet1!A:A)</f>
        <v>2007</v>
      </c>
      <c r="G85" s="13" t="s">
        <v>197</v>
      </c>
      <c r="H85" t="str">
        <f t="shared" si="1"/>
        <v>BMC Code :2007</v>
      </c>
    </row>
    <row r="86" spans="1:8" x14ac:dyDescent="0.25">
      <c r="A86" s="2">
        <v>20070010</v>
      </c>
      <c r="B86" s="2" t="s">
        <v>129</v>
      </c>
      <c r="C86" s="9">
        <v>112.89</v>
      </c>
      <c r="D86" s="10">
        <v>4561.2300000000005</v>
      </c>
      <c r="F86" t="str">
        <f>_xlfn.XLOOKUP(A86,Sheet1!D:D,Sheet1!A:A)</f>
        <v>2007</v>
      </c>
      <c r="G86" s="13" t="s">
        <v>197</v>
      </c>
      <c r="H86" t="str">
        <f t="shared" si="1"/>
        <v>BMC Code :2007</v>
      </c>
    </row>
    <row r="87" spans="1:8" x14ac:dyDescent="0.25">
      <c r="A87" s="2">
        <v>20070016</v>
      </c>
      <c r="B87" s="2" t="s">
        <v>134</v>
      </c>
      <c r="C87" s="9">
        <v>55.92</v>
      </c>
      <c r="D87" s="10">
        <v>2090.14</v>
      </c>
      <c r="F87" t="str">
        <f>_xlfn.XLOOKUP(A87,Sheet1!D:D,Sheet1!A:A)</f>
        <v>2007</v>
      </c>
      <c r="G87" s="13" t="s">
        <v>197</v>
      </c>
      <c r="H87" t="str">
        <f t="shared" si="1"/>
        <v>BMC Code :2007</v>
      </c>
    </row>
    <row r="88" spans="1:8" x14ac:dyDescent="0.25">
      <c r="A88" s="2">
        <v>20070018</v>
      </c>
      <c r="B88" s="2" t="s">
        <v>130</v>
      </c>
      <c r="C88" s="9">
        <v>105.36</v>
      </c>
      <c r="D88" s="10">
        <v>4598.78</v>
      </c>
      <c r="F88" t="str">
        <f>_xlfn.XLOOKUP(A88,Sheet1!D:D,Sheet1!A:A)</f>
        <v>2007</v>
      </c>
      <c r="G88" s="13" t="s">
        <v>197</v>
      </c>
      <c r="H88" t="str">
        <f t="shared" si="1"/>
        <v>BMC Code :2007</v>
      </c>
    </row>
    <row r="89" spans="1:8" x14ac:dyDescent="0.25">
      <c r="A89" s="2">
        <v>20070019</v>
      </c>
      <c r="B89" s="2" t="s">
        <v>120</v>
      </c>
      <c r="C89" s="9">
        <v>80.819999999999993</v>
      </c>
      <c r="D89" s="10">
        <v>3340.84</v>
      </c>
      <c r="F89" t="str">
        <f>_xlfn.XLOOKUP(A89,Sheet1!D:D,Sheet1!A:A)</f>
        <v>2007</v>
      </c>
      <c r="G89" s="13" t="s">
        <v>197</v>
      </c>
      <c r="H89" t="str">
        <f t="shared" si="1"/>
        <v>BMC Code :2007</v>
      </c>
    </row>
    <row r="90" spans="1:8" x14ac:dyDescent="0.25">
      <c r="A90" s="2">
        <v>20070020</v>
      </c>
      <c r="B90" s="2" t="s">
        <v>127</v>
      </c>
      <c r="C90" s="9">
        <v>172.05</v>
      </c>
      <c r="D90" s="10">
        <v>7476.6</v>
      </c>
      <c r="F90" t="str">
        <f>_xlfn.XLOOKUP(A90,Sheet1!D:D,Sheet1!A:A)</f>
        <v>2007</v>
      </c>
      <c r="G90" s="13" t="s">
        <v>197</v>
      </c>
      <c r="H90" t="str">
        <f t="shared" si="1"/>
        <v>BMC Code :2007</v>
      </c>
    </row>
    <row r="91" spans="1:8" x14ac:dyDescent="0.25">
      <c r="A91" s="2">
        <v>20070021</v>
      </c>
      <c r="B91" s="2" t="s">
        <v>121</v>
      </c>
      <c r="C91" s="9">
        <v>20.259999999999998</v>
      </c>
      <c r="D91" s="10">
        <v>901.3599999999999</v>
      </c>
      <c r="F91" t="str">
        <f>_xlfn.XLOOKUP(A91,Sheet1!D:D,Sheet1!A:A)</f>
        <v>2007</v>
      </c>
      <c r="G91" s="13" t="s">
        <v>197</v>
      </c>
      <c r="H91" t="str">
        <f t="shared" si="1"/>
        <v>BMC Code :2007</v>
      </c>
    </row>
    <row r="92" spans="1:8" x14ac:dyDescent="0.25">
      <c r="A92" s="2">
        <v>20070023</v>
      </c>
      <c r="B92" s="2" t="s">
        <v>128</v>
      </c>
      <c r="C92" s="9">
        <v>44.160000000000004</v>
      </c>
      <c r="D92" s="10">
        <v>1860.8200000000002</v>
      </c>
      <c r="F92" t="str">
        <f>_xlfn.XLOOKUP(A92,Sheet1!D:D,Sheet1!A:A)</f>
        <v>2007</v>
      </c>
      <c r="G92" s="13" t="s">
        <v>197</v>
      </c>
      <c r="H92" t="str">
        <f t="shared" si="1"/>
        <v>BMC Code :2007</v>
      </c>
    </row>
    <row r="93" spans="1:8" x14ac:dyDescent="0.25">
      <c r="A93" s="2">
        <v>20070024</v>
      </c>
      <c r="B93" s="2" t="s">
        <v>125</v>
      </c>
      <c r="C93" s="9">
        <v>142.97999999999999</v>
      </c>
      <c r="D93" s="10">
        <v>6821.21</v>
      </c>
      <c r="F93" t="str">
        <f>_xlfn.XLOOKUP(A93,Sheet1!D:D,Sheet1!A:A)</f>
        <v>2007</v>
      </c>
      <c r="G93" s="13" t="s">
        <v>197</v>
      </c>
      <c r="H93" t="str">
        <f t="shared" si="1"/>
        <v>BMC Code :2007</v>
      </c>
    </row>
    <row r="94" spans="1:8" x14ac:dyDescent="0.25">
      <c r="A94" s="2">
        <v>20070025</v>
      </c>
      <c r="B94" s="2" t="s">
        <v>133</v>
      </c>
      <c r="C94" s="9">
        <v>136.09</v>
      </c>
      <c r="D94" s="10">
        <v>6664.5599999999995</v>
      </c>
      <c r="F94" t="str">
        <f>_xlfn.XLOOKUP(A94,Sheet1!D:D,Sheet1!A:A)</f>
        <v>2007</v>
      </c>
      <c r="G94" s="13" t="s">
        <v>197</v>
      </c>
      <c r="H94" t="str">
        <f t="shared" si="1"/>
        <v>BMC Code :2007</v>
      </c>
    </row>
    <row r="95" spans="1:8" x14ac:dyDescent="0.25">
      <c r="A95" s="2">
        <v>20070026</v>
      </c>
      <c r="B95" s="2" t="s">
        <v>126</v>
      </c>
      <c r="C95" s="9">
        <v>180.5</v>
      </c>
      <c r="D95" s="10">
        <v>7009.56</v>
      </c>
      <c r="F95" t="str">
        <f>_xlfn.XLOOKUP(A95,Sheet1!D:D,Sheet1!A:A)</f>
        <v>2007</v>
      </c>
      <c r="G95" s="13" t="s">
        <v>197</v>
      </c>
      <c r="H95" t="str">
        <f t="shared" si="1"/>
        <v>BMC Code :2007</v>
      </c>
    </row>
    <row r="96" spans="1:8" x14ac:dyDescent="0.25">
      <c r="A96" s="2">
        <v>20080001</v>
      </c>
      <c r="B96" s="2" t="s">
        <v>136</v>
      </c>
      <c r="C96" s="9">
        <v>877.6400000000001</v>
      </c>
      <c r="D96" s="10">
        <v>34478.71</v>
      </c>
      <c r="F96" t="str">
        <f>_xlfn.XLOOKUP(A96,Sheet1!D:D,Sheet1!A:A)</f>
        <v>2008</v>
      </c>
      <c r="G96" s="13" t="s">
        <v>197</v>
      </c>
      <c r="H96" t="str">
        <f t="shared" si="1"/>
        <v>BMC Code :2008</v>
      </c>
    </row>
    <row r="97" spans="1:8" x14ac:dyDescent="0.25">
      <c r="A97" s="2">
        <v>20080002</v>
      </c>
      <c r="B97" s="2" t="s">
        <v>157</v>
      </c>
      <c r="C97" s="9">
        <v>131.06</v>
      </c>
      <c r="D97" s="10">
        <v>4878.4600000000009</v>
      </c>
      <c r="F97" t="str">
        <f>_xlfn.XLOOKUP(A97,Sheet1!D:D,Sheet1!A:A)</f>
        <v>2008</v>
      </c>
      <c r="G97" s="13" t="s">
        <v>197</v>
      </c>
      <c r="H97" t="str">
        <f t="shared" si="1"/>
        <v>BMC Code :2008</v>
      </c>
    </row>
    <row r="98" spans="1:8" x14ac:dyDescent="0.25">
      <c r="A98" s="2">
        <v>20080004</v>
      </c>
      <c r="B98" s="2" t="s">
        <v>145</v>
      </c>
      <c r="C98" s="9">
        <v>389.22</v>
      </c>
      <c r="D98" s="10">
        <v>15163.94</v>
      </c>
      <c r="F98" t="str">
        <f>_xlfn.XLOOKUP(A98,Sheet1!D:D,Sheet1!A:A)</f>
        <v>2008</v>
      </c>
      <c r="G98" s="13" t="s">
        <v>197</v>
      </c>
      <c r="H98" t="str">
        <f t="shared" si="1"/>
        <v>BMC Code :2008</v>
      </c>
    </row>
    <row r="99" spans="1:8" x14ac:dyDescent="0.25">
      <c r="A99" s="2">
        <v>20080005</v>
      </c>
      <c r="B99" s="2" t="s">
        <v>149</v>
      </c>
      <c r="C99" s="9">
        <v>11</v>
      </c>
      <c r="D99" s="10">
        <v>461.76</v>
      </c>
      <c r="F99" t="str">
        <f>_xlfn.XLOOKUP(A99,Sheet1!D:D,Sheet1!A:A)</f>
        <v>2008</v>
      </c>
      <c r="G99" s="13" t="s">
        <v>197</v>
      </c>
      <c r="H99" t="str">
        <f t="shared" si="1"/>
        <v>BMC Code :2008</v>
      </c>
    </row>
    <row r="100" spans="1:8" x14ac:dyDescent="0.25">
      <c r="A100" s="2">
        <v>20080006</v>
      </c>
      <c r="B100" s="2" t="s">
        <v>140</v>
      </c>
      <c r="C100" s="9">
        <v>276.97999999999996</v>
      </c>
      <c r="D100" s="10">
        <v>10764.08</v>
      </c>
      <c r="F100" t="str">
        <f>_xlfn.XLOOKUP(A100,Sheet1!D:D,Sheet1!A:A)</f>
        <v>2008</v>
      </c>
      <c r="G100" s="13" t="s">
        <v>197</v>
      </c>
      <c r="H100" t="str">
        <f t="shared" si="1"/>
        <v>BMC Code :2008</v>
      </c>
    </row>
    <row r="101" spans="1:8" x14ac:dyDescent="0.25">
      <c r="A101" s="2">
        <v>20080007</v>
      </c>
      <c r="B101" s="2" t="s">
        <v>144</v>
      </c>
      <c r="C101" s="9">
        <v>908.19999999999993</v>
      </c>
      <c r="D101" s="10">
        <v>33098.230000000003</v>
      </c>
      <c r="F101" t="str">
        <f>_xlfn.XLOOKUP(A101,Sheet1!D:D,Sheet1!A:A)</f>
        <v>2008</v>
      </c>
      <c r="G101" s="13" t="s">
        <v>197</v>
      </c>
      <c r="H101" t="str">
        <f t="shared" si="1"/>
        <v>BMC Code :2008</v>
      </c>
    </row>
    <row r="102" spans="1:8" x14ac:dyDescent="0.25">
      <c r="A102" s="2">
        <v>20080008</v>
      </c>
      <c r="B102" s="2" t="s">
        <v>139</v>
      </c>
      <c r="C102" s="9">
        <v>252.9</v>
      </c>
      <c r="D102" s="10">
        <v>9733.82</v>
      </c>
      <c r="F102" t="str">
        <f>_xlfn.XLOOKUP(A102,Sheet1!D:D,Sheet1!A:A)</f>
        <v>2008</v>
      </c>
      <c r="G102" s="13" t="s">
        <v>197</v>
      </c>
      <c r="H102" t="str">
        <f t="shared" si="1"/>
        <v>BMC Code :2008</v>
      </c>
    </row>
    <row r="103" spans="1:8" x14ac:dyDescent="0.25">
      <c r="A103" s="2">
        <v>20080009</v>
      </c>
      <c r="B103" s="2" t="s">
        <v>155</v>
      </c>
      <c r="C103" s="9">
        <v>211.85999999999999</v>
      </c>
      <c r="D103" s="10">
        <v>7646.93</v>
      </c>
      <c r="F103" t="str">
        <f>_xlfn.XLOOKUP(A103,Sheet1!D:D,Sheet1!A:A)</f>
        <v>2008</v>
      </c>
      <c r="G103" s="13" t="s">
        <v>197</v>
      </c>
      <c r="H103" t="str">
        <f t="shared" si="1"/>
        <v>BMC Code :2008</v>
      </c>
    </row>
    <row r="104" spans="1:8" x14ac:dyDescent="0.25">
      <c r="A104" s="2">
        <v>20080010</v>
      </c>
      <c r="B104" s="2" t="s">
        <v>158</v>
      </c>
      <c r="C104" s="9">
        <v>165.88</v>
      </c>
      <c r="D104" s="10">
        <v>6585.76</v>
      </c>
      <c r="F104" t="str">
        <f>_xlfn.XLOOKUP(A104,Sheet1!D:D,Sheet1!A:A)</f>
        <v>2008</v>
      </c>
      <c r="G104" s="13" t="s">
        <v>197</v>
      </c>
      <c r="H104" t="str">
        <f t="shared" si="1"/>
        <v>BMC Code :2008</v>
      </c>
    </row>
    <row r="105" spans="1:8" x14ac:dyDescent="0.25">
      <c r="A105" s="2">
        <v>20080014</v>
      </c>
      <c r="B105" s="2" t="s">
        <v>165</v>
      </c>
      <c r="C105" s="9">
        <v>163.82</v>
      </c>
      <c r="D105" s="10">
        <v>5714.79</v>
      </c>
      <c r="F105" t="str">
        <f>_xlfn.XLOOKUP(A105,Sheet1!D:D,Sheet1!A:A)</f>
        <v>2008</v>
      </c>
      <c r="G105" s="13" t="s">
        <v>197</v>
      </c>
      <c r="H105" t="str">
        <f t="shared" si="1"/>
        <v>BMC Code :2008</v>
      </c>
    </row>
    <row r="106" spans="1:8" x14ac:dyDescent="0.25">
      <c r="A106" s="2">
        <v>20080025</v>
      </c>
      <c r="B106" s="2" t="s">
        <v>141</v>
      </c>
      <c r="C106" s="9">
        <v>314.10000000000002</v>
      </c>
      <c r="D106" s="10">
        <v>12120.32</v>
      </c>
      <c r="F106" t="str">
        <f>_xlfn.XLOOKUP(A106,Sheet1!D:D,Sheet1!A:A)</f>
        <v>2008</v>
      </c>
      <c r="G106" s="13" t="s">
        <v>197</v>
      </c>
      <c r="H106" t="str">
        <f t="shared" si="1"/>
        <v>BMC Code :2008</v>
      </c>
    </row>
    <row r="107" spans="1:8" x14ac:dyDescent="0.25">
      <c r="A107" s="2">
        <v>20080026</v>
      </c>
      <c r="B107" s="2" t="s">
        <v>152</v>
      </c>
      <c r="C107" s="9">
        <v>111.54</v>
      </c>
      <c r="D107" s="10">
        <v>4166.09</v>
      </c>
      <c r="F107" t="str">
        <f>_xlfn.XLOOKUP(A107,Sheet1!D:D,Sheet1!A:A)</f>
        <v>2008</v>
      </c>
      <c r="G107" s="13" t="s">
        <v>197</v>
      </c>
      <c r="H107" t="str">
        <f t="shared" si="1"/>
        <v>BMC Code :2008</v>
      </c>
    </row>
    <row r="108" spans="1:8" x14ac:dyDescent="0.25">
      <c r="A108" s="2">
        <v>20080027</v>
      </c>
      <c r="B108" s="2" t="s">
        <v>147</v>
      </c>
      <c r="C108" s="9">
        <v>139.56</v>
      </c>
      <c r="D108" s="10">
        <v>5308.0199999999995</v>
      </c>
      <c r="F108" t="str">
        <f>_xlfn.XLOOKUP(A108,Sheet1!D:D,Sheet1!A:A)</f>
        <v>2008</v>
      </c>
      <c r="G108" s="13" t="s">
        <v>197</v>
      </c>
      <c r="H108" t="str">
        <f t="shared" si="1"/>
        <v>BMC Code :2008</v>
      </c>
    </row>
    <row r="109" spans="1:8" x14ac:dyDescent="0.25">
      <c r="A109" s="2">
        <v>20080028</v>
      </c>
      <c r="B109" s="2" t="s">
        <v>148</v>
      </c>
      <c r="C109" s="9">
        <v>50.16</v>
      </c>
      <c r="D109" s="10">
        <v>1977.0499999999997</v>
      </c>
      <c r="F109" t="str">
        <f>_xlfn.XLOOKUP(A109,Sheet1!D:D,Sheet1!A:A)</f>
        <v>2008</v>
      </c>
      <c r="G109" s="13" t="s">
        <v>197</v>
      </c>
      <c r="H109" t="str">
        <f t="shared" si="1"/>
        <v>BMC Code :2008</v>
      </c>
    </row>
    <row r="110" spans="1:8" x14ac:dyDescent="0.25">
      <c r="A110" s="2">
        <v>20080030</v>
      </c>
      <c r="B110" s="2" t="s">
        <v>154</v>
      </c>
      <c r="C110" s="9">
        <v>67.3</v>
      </c>
      <c r="D110" s="10">
        <v>2718.0099999999998</v>
      </c>
      <c r="F110" t="str">
        <f>_xlfn.XLOOKUP(A110,Sheet1!D:D,Sheet1!A:A)</f>
        <v>2008</v>
      </c>
      <c r="G110" s="13" t="s">
        <v>197</v>
      </c>
      <c r="H110" t="str">
        <f t="shared" si="1"/>
        <v>BMC Code :2008</v>
      </c>
    </row>
    <row r="111" spans="1:8" x14ac:dyDescent="0.25">
      <c r="A111" s="2">
        <v>20080034</v>
      </c>
      <c r="B111" s="2" t="s">
        <v>138</v>
      </c>
      <c r="C111" s="9">
        <v>196.08</v>
      </c>
      <c r="D111" s="10">
        <v>8017.869999999999</v>
      </c>
      <c r="F111" t="str">
        <f>_xlfn.XLOOKUP(A111,Sheet1!D:D,Sheet1!A:A)</f>
        <v>2008</v>
      </c>
      <c r="G111" s="13" t="s">
        <v>197</v>
      </c>
      <c r="H111" t="str">
        <f t="shared" si="1"/>
        <v>BMC Code :2008</v>
      </c>
    </row>
    <row r="112" spans="1:8" x14ac:dyDescent="0.25">
      <c r="A112" s="2">
        <v>20080036</v>
      </c>
      <c r="B112" s="2" t="s">
        <v>146</v>
      </c>
      <c r="C112" s="9">
        <v>180.96</v>
      </c>
      <c r="D112" s="10">
        <v>7023.44</v>
      </c>
      <c r="F112" t="str">
        <f>_xlfn.XLOOKUP(A112,Sheet1!D:D,Sheet1!A:A)</f>
        <v>2008</v>
      </c>
      <c r="G112" s="13" t="s">
        <v>197</v>
      </c>
      <c r="H112" t="str">
        <f t="shared" si="1"/>
        <v>BMC Code :2008</v>
      </c>
    </row>
    <row r="113" spans="1:8" x14ac:dyDescent="0.25">
      <c r="A113" s="2">
        <v>20080039</v>
      </c>
      <c r="B113" s="2" t="s">
        <v>156</v>
      </c>
      <c r="C113" s="9">
        <v>64.06</v>
      </c>
      <c r="D113" s="10">
        <v>2450.5300000000002</v>
      </c>
      <c r="F113" t="str">
        <f>_xlfn.XLOOKUP(A113,Sheet1!D:D,Sheet1!A:A)</f>
        <v>2008</v>
      </c>
      <c r="G113" s="13" t="s">
        <v>197</v>
      </c>
      <c r="H113" t="str">
        <f t="shared" si="1"/>
        <v>BMC Code :2008</v>
      </c>
    </row>
    <row r="114" spans="1:8" x14ac:dyDescent="0.25">
      <c r="A114" s="2">
        <v>20080041</v>
      </c>
      <c r="B114" s="2" t="s">
        <v>161</v>
      </c>
      <c r="C114" s="9">
        <v>141.80000000000001</v>
      </c>
      <c r="D114" s="10">
        <v>5433.05</v>
      </c>
      <c r="F114" t="str">
        <f>_xlfn.XLOOKUP(A114,Sheet1!D:D,Sheet1!A:A)</f>
        <v>2008</v>
      </c>
      <c r="G114" s="13" t="s">
        <v>197</v>
      </c>
      <c r="H114" t="str">
        <f t="shared" si="1"/>
        <v>BMC Code :2008</v>
      </c>
    </row>
    <row r="115" spans="1:8" x14ac:dyDescent="0.25">
      <c r="A115" s="2">
        <v>20080043</v>
      </c>
      <c r="B115" s="2" t="s">
        <v>163</v>
      </c>
      <c r="C115" s="9">
        <v>126.74000000000001</v>
      </c>
      <c r="D115" s="10">
        <v>5122.7199999999993</v>
      </c>
      <c r="F115" t="str">
        <f>_xlfn.XLOOKUP(A115,Sheet1!D:D,Sheet1!A:A)</f>
        <v>2008</v>
      </c>
      <c r="G115" s="13" t="s">
        <v>197</v>
      </c>
      <c r="H115" t="str">
        <f t="shared" si="1"/>
        <v>BMC Code :2008</v>
      </c>
    </row>
    <row r="116" spans="1:8" x14ac:dyDescent="0.25">
      <c r="A116" s="2">
        <v>20080046</v>
      </c>
      <c r="B116" s="2" t="s">
        <v>162</v>
      </c>
      <c r="C116" s="9">
        <v>25.459999999999997</v>
      </c>
      <c r="D116" s="10">
        <v>978.40000000000009</v>
      </c>
      <c r="F116" t="str">
        <f>_xlfn.XLOOKUP(A116,Sheet1!D:D,Sheet1!A:A)</f>
        <v>2008</v>
      </c>
      <c r="G116" s="13" t="s">
        <v>197</v>
      </c>
      <c r="H116" t="str">
        <f t="shared" si="1"/>
        <v>BMC Code :2008</v>
      </c>
    </row>
    <row r="117" spans="1:8" x14ac:dyDescent="0.25">
      <c r="A117" s="2">
        <v>20080047</v>
      </c>
      <c r="B117" s="2" t="s">
        <v>160</v>
      </c>
      <c r="C117" s="9">
        <v>46.8</v>
      </c>
      <c r="D117" s="10">
        <v>1901.02</v>
      </c>
      <c r="F117" t="str">
        <f>_xlfn.XLOOKUP(A117,Sheet1!D:D,Sheet1!A:A)</f>
        <v>2008</v>
      </c>
      <c r="G117" s="13" t="s">
        <v>197</v>
      </c>
      <c r="H117" t="str">
        <f t="shared" si="1"/>
        <v>BMC Code :2008</v>
      </c>
    </row>
    <row r="118" spans="1:8" x14ac:dyDescent="0.25">
      <c r="A118" s="2">
        <v>20080049</v>
      </c>
      <c r="B118" s="2" t="s">
        <v>153</v>
      </c>
      <c r="C118" s="9">
        <v>117.74000000000001</v>
      </c>
      <c r="D118" s="10">
        <v>4458.03</v>
      </c>
      <c r="F118" t="str">
        <f>_xlfn.XLOOKUP(A118,Sheet1!D:D,Sheet1!A:A)</f>
        <v>2008</v>
      </c>
      <c r="G118" s="13" t="s">
        <v>197</v>
      </c>
      <c r="H118" t="str">
        <f t="shared" si="1"/>
        <v>BMC Code :2008</v>
      </c>
    </row>
    <row r="119" spans="1:8" x14ac:dyDescent="0.25">
      <c r="A119" s="2">
        <v>20080050</v>
      </c>
      <c r="B119" s="2" t="s">
        <v>159</v>
      </c>
      <c r="C119" s="9">
        <v>34.480000000000004</v>
      </c>
      <c r="D119" s="10">
        <v>1343.08</v>
      </c>
      <c r="F119" t="str">
        <f>_xlfn.XLOOKUP(A119,Sheet1!D:D,Sheet1!A:A)</f>
        <v>2008</v>
      </c>
      <c r="G119" s="13" t="s">
        <v>197</v>
      </c>
      <c r="H119" t="str">
        <f t="shared" si="1"/>
        <v>BMC Code :2008</v>
      </c>
    </row>
    <row r="120" spans="1:8" x14ac:dyDescent="0.25">
      <c r="A120" s="2">
        <v>20090001</v>
      </c>
      <c r="B120" s="2" t="s">
        <v>167</v>
      </c>
      <c r="C120" s="9">
        <v>268.07</v>
      </c>
      <c r="D120" s="10">
        <v>11147.21</v>
      </c>
      <c r="F120" t="str">
        <f>_xlfn.XLOOKUP(A120,Sheet1!D:D,Sheet1!A:A)</f>
        <v>2009</v>
      </c>
      <c r="G120" s="13" t="s">
        <v>197</v>
      </c>
      <c r="H120" t="str">
        <f t="shared" si="1"/>
        <v>BMC Code :2009</v>
      </c>
    </row>
    <row r="121" spans="1:8" x14ac:dyDescent="0.25">
      <c r="A121" s="2">
        <v>20090002</v>
      </c>
      <c r="B121" s="2" t="s">
        <v>185</v>
      </c>
      <c r="C121" s="9">
        <v>99.13000000000001</v>
      </c>
      <c r="D121" s="10">
        <v>3821.15</v>
      </c>
      <c r="F121" t="str">
        <f>_xlfn.XLOOKUP(A121,Sheet1!D:D,Sheet1!A:A)</f>
        <v>2009</v>
      </c>
      <c r="G121" s="13" t="s">
        <v>197</v>
      </c>
      <c r="H121" t="str">
        <f t="shared" si="1"/>
        <v>BMC Code :2009</v>
      </c>
    </row>
    <row r="122" spans="1:8" x14ac:dyDescent="0.25">
      <c r="A122" s="2">
        <v>20090003</v>
      </c>
      <c r="B122" s="2" t="s">
        <v>192</v>
      </c>
      <c r="C122" s="9">
        <v>1.46</v>
      </c>
      <c r="D122" s="10">
        <v>58.21</v>
      </c>
      <c r="F122" t="str">
        <f>_xlfn.XLOOKUP(A122,Sheet1!D:D,Sheet1!A:A)</f>
        <v>2009</v>
      </c>
      <c r="G122" s="13" t="s">
        <v>197</v>
      </c>
      <c r="H122" t="str">
        <f t="shared" si="1"/>
        <v>BMC Code :2009</v>
      </c>
    </row>
    <row r="123" spans="1:8" x14ac:dyDescent="0.25">
      <c r="A123" s="2">
        <v>20090004</v>
      </c>
      <c r="B123" s="2" t="s">
        <v>189</v>
      </c>
      <c r="C123" s="9">
        <v>172.54999999999998</v>
      </c>
      <c r="D123" s="10">
        <v>6981.880000000001</v>
      </c>
      <c r="F123" t="str">
        <f>_xlfn.XLOOKUP(A123,Sheet1!D:D,Sheet1!A:A)</f>
        <v>2009</v>
      </c>
      <c r="G123" s="13" t="s">
        <v>197</v>
      </c>
      <c r="H123" t="str">
        <f t="shared" si="1"/>
        <v>BMC Code :2009</v>
      </c>
    </row>
    <row r="124" spans="1:8" x14ac:dyDescent="0.25">
      <c r="A124" s="2">
        <v>20090006</v>
      </c>
      <c r="B124" s="2" t="s">
        <v>179</v>
      </c>
      <c r="C124" s="9">
        <v>88.75</v>
      </c>
      <c r="D124" s="10">
        <v>3333.04</v>
      </c>
      <c r="F124" t="str">
        <f>_xlfn.XLOOKUP(A124,Sheet1!D:D,Sheet1!A:A)</f>
        <v>2009</v>
      </c>
      <c r="G124" s="13" t="s">
        <v>197</v>
      </c>
      <c r="H124" t="str">
        <f t="shared" si="1"/>
        <v>BMC Code :2009</v>
      </c>
    </row>
    <row r="125" spans="1:8" x14ac:dyDescent="0.25">
      <c r="A125" s="2">
        <v>20090008</v>
      </c>
      <c r="B125" s="2" t="s">
        <v>187</v>
      </c>
      <c r="C125" s="9">
        <v>500.15</v>
      </c>
      <c r="D125" s="10">
        <v>20142.109999999997</v>
      </c>
      <c r="F125" t="str">
        <f>_xlfn.XLOOKUP(A125,Sheet1!D:D,Sheet1!A:A)</f>
        <v>2009</v>
      </c>
      <c r="G125" s="13" t="s">
        <v>197</v>
      </c>
      <c r="H125" t="str">
        <f t="shared" si="1"/>
        <v>BMC Code :2009</v>
      </c>
    </row>
    <row r="126" spans="1:8" x14ac:dyDescent="0.25">
      <c r="A126" s="2">
        <v>20090010</v>
      </c>
      <c r="B126" s="2" t="s">
        <v>178</v>
      </c>
      <c r="C126" s="9">
        <v>115.14</v>
      </c>
      <c r="D126" s="10">
        <v>4468.1400000000003</v>
      </c>
      <c r="F126" t="str">
        <f>_xlfn.XLOOKUP(A126,Sheet1!D:D,Sheet1!A:A)</f>
        <v>2009</v>
      </c>
      <c r="G126" s="13" t="s">
        <v>197</v>
      </c>
      <c r="H126" t="str">
        <f t="shared" si="1"/>
        <v>BMC Code :2009</v>
      </c>
    </row>
    <row r="127" spans="1:8" x14ac:dyDescent="0.25">
      <c r="A127" s="2">
        <v>20090011</v>
      </c>
      <c r="B127" s="2" t="s">
        <v>173</v>
      </c>
      <c r="C127" s="9">
        <v>178.64</v>
      </c>
      <c r="D127" s="10">
        <v>6623.35</v>
      </c>
      <c r="F127" t="str">
        <f>_xlfn.XLOOKUP(A127,Sheet1!D:D,Sheet1!A:A)</f>
        <v>2009</v>
      </c>
      <c r="G127" s="13" t="s">
        <v>197</v>
      </c>
      <c r="H127" t="str">
        <f t="shared" si="1"/>
        <v>BMC Code :2009</v>
      </c>
    </row>
    <row r="128" spans="1:8" x14ac:dyDescent="0.25">
      <c r="A128" s="2">
        <v>20090012</v>
      </c>
      <c r="B128" s="2" t="s">
        <v>180</v>
      </c>
      <c r="C128" s="9">
        <v>66.67</v>
      </c>
      <c r="D128" s="10">
        <v>2768.32</v>
      </c>
      <c r="F128" t="str">
        <f>_xlfn.XLOOKUP(A128,Sheet1!D:D,Sheet1!A:A)</f>
        <v>2009</v>
      </c>
      <c r="G128" s="13" t="s">
        <v>197</v>
      </c>
      <c r="H128" t="str">
        <f t="shared" si="1"/>
        <v>BMC Code :2009</v>
      </c>
    </row>
    <row r="129" spans="1:8" x14ac:dyDescent="0.25">
      <c r="A129" s="2">
        <v>20090013</v>
      </c>
      <c r="B129" s="2" t="s">
        <v>175</v>
      </c>
      <c r="C129" s="9">
        <v>188.62</v>
      </c>
      <c r="D129" s="10">
        <v>7253.76</v>
      </c>
      <c r="F129" t="str">
        <f>_xlfn.XLOOKUP(A129,Sheet1!D:D,Sheet1!A:A)</f>
        <v>2009</v>
      </c>
      <c r="G129" s="13" t="s">
        <v>197</v>
      </c>
      <c r="H129" t="str">
        <f t="shared" si="1"/>
        <v>BMC Code :2009</v>
      </c>
    </row>
    <row r="130" spans="1:8" x14ac:dyDescent="0.25">
      <c r="A130" s="2">
        <v>20090014</v>
      </c>
      <c r="B130" s="2" t="s">
        <v>170</v>
      </c>
      <c r="C130" s="9">
        <v>439.39</v>
      </c>
      <c r="D130" s="10">
        <v>16679.3</v>
      </c>
      <c r="F130" t="str">
        <f>_xlfn.XLOOKUP(A130,Sheet1!D:D,Sheet1!A:A)</f>
        <v>2009</v>
      </c>
      <c r="G130" s="13" t="s">
        <v>197</v>
      </c>
      <c r="H130" t="str">
        <f t="shared" si="1"/>
        <v>BMC Code :2009</v>
      </c>
    </row>
    <row r="131" spans="1:8" x14ac:dyDescent="0.25">
      <c r="A131" s="2">
        <v>20090015</v>
      </c>
      <c r="B131" s="2" t="s">
        <v>171</v>
      </c>
      <c r="C131" s="9">
        <v>142.93</v>
      </c>
      <c r="D131" s="10">
        <v>5868.08</v>
      </c>
      <c r="F131" t="str">
        <f>_xlfn.XLOOKUP(A131,Sheet1!D:D,Sheet1!A:A)</f>
        <v>2009</v>
      </c>
      <c r="G131" s="13" t="s">
        <v>197</v>
      </c>
      <c r="H131" t="str">
        <f t="shared" si="1"/>
        <v>BMC Code :2009</v>
      </c>
    </row>
    <row r="132" spans="1:8" x14ac:dyDescent="0.25">
      <c r="A132" s="2">
        <v>20090017</v>
      </c>
      <c r="B132" s="2" t="s">
        <v>177</v>
      </c>
      <c r="C132" s="9">
        <v>151.15</v>
      </c>
      <c r="D132" s="10">
        <v>5978.9599999999991</v>
      </c>
      <c r="F132" t="str">
        <f>_xlfn.XLOOKUP(A132,Sheet1!D:D,Sheet1!A:A)</f>
        <v>2009</v>
      </c>
      <c r="G132" s="13" t="s">
        <v>197</v>
      </c>
      <c r="H132" t="str">
        <f t="shared" si="1"/>
        <v>BMC Code :2009</v>
      </c>
    </row>
    <row r="133" spans="1:8" x14ac:dyDescent="0.25">
      <c r="A133" s="2">
        <v>20090018</v>
      </c>
      <c r="B133" s="2" t="s">
        <v>183</v>
      </c>
      <c r="C133" s="9">
        <v>49.38</v>
      </c>
      <c r="D133" s="10">
        <v>1739.11</v>
      </c>
      <c r="F133" t="str">
        <f>_xlfn.XLOOKUP(A133,Sheet1!D:D,Sheet1!A:A)</f>
        <v>2009</v>
      </c>
      <c r="G133" s="13" t="s">
        <v>197</v>
      </c>
      <c r="H133" t="str">
        <f t="shared" si="1"/>
        <v>BMC Code :2009</v>
      </c>
    </row>
    <row r="134" spans="1:8" x14ac:dyDescent="0.25">
      <c r="A134" s="2">
        <v>20090019</v>
      </c>
      <c r="B134" s="2" t="s">
        <v>182</v>
      </c>
      <c r="C134" s="9">
        <v>21.87</v>
      </c>
      <c r="D134" s="10">
        <v>795.43000000000006</v>
      </c>
      <c r="F134" t="str">
        <f>_xlfn.XLOOKUP(A134,Sheet1!D:D,Sheet1!A:A)</f>
        <v>2009</v>
      </c>
      <c r="G134" s="13" t="s">
        <v>197</v>
      </c>
      <c r="H134" t="str">
        <f t="shared" ref="H134:H140" si="2">CONCATENATE(G134,F134)</f>
        <v>BMC Code :2009</v>
      </c>
    </row>
    <row r="135" spans="1:8" x14ac:dyDescent="0.25">
      <c r="A135" s="2">
        <v>20090020</v>
      </c>
      <c r="B135" s="2" t="s">
        <v>172</v>
      </c>
      <c r="C135" s="9">
        <v>242.65000000000003</v>
      </c>
      <c r="D135" s="10">
        <v>9298.869999999999</v>
      </c>
      <c r="F135" t="str">
        <f>_xlfn.XLOOKUP(A135,Sheet1!D:D,Sheet1!A:A)</f>
        <v>2009</v>
      </c>
      <c r="G135" s="13" t="s">
        <v>197</v>
      </c>
      <c r="H135" t="str">
        <f t="shared" si="2"/>
        <v>BMC Code :2009</v>
      </c>
    </row>
    <row r="136" spans="1:8" x14ac:dyDescent="0.25">
      <c r="A136" s="2">
        <v>20090021</v>
      </c>
      <c r="B136" s="2" t="s">
        <v>181</v>
      </c>
      <c r="C136" s="9">
        <v>39.299999999999997</v>
      </c>
      <c r="D136" s="10">
        <v>1547.92</v>
      </c>
      <c r="F136" t="str">
        <f>_xlfn.XLOOKUP(A136,Sheet1!D:D,Sheet1!A:A)</f>
        <v>2009</v>
      </c>
      <c r="G136" s="13" t="s">
        <v>197</v>
      </c>
      <c r="H136" t="str">
        <f t="shared" si="2"/>
        <v>BMC Code :2009</v>
      </c>
    </row>
    <row r="137" spans="1:8" x14ac:dyDescent="0.25">
      <c r="A137" s="2">
        <v>20090022</v>
      </c>
      <c r="B137" s="2" t="s">
        <v>174</v>
      </c>
      <c r="C137" s="9">
        <v>107.81</v>
      </c>
      <c r="D137" s="10">
        <v>3852.37</v>
      </c>
      <c r="F137" t="str">
        <f>_xlfn.XLOOKUP(A137,Sheet1!D:D,Sheet1!A:A)</f>
        <v>2009</v>
      </c>
      <c r="G137" s="13" t="s">
        <v>197</v>
      </c>
      <c r="H137" t="str">
        <f t="shared" si="2"/>
        <v>BMC Code :2009</v>
      </c>
    </row>
    <row r="138" spans="1:8" x14ac:dyDescent="0.25">
      <c r="A138" s="2">
        <v>20090023</v>
      </c>
      <c r="B138" s="2" t="s">
        <v>176</v>
      </c>
      <c r="C138" s="9">
        <v>317.95000000000005</v>
      </c>
      <c r="D138" s="10">
        <v>12918.830000000002</v>
      </c>
      <c r="F138" t="str">
        <f>_xlfn.XLOOKUP(A138,Sheet1!D:D,Sheet1!A:A)</f>
        <v>2009</v>
      </c>
      <c r="G138" s="13" t="s">
        <v>197</v>
      </c>
      <c r="H138" t="str">
        <f t="shared" si="2"/>
        <v>BMC Code :2009</v>
      </c>
    </row>
    <row r="139" spans="1:8" x14ac:dyDescent="0.25">
      <c r="A139" s="2">
        <v>20090025</v>
      </c>
      <c r="B139" s="2" t="s">
        <v>186</v>
      </c>
      <c r="C139" s="9">
        <v>95.82</v>
      </c>
      <c r="D139" s="10">
        <v>3788.38</v>
      </c>
      <c r="F139" t="str">
        <f>_xlfn.XLOOKUP(A139,Sheet1!D:D,Sheet1!A:A)</f>
        <v>2009</v>
      </c>
      <c r="G139" s="13" t="s">
        <v>197</v>
      </c>
      <c r="H139" t="str">
        <f t="shared" si="2"/>
        <v>BMC Code :2009</v>
      </c>
    </row>
    <row r="140" spans="1:8" x14ac:dyDescent="0.25">
      <c r="A140" s="2">
        <v>20090026</v>
      </c>
      <c r="B140" s="2" t="s">
        <v>191</v>
      </c>
      <c r="C140" s="9">
        <v>104.47000000000001</v>
      </c>
      <c r="D140" s="10">
        <v>4092.34</v>
      </c>
      <c r="F140" t="str">
        <f>_xlfn.XLOOKUP(A140,Sheet1!D:D,Sheet1!A:A)</f>
        <v>2009</v>
      </c>
      <c r="G140" s="13" t="s">
        <v>197</v>
      </c>
      <c r="H140" t="str">
        <f t="shared" si="2"/>
        <v>BMC Code :2009</v>
      </c>
    </row>
    <row r="141" spans="1:8" x14ac:dyDescent="0.25">
      <c r="A141" s="6" t="s">
        <v>193</v>
      </c>
      <c r="B141" s="7"/>
      <c r="C141" s="11">
        <v>41879.590000000026</v>
      </c>
      <c r="D141" s="12">
        <v>1642869.3700000003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4"/>
  <sheetViews>
    <sheetView workbookViewId="0">
      <selection sqref="A1:N524"/>
    </sheetView>
  </sheetViews>
  <sheetFormatPr defaultRowHeight="15" x14ac:dyDescent="0.25"/>
  <cols>
    <col min="6" max="6" width="1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16</v>
      </c>
      <c r="C2" t="s">
        <v>15</v>
      </c>
      <c r="D2">
        <v>20010060</v>
      </c>
      <c r="E2" t="s">
        <v>17</v>
      </c>
      <c r="F2" s="1">
        <v>46113</v>
      </c>
      <c r="G2" t="s">
        <v>18</v>
      </c>
      <c r="H2" t="s">
        <v>19</v>
      </c>
      <c r="I2">
        <v>19.2</v>
      </c>
      <c r="J2">
        <v>2.9</v>
      </c>
      <c r="K2">
        <v>7.5</v>
      </c>
      <c r="L2">
        <v>30.11</v>
      </c>
      <c r="M2">
        <v>578.11</v>
      </c>
      <c r="N2" t="s">
        <v>20</v>
      </c>
    </row>
    <row r="3" spans="1:14" x14ac:dyDescent="0.25">
      <c r="A3" t="s">
        <v>14</v>
      </c>
      <c r="B3" t="s">
        <v>16</v>
      </c>
      <c r="C3" t="s">
        <v>15</v>
      </c>
      <c r="D3">
        <v>20010015</v>
      </c>
      <c r="E3" t="s">
        <v>21</v>
      </c>
      <c r="F3" s="1">
        <v>46113</v>
      </c>
      <c r="G3" t="s">
        <v>18</v>
      </c>
      <c r="H3" t="s">
        <v>19</v>
      </c>
      <c r="I3">
        <v>261.22000000000003</v>
      </c>
      <c r="J3">
        <v>3.8</v>
      </c>
      <c r="K3">
        <v>8.5</v>
      </c>
      <c r="L3">
        <v>39</v>
      </c>
      <c r="M3">
        <v>10187.58</v>
      </c>
      <c r="N3" t="s">
        <v>22</v>
      </c>
    </row>
    <row r="4" spans="1:14" x14ac:dyDescent="0.25">
      <c r="A4" t="s">
        <v>14</v>
      </c>
      <c r="B4" t="s">
        <v>16</v>
      </c>
      <c r="C4" t="s">
        <v>15</v>
      </c>
      <c r="D4">
        <v>20010009</v>
      </c>
      <c r="E4" t="s">
        <v>23</v>
      </c>
      <c r="F4" s="1">
        <v>46113</v>
      </c>
      <c r="G4" t="s">
        <v>18</v>
      </c>
      <c r="H4" t="s">
        <v>19</v>
      </c>
      <c r="I4">
        <v>51.8</v>
      </c>
      <c r="J4">
        <v>4.5999999999999996</v>
      </c>
      <c r="K4">
        <v>8.5</v>
      </c>
      <c r="L4">
        <v>42</v>
      </c>
      <c r="M4">
        <v>2175.6</v>
      </c>
      <c r="N4" t="s">
        <v>20</v>
      </c>
    </row>
    <row r="5" spans="1:14" x14ac:dyDescent="0.25">
      <c r="A5" t="s">
        <v>14</v>
      </c>
      <c r="B5" t="s">
        <v>16</v>
      </c>
      <c r="C5" t="s">
        <v>15</v>
      </c>
      <c r="D5">
        <v>20010061</v>
      </c>
      <c r="E5" t="s">
        <v>24</v>
      </c>
      <c r="F5" s="1">
        <v>46113</v>
      </c>
      <c r="G5" t="s">
        <v>18</v>
      </c>
      <c r="H5" t="s">
        <v>19</v>
      </c>
      <c r="I5">
        <v>13.36</v>
      </c>
      <c r="J5">
        <v>3.9</v>
      </c>
      <c r="K5">
        <v>8.4</v>
      </c>
      <c r="L5">
        <v>38.76</v>
      </c>
      <c r="M5">
        <v>517.83000000000004</v>
      </c>
      <c r="N5" t="s">
        <v>22</v>
      </c>
    </row>
    <row r="6" spans="1:14" x14ac:dyDescent="0.25">
      <c r="A6" t="s">
        <v>14</v>
      </c>
      <c r="B6" t="s">
        <v>16</v>
      </c>
      <c r="C6" t="s">
        <v>15</v>
      </c>
      <c r="D6">
        <v>20010052</v>
      </c>
      <c r="E6" t="s">
        <v>25</v>
      </c>
      <c r="F6" s="1">
        <v>46113</v>
      </c>
      <c r="G6" t="s">
        <v>18</v>
      </c>
      <c r="H6" t="s">
        <v>19</v>
      </c>
      <c r="I6">
        <v>50.32</v>
      </c>
      <c r="J6">
        <v>4.4000000000000004</v>
      </c>
      <c r="K6">
        <v>8.3000000000000007</v>
      </c>
      <c r="L6">
        <v>40.36</v>
      </c>
      <c r="M6">
        <v>2030.92</v>
      </c>
      <c r="N6" t="s">
        <v>22</v>
      </c>
    </row>
    <row r="7" spans="1:14" x14ac:dyDescent="0.25">
      <c r="A7" t="s">
        <v>14</v>
      </c>
      <c r="B7" t="s">
        <v>16</v>
      </c>
      <c r="C7" t="s">
        <v>15</v>
      </c>
      <c r="D7">
        <v>20010008</v>
      </c>
      <c r="E7" t="s">
        <v>26</v>
      </c>
      <c r="F7" s="1">
        <v>46113</v>
      </c>
      <c r="G7" t="s">
        <v>18</v>
      </c>
      <c r="H7" t="s">
        <v>19</v>
      </c>
      <c r="I7">
        <v>150.12</v>
      </c>
      <c r="J7">
        <v>3.4</v>
      </c>
      <c r="K7">
        <v>8</v>
      </c>
      <c r="L7">
        <v>35.51</v>
      </c>
      <c r="M7">
        <v>5330.76</v>
      </c>
      <c r="N7" t="s">
        <v>20</v>
      </c>
    </row>
    <row r="8" spans="1:14" x14ac:dyDescent="0.25">
      <c r="A8" t="s">
        <v>14</v>
      </c>
      <c r="B8" t="s">
        <v>16</v>
      </c>
      <c r="C8" t="s">
        <v>15</v>
      </c>
      <c r="D8">
        <v>20010005</v>
      </c>
      <c r="E8" t="s">
        <v>27</v>
      </c>
      <c r="F8" s="1">
        <v>46113</v>
      </c>
      <c r="G8" t="s">
        <v>18</v>
      </c>
      <c r="H8" t="s">
        <v>19</v>
      </c>
      <c r="I8">
        <v>94.44</v>
      </c>
      <c r="J8">
        <v>3.7</v>
      </c>
      <c r="K8">
        <v>8.1</v>
      </c>
      <c r="L8">
        <v>36.85</v>
      </c>
      <c r="M8">
        <v>3480.11</v>
      </c>
      <c r="N8" t="s">
        <v>22</v>
      </c>
    </row>
    <row r="9" spans="1:14" x14ac:dyDescent="0.25">
      <c r="A9" t="s">
        <v>14</v>
      </c>
      <c r="B9" t="s">
        <v>16</v>
      </c>
      <c r="C9" t="s">
        <v>15</v>
      </c>
      <c r="D9">
        <v>20010042</v>
      </c>
      <c r="E9" t="s">
        <v>28</v>
      </c>
      <c r="F9" s="1">
        <v>46113</v>
      </c>
      <c r="G9" t="s">
        <v>18</v>
      </c>
      <c r="H9" t="s">
        <v>29</v>
      </c>
      <c r="I9">
        <v>62.32</v>
      </c>
      <c r="J9">
        <v>5</v>
      </c>
      <c r="K9">
        <v>8.4</v>
      </c>
      <c r="L9">
        <v>43.42</v>
      </c>
      <c r="M9">
        <v>2705.93</v>
      </c>
      <c r="N9" t="s">
        <v>22</v>
      </c>
    </row>
    <row r="10" spans="1:14" x14ac:dyDescent="0.25">
      <c r="A10" t="s">
        <v>14</v>
      </c>
      <c r="B10" t="s">
        <v>16</v>
      </c>
      <c r="C10" t="s">
        <v>15</v>
      </c>
      <c r="D10">
        <v>20010023</v>
      </c>
      <c r="E10" t="s">
        <v>30</v>
      </c>
      <c r="F10" s="1">
        <v>46113</v>
      </c>
      <c r="G10" t="s">
        <v>18</v>
      </c>
      <c r="H10" t="s">
        <v>19</v>
      </c>
      <c r="I10">
        <v>42.32</v>
      </c>
      <c r="J10">
        <v>4.5999999999999996</v>
      </c>
      <c r="K10">
        <v>8.4</v>
      </c>
      <c r="L10">
        <v>41.35</v>
      </c>
      <c r="M10">
        <v>1749.93</v>
      </c>
      <c r="N10" t="s">
        <v>22</v>
      </c>
    </row>
    <row r="11" spans="1:14" x14ac:dyDescent="0.25">
      <c r="A11" t="s">
        <v>14</v>
      </c>
      <c r="B11" t="s">
        <v>16</v>
      </c>
      <c r="C11" t="s">
        <v>15</v>
      </c>
      <c r="D11">
        <v>20010012</v>
      </c>
      <c r="E11" t="s">
        <v>31</v>
      </c>
      <c r="F11" s="1">
        <v>46113</v>
      </c>
      <c r="G11" t="s">
        <v>18</v>
      </c>
      <c r="H11" t="s">
        <v>19</v>
      </c>
      <c r="I11">
        <v>5</v>
      </c>
      <c r="J11">
        <v>2.5</v>
      </c>
      <c r="K11">
        <v>7.5</v>
      </c>
      <c r="L11">
        <v>28.69</v>
      </c>
      <c r="M11">
        <v>143.44999999999999</v>
      </c>
      <c r="N11" t="s">
        <v>20</v>
      </c>
    </row>
    <row r="12" spans="1:14" x14ac:dyDescent="0.25">
      <c r="A12" t="s">
        <v>14</v>
      </c>
      <c r="B12" t="s">
        <v>32</v>
      </c>
      <c r="C12" t="s">
        <v>17</v>
      </c>
      <c r="D12">
        <v>20010017</v>
      </c>
      <c r="E12" t="s">
        <v>33</v>
      </c>
      <c r="F12" s="1">
        <v>46113</v>
      </c>
      <c r="G12" t="s">
        <v>18</v>
      </c>
      <c r="H12" t="s">
        <v>19</v>
      </c>
      <c r="I12">
        <v>127.76</v>
      </c>
      <c r="J12">
        <v>3.9</v>
      </c>
      <c r="K12">
        <v>8.3000000000000007</v>
      </c>
      <c r="L12">
        <v>38.51</v>
      </c>
      <c r="M12">
        <v>4920.04</v>
      </c>
      <c r="N12" t="s">
        <v>22</v>
      </c>
    </row>
    <row r="13" spans="1:14" x14ac:dyDescent="0.25">
      <c r="A13" t="s">
        <v>14</v>
      </c>
      <c r="B13" t="s">
        <v>32</v>
      </c>
      <c r="C13" t="s">
        <v>17</v>
      </c>
      <c r="D13">
        <v>20010003</v>
      </c>
      <c r="E13" t="s">
        <v>34</v>
      </c>
      <c r="F13" s="1">
        <v>46113</v>
      </c>
      <c r="G13" t="s">
        <v>18</v>
      </c>
      <c r="H13" t="s">
        <v>19</v>
      </c>
      <c r="I13">
        <v>147.91999999999999</v>
      </c>
      <c r="J13">
        <v>3.6</v>
      </c>
      <c r="K13">
        <v>8.5</v>
      </c>
      <c r="L13">
        <v>38.25</v>
      </c>
      <c r="M13">
        <v>5657.94</v>
      </c>
      <c r="N13" t="s">
        <v>22</v>
      </c>
    </row>
    <row r="14" spans="1:14" x14ac:dyDescent="0.25">
      <c r="A14" t="s">
        <v>14</v>
      </c>
      <c r="B14" t="s">
        <v>32</v>
      </c>
      <c r="C14" t="s">
        <v>17</v>
      </c>
      <c r="D14">
        <v>20010055</v>
      </c>
      <c r="E14" t="s">
        <v>35</v>
      </c>
      <c r="F14" s="1">
        <v>46113</v>
      </c>
      <c r="G14" t="s">
        <v>18</v>
      </c>
      <c r="H14" t="s">
        <v>19</v>
      </c>
      <c r="I14">
        <v>54.1</v>
      </c>
      <c r="J14">
        <v>4.0999999999999996</v>
      </c>
      <c r="K14">
        <v>8.1999999999999993</v>
      </c>
      <c r="L14">
        <v>38.56</v>
      </c>
      <c r="M14">
        <v>2086.1</v>
      </c>
      <c r="N14" t="s">
        <v>20</v>
      </c>
    </row>
    <row r="15" spans="1:14" x14ac:dyDescent="0.25">
      <c r="A15" t="s">
        <v>14</v>
      </c>
      <c r="B15" t="s">
        <v>32</v>
      </c>
      <c r="C15" t="s">
        <v>17</v>
      </c>
      <c r="D15">
        <v>20010038</v>
      </c>
      <c r="E15" t="s">
        <v>36</v>
      </c>
      <c r="F15" s="1">
        <v>46113</v>
      </c>
      <c r="G15" t="s">
        <v>18</v>
      </c>
      <c r="H15" t="s">
        <v>19</v>
      </c>
      <c r="I15">
        <v>12.04</v>
      </c>
      <c r="J15">
        <v>3.2</v>
      </c>
      <c r="K15">
        <v>8.5</v>
      </c>
      <c r="L15">
        <v>36.75</v>
      </c>
      <c r="M15">
        <v>442.47</v>
      </c>
      <c r="N15" t="s">
        <v>22</v>
      </c>
    </row>
    <row r="16" spans="1:14" x14ac:dyDescent="0.25">
      <c r="A16" t="s">
        <v>14</v>
      </c>
      <c r="B16" t="s">
        <v>32</v>
      </c>
      <c r="C16" t="s">
        <v>17</v>
      </c>
      <c r="D16">
        <v>20010040</v>
      </c>
      <c r="E16" t="s">
        <v>37</v>
      </c>
      <c r="F16" s="1">
        <v>46113</v>
      </c>
      <c r="G16" t="s">
        <v>18</v>
      </c>
      <c r="H16" t="s">
        <v>19</v>
      </c>
      <c r="I16">
        <v>68.66</v>
      </c>
      <c r="J16">
        <v>3.5</v>
      </c>
      <c r="K16">
        <v>8.6</v>
      </c>
      <c r="L16">
        <v>38.130000000000003</v>
      </c>
      <c r="M16">
        <v>2618.0100000000002</v>
      </c>
      <c r="N16" t="s">
        <v>22</v>
      </c>
    </row>
    <row r="17" spans="1:14" x14ac:dyDescent="0.25">
      <c r="A17" t="s">
        <v>14</v>
      </c>
      <c r="B17" t="s">
        <v>32</v>
      </c>
      <c r="C17" t="s">
        <v>17</v>
      </c>
      <c r="D17">
        <v>20010037</v>
      </c>
      <c r="E17" t="s">
        <v>38</v>
      </c>
      <c r="F17" s="1">
        <v>46113</v>
      </c>
      <c r="G17" t="s">
        <v>18</v>
      </c>
      <c r="H17" t="s">
        <v>19</v>
      </c>
      <c r="I17">
        <v>29.9</v>
      </c>
      <c r="J17">
        <v>4</v>
      </c>
      <c r="K17">
        <v>8</v>
      </c>
      <c r="L17">
        <v>37.700000000000003</v>
      </c>
      <c r="M17">
        <v>1127.23</v>
      </c>
      <c r="N17" t="s">
        <v>20</v>
      </c>
    </row>
    <row r="18" spans="1:14" x14ac:dyDescent="0.25">
      <c r="A18" t="s">
        <v>14</v>
      </c>
      <c r="B18" t="s">
        <v>32</v>
      </c>
      <c r="C18" t="s">
        <v>17</v>
      </c>
      <c r="D18">
        <v>20010034</v>
      </c>
      <c r="E18" t="s">
        <v>39</v>
      </c>
      <c r="F18" s="1">
        <v>46113</v>
      </c>
      <c r="G18" t="s">
        <v>18</v>
      </c>
      <c r="H18" t="s">
        <v>19</v>
      </c>
      <c r="I18">
        <v>32.700000000000003</v>
      </c>
      <c r="J18">
        <v>3.8</v>
      </c>
      <c r="K18">
        <v>8.1</v>
      </c>
      <c r="L18">
        <v>37.22</v>
      </c>
      <c r="M18">
        <v>1217.0899999999999</v>
      </c>
      <c r="N18" t="s">
        <v>22</v>
      </c>
    </row>
    <row r="19" spans="1:14" x14ac:dyDescent="0.25">
      <c r="A19" t="s">
        <v>14</v>
      </c>
      <c r="B19" t="s">
        <v>32</v>
      </c>
      <c r="C19" t="s">
        <v>17</v>
      </c>
      <c r="D19">
        <v>20010041</v>
      </c>
      <c r="E19" t="s">
        <v>40</v>
      </c>
      <c r="F19" s="1">
        <v>46113</v>
      </c>
      <c r="G19" t="s">
        <v>18</v>
      </c>
      <c r="H19" t="s">
        <v>19</v>
      </c>
      <c r="I19">
        <v>5.78</v>
      </c>
      <c r="J19">
        <v>3.8</v>
      </c>
      <c r="K19">
        <v>8.1</v>
      </c>
      <c r="L19">
        <v>37.22</v>
      </c>
      <c r="M19">
        <v>215.13</v>
      </c>
      <c r="N19" t="s">
        <v>22</v>
      </c>
    </row>
    <row r="20" spans="1:14" x14ac:dyDescent="0.25">
      <c r="A20" t="s">
        <v>14</v>
      </c>
      <c r="B20" t="s">
        <v>32</v>
      </c>
      <c r="C20" t="s">
        <v>17</v>
      </c>
      <c r="D20">
        <v>20010057</v>
      </c>
      <c r="E20" t="s">
        <v>41</v>
      </c>
      <c r="F20" s="1">
        <v>46113</v>
      </c>
      <c r="G20" t="s">
        <v>18</v>
      </c>
      <c r="H20" t="s">
        <v>19</v>
      </c>
      <c r="I20">
        <v>19.64</v>
      </c>
      <c r="J20">
        <v>4.0999999999999996</v>
      </c>
      <c r="K20">
        <v>7.5</v>
      </c>
      <c r="L20">
        <v>34.369999999999997</v>
      </c>
      <c r="M20">
        <v>675.03</v>
      </c>
      <c r="N20" t="s">
        <v>22</v>
      </c>
    </row>
    <row r="21" spans="1:14" x14ac:dyDescent="0.25">
      <c r="A21" t="s">
        <v>14</v>
      </c>
      <c r="B21" t="s">
        <v>32</v>
      </c>
      <c r="C21" t="s">
        <v>17</v>
      </c>
      <c r="D21">
        <v>20010016</v>
      </c>
      <c r="E21" t="s">
        <v>42</v>
      </c>
      <c r="F21" s="1">
        <v>46113</v>
      </c>
      <c r="G21" t="s">
        <v>18</v>
      </c>
      <c r="H21" t="s">
        <v>19</v>
      </c>
      <c r="I21">
        <v>21.08</v>
      </c>
      <c r="J21">
        <v>4.3</v>
      </c>
      <c r="K21">
        <v>8.6</v>
      </c>
      <c r="L21">
        <v>41.13</v>
      </c>
      <c r="M21">
        <v>867.02</v>
      </c>
      <c r="N21" t="s">
        <v>22</v>
      </c>
    </row>
    <row r="22" spans="1:14" x14ac:dyDescent="0.25">
      <c r="A22" t="s">
        <v>14</v>
      </c>
      <c r="B22" t="s">
        <v>32</v>
      </c>
      <c r="C22" t="s">
        <v>17</v>
      </c>
      <c r="D22">
        <v>20010033</v>
      </c>
      <c r="E22" t="s">
        <v>43</v>
      </c>
      <c r="F22" s="1">
        <v>46113</v>
      </c>
      <c r="G22" t="s">
        <v>18</v>
      </c>
      <c r="H22" t="s">
        <v>29</v>
      </c>
      <c r="I22">
        <v>23.52</v>
      </c>
      <c r="J22">
        <v>4.9000000000000004</v>
      </c>
      <c r="K22">
        <v>8.4</v>
      </c>
      <c r="L22">
        <v>42.4</v>
      </c>
      <c r="M22">
        <v>997.25</v>
      </c>
      <c r="N22" t="s">
        <v>22</v>
      </c>
    </row>
    <row r="23" spans="1:14" x14ac:dyDescent="0.25">
      <c r="A23" t="s">
        <v>14</v>
      </c>
      <c r="B23" t="s">
        <v>32</v>
      </c>
      <c r="C23" t="s">
        <v>17</v>
      </c>
      <c r="D23">
        <v>20010059</v>
      </c>
      <c r="E23" t="s">
        <v>44</v>
      </c>
      <c r="F23" s="1">
        <v>46113</v>
      </c>
      <c r="G23" t="s">
        <v>18</v>
      </c>
      <c r="H23" t="s">
        <v>19</v>
      </c>
      <c r="I23">
        <v>17.22</v>
      </c>
      <c r="J23">
        <v>4</v>
      </c>
      <c r="K23">
        <v>7.9</v>
      </c>
      <c r="L23">
        <v>35.869999999999997</v>
      </c>
      <c r="M23">
        <v>617.67999999999995</v>
      </c>
      <c r="N23" t="s">
        <v>22</v>
      </c>
    </row>
    <row r="24" spans="1:14" x14ac:dyDescent="0.25">
      <c r="A24" t="s">
        <v>14</v>
      </c>
      <c r="B24" t="s">
        <v>32</v>
      </c>
      <c r="C24" t="s">
        <v>17</v>
      </c>
      <c r="D24">
        <v>20010036</v>
      </c>
      <c r="E24" t="s">
        <v>45</v>
      </c>
      <c r="F24" s="1">
        <v>46113</v>
      </c>
      <c r="G24" t="s">
        <v>18</v>
      </c>
      <c r="H24" t="s">
        <v>19</v>
      </c>
      <c r="I24">
        <v>17.34</v>
      </c>
      <c r="J24">
        <v>4</v>
      </c>
      <c r="K24">
        <v>7.9</v>
      </c>
      <c r="L24">
        <v>35.869999999999997</v>
      </c>
      <c r="M24">
        <v>621.99</v>
      </c>
      <c r="N24" t="s">
        <v>22</v>
      </c>
    </row>
    <row r="25" spans="1:14" x14ac:dyDescent="0.25">
      <c r="A25" t="s">
        <v>14</v>
      </c>
      <c r="B25" t="s">
        <v>32</v>
      </c>
      <c r="C25" t="s">
        <v>17</v>
      </c>
      <c r="D25">
        <v>20010043</v>
      </c>
      <c r="E25" t="s">
        <v>46</v>
      </c>
      <c r="F25" s="1">
        <v>46113</v>
      </c>
      <c r="G25" t="s">
        <v>18</v>
      </c>
      <c r="H25" t="s">
        <v>19</v>
      </c>
      <c r="I25">
        <v>56.92</v>
      </c>
      <c r="J25">
        <v>3.8</v>
      </c>
      <c r="K25">
        <v>8.1</v>
      </c>
      <c r="L25">
        <v>37.22</v>
      </c>
      <c r="M25">
        <v>2118.56</v>
      </c>
      <c r="N25" t="s">
        <v>22</v>
      </c>
    </row>
    <row r="26" spans="1:14" x14ac:dyDescent="0.25">
      <c r="A26" t="s">
        <v>14</v>
      </c>
      <c r="B26" t="s">
        <v>32</v>
      </c>
      <c r="C26" t="s">
        <v>17</v>
      </c>
      <c r="D26">
        <v>20010027</v>
      </c>
      <c r="E26" t="s">
        <v>47</v>
      </c>
      <c r="F26" s="1">
        <v>46113</v>
      </c>
      <c r="G26" t="s">
        <v>18</v>
      </c>
      <c r="H26" t="s">
        <v>19</v>
      </c>
      <c r="I26">
        <v>61.42</v>
      </c>
      <c r="J26">
        <v>4.0999999999999996</v>
      </c>
      <c r="K26">
        <v>8.1999999999999993</v>
      </c>
      <c r="L26">
        <v>38.56</v>
      </c>
      <c r="M26">
        <v>2368.36</v>
      </c>
      <c r="N26" t="s">
        <v>22</v>
      </c>
    </row>
    <row r="27" spans="1:14" x14ac:dyDescent="0.25">
      <c r="A27" t="s">
        <v>14</v>
      </c>
      <c r="B27" t="s">
        <v>16</v>
      </c>
      <c r="C27" t="s">
        <v>15</v>
      </c>
      <c r="D27">
        <v>20010062</v>
      </c>
      <c r="E27" t="s">
        <v>48</v>
      </c>
      <c r="F27" s="1">
        <v>46113</v>
      </c>
      <c r="G27" t="s">
        <v>18</v>
      </c>
      <c r="H27" t="s">
        <v>19</v>
      </c>
      <c r="I27">
        <v>28.96</v>
      </c>
      <c r="J27">
        <v>4.3</v>
      </c>
      <c r="K27">
        <v>8.3000000000000007</v>
      </c>
      <c r="L27">
        <v>39.99</v>
      </c>
      <c r="M27">
        <v>1158.1099999999999</v>
      </c>
      <c r="N27" t="s">
        <v>22</v>
      </c>
    </row>
    <row r="28" spans="1:14" x14ac:dyDescent="0.25">
      <c r="A28" t="s">
        <v>14</v>
      </c>
      <c r="B28" t="s">
        <v>49</v>
      </c>
      <c r="C28" t="s">
        <v>50</v>
      </c>
      <c r="D28">
        <v>20010001</v>
      </c>
      <c r="E28" t="s">
        <v>15</v>
      </c>
      <c r="F28" s="1">
        <v>46113</v>
      </c>
      <c r="G28" t="s">
        <v>18</v>
      </c>
      <c r="H28" t="s">
        <v>19</v>
      </c>
      <c r="I28">
        <v>2461.6799999999998</v>
      </c>
      <c r="J28">
        <v>4.7</v>
      </c>
      <c r="K28">
        <v>8.5</v>
      </c>
      <c r="L28">
        <v>42.3</v>
      </c>
      <c r="M28">
        <v>104129.2</v>
      </c>
      <c r="N28" t="s">
        <v>22</v>
      </c>
    </row>
    <row r="29" spans="1:14" x14ac:dyDescent="0.25">
      <c r="A29" t="s">
        <v>14</v>
      </c>
      <c r="B29" t="s">
        <v>49</v>
      </c>
      <c r="C29" t="s">
        <v>50</v>
      </c>
      <c r="D29">
        <v>20010001</v>
      </c>
      <c r="E29" t="s">
        <v>15</v>
      </c>
      <c r="F29" s="1">
        <v>46113</v>
      </c>
      <c r="G29" t="s">
        <v>18</v>
      </c>
      <c r="H29" t="s">
        <v>29</v>
      </c>
      <c r="I29">
        <v>21.9</v>
      </c>
      <c r="J29">
        <v>5.2</v>
      </c>
      <c r="K29">
        <v>8.1999999999999993</v>
      </c>
      <c r="L29">
        <v>43.17</v>
      </c>
      <c r="M29">
        <v>945.42</v>
      </c>
      <c r="N29" t="s">
        <v>22</v>
      </c>
    </row>
    <row r="30" spans="1:14" x14ac:dyDescent="0.25">
      <c r="A30" t="s">
        <v>14</v>
      </c>
      <c r="B30" t="s">
        <v>16</v>
      </c>
      <c r="C30" t="s">
        <v>15</v>
      </c>
      <c r="D30">
        <v>20010015</v>
      </c>
      <c r="E30" t="s">
        <v>21</v>
      </c>
      <c r="F30" s="1">
        <v>46113</v>
      </c>
      <c r="G30" t="s">
        <v>51</v>
      </c>
      <c r="H30" t="s">
        <v>19</v>
      </c>
      <c r="I30">
        <v>152.16</v>
      </c>
      <c r="J30">
        <v>4.2</v>
      </c>
      <c r="K30">
        <v>8.5</v>
      </c>
      <c r="L30">
        <v>40.5</v>
      </c>
      <c r="M30">
        <v>6162.48</v>
      </c>
      <c r="N30" t="s">
        <v>20</v>
      </c>
    </row>
    <row r="31" spans="1:14" x14ac:dyDescent="0.25">
      <c r="A31" t="s">
        <v>14</v>
      </c>
      <c r="B31" t="s">
        <v>16</v>
      </c>
      <c r="C31" t="s">
        <v>15</v>
      </c>
      <c r="D31">
        <v>20010009</v>
      </c>
      <c r="E31" t="s">
        <v>23</v>
      </c>
      <c r="F31" s="1">
        <v>46113</v>
      </c>
      <c r="G31" t="s">
        <v>51</v>
      </c>
      <c r="H31" t="s">
        <v>19</v>
      </c>
      <c r="I31">
        <v>36.840000000000003</v>
      </c>
      <c r="J31">
        <v>3.5</v>
      </c>
      <c r="K31">
        <v>8.3000000000000007</v>
      </c>
      <c r="L31">
        <v>37.03</v>
      </c>
      <c r="M31">
        <v>1364.19</v>
      </c>
      <c r="N31" t="s">
        <v>22</v>
      </c>
    </row>
    <row r="32" spans="1:14" x14ac:dyDescent="0.25">
      <c r="A32" t="s">
        <v>14</v>
      </c>
      <c r="B32" t="s">
        <v>32</v>
      </c>
      <c r="C32" t="s">
        <v>17</v>
      </c>
      <c r="D32">
        <v>20010034</v>
      </c>
      <c r="E32" t="s">
        <v>39</v>
      </c>
      <c r="F32" s="1">
        <v>46113</v>
      </c>
      <c r="G32" t="s">
        <v>51</v>
      </c>
      <c r="H32" t="s">
        <v>19</v>
      </c>
      <c r="I32">
        <v>18</v>
      </c>
      <c r="J32">
        <v>3.2</v>
      </c>
      <c r="K32">
        <v>7.9</v>
      </c>
      <c r="L32">
        <v>33.03</v>
      </c>
      <c r="M32">
        <v>594.54</v>
      </c>
      <c r="N32" t="s">
        <v>22</v>
      </c>
    </row>
    <row r="33" spans="1:14" x14ac:dyDescent="0.25">
      <c r="A33" t="s">
        <v>14</v>
      </c>
      <c r="B33" t="s">
        <v>32</v>
      </c>
      <c r="C33" t="s">
        <v>17</v>
      </c>
      <c r="D33">
        <v>20010055</v>
      </c>
      <c r="E33" t="s">
        <v>35</v>
      </c>
      <c r="F33" s="1">
        <v>46113</v>
      </c>
      <c r="G33" t="s">
        <v>51</v>
      </c>
      <c r="H33" t="s">
        <v>19</v>
      </c>
      <c r="I33">
        <v>48.26</v>
      </c>
      <c r="J33">
        <v>4.4000000000000004</v>
      </c>
      <c r="K33">
        <v>8.1999999999999993</v>
      </c>
      <c r="L33">
        <v>39.65</v>
      </c>
      <c r="M33">
        <v>1913.51</v>
      </c>
      <c r="N33" t="s">
        <v>22</v>
      </c>
    </row>
    <row r="34" spans="1:14" x14ac:dyDescent="0.25">
      <c r="A34" t="s">
        <v>14</v>
      </c>
      <c r="B34" t="s">
        <v>32</v>
      </c>
      <c r="C34" t="s">
        <v>17</v>
      </c>
      <c r="D34">
        <v>20010037</v>
      </c>
      <c r="E34" t="s">
        <v>38</v>
      </c>
      <c r="F34" s="1">
        <v>46113</v>
      </c>
      <c r="G34" t="s">
        <v>51</v>
      </c>
      <c r="H34" t="s">
        <v>19</v>
      </c>
      <c r="I34">
        <v>28.9</v>
      </c>
      <c r="J34">
        <v>4.4000000000000004</v>
      </c>
      <c r="K34">
        <v>8.1999999999999993</v>
      </c>
      <c r="L34">
        <v>39.65</v>
      </c>
      <c r="M34">
        <v>1145.8900000000001</v>
      </c>
      <c r="N34" t="s">
        <v>22</v>
      </c>
    </row>
    <row r="35" spans="1:14" x14ac:dyDescent="0.25">
      <c r="A35" t="s">
        <v>14</v>
      </c>
      <c r="B35" t="s">
        <v>32</v>
      </c>
      <c r="C35" t="s">
        <v>17</v>
      </c>
      <c r="D35">
        <v>20010040</v>
      </c>
      <c r="E35" t="s">
        <v>37</v>
      </c>
      <c r="F35" s="1">
        <v>46113</v>
      </c>
      <c r="G35" t="s">
        <v>51</v>
      </c>
      <c r="H35" t="s">
        <v>19</v>
      </c>
      <c r="I35">
        <v>40.06</v>
      </c>
      <c r="J35">
        <v>3.8</v>
      </c>
      <c r="K35">
        <v>8.5</v>
      </c>
      <c r="L35">
        <v>39</v>
      </c>
      <c r="M35">
        <v>1562.34</v>
      </c>
      <c r="N35" t="s">
        <v>20</v>
      </c>
    </row>
    <row r="36" spans="1:14" x14ac:dyDescent="0.25">
      <c r="A36" t="s">
        <v>14</v>
      </c>
      <c r="B36" t="s">
        <v>32</v>
      </c>
      <c r="C36" t="s">
        <v>17</v>
      </c>
      <c r="D36">
        <v>20010033</v>
      </c>
      <c r="E36" t="s">
        <v>43</v>
      </c>
      <c r="F36" s="1">
        <v>46113</v>
      </c>
      <c r="G36" t="s">
        <v>51</v>
      </c>
      <c r="H36" t="s">
        <v>19</v>
      </c>
      <c r="I36">
        <v>20.32</v>
      </c>
      <c r="J36">
        <v>4.3</v>
      </c>
      <c r="K36">
        <v>8.1</v>
      </c>
      <c r="L36">
        <v>39.04</v>
      </c>
      <c r="M36">
        <v>793.29</v>
      </c>
      <c r="N36" t="s">
        <v>22</v>
      </c>
    </row>
    <row r="37" spans="1:14" x14ac:dyDescent="0.25">
      <c r="A37" t="s">
        <v>14</v>
      </c>
      <c r="B37" t="s">
        <v>32</v>
      </c>
      <c r="C37" t="s">
        <v>17</v>
      </c>
      <c r="D37">
        <v>20010043</v>
      </c>
      <c r="E37" t="s">
        <v>46</v>
      </c>
      <c r="F37" s="1">
        <v>46113</v>
      </c>
      <c r="G37" t="s">
        <v>51</v>
      </c>
      <c r="H37" t="s">
        <v>19</v>
      </c>
      <c r="I37">
        <v>36.1</v>
      </c>
      <c r="J37">
        <v>3.7</v>
      </c>
      <c r="K37">
        <v>8.1</v>
      </c>
      <c r="L37">
        <v>36.85</v>
      </c>
      <c r="M37">
        <v>1330.29</v>
      </c>
      <c r="N37" t="s">
        <v>22</v>
      </c>
    </row>
    <row r="38" spans="1:14" x14ac:dyDescent="0.25">
      <c r="A38" t="s">
        <v>14</v>
      </c>
      <c r="B38" t="s">
        <v>32</v>
      </c>
      <c r="C38" t="s">
        <v>17</v>
      </c>
      <c r="D38">
        <v>20010003</v>
      </c>
      <c r="E38" t="s">
        <v>34</v>
      </c>
      <c r="F38" s="1">
        <v>46113</v>
      </c>
      <c r="G38" t="s">
        <v>51</v>
      </c>
      <c r="H38" t="s">
        <v>19</v>
      </c>
      <c r="I38">
        <v>39.76</v>
      </c>
      <c r="J38">
        <v>3.7</v>
      </c>
      <c r="K38">
        <v>8.6</v>
      </c>
      <c r="L38">
        <v>38.880000000000003</v>
      </c>
      <c r="M38">
        <v>1545.87</v>
      </c>
      <c r="N38" t="s">
        <v>22</v>
      </c>
    </row>
    <row r="39" spans="1:14" x14ac:dyDescent="0.25">
      <c r="A39" t="s">
        <v>14</v>
      </c>
      <c r="B39" t="s">
        <v>32</v>
      </c>
      <c r="C39" t="s">
        <v>17</v>
      </c>
      <c r="D39">
        <v>20010041</v>
      </c>
      <c r="E39" t="s">
        <v>40</v>
      </c>
      <c r="F39" s="1">
        <v>46113</v>
      </c>
      <c r="G39" t="s">
        <v>51</v>
      </c>
      <c r="H39" t="s">
        <v>19</v>
      </c>
      <c r="I39">
        <v>4.3</v>
      </c>
      <c r="J39">
        <v>3.7</v>
      </c>
      <c r="K39">
        <v>8.6</v>
      </c>
      <c r="L39">
        <v>38.880000000000003</v>
      </c>
      <c r="M39">
        <v>167.18</v>
      </c>
      <c r="N39" t="s">
        <v>22</v>
      </c>
    </row>
    <row r="40" spans="1:14" x14ac:dyDescent="0.25">
      <c r="A40" t="s">
        <v>14</v>
      </c>
      <c r="B40" t="s">
        <v>32</v>
      </c>
      <c r="C40" t="s">
        <v>17</v>
      </c>
      <c r="D40">
        <v>20010027</v>
      </c>
      <c r="E40" t="s">
        <v>47</v>
      </c>
      <c r="F40" s="1">
        <v>46113</v>
      </c>
      <c r="G40" t="s">
        <v>51</v>
      </c>
      <c r="H40" t="s">
        <v>19</v>
      </c>
      <c r="I40">
        <v>27.22</v>
      </c>
      <c r="J40">
        <v>3.9</v>
      </c>
      <c r="K40">
        <v>8.1</v>
      </c>
      <c r="L40">
        <v>37.58</v>
      </c>
      <c r="M40">
        <v>1022.93</v>
      </c>
      <c r="N40" t="s">
        <v>22</v>
      </c>
    </row>
    <row r="41" spans="1:14" x14ac:dyDescent="0.25">
      <c r="A41" t="s">
        <v>14</v>
      </c>
      <c r="B41" t="s">
        <v>32</v>
      </c>
      <c r="C41" t="s">
        <v>17</v>
      </c>
      <c r="D41">
        <v>20010038</v>
      </c>
      <c r="E41" t="s">
        <v>36</v>
      </c>
      <c r="F41" s="1">
        <v>46113</v>
      </c>
      <c r="G41" t="s">
        <v>51</v>
      </c>
      <c r="H41" t="s">
        <v>19</v>
      </c>
      <c r="I41">
        <v>24.46</v>
      </c>
      <c r="J41">
        <v>3.2</v>
      </c>
      <c r="K41">
        <v>8.4</v>
      </c>
      <c r="L41">
        <v>36.17</v>
      </c>
      <c r="M41">
        <v>884.72</v>
      </c>
      <c r="N41" t="s">
        <v>22</v>
      </c>
    </row>
    <row r="42" spans="1:14" x14ac:dyDescent="0.25">
      <c r="A42" t="s">
        <v>14</v>
      </c>
      <c r="B42" t="s">
        <v>32</v>
      </c>
      <c r="C42" t="s">
        <v>17</v>
      </c>
      <c r="D42">
        <v>20010017</v>
      </c>
      <c r="E42" t="s">
        <v>33</v>
      </c>
      <c r="F42" s="1">
        <v>46113</v>
      </c>
      <c r="G42" t="s">
        <v>51</v>
      </c>
      <c r="H42" t="s">
        <v>19</v>
      </c>
      <c r="I42">
        <v>31.8</v>
      </c>
      <c r="J42">
        <v>3.5</v>
      </c>
      <c r="K42">
        <v>8.1999999999999993</v>
      </c>
      <c r="L42">
        <v>36.369999999999997</v>
      </c>
      <c r="M42">
        <v>1156.57</v>
      </c>
      <c r="N42" t="s">
        <v>22</v>
      </c>
    </row>
    <row r="43" spans="1:14" x14ac:dyDescent="0.25">
      <c r="A43" t="s">
        <v>14</v>
      </c>
      <c r="B43" t="s">
        <v>32</v>
      </c>
      <c r="C43" t="s">
        <v>17</v>
      </c>
      <c r="D43">
        <v>20010057</v>
      </c>
      <c r="E43" t="s">
        <v>41</v>
      </c>
      <c r="F43" s="1">
        <v>46113</v>
      </c>
      <c r="G43" t="s">
        <v>51</v>
      </c>
      <c r="H43" t="s">
        <v>19</v>
      </c>
      <c r="I43">
        <v>12.68</v>
      </c>
      <c r="J43">
        <v>3.9</v>
      </c>
      <c r="K43">
        <v>7.7</v>
      </c>
      <c r="L43">
        <v>34.67</v>
      </c>
      <c r="M43">
        <v>439.62</v>
      </c>
      <c r="N43" t="s">
        <v>22</v>
      </c>
    </row>
    <row r="44" spans="1:14" x14ac:dyDescent="0.25">
      <c r="A44" t="s">
        <v>14</v>
      </c>
      <c r="B44" t="s">
        <v>32</v>
      </c>
      <c r="C44" t="s">
        <v>17</v>
      </c>
      <c r="D44">
        <v>20010059</v>
      </c>
      <c r="E44" t="s">
        <v>44</v>
      </c>
      <c r="F44" s="1">
        <v>46113</v>
      </c>
      <c r="G44" t="s">
        <v>51</v>
      </c>
      <c r="H44" t="s">
        <v>19</v>
      </c>
      <c r="I44">
        <v>6.08</v>
      </c>
      <c r="J44">
        <v>4.3</v>
      </c>
      <c r="K44">
        <v>8.1</v>
      </c>
      <c r="L44">
        <v>39.04</v>
      </c>
      <c r="M44">
        <v>237.36</v>
      </c>
      <c r="N44" t="s">
        <v>22</v>
      </c>
    </row>
    <row r="45" spans="1:14" x14ac:dyDescent="0.25">
      <c r="A45" t="s">
        <v>14</v>
      </c>
      <c r="B45" t="s">
        <v>16</v>
      </c>
      <c r="C45" t="s">
        <v>15</v>
      </c>
      <c r="D45">
        <v>20010052</v>
      </c>
      <c r="E45" t="s">
        <v>25</v>
      </c>
      <c r="F45" s="1">
        <v>46113</v>
      </c>
      <c r="G45" t="s">
        <v>51</v>
      </c>
      <c r="H45" t="s">
        <v>19</v>
      </c>
      <c r="I45">
        <v>105.12</v>
      </c>
      <c r="J45">
        <v>3.7</v>
      </c>
      <c r="K45">
        <v>7.8</v>
      </c>
      <c r="L45">
        <v>34.58</v>
      </c>
      <c r="M45">
        <v>3635.05</v>
      </c>
      <c r="N45" t="s">
        <v>22</v>
      </c>
    </row>
    <row r="46" spans="1:14" x14ac:dyDescent="0.25">
      <c r="A46" t="s">
        <v>14</v>
      </c>
      <c r="B46" t="s">
        <v>16</v>
      </c>
      <c r="C46" t="s">
        <v>15</v>
      </c>
      <c r="D46">
        <v>20010061</v>
      </c>
      <c r="E46" t="s">
        <v>24</v>
      </c>
      <c r="F46" s="1">
        <v>46113</v>
      </c>
      <c r="G46" t="s">
        <v>51</v>
      </c>
      <c r="H46" t="s">
        <v>19</v>
      </c>
      <c r="I46">
        <v>12.78</v>
      </c>
      <c r="J46">
        <v>4</v>
      </c>
      <c r="K46">
        <v>8.5</v>
      </c>
      <c r="L46">
        <v>39.75</v>
      </c>
      <c r="M46">
        <v>508.01</v>
      </c>
      <c r="N46" t="s">
        <v>22</v>
      </c>
    </row>
    <row r="47" spans="1:14" x14ac:dyDescent="0.25">
      <c r="A47" t="s">
        <v>14</v>
      </c>
      <c r="B47" t="s">
        <v>16</v>
      </c>
      <c r="C47" t="s">
        <v>15</v>
      </c>
      <c r="D47">
        <v>20010008</v>
      </c>
      <c r="E47" t="s">
        <v>26</v>
      </c>
      <c r="F47" s="1">
        <v>46113</v>
      </c>
      <c r="G47" t="s">
        <v>51</v>
      </c>
      <c r="H47" t="s">
        <v>19</v>
      </c>
      <c r="I47">
        <v>119.22</v>
      </c>
      <c r="J47">
        <v>3.5</v>
      </c>
      <c r="K47">
        <v>7.9</v>
      </c>
      <c r="L47">
        <v>34.1</v>
      </c>
      <c r="M47">
        <v>4065.4</v>
      </c>
      <c r="N47" t="s">
        <v>22</v>
      </c>
    </row>
    <row r="48" spans="1:14" x14ac:dyDescent="0.25">
      <c r="A48" t="s">
        <v>14</v>
      </c>
      <c r="B48" t="s">
        <v>16</v>
      </c>
      <c r="C48" t="s">
        <v>15</v>
      </c>
      <c r="D48">
        <v>20010005</v>
      </c>
      <c r="E48" t="s">
        <v>27</v>
      </c>
      <c r="F48" s="1">
        <v>46113</v>
      </c>
      <c r="G48" t="s">
        <v>51</v>
      </c>
      <c r="H48" t="s">
        <v>19</v>
      </c>
      <c r="I48">
        <v>63.66</v>
      </c>
      <c r="J48">
        <v>4.0999999999999996</v>
      </c>
      <c r="K48">
        <v>8.3000000000000007</v>
      </c>
      <c r="L48">
        <v>39.25</v>
      </c>
      <c r="M48">
        <v>2498.65</v>
      </c>
      <c r="N48" t="s">
        <v>22</v>
      </c>
    </row>
    <row r="49" spans="1:14" x14ac:dyDescent="0.25">
      <c r="A49" t="s">
        <v>14</v>
      </c>
      <c r="B49" t="s">
        <v>16</v>
      </c>
      <c r="C49" t="s">
        <v>15</v>
      </c>
      <c r="D49">
        <v>20010042</v>
      </c>
      <c r="E49" t="s">
        <v>28</v>
      </c>
      <c r="F49" s="1">
        <v>46113</v>
      </c>
      <c r="G49" t="s">
        <v>51</v>
      </c>
      <c r="H49" t="s">
        <v>19</v>
      </c>
      <c r="I49">
        <v>23.28</v>
      </c>
      <c r="J49">
        <v>3.9</v>
      </c>
      <c r="K49">
        <v>7.8</v>
      </c>
      <c r="L49">
        <v>35.29</v>
      </c>
      <c r="M49">
        <v>821.55</v>
      </c>
      <c r="N49" t="s">
        <v>22</v>
      </c>
    </row>
    <row r="50" spans="1:14" x14ac:dyDescent="0.25">
      <c r="A50" t="s">
        <v>14</v>
      </c>
      <c r="B50" t="s">
        <v>16</v>
      </c>
      <c r="C50" t="s">
        <v>15</v>
      </c>
      <c r="D50">
        <v>20010023</v>
      </c>
      <c r="E50" t="s">
        <v>30</v>
      </c>
      <c r="F50" s="1">
        <v>46113</v>
      </c>
      <c r="G50" t="s">
        <v>51</v>
      </c>
      <c r="H50" t="s">
        <v>19</v>
      </c>
      <c r="I50">
        <v>18.32</v>
      </c>
      <c r="J50">
        <v>4</v>
      </c>
      <c r="K50">
        <v>8.1</v>
      </c>
      <c r="L50">
        <v>37.950000000000003</v>
      </c>
      <c r="M50">
        <v>695.24</v>
      </c>
      <c r="N50" t="s">
        <v>22</v>
      </c>
    </row>
    <row r="51" spans="1:14" x14ac:dyDescent="0.25">
      <c r="A51" t="s">
        <v>14</v>
      </c>
      <c r="B51" t="s">
        <v>16</v>
      </c>
      <c r="C51" t="s">
        <v>15</v>
      </c>
      <c r="D51">
        <v>20010062</v>
      </c>
      <c r="E51" t="s">
        <v>48</v>
      </c>
      <c r="F51" s="1">
        <v>46113</v>
      </c>
      <c r="G51" t="s">
        <v>51</v>
      </c>
      <c r="H51" t="s">
        <v>19</v>
      </c>
      <c r="I51">
        <v>8.5</v>
      </c>
      <c r="J51">
        <v>4.0999999999999996</v>
      </c>
      <c r="K51">
        <v>8.3000000000000007</v>
      </c>
      <c r="L51">
        <v>39.25</v>
      </c>
      <c r="M51">
        <v>333.63</v>
      </c>
      <c r="N51" t="s">
        <v>22</v>
      </c>
    </row>
    <row r="52" spans="1:14" x14ac:dyDescent="0.25">
      <c r="A52" t="s">
        <v>14</v>
      </c>
      <c r="B52" t="s">
        <v>16</v>
      </c>
      <c r="C52" t="s">
        <v>15</v>
      </c>
      <c r="D52">
        <v>20010012</v>
      </c>
      <c r="E52" t="s">
        <v>31</v>
      </c>
      <c r="F52" s="1">
        <v>46113</v>
      </c>
      <c r="G52" t="s">
        <v>51</v>
      </c>
      <c r="H52" t="s">
        <v>19</v>
      </c>
      <c r="I52">
        <v>8.5</v>
      </c>
      <c r="J52">
        <v>2.5</v>
      </c>
      <c r="K52">
        <v>7.5</v>
      </c>
      <c r="L52">
        <v>28.69</v>
      </c>
      <c r="M52">
        <v>243.87</v>
      </c>
      <c r="N52" t="s">
        <v>20</v>
      </c>
    </row>
    <row r="53" spans="1:14" x14ac:dyDescent="0.25">
      <c r="A53" t="s">
        <v>14</v>
      </c>
      <c r="B53" t="s">
        <v>49</v>
      </c>
      <c r="C53" t="s">
        <v>50</v>
      </c>
      <c r="D53">
        <v>20010001</v>
      </c>
      <c r="E53" t="s">
        <v>15</v>
      </c>
      <c r="F53" s="1">
        <v>46113</v>
      </c>
      <c r="G53" t="s">
        <v>51</v>
      </c>
      <c r="H53" t="s">
        <v>19</v>
      </c>
      <c r="I53">
        <v>691.76</v>
      </c>
      <c r="J53">
        <v>4.2</v>
      </c>
      <c r="K53">
        <v>8.5</v>
      </c>
      <c r="L53">
        <v>40.33</v>
      </c>
      <c r="M53">
        <v>27899.88</v>
      </c>
      <c r="N53" t="s">
        <v>22</v>
      </c>
    </row>
    <row r="54" spans="1:14" x14ac:dyDescent="0.25">
      <c r="A54" t="s">
        <v>14</v>
      </c>
      <c r="B54" t="s">
        <v>49</v>
      </c>
      <c r="C54" t="s">
        <v>50</v>
      </c>
      <c r="D54">
        <v>20010001</v>
      </c>
      <c r="E54" t="s">
        <v>15</v>
      </c>
      <c r="F54" s="1">
        <v>46113</v>
      </c>
      <c r="G54" t="s">
        <v>51</v>
      </c>
      <c r="H54" t="s">
        <v>29</v>
      </c>
      <c r="I54">
        <v>8.26</v>
      </c>
      <c r="J54">
        <v>5</v>
      </c>
      <c r="K54">
        <v>9.1</v>
      </c>
      <c r="L54">
        <v>45.11</v>
      </c>
      <c r="M54">
        <v>372.63</v>
      </c>
      <c r="N54" t="s">
        <v>22</v>
      </c>
    </row>
    <row r="55" spans="1:14" x14ac:dyDescent="0.25">
      <c r="A55" t="s">
        <v>14</v>
      </c>
      <c r="B55" t="s">
        <v>16</v>
      </c>
      <c r="C55" t="s">
        <v>15</v>
      </c>
      <c r="D55">
        <v>20010060</v>
      </c>
      <c r="E55" t="s">
        <v>17</v>
      </c>
      <c r="F55" s="1">
        <v>46114</v>
      </c>
      <c r="G55" t="s">
        <v>18</v>
      </c>
      <c r="H55" t="s">
        <v>19</v>
      </c>
      <c r="I55">
        <v>18.5</v>
      </c>
      <c r="J55">
        <v>2.9</v>
      </c>
      <c r="K55">
        <v>7.5</v>
      </c>
      <c r="L55">
        <v>30.11</v>
      </c>
      <c r="M55">
        <v>557.04</v>
      </c>
      <c r="N55" t="s">
        <v>20</v>
      </c>
    </row>
    <row r="56" spans="1:14" x14ac:dyDescent="0.25">
      <c r="A56" t="s">
        <v>14</v>
      </c>
      <c r="B56" t="s">
        <v>16</v>
      </c>
      <c r="C56" t="s">
        <v>15</v>
      </c>
      <c r="D56">
        <v>20010015</v>
      </c>
      <c r="E56" t="s">
        <v>21</v>
      </c>
      <c r="F56" s="1">
        <v>46114</v>
      </c>
      <c r="G56" t="s">
        <v>18</v>
      </c>
      <c r="H56" t="s">
        <v>19</v>
      </c>
      <c r="I56">
        <v>255.74</v>
      </c>
      <c r="J56">
        <v>3.8</v>
      </c>
      <c r="K56">
        <v>8.3000000000000007</v>
      </c>
      <c r="L56">
        <v>38.14</v>
      </c>
      <c r="M56">
        <v>9753.92</v>
      </c>
      <c r="N56" t="s">
        <v>22</v>
      </c>
    </row>
    <row r="57" spans="1:14" x14ac:dyDescent="0.25">
      <c r="A57" t="s">
        <v>14</v>
      </c>
      <c r="B57" t="s">
        <v>16</v>
      </c>
      <c r="C57" t="s">
        <v>15</v>
      </c>
      <c r="D57">
        <v>20010009</v>
      </c>
      <c r="E57" t="s">
        <v>23</v>
      </c>
      <c r="F57" s="1">
        <v>46114</v>
      </c>
      <c r="G57" t="s">
        <v>18</v>
      </c>
      <c r="H57" t="s">
        <v>19</v>
      </c>
      <c r="I57">
        <v>51.4</v>
      </c>
      <c r="J57">
        <v>4.4000000000000004</v>
      </c>
      <c r="K57">
        <v>8.3000000000000007</v>
      </c>
      <c r="L57">
        <v>40.36</v>
      </c>
      <c r="M57">
        <v>2074.5</v>
      </c>
      <c r="N57" t="s">
        <v>20</v>
      </c>
    </row>
    <row r="58" spans="1:14" x14ac:dyDescent="0.25">
      <c r="A58" t="s">
        <v>14</v>
      </c>
      <c r="B58" t="s">
        <v>16</v>
      </c>
      <c r="C58" t="s">
        <v>15</v>
      </c>
      <c r="D58">
        <v>20010062</v>
      </c>
      <c r="E58" t="s">
        <v>48</v>
      </c>
      <c r="F58" s="1">
        <v>46114</v>
      </c>
      <c r="G58" t="s">
        <v>18</v>
      </c>
      <c r="H58" t="s">
        <v>19</v>
      </c>
      <c r="I58">
        <v>25.2</v>
      </c>
      <c r="J58">
        <v>4.5999999999999996</v>
      </c>
      <c r="K58">
        <v>8.4</v>
      </c>
      <c r="L58">
        <v>41.35</v>
      </c>
      <c r="M58">
        <v>1042.02</v>
      </c>
      <c r="N58" t="s">
        <v>22</v>
      </c>
    </row>
    <row r="59" spans="1:14" x14ac:dyDescent="0.25">
      <c r="A59" t="s">
        <v>14</v>
      </c>
      <c r="B59" t="s">
        <v>32</v>
      </c>
      <c r="C59" t="s">
        <v>17</v>
      </c>
      <c r="D59">
        <v>20010034</v>
      </c>
      <c r="E59" t="s">
        <v>39</v>
      </c>
      <c r="F59" s="1">
        <v>46114</v>
      </c>
      <c r="G59" t="s">
        <v>18</v>
      </c>
      <c r="H59" t="s">
        <v>19</v>
      </c>
      <c r="I59">
        <v>56.5</v>
      </c>
      <c r="J59">
        <v>3.9</v>
      </c>
      <c r="K59">
        <v>8.4</v>
      </c>
      <c r="L59">
        <v>38.76</v>
      </c>
      <c r="M59">
        <v>2189.94</v>
      </c>
      <c r="N59" t="s">
        <v>20</v>
      </c>
    </row>
    <row r="60" spans="1:14" x14ac:dyDescent="0.25">
      <c r="A60" t="s">
        <v>14</v>
      </c>
      <c r="B60" t="s">
        <v>32</v>
      </c>
      <c r="C60" t="s">
        <v>17</v>
      </c>
      <c r="D60">
        <v>20010003</v>
      </c>
      <c r="E60" t="s">
        <v>34</v>
      </c>
      <c r="F60" s="1">
        <v>46114</v>
      </c>
      <c r="G60" t="s">
        <v>18</v>
      </c>
      <c r="H60" t="s">
        <v>19</v>
      </c>
      <c r="I60">
        <v>140.38</v>
      </c>
      <c r="J60">
        <v>3.6</v>
      </c>
      <c r="K60">
        <v>8.4</v>
      </c>
      <c r="L60">
        <v>37.65</v>
      </c>
      <c r="M60">
        <v>5285.31</v>
      </c>
      <c r="N60" t="s">
        <v>22</v>
      </c>
    </row>
    <row r="61" spans="1:14" x14ac:dyDescent="0.25">
      <c r="A61" t="s">
        <v>14</v>
      </c>
      <c r="B61" t="s">
        <v>32</v>
      </c>
      <c r="C61" t="s">
        <v>17</v>
      </c>
      <c r="D61">
        <v>20010038</v>
      </c>
      <c r="E61" t="s">
        <v>36</v>
      </c>
      <c r="F61" s="1">
        <v>46114</v>
      </c>
      <c r="G61" t="s">
        <v>18</v>
      </c>
      <c r="H61" t="s">
        <v>19</v>
      </c>
      <c r="I61">
        <v>16.739999999999998</v>
      </c>
      <c r="J61">
        <v>3.2</v>
      </c>
      <c r="K61">
        <v>8.4</v>
      </c>
      <c r="L61">
        <v>36.17</v>
      </c>
      <c r="M61">
        <v>605.49</v>
      </c>
      <c r="N61" t="s">
        <v>22</v>
      </c>
    </row>
    <row r="62" spans="1:14" x14ac:dyDescent="0.25">
      <c r="A62" t="s">
        <v>14</v>
      </c>
      <c r="B62" t="s">
        <v>32</v>
      </c>
      <c r="C62" t="s">
        <v>17</v>
      </c>
      <c r="D62">
        <v>20010055</v>
      </c>
      <c r="E62" t="s">
        <v>35</v>
      </c>
      <c r="F62" s="1">
        <v>46114</v>
      </c>
      <c r="G62" t="s">
        <v>18</v>
      </c>
      <c r="H62" t="s">
        <v>19</v>
      </c>
      <c r="I62">
        <v>64.84</v>
      </c>
      <c r="J62">
        <v>4.4000000000000004</v>
      </c>
      <c r="K62">
        <v>8.1999999999999993</v>
      </c>
      <c r="L62">
        <v>39.65</v>
      </c>
      <c r="M62">
        <v>2570.91</v>
      </c>
      <c r="N62" t="s">
        <v>22</v>
      </c>
    </row>
    <row r="63" spans="1:14" x14ac:dyDescent="0.25">
      <c r="A63" t="s">
        <v>14</v>
      </c>
      <c r="B63" t="s">
        <v>32</v>
      </c>
      <c r="C63" t="s">
        <v>17</v>
      </c>
      <c r="D63">
        <v>20010040</v>
      </c>
      <c r="E63" t="s">
        <v>37</v>
      </c>
      <c r="F63" s="1">
        <v>46114</v>
      </c>
      <c r="G63" t="s">
        <v>18</v>
      </c>
      <c r="H63" t="s">
        <v>19</v>
      </c>
      <c r="I63">
        <v>69.12</v>
      </c>
      <c r="J63">
        <v>3.7</v>
      </c>
      <c r="K63">
        <v>8.5</v>
      </c>
      <c r="L63">
        <v>38.630000000000003</v>
      </c>
      <c r="M63">
        <v>2670.11</v>
      </c>
      <c r="N63" t="s">
        <v>22</v>
      </c>
    </row>
    <row r="64" spans="1:14" x14ac:dyDescent="0.25">
      <c r="A64" t="s">
        <v>14</v>
      </c>
      <c r="B64" t="s">
        <v>32</v>
      </c>
      <c r="C64" t="s">
        <v>17</v>
      </c>
      <c r="D64">
        <v>20010037</v>
      </c>
      <c r="E64" t="s">
        <v>38</v>
      </c>
      <c r="F64" s="1">
        <v>46114</v>
      </c>
      <c r="G64" t="s">
        <v>18</v>
      </c>
      <c r="H64" t="s">
        <v>19</v>
      </c>
      <c r="I64">
        <v>27</v>
      </c>
      <c r="J64">
        <v>3.7</v>
      </c>
      <c r="K64">
        <v>8.5</v>
      </c>
      <c r="L64">
        <v>38.630000000000003</v>
      </c>
      <c r="M64">
        <v>1043.01</v>
      </c>
      <c r="N64" t="s">
        <v>20</v>
      </c>
    </row>
    <row r="65" spans="1:14" x14ac:dyDescent="0.25">
      <c r="A65" t="s">
        <v>14</v>
      </c>
      <c r="B65" t="s">
        <v>32</v>
      </c>
      <c r="C65" t="s">
        <v>17</v>
      </c>
      <c r="D65">
        <v>20010016</v>
      </c>
      <c r="E65" t="s">
        <v>42</v>
      </c>
      <c r="F65" s="1">
        <v>46114</v>
      </c>
      <c r="G65" t="s">
        <v>18</v>
      </c>
      <c r="H65" t="s">
        <v>19</v>
      </c>
      <c r="I65">
        <v>19.059999999999999</v>
      </c>
      <c r="J65">
        <v>4.7</v>
      </c>
      <c r="K65">
        <v>8.8000000000000007</v>
      </c>
      <c r="L65">
        <v>43.13</v>
      </c>
      <c r="M65">
        <v>822.06</v>
      </c>
      <c r="N65" t="s">
        <v>22</v>
      </c>
    </row>
    <row r="66" spans="1:14" x14ac:dyDescent="0.25">
      <c r="A66" t="s">
        <v>14</v>
      </c>
      <c r="B66" t="s">
        <v>32</v>
      </c>
      <c r="C66" t="s">
        <v>17</v>
      </c>
      <c r="D66">
        <v>20010017</v>
      </c>
      <c r="E66" t="s">
        <v>33</v>
      </c>
      <c r="F66" s="1">
        <v>46114</v>
      </c>
      <c r="G66" t="s">
        <v>18</v>
      </c>
      <c r="H66" t="s">
        <v>19</v>
      </c>
      <c r="I66">
        <v>133.16</v>
      </c>
      <c r="J66">
        <v>3.8</v>
      </c>
      <c r="K66">
        <v>8.1999999999999993</v>
      </c>
      <c r="L66">
        <v>37.46</v>
      </c>
      <c r="M66">
        <v>4988.17</v>
      </c>
      <c r="N66" t="s">
        <v>22</v>
      </c>
    </row>
    <row r="67" spans="1:14" x14ac:dyDescent="0.25">
      <c r="A67" t="s">
        <v>14</v>
      </c>
      <c r="B67" t="s">
        <v>32</v>
      </c>
      <c r="C67" t="s">
        <v>17</v>
      </c>
      <c r="D67">
        <v>20010057</v>
      </c>
      <c r="E67" t="s">
        <v>41</v>
      </c>
      <c r="F67" s="1">
        <v>46114</v>
      </c>
      <c r="G67" t="s">
        <v>18</v>
      </c>
      <c r="H67" t="s">
        <v>19</v>
      </c>
      <c r="I67">
        <v>19.66</v>
      </c>
      <c r="J67">
        <v>4.0999999999999996</v>
      </c>
      <c r="K67">
        <v>7.5</v>
      </c>
      <c r="L67">
        <v>34.369999999999997</v>
      </c>
      <c r="M67">
        <v>675.71</v>
      </c>
      <c r="N67" t="s">
        <v>22</v>
      </c>
    </row>
    <row r="68" spans="1:14" x14ac:dyDescent="0.25">
      <c r="A68" t="s">
        <v>14</v>
      </c>
      <c r="B68" t="s">
        <v>32</v>
      </c>
      <c r="C68" t="s">
        <v>17</v>
      </c>
      <c r="D68">
        <v>20010027</v>
      </c>
      <c r="E68" t="s">
        <v>47</v>
      </c>
      <c r="F68" s="1">
        <v>46114</v>
      </c>
      <c r="G68" t="s">
        <v>18</v>
      </c>
      <c r="H68" t="s">
        <v>19</v>
      </c>
      <c r="I68">
        <v>60.3</v>
      </c>
      <c r="J68">
        <v>4</v>
      </c>
      <c r="K68">
        <v>8.1</v>
      </c>
      <c r="L68">
        <v>37.950000000000003</v>
      </c>
      <c r="M68">
        <v>2288.39</v>
      </c>
      <c r="N68" t="s">
        <v>22</v>
      </c>
    </row>
    <row r="69" spans="1:14" x14ac:dyDescent="0.25">
      <c r="A69" t="s">
        <v>14</v>
      </c>
      <c r="B69" t="s">
        <v>32</v>
      </c>
      <c r="C69" t="s">
        <v>17</v>
      </c>
      <c r="D69">
        <v>20010036</v>
      </c>
      <c r="E69" t="s">
        <v>45</v>
      </c>
      <c r="F69" s="1">
        <v>46114</v>
      </c>
      <c r="G69" t="s">
        <v>18</v>
      </c>
      <c r="H69" t="s">
        <v>19</v>
      </c>
      <c r="I69">
        <v>15.86</v>
      </c>
      <c r="J69">
        <v>4</v>
      </c>
      <c r="K69">
        <v>8.1</v>
      </c>
      <c r="L69">
        <v>37.950000000000003</v>
      </c>
      <c r="M69">
        <v>601.89</v>
      </c>
      <c r="N69" t="s">
        <v>22</v>
      </c>
    </row>
    <row r="70" spans="1:14" x14ac:dyDescent="0.25">
      <c r="A70" t="s">
        <v>14</v>
      </c>
      <c r="B70" t="s">
        <v>32</v>
      </c>
      <c r="C70" t="s">
        <v>17</v>
      </c>
      <c r="D70">
        <v>20010033</v>
      </c>
      <c r="E70" t="s">
        <v>43</v>
      </c>
      <c r="F70" s="1">
        <v>46114</v>
      </c>
      <c r="G70" t="s">
        <v>18</v>
      </c>
      <c r="H70" t="s">
        <v>19</v>
      </c>
      <c r="I70">
        <v>32.36</v>
      </c>
      <c r="J70">
        <v>4.4000000000000004</v>
      </c>
      <c r="K70">
        <v>8.1999999999999993</v>
      </c>
      <c r="L70">
        <v>39.65</v>
      </c>
      <c r="M70">
        <v>1283.07</v>
      </c>
      <c r="N70" t="s">
        <v>22</v>
      </c>
    </row>
    <row r="71" spans="1:14" x14ac:dyDescent="0.25">
      <c r="A71" t="s">
        <v>14</v>
      </c>
      <c r="B71" t="s">
        <v>32</v>
      </c>
      <c r="C71" t="s">
        <v>17</v>
      </c>
      <c r="D71">
        <v>20010043</v>
      </c>
      <c r="E71" t="s">
        <v>46</v>
      </c>
      <c r="F71" s="1">
        <v>46114</v>
      </c>
      <c r="G71" t="s">
        <v>18</v>
      </c>
      <c r="H71" t="s">
        <v>19</v>
      </c>
      <c r="I71">
        <v>58.28</v>
      </c>
      <c r="J71">
        <v>4.0999999999999996</v>
      </c>
      <c r="K71">
        <v>8.3000000000000007</v>
      </c>
      <c r="L71">
        <v>39.25</v>
      </c>
      <c r="M71">
        <v>2287.4899999999998</v>
      </c>
      <c r="N71" t="s">
        <v>22</v>
      </c>
    </row>
    <row r="72" spans="1:14" x14ac:dyDescent="0.25">
      <c r="A72" t="s">
        <v>14</v>
      </c>
      <c r="B72" t="s">
        <v>32</v>
      </c>
      <c r="C72" t="s">
        <v>17</v>
      </c>
      <c r="D72">
        <v>20010041</v>
      </c>
      <c r="E72" t="s">
        <v>40</v>
      </c>
      <c r="F72" s="1">
        <v>46114</v>
      </c>
      <c r="G72" t="s">
        <v>18</v>
      </c>
      <c r="H72" t="s">
        <v>19</v>
      </c>
      <c r="I72">
        <v>10.38</v>
      </c>
      <c r="J72">
        <v>4.0999999999999996</v>
      </c>
      <c r="K72">
        <v>8.3000000000000007</v>
      </c>
      <c r="L72">
        <v>39.25</v>
      </c>
      <c r="M72">
        <v>407.42</v>
      </c>
      <c r="N72" t="s">
        <v>22</v>
      </c>
    </row>
    <row r="73" spans="1:14" x14ac:dyDescent="0.25">
      <c r="A73" t="s">
        <v>14</v>
      </c>
      <c r="B73" t="s">
        <v>32</v>
      </c>
      <c r="C73" t="s">
        <v>17</v>
      </c>
      <c r="D73">
        <v>20010059</v>
      </c>
      <c r="E73" t="s">
        <v>44</v>
      </c>
      <c r="F73" s="1">
        <v>46114</v>
      </c>
      <c r="G73" t="s">
        <v>18</v>
      </c>
      <c r="H73" t="s">
        <v>19</v>
      </c>
      <c r="I73">
        <v>15.72</v>
      </c>
      <c r="J73">
        <v>4.0999999999999996</v>
      </c>
      <c r="K73">
        <v>7.9</v>
      </c>
      <c r="L73">
        <v>36.229999999999997</v>
      </c>
      <c r="M73">
        <v>569.54</v>
      </c>
      <c r="N73" t="s">
        <v>22</v>
      </c>
    </row>
    <row r="74" spans="1:14" x14ac:dyDescent="0.25">
      <c r="A74" t="s">
        <v>14</v>
      </c>
      <c r="B74" t="s">
        <v>16</v>
      </c>
      <c r="C74" t="s">
        <v>15</v>
      </c>
      <c r="D74">
        <v>20010061</v>
      </c>
      <c r="E74" t="s">
        <v>24</v>
      </c>
      <c r="F74" s="1">
        <v>46114</v>
      </c>
      <c r="G74" t="s">
        <v>18</v>
      </c>
      <c r="H74" t="s">
        <v>19</v>
      </c>
      <c r="I74">
        <v>12.48</v>
      </c>
      <c r="J74">
        <v>4.2</v>
      </c>
      <c r="K74">
        <v>8.5</v>
      </c>
      <c r="L74">
        <v>40.5</v>
      </c>
      <c r="M74">
        <v>505.44</v>
      </c>
      <c r="N74" t="s">
        <v>22</v>
      </c>
    </row>
    <row r="75" spans="1:14" x14ac:dyDescent="0.25">
      <c r="A75" t="s">
        <v>14</v>
      </c>
      <c r="B75" t="s">
        <v>16</v>
      </c>
      <c r="C75" t="s">
        <v>15</v>
      </c>
      <c r="D75">
        <v>20010052</v>
      </c>
      <c r="E75" t="s">
        <v>25</v>
      </c>
      <c r="F75" s="1">
        <v>46114</v>
      </c>
      <c r="G75" t="s">
        <v>18</v>
      </c>
      <c r="H75" t="s">
        <v>19</v>
      </c>
      <c r="I75">
        <v>37.44</v>
      </c>
      <c r="J75">
        <v>4.3</v>
      </c>
      <c r="K75">
        <v>8.5</v>
      </c>
      <c r="L75">
        <v>40.880000000000003</v>
      </c>
      <c r="M75">
        <v>1530.55</v>
      </c>
      <c r="N75" t="s">
        <v>22</v>
      </c>
    </row>
    <row r="76" spans="1:14" x14ac:dyDescent="0.25">
      <c r="A76" t="s">
        <v>14</v>
      </c>
      <c r="B76" t="s">
        <v>16</v>
      </c>
      <c r="C76" t="s">
        <v>15</v>
      </c>
      <c r="D76">
        <v>20010008</v>
      </c>
      <c r="E76" t="s">
        <v>26</v>
      </c>
      <c r="F76" s="1">
        <v>46114</v>
      </c>
      <c r="G76" t="s">
        <v>18</v>
      </c>
      <c r="H76" t="s">
        <v>19</v>
      </c>
      <c r="I76">
        <v>153.69999999999999</v>
      </c>
      <c r="J76">
        <v>3.6</v>
      </c>
      <c r="K76">
        <v>8.1</v>
      </c>
      <c r="L76">
        <v>36.49</v>
      </c>
      <c r="M76">
        <v>5608.51</v>
      </c>
      <c r="N76" t="s">
        <v>22</v>
      </c>
    </row>
    <row r="77" spans="1:14" x14ac:dyDescent="0.25">
      <c r="A77" t="s">
        <v>14</v>
      </c>
      <c r="B77" t="s">
        <v>16</v>
      </c>
      <c r="C77" t="s">
        <v>15</v>
      </c>
      <c r="D77">
        <v>20010005</v>
      </c>
      <c r="E77" t="s">
        <v>27</v>
      </c>
      <c r="F77" s="1">
        <v>46114</v>
      </c>
      <c r="G77" t="s">
        <v>18</v>
      </c>
      <c r="H77" t="s">
        <v>19</v>
      </c>
      <c r="I77">
        <v>92.88</v>
      </c>
      <c r="J77">
        <v>3.8</v>
      </c>
      <c r="K77">
        <v>8.1999999999999993</v>
      </c>
      <c r="L77">
        <v>37.46</v>
      </c>
      <c r="M77">
        <v>3479.28</v>
      </c>
      <c r="N77" t="s">
        <v>22</v>
      </c>
    </row>
    <row r="78" spans="1:14" x14ac:dyDescent="0.25">
      <c r="A78" t="s">
        <v>14</v>
      </c>
      <c r="B78" t="s">
        <v>16</v>
      </c>
      <c r="C78" t="s">
        <v>15</v>
      </c>
      <c r="D78">
        <v>20010042</v>
      </c>
      <c r="E78" t="s">
        <v>28</v>
      </c>
      <c r="F78" s="1">
        <v>46114</v>
      </c>
      <c r="G78" t="s">
        <v>18</v>
      </c>
      <c r="H78" t="s">
        <v>29</v>
      </c>
      <c r="I78">
        <v>56.16</v>
      </c>
      <c r="J78">
        <v>5</v>
      </c>
      <c r="K78">
        <v>8.5</v>
      </c>
      <c r="L78">
        <v>43.67</v>
      </c>
      <c r="M78">
        <v>2452.5100000000002</v>
      </c>
      <c r="N78" t="s">
        <v>22</v>
      </c>
    </row>
    <row r="79" spans="1:14" x14ac:dyDescent="0.25">
      <c r="A79" t="s">
        <v>14</v>
      </c>
      <c r="B79" t="s">
        <v>16</v>
      </c>
      <c r="C79" t="s">
        <v>15</v>
      </c>
      <c r="D79">
        <v>20010023</v>
      </c>
      <c r="E79" t="s">
        <v>30</v>
      </c>
      <c r="F79" s="1">
        <v>46114</v>
      </c>
      <c r="G79" t="s">
        <v>18</v>
      </c>
      <c r="H79" t="s">
        <v>19</v>
      </c>
      <c r="I79">
        <v>43.56</v>
      </c>
      <c r="J79">
        <v>4.5999999999999996</v>
      </c>
      <c r="K79">
        <v>8.1999999999999993</v>
      </c>
      <c r="L79">
        <v>40.380000000000003</v>
      </c>
      <c r="M79">
        <v>1758.95</v>
      </c>
      <c r="N79" t="s">
        <v>22</v>
      </c>
    </row>
    <row r="80" spans="1:14" x14ac:dyDescent="0.25">
      <c r="A80" t="s">
        <v>14</v>
      </c>
      <c r="B80" t="s">
        <v>16</v>
      </c>
      <c r="C80" t="s">
        <v>15</v>
      </c>
      <c r="D80">
        <v>20010012</v>
      </c>
      <c r="E80" t="s">
        <v>31</v>
      </c>
      <c r="F80" s="1">
        <v>46114</v>
      </c>
      <c r="G80" t="s">
        <v>18</v>
      </c>
      <c r="H80" t="s">
        <v>19</v>
      </c>
      <c r="I80">
        <v>7</v>
      </c>
      <c r="J80">
        <v>2.5</v>
      </c>
      <c r="K80">
        <v>7.5</v>
      </c>
      <c r="L80">
        <v>28.69</v>
      </c>
      <c r="M80">
        <v>200.83</v>
      </c>
      <c r="N80" t="s">
        <v>20</v>
      </c>
    </row>
    <row r="81" spans="1:14" x14ac:dyDescent="0.25">
      <c r="A81" t="s">
        <v>14</v>
      </c>
      <c r="B81" t="s">
        <v>49</v>
      </c>
      <c r="C81" t="s">
        <v>50</v>
      </c>
      <c r="D81">
        <v>20010001</v>
      </c>
      <c r="E81" t="s">
        <v>15</v>
      </c>
      <c r="F81" s="1">
        <v>46114</v>
      </c>
      <c r="G81" t="s">
        <v>18</v>
      </c>
      <c r="H81" t="s">
        <v>19</v>
      </c>
      <c r="I81">
        <v>2810.42</v>
      </c>
      <c r="J81">
        <v>4.5999999999999996</v>
      </c>
      <c r="K81">
        <v>8.5</v>
      </c>
      <c r="L81">
        <v>41.94</v>
      </c>
      <c r="M81">
        <v>117867.95</v>
      </c>
      <c r="N81" t="s">
        <v>22</v>
      </c>
    </row>
    <row r="82" spans="1:14" x14ac:dyDescent="0.25">
      <c r="A82" t="s">
        <v>14</v>
      </c>
      <c r="B82" t="s">
        <v>49</v>
      </c>
      <c r="C82" t="s">
        <v>50</v>
      </c>
      <c r="D82">
        <v>20010001</v>
      </c>
      <c r="E82" t="s">
        <v>15</v>
      </c>
      <c r="F82" s="1">
        <v>46114</v>
      </c>
      <c r="G82" t="s">
        <v>18</v>
      </c>
      <c r="H82" t="s">
        <v>29</v>
      </c>
      <c r="I82">
        <v>9.26</v>
      </c>
      <c r="J82">
        <v>5.3</v>
      </c>
      <c r="K82">
        <v>9</v>
      </c>
      <c r="L82">
        <v>45.65</v>
      </c>
      <c r="M82">
        <v>422.74</v>
      </c>
      <c r="N82" t="s">
        <v>22</v>
      </c>
    </row>
    <row r="83" spans="1:14" x14ac:dyDescent="0.25">
      <c r="A83" t="s">
        <v>14</v>
      </c>
      <c r="B83" t="s">
        <v>16</v>
      </c>
      <c r="C83" t="s">
        <v>15</v>
      </c>
      <c r="D83">
        <v>20010015</v>
      </c>
      <c r="E83" t="s">
        <v>21</v>
      </c>
      <c r="F83" s="1">
        <v>46114</v>
      </c>
      <c r="G83" t="s">
        <v>51</v>
      </c>
      <c r="H83" t="s">
        <v>19</v>
      </c>
      <c r="I83">
        <v>154.94</v>
      </c>
      <c r="J83">
        <v>4.2</v>
      </c>
      <c r="K83">
        <v>8.4</v>
      </c>
      <c r="L83">
        <v>39.869999999999997</v>
      </c>
      <c r="M83">
        <v>6177.46</v>
      </c>
      <c r="N83" t="s">
        <v>22</v>
      </c>
    </row>
    <row r="84" spans="1:14" x14ac:dyDescent="0.25">
      <c r="A84" t="s">
        <v>14</v>
      </c>
      <c r="B84" t="s">
        <v>16</v>
      </c>
      <c r="C84" t="s">
        <v>15</v>
      </c>
      <c r="D84">
        <v>20010009</v>
      </c>
      <c r="E84" t="s">
        <v>23</v>
      </c>
      <c r="F84" s="1">
        <v>46114</v>
      </c>
      <c r="G84" t="s">
        <v>51</v>
      </c>
      <c r="H84" t="s">
        <v>19</v>
      </c>
      <c r="I84">
        <v>38.04</v>
      </c>
      <c r="J84">
        <v>3.5</v>
      </c>
      <c r="K84">
        <v>8</v>
      </c>
      <c r="L84">
        <v>35.880000000000003</v>
      </c>
      <c r="M84">
        <v>1364.88</v>
      </c>
      <c r="N84" t="s">
        <v>22</v>
      </c>
    </row>
    <row r="85" spans="1:14" x14ac:dyDescent="0.25">
      <c r="A85" t="s">
        <v>14</v>
      </c>
      <c r="B85" t="s">
        <v>32</v>
      </c>
      <c r="C85" t="s">
        <v>17</v>
      </c>
      <c r="D85">
        <v>20010017</v>
      </c>
      <c r="E85" t="s">
        <v>33</v>
      </c>
      <c r="F85" s="1">
        <v>46114</v>
      </c>
      <c r="G85" t="s">
        <v>51</v>
      </c>
      <c r="H85" t="s">
        <v>19</v>
      </c>
      <c r="I85">
        <v>76.66</v>
      </c>
      <c r="J85">
        <v>3.4</v>
      </c>
      <c r="K85">
        <v>8.1</v>
      </c>
      <c r="L85">
        <v>35.76</v>
      </c>
      <c r="M85">
        <v>2741.36</v>
      </c>
      <c r="N85" t="s">
        <v>22</v>
      </c>
    </row>
    <row r="86" spans="1:14" x14ac:dyDescent="0.25">
      <c r="A86" t="s">
        <v>14</v>
      </c>
      <c r="B86" t="s">
        <v>32</v>
      </c>
      <c r="C86" t="s">
        <v>17</v>
      </c>
      <c r="D86">
        <v>20010038</v>
      </c>
      <c r="E86" t="s">
        <v>36</v>
      </c>
      <c r="F86" s="1">
        <v>46114</v>
      </c>
      <c r="G86" t="s">
        <v>51</v>
      </c>
      <c r="H86" t="s">
        <v>19</v>
      </c>
      <c r="I86">
        <v>24.78</v>
      </c>
      <c r="J86">
        <v>3.2</v>
      </c>
      <c r="K86">
        <v>8.1</v>
      </c>
      <c r="L86">
        <v>35.03</v>
      </c>
      <c r="M86">
        <v>868.04</v>
      </c>
      <c r="N86" t="s">
        <v>22</v>
      </c>
    </row>
    <row r="87" spans="1:14" x14ac:dyDescent="0.25">
      <c r="A87" t="s">
        <v>14</v>
      </c>
      <c r="B87" t="s">
        <v>32</v>
      </c>
      <c r="C87" t="s">
        <v>17</v>
      </c>
      <c r="D87">
        <v>20010034</v>
      </c>
      <c r="E87" t="s">
        <v>39</v>
      </c>
      <c r="F87" s="1">
        <v>46114</v>
      </c>
      <c r="G87" t="s">
        <v>51</v>
      </c>
      <c r="H87" t="s">
        <v>19</v>
      </c>
      <c r="I87">
        <v>21.04</v>
      </c>
      <c r="J87">
        <v>3.3</v>
      </c>
      <c r="K87">
        <v>7.9</v>
      </c>
      <c r="L87">
        <v>33.39</v>
      </c>
      <c r="M87">
        <v>702.53</v>
      </c>
      <c r="N87" t="s">
        <v>22</v>
      </c>
    </row>
    <row r="88" spans="1:14" x14ac:dyDescent="0.25">
      <c r="A88" t="s">
        <v>14</v>
      </c>
      <c r="B88" t="s">
        <v>32</v>
      </c>
      <c r="C88" t="s">
        <v>17</v>
      </c>
      <c r="D88">
        <v>20010033</v>
      </c>
      <c r="E88" t="s">
        <v>43</v>
      </c>
      <c r="F88" s="1">
        <v>46114</v>
      </c>
      <c r="G88" t="s">
        <v>51</v>
      </c>
      <c r="H88" t="s">
        <v>19</v>
      </c>
      <c r="I88">
        <v>25.16</v>
      </c>
      <c r="J88">
        <v>4.2</v>
      </c>
      <c r="K88">
        <v>8.1999999999999993</v>
      </c>
      <c r="L88">
        <v>38.92</v>
      </c>
      <c r="M88">
        <v>979.23</v>
      </c>
      <c r="N88" t="s">
        <v>22</v>
      </c>
    </row>
    <row r="89" spans="1:14" x14ac:dyDescent="0.25">
      <c r="A89" t="s">
        <v>14</v>
      </c>
      <c r="B89" t="s">
        <v>32</v>
      </c>
      <c r="C89" t="s">
        <v>17</v>
      </c>
      <c r="D89">
        <v>20010037</v>
      </c>
      <c r="E89" t="s">
        <v>38</v>
      </c>
      <c r="F89" s="1">
        <v>46114</v>
      </c>
      <c r="G89" t="s">
        <v>51</v>
      </c>
      <c r="H89" t="s">
        <v>19</v>
      </c>
      <c r="I89">
        <v>30.74</v>
      </c>
      <c r="J89">
        <v>4.2</v>
      </c>
      <c r="K89">
        <v>8.1999999999999993</v>
      </c>
      <c r="L89">
        <v>38.92</v>
      </c>
      <c r="M89">
        <v>1196.4000000000001</v>
      </c>
      <c r="N89" t="s">
        <v>22</v>
      </c>
    </row>
    <row r="90" spans="1:14" x14ac:dyDescent="0.25">
      <c r="A90" t="s">
        <v>14</v>
      </c>
      <c r="B90" t="s">
        <v>32</v>
      </c>
      <c r="C90" t="s">
        <v>17</v>
      </c>
      <c r="D90">
        <v>20010055</v>
      </c>
      <c r="E90" t="s">
        <v>35</v>
      </c>
      <c r="F90" s="1">
        <v>46114</v>
      </c>
      <c r="G90" t="s">
        <v>51</v>
      </c>
      <c r="H90" t="s">
        <v>19</v>
      </c>
      <c r="I90">
        <v>44.14</v>
      </c>
      <c r="J90">
        <v>4.4000000000000004</v>
      </c>
      <c r="K90">
        <v>8.1</v>
      </c>
      <c r="L90">
        <v>39.409999999999997</v>
      </c>
      <c r="M90">
        <v>1739.56</v>
      </c>
      <c r="N90" t="s">
        <v>22</v>
      </c>
    </row>
    <row r="91" spans="1:14" x14ac:dyDescent="0.25">
      <c r="A91" t="s">
        <v>14</v>
      </c>
      <c r="B91" t="s">
        <v>32</v>
      </c>
      <c r="C91" t="s">
        <v>17</v>
      </c>
      <c r="D91">
        <v>20010040</v>
      </c>
      <c r="E91" t="s">
        <v>37</v>
      </c>
      <c r="F91" s="1">
        <v>46114</v>
      </c>
      <c r="G91" t="s">
        <v>51</v>
      </c>
      <c r="H91" t="s">
        <v>19</v>
      </c>
      <c r="I91">
        <v>36.78</v>
      </c>
      <c r="J91">
        <v>3.4</v>
      </c>
      <c r="K91">
        <v>8.4</v>
      </c>
      <c r="L91">
        <v>36.909999999999997</v>
      </c>
      <c r="M91">
        <v>1357.55</v>
      </c>
      <c r="N91" t="s">
        <v>22</v>
      </c>
    </row>
    <row r="92" spans="1:14" x14ac:dyDescent="0.25">
      <c r="A92" t="s">
        <v>14</v>
      </c>
      <c r="B92" t="s">
        <v>32</v>
      </c>
      <c r="C92" t="s">
        <v>17</v>
      </c>
      <c r="D92">
        <v>20010043</v>
      </c>
      <c r="E92" t="s">
        <v>46</v>
      </c>
      <c r="F92" s="1">
        <v>46114</v>
      </c>
      <c r="G92" t="s">
        <v>51</v>
      </c>
      <c r="H92" t="s">
        <v>19</v>
      </c>
      <c r="I92">
        <v>33.32</v>
      </c>
      <c r="J92">
        <v>3.5</v>
      </c>
      <c r="K92">
        <v>8</v>
      </c>
      <c r="L92">
        <v>35.880000000000003</v>
      </c>
      <c r="M92">
        <v>1195.52</v>
      </c>
      <c r="N92" t="s">
        <v>22</v>
      </c>
    </row>
    <row r="93" spans="1:14" x14ac:dyDescent="0.25">
      <c r="A93" t="s">
        <v>14</v>
      </c>
      <c r="B93" t="s">
        <v>32</v>
      </c>
      <c r="C93" t="s">
        <v>17</v>
      </c>
      <c r="D93">
        <v>20010027</v>
      </c>
      <c r="E93" t="s">
        <v>47</v>
      </c>
      <c r="F93" s="1">
        <v>46114</v>
      </c>
      <c r="G93" t="s">
        <v>51</v>
      </c>
      <c r="H93" t="s">
        <v>19</v>
      </c>
      <c r="I93">
        <v>29.98</v>
      </c>
      <c r="J93">
        <v>4</v>
      </c>
      <c r="K93">
        <v>8</v>
      </c>
      <c r="L93">
        <v>37.700000000000003</v>
      </c>
      <c r="M93">
        <v>1130.25</v>
      </c>
      <c r="N93" t="s">
        <v>22</v>
      </c>
    </row>
    <row r="94" spans="1:14" x14ac:dyDescent="0.25">
      <c r="A94" t="s">
        <v>14</v>
      </c>
      <c r="B94" t="s">
        <v>32</v>
      </c>
      <c r="C94" t="s">
        <v>17</v>
      </c>
      <c r="D94">
        <v>20010003</v>
      </c>
      <c r="E94" t="s">
        <v>34</v>
      </c>
      <c r="F94" s="1">
        <v>46114</v>
      </c>
      <c r="G94" t="s">
        <v>51</v>
      </c>
      <c r="H94" t="s">
        <v>19</v>
      </c>
      <c r="I94">
        <v>39.659999999999997</v>
      </c>
      <c r="J94">
        <v>3.7</v>
      </c>
      <c r="K94">
        <v>8.5</v>
      </c>
      <c r="L94">
        <v>38.630000000000003</v>
      </c>
      <c r="M94">
        <v>1532.07</v>
      </c>
      <c r="N94" t="s">
        <v>22</v>
      </c>
    </row>
    <row r="95" spans="1:14" x14ac:dyDescent="0.25">
      <c r="A95" t="s">
        <v>14</v>
      </c>
      <c r="B95" t="s">
        <v>32</v>
      </c>
      <c r="C95" t="s">
        <v>17</v>
      </c>
      <c r="D95">
        <v>20010059</v>
      </c>
      <c r="E95" t="s">
        <v>44</v>
      </c>
      <c r="F95" s="1">
        <v>46114</v>
      </c>
      <c r="G95" t="s">
        <v>51</v>
      </c>
      <c r="H95" t="s">
        <v>19</v>
      </c>
      <c r="I95">
        <v>6.38</v>
      </c>
      <c r="J95">
        <v>3.7</v>
      </c>
      <c r="K95">
        <v>8.5</v>
      </c>
      <c r="L95">
        <v>38.630000000000003</v>
      </c>
      <c r="M95">
        <v>246.46</v>
      </c>
      <c r="N95" t="s">
        <v>22</v>
      </c>
    </row>
    <row r="96" spans="1:14" x14ac:dyDescent="0.25">
      <c r="A96" t="s">
        <v>14</v>
      </c>
      <c r="B96" t="s">
        <v>32</v>
      </c>
      <c r="C96" t="s">
        <v>17</v>
      </c>
      <c r="D96">
        <v>20010041</v>
      </c>
      <c r="E96" t="s">
        <v>40</v>
      </c>
      <c r="F96" s="1">
        <v>46114</v>
      </c>
      <c r="G96" t="s">
        <v>51</v>
      </c>
      <c r="H96" t="s">
        <v>19</v>
      </c>
      <c r="I96">
        <v>6.62</v>
      </c>
      <c r="J96">
        <v>3.7</v>
      </c>
      <c r="K96">
        <v>8.5</v>
      </c>
      <c r="L96">
        <v>38.630000000000003</v>
      </c>
      <c r="M96">
        <v>255.73</v>
      </c>
      <c r="N96" t="s">
        <v>22</v>
      </c>
    </row>
    <row r="97" spans="1:14" x14ac:dyDescent="0.25">
      <c r="A97" t="s">
        <v>14</v>
      </c>
      <c r="B97" t="s">
        <v>32</v>
      </c>
      <c r="C97" t="s">
        <v>17</v>
      </c>
      <c r="D97">
        <v>20010057</v>
      </c>
      <c r="E97" t="s">
        <v>41</v>
      </c>
      <c r="F97" s="1">
        <v>46114</v>
      </c>
      <c r="G97" t="s">
        <v>51</v>
      </c>
      <c r="H97" t="s">
        <v>19</v>
      </c>
      <c r="I97">
        <v>12.58</v>
      </c>
      <c r="J97">
        <v>4.2</v>
      </c>
      <c r="K97">
        <v>7.7</v>
      </c>
      <c r="L97">
        <v>35.74</v>
      </c>
      <c r="M97">
        <v>449.61</v>
      </c>
      <c r="N97" t="s">
        <v>22</v>
      </c>
    </row>
    <row r="98" spans="1:14" x14ac:dyDescent="0.25">
      <c r="A98" t="s">
        <v>14</v>
      </c>
      <c r="B98" t="s">
        <v>16</v>
      </c>
      <c r="C98" t="s">
        <v>15</v>
      </c>
      <c r="D98">
        <v>20010052</v>
      </c>
      <c r="E98" t="s">
        <v>25</v>
      </c>
      <c r="F98" s="1">
        <v>46114</v>
      </c>
      <c r="G98" t="s">
        <v>51</v>
      </c>
      <c r="H98" t="s">
        <v>19</v>
      </c>
      <c r="I98">
        <v>90.22</v>
      </c>
      <c r="J98">
        <v>3.8</v>
      </c>
      <c r="K98">
        <v>8.1</v>
      </c>
      <c r="L98">
        <v>37.22</v>
      </c>
      <c r="M98">
        <v>3357.99</v>
      </c>
      <c r="N98" t="s">
        <v>22</v>
      </c>
    </row>
    <row r="99" spans="1:14" x14ac:dyDescent="0.25">
      <c r="A99" t="s">
        <v>14</v>
      </c>
      <c r="B99" t="s">
        <v>16</v>
      </c>
      <c r="C99" t="s">
        <v>15</v>
      </c>
      <c r="D99">
        <v>20010061</v>
      </c>
      <c r="E99" t="s">
        <v>24</v>
      </c>
      <c r="F99" s="1">
        <v>46114</v>
      </c>
      <c r="G99" t="s">
        <v>51</v>
      </c>
      <c r="H99" t="s">
        <v>19</v>
      </c>
      <c r="I99">
        <v>12.42</v>
      </c>
      <c r="J99">
        <v>4.2</v>
      </c>
      <c r="K99">
        <v>8.6</v>
      </c>
      <c r="L99">
        <v>40.75</v>
      </c>
      <c r="M99">
        <v>506.12</v>
      </c>
      <c r="N99" t="s">
        <v>22</v>
      </c>
    </row>
    <row r="100" spans="1:14" x14ac:dyDescent="0.25">
      <c r="A100" t="s">
        <v>14</v>
      </c>
      <c r="B100" t="s">
        <v>16</v>
      </c>
      <c r="C100" t="s">
        <v>15</v>
      </c>
      <c r="D100">
        <v>20010008</v>
      </c>
      <c r="E100" t="s">
        <v>26</v>
      </c>
      <c r="F100" s="1">
        <v>46114</v>
      </c>
      <c r="G100" t="s">
        <v>51</v>
      </c>
      <c r="H100" t="s">
        <v>19</v>
      </c>
      <c r="I100">
        <v>117.84</v>
      </c>
      <c r="J100">
        <v>3.6</v>
      </c>
      <c r="K100">
        <v>7.7</v>
      </c>
      <c r="L100">
        <v>33.61</v>
      </c>
      <c r="M100">
        <v>3960.6</v>
      </c>
      <c r="N100" t="s">
        <v>22</v>
      </c>
    </row>
    <row r="101" spans="1:14" x14ac:dyDescent="0.25">
      <c r="A101" t="s">
        <v>14</v>
      </c>
      <c r="B101" t="s">
        <v>16</v>
      </c>
      <c r="C101" t="s">
        <v>15</v>
      </c>
      <c r="D101">
        <v>20010005</v>
      </c>
      <c r="E101" t="s">
        <v>27</v>
      </c>
      <c r="F101" s="1">
        <v>46114</v>
      </c>
      <c r="G101" t="s">
        <v>51</v>
      </c>
      <c r="H101" t="s">
        <v>19</v>
      </c>
      <c r="I101">
        <v>64.760000000000005</v>
      </c>
      <c r="J101">
        <v>4.0999999999999996</v>
      </c>
      <c r="K101">
        <v>8</v>
      </c>
      <c r="L101">
        <v>38.07</v>
      </c>
      <c r="M101">
        <v>2465.41</v>
      </c>
      <c r="N101" t="s">
        <v>22</v>
      </c>
    </row>
    <row r="102" spans="1:14" x14ac:dyDescent="0.25">
      <c r="A102" t="s">
        <v>14</v>
      </c>
      <c r="B102" t="s">
        <v>16</v>
      </c>
      <c r="C102" t="s">
        <v>15</v>
      </c>
      <c r="D102">
        <v>20010023</v>
      </c>
      <c r="E102" t="s">
        <v>30</v>
      </c>
      <c r="F102" s="1">
        <v>46114</v>
      </c>
      <c r="G102" t="s">
        <v>51</v>
      </c>
      <c r="H102" t="s">
        <v>19</v>
      </c>
      <c r="I102">
        <v>20.58</v>
      </c>
      <c r="J102">
        <v>4</v>
      </c>
      <c r="K102">
        <v>7.8</v>
      </c>
      <c r="L102">
        <v>35.64</v>
      </c>
      <c r="M102">
        <v>733.47</v>
      </c>
      <c r="N102" t="s">
        <v>22</v>
      </c>
    </row>
    <row r="103" spans="1:14" x14ac:dyDescent="0.25">
      <c r="A103" t="s">
        <v>14</v>
      </c>
      <c r="B103" t="s">
        <v>16</v>
      </c>
      <c r="C103" t="s">
        <v>15</v>
      </c>
      <c r="D103">
        <v>20010042</v>
      </c>
      <c r="E103" t="s">
        <v>28</v>
      </c>
      <c r="F103" s="1">
        <v>46114</v>
      </c>
      <c r="G103" t="s">
        <v>51</v>
      </c>
      <c r="H103" t="s">
        <v>19</v>
      </c>
      <c r="I103">
        <v>21.1</v>
      </c>
      <c r="J103">
        <v>3.5</v>
      </c>
      <c r="K103">
        <v>7.5</v>
      </c>
      <c r="L103">
        <v>32.24</v>
      </c>
      <c r="M103">
        <v>680.26</v>
      </c>
      <c r="N103" t="s">
        <v>20</v>
      </c>
    </row>
    <row r="104" spans="1:14" x14ac:dyDescent="0.25">
      <c r="A104" t="s">
        <v>14</v>
      </c>
      <c r="B104" t="s">
        <v>16</v>
      </c>
      <c r="C104" t="s">
        <v>15</v>
      </c>
      <c r="D104">
        <v>20010012</v>
      </c>
      <c r="E104" t="s">
        <v>31</v>
      </c>
      <c r="F104" s="1">
        <v>46114</v>
      </c>
      <c r="G104" t="s">
        <v>51</v>
      </c>
      <c r="H104" t="s">
        <v>19</v>
      </c>
      <c r="I104">
        <v>5</v>
      </c>
      <c r="J104">
        <v>2.5</v>
      </c>
      <c r="K104">
        <v>7.5</v>
      </c>
      <c r="L104">
        <v>28.69</v>
      </c>
      <c r="M104">
        <v>143.44999999999999</v>
      </c>
      <c r="N104" t="s">
        <v>20</v>
      </c>
    </row>
    <row r="105" spans="1:14" x14ac:dyDescent="0.25">
      <c r="A105" t="s">
        <v>14</v>
      </c>
      <c r="B105" t="s">
        <v>16</v>
      </c>
      <c r="C105" t="s">
        <v>15</v>
      </c>
      <c r="D105">
        <v>20010062</v>
      </c>
      <c r="E105" t="s">
        <v>48</v>
      </c>
      <c r="F105" s="1">
        <v>46114</v>
      </c>
      <c r="G105" t="s">
        <v>51</v>
      </c>
      <c r="H105" t="s">
        <v>19</v>
      </c>
      <c r="I105">
        <v>4.8</v>
      </c>
      <c r="J105">
        <v>4.5</v>
      </c>
      <c r="K105">
        <v>8.6</v>
      </c>
      <c r="L105">
        <v>41.88</v>
      </c>
      <c r="M105">
        <v>201.02</v>
      </c>
      <c r="N105" t="s">
        <v>20</v>
      </c>
    </row>
    <row r="106" spans="1:14" x14ac:dyDescent="0.25">
      <c r="A106" t="s">
        <v>14</v>
      </c>
      <c r="B106" t="s">
        <v>49</v>
      </c>
      <c r="C106" t="s">
        <v>50</v>
      </c>
      <c r="D106">
        <v>20010001</v>
      </c>
      <c r="E106" t="s">
        <v>15</v>
      </c>
      <c r="F106" s="1">
        <v>46114</v>
      </c>
      <c r="G106" t="s">
        <v>51</v>
      </c>
      <c r="H106" t="s">
        <v>19</v>
      </c>
      <c r="I106">
        <v>3010.22</v>
      </c>
      <c r="J106">
        <v>4.7</v>
      </c>
      <c r="K106">
        <v>8.5</v>
      </c>
      <c r="L106">
        <v>42.38</v>
      </c>
      <c r="M106">
        <v>127573.12</v>
      </c>
      <c r="N106" t="s">
        <v>22</v>
      </c>
    </row>
    <row r="107" spans="1:14" x14ac:dyDescent="0.25">
      <c r="A107" t="s">
        <v>14</v>
      </c>
      <c r="B107" t="s">
        <v>49</v>
      </c>
      <c r="C107" t="s">
        <v>50</v>
      </c>
      <c r="D107">
        <v>20010001</v>
      </c>
      <c r="E107" t="s">
        <v>15</v>
      </c>
      <c r="F107" s="1">
        <v>46114</v>
      </c>
      <c r="G107" t="s">
        <v>51</v>
      </c>
      <c r="H107" t="s">
        <v>29</v>
      </c>
      <c r="I107">
        <v>20.84</v>
      </c>
      <c r="J107">
        <v>4.9000000000000004</v>
      </c>
      <c r="K107">
        <v>8.3000000000000007</v>
      </c>
      <c r="L107">
        <v>41.23</v>
      </c>
      <c r="M107">
        <v>859.28</v>
      </c>
      <c r="N107" t="s">
        <v>22</v>
      </c>
    </row>
    <row r="108" spans="1:14" x14ac:dyDescent="0.25">
      <c r="A108" t="s">
        <v>52</v>
      </c>
      <c r="B108" t="s">
        <v>54</v>
      </c>
      <c r="C108" t="s">
        <v>55</v>
      </c>
      <c r="D108">
        <v>20020007</v>
      </c>
      <c r="E108" t="s">
        <v>56</v>
      </c>
      <c r="F108" s="1">
        <v>46113</v>
      </c>
      <c r="G108" t="s">
        <v>18</v>
      </c>
      <c r="H108" t="s">
        <v>19</v>
      </c>
      <c r="I108">
        <v>137.6</v>
      </c>
      <c r="J108">
        <v>4.2</v>
      </c>
      <c r="K108">
        <v>8.4</v>
      </c>
      <c r="L108">
        <v>39.869999999999997</v>
      </c>
      <c r="M108">
        <v>5486.11</v>
      </c>
      <c r="N108" t="s">
        <v>20</v>
      </c>
    </row>
    <row r="109" spans="1:14" x14ac:dyDescent="0.25">
      <c r="A109" t="s">
        <v>52</v>
      </c>
      <c r="B109" t="s">
        <v>54</v>
      </c>
      <c r="C109" t="s">
        <v>55</v>
      </c>
      <c r="D109">
        <v>20050001</v>
      </c>
      <c r="E109" t="s">
        <v>55</v>
      </c>
      <c r="F109" s="1">
        <v>46113</v>
      </c>
      <c r="G109" t="s">
        <v>18</v>
      </c>
      <c r="H109" t="s">
        <v>19</v>
      </c>
      <c r="I109">
        <v>82</v>
      </c>
      <c r="J109">
        <v>3.7</v>
      </c>
      <c r="K109">
        <v>8.5</v>
      </c>
      <c r="L109">
        <v>38.630000000000003</v>
      </c>
      <c r="M109">
        <v>3167.66</v>
      </c>
      <c r="N109" t="s">
        <v>20</v>
      </c>
    </row>
    <row r="110" spans="1:14" x14ac:dyDescent="0.25">
      <c r="A110" t="s">
        <v>52</v>
      </c>
      <c r="B110" t="s">
        <v>54</v>
      </c>
      <c r="C110" t="s">
        <v>55</v>
      </c>
      <c r="D110">
        <v>20020005</v>
      </c>
      <c r="E110" t="s">
        <v>57</v>
      </c>
      <c r="F110" s="1">
        <v>46113</v>
      </c>
      <c r="G110" t="s">
        <v>18</v>
      </c>
      <c r="H110" t="s">
        <v>19</v>
      </c>
      <c r="I110">
        <v>52.5</v>
      </c>
      <c r="J110">
        <v>4.0999999999999996</v>
      </c>
      <c r="K110">
        <v>8.4</v>
      </c>
      <c r="L110">
        <v>39.5</v>
      </c>
      <c r="M110">
        <v>2073.75</v>
      </c>
      <c r="N110" t="s">
        <v>20</v>
      </c>
    </row>
    <row r="111" spans="1:14" x14ac:dyDescent="0.25">
      <c r="A111" t="s">
        <v>52</v>
      </c>
      <c r="B111" t="s">
        <v>54</v>
      </c>
      <c r="C111" t="s">
        <v>55</v>
      </c>
      <c r="D111">
        <v>20050002</v>
      </c>
      <c r="E111" t="s">
        <v>58</v>
      </c>
      <c r="F111" s="1">
        <v>46113</v>
      </c>
      <c r="G111" t="s">
        <v>18</v>
      </c>
      <c r="H111" t="s">
        <v>19</v>
      </c>
      <c r="I111">
        <v>62.8</v>
      </c>
      <c r="J111">
        <v>3.3</v>
      </c>
      <c r="K111">
        <v>8.4</v>
      </c>
      <c r="L111">
        <v>36.54</v>
      </c>
      <c r="M111">
        <v>2294.71</v>
      </c>
      <c r="N111" t="s">
        <v>20</v>
      </c>
    </row>
    <row r="112" spans="1:14" x14ac:dyDescent="0.25">
      <c r="A112" t="s">
        <v>52</v>
      </c>
      <c r="B112" t="s">
        <v>54</v>
      </c>
      <c r="C112" t="s">
        <v>55</v>
      </c>
      <c r="D112">
        <v>20020023</v>
      </c>
      <c r="E112" t="s">
        <v>59</v>
      </c>
      <c r="F112" s="1">
        <v>46113</v>
      </c>
      <c r="G112" t="s">
        <v>18</v>
      </c>
      <c r="H112" t="s">
        <v>19</v>
      </c>
      <c r="I112">
        <v>35</v>
      </c>
      <c r="J112">
        <v>4</v>
      </c>
      <c r="K112">
        <v>8.4</v>
      </c>
      <c r="L112">
        <v>39.130000000000003</v>
      </c>
      <c r="M112">
        <v>1369.55</v>
      </c>
      <c r="N112" t="s">
        <v>20</v>
      </c>
    </row>
    <row r="113" spans="1:14" x14ac:dyDescent="0.25">
      <c r="A113" t="s">
        <v>52</v>
      </c>
      <c r="B113" t="s">
        <v>54</v>
      </c>
      <c r="C113" t="s">
        <v>55</v>
      </c>
      <c r="D113">
        <v>20050003</v>
      </c>
      <c r="E113" t="s">
        <v>60</v>
      </c>
      <c r="F113" s="1">
        <v>46113</v>
      </c>
      <c r="G113" t="s">
        <v>18</v>
      </c>
      <c r="H113" t="s">
        <v>19</v>
      </c>
      <c r="I113">
        <v>91.7</v>
      </c>
      <c r="J113">
        <v>3.7</v>
      </c>
      <c r="K113">
        <v>8.5</v>
      </c>
      <c r="L113">
        <v>38.630000000000003</v>
      </c>
      <c r="M113">
        <v>3542.37</v>
      </c>
      <c r="N113" t="s">
        <v>20</v>
      </c>
    </row>
    <row r="114" spans="1:14" x14ac:dyDescent="0.25">
      <c r="A114" t="s">
        <v>52</v>
      </c>
      <c r="B114" t="s">
        <v>54</v>
      </c>
      <c r="C114" t="s">
        <v>55</v>
      </c>
      <c r="D114">
        <v>20020021</v>
      </c>
      <c r="E114" t="s">
        <v>61</v>
      </c>
      <c r="F114" s="1">
        <v>46113</v>
      </c>
      <c r="G114" t="s">
        <v>18</v>
      </c>
      <c r="H114" t="s">
        <v>19</v>
      </c>
      <c r="I114">
        <v>36.299999999999997</v>
      </c>
      <c r="J114">
        <v>3.8</v>
      </c>
      <c r="K114">
        <v>8.5</v>
      </c>
      <c r="L114">
        <v>39</v>
      </c>
      <c r="M114">
        <v>1415.7</v>
      </c>
      <c r="N114" t="s">
        <v>22</v>
      </c>
    </row>
    <row r="115" spans="1:14" x14ac:dyDescent="0.25">
      <c r="A115" t="s">
        <v>52</v>
      </c>
      <c r="B115" t="s">
        <v>62</v>
      </c>
      <c r="C115" t="s">
        <v>63</v>
      </c>
      <c r="D115">
        <v>20020006</v>
      </c>
      <c r="E115" t="s">
        <v>64</v>
      </c>
      <c r="F115" s="1">
        <v>46113</v>
      </c>
      <c r="G115" t="s">
        <v>18</v>
      </c>
      <c r="H115" t="s">
        <v>19</v>
      </c>
      <c r="I115">
        <v>121.3</v>
      </c>
      <c r="J115">
        <v>3.6</v>
      </c>
      <c r="K115">
        <v>8.6</v>
      </c>
      <c r="L115">
        <v>38.5</v>
      </c>
      <c r="M115">
        <v>4670.05</v>
      </c>
      <c r="N115" t="s">
        <v>20</v>
      </c>
    </row>
    <row r="116" spans="1:14" x14ac:dyDescent="0.25">
      <c r="A116" t="s">
        <v>52</v>
      </c>
      <c r="B116" t="s">
        <v>62</v>
      </c>
      <c r="C116" t="s">
        <v>63</v>
      </c>
      <c r="D116">
        <v>20020013</v>
      </c>
      <c r="E116" t="s">
        <v>65</v>
      </c>
      <c r="F116" s="1">
        <v>46113</v>
      </c>
      <c r="G116" t="s">
        <v>18</v>
      </c>
      <c r="H116" t="s">
        <v>19</v>
      </c>
      <c r="I116">
        <v>41.1</v>
      </c>
      <c r="J116">
        <v>3.8</v>
      </c>
      <c r="K116">
        <v>8.5</v>
      </c>
      <c r="L116">
        <v>39</v>
      </c>
      <c r="M116">
        <v>1602.9</v>
      </c>
      <c r="N116" t="s">
        <v>20</v>
      </c>
    </row>
    <row r="117" spans="1:14" x14ac:dyDescent="0.25">
      <c r="A117" t="s">
        <v>52</v>
      </c>
      <c r="B117" t="s">
        <v>62</v>
      </c>
      <c r="C117" t="s">
        <v>63</v>
      </c>
      <c r="D117">
        <v>20020004</v>
      </c>
      <c r="E117" t="s">
        <v>66</v>
      </c>
      <c r="F117" s="1">
        <v>46113</v>
      </c>
      <c r="G117" t="s">
        <v>18</v>
      </c>
      <c r="H117" t="s">
        <v>19</v>
      </c>
      <c r="I117">
        <v>18.399999999999999</v>
      </c>
      <c r="J117">
        <v>4.8</v>
      </c>
      <c r="K117">
        <v>8.3000000000000007</v>
      </c>
      <c r="L117">
        <v>41.84</v>
      </c>
      <c r="M117">
        <v>769.86</v>
      </c>
      <c r="N117" t="s">
        <v>20</v>
      </c>
    </row>
    <row r="118" spans="1:14" x14ac:dyDescent="0.25">
      <c r="A118" t="s">
        <v>52</v>
      </c>
      <c r="B118" t="s">
        <v>62</v>
      </c>
      <c r="C118" t="s">
        <v>63</v>
      </c>
      <c r="D118">
        <v>20020010</v>
      </c>
      <c r="E118" t="s">
        <v>67</v>
      </c>
      <c r="F118" s="1">
        <v>46113</v>
      </c>
      <c r="G118" t="s">
        <v>18</v>
      </c>
      <c r="H118" t="s">
        <v>19</v>
      </c>
      <c r="I118">
        <v>10.8</v>
      </c>
      <c r="J118">
        <v>3.7</v>
      </c>
      <c r="K118">
        <v>8.6999999999999993</v>
      </c>
      <c r="L118">
        <v>39.130000000000003</v>
      </c>
      <c r="M118">
        <v>422.6</v>
      </c>
      <c r="N118" t="s">
        <v>20</v>
      </c>
    </row>
    <row r="119" spans="1:14" x14ac:dyDescent="0.25">
      <c r="A119" t="s">
        <v>52</v>
      </c>
      <c r="B119" t="s">
        <v>62</v>
      </c>
      <c r="C119" t="s">
        <v>63</v>
      </c>
      <c r="D119">
        <v>20020010</v>
      </c>
      <c r="E119" t="s">
        <v>67</v>
      </c>
      <c r="F119" s="1">
        <v>46113</v>
      </c>
      <c r="G119" t="s">
        <v>18</v>
      </c>
      <c r="H119" t="s">
        <v>19</v>
      </c>
      <c r="I119">
        <v>40.700000000000003</v>
      </c>
      <c r="J119">
        <v>3.7</v>
      </c>
      <c r="K119">
        <v>8.6999999999999993</v>
      </c>
      <c r="L119">
        <v>39.130000000000003</v>
      </c>
      <c r="M119">
        <v>1592.59</v>
      </c>
      <c r="N119" t="s">
        <v>20</v>
      </c>
    </row>
    <row r="120" spans="1:14" x14ac:dyDescent="0.25">
      <c r="A120" t="s">
        <v>52</v>
      </c>
      <c r="B120" t="s">
        <v>62</v>
      </c>
      <c r="C120" t="s">
        <v>63</v>
      </c>
      <c r="D120">
        <v>20020003</v>
      </c>
      <c r="E120" t="s">
        <v>68</v>
      </c>
      <c r="F120" s="1">
        <v>46113</v>
      </c>
      <c r="G120" t="s">
        <v>18</v>
      </c>
      <c r="H120" t="s">
        <v>19</v>
      </c>
      <c r="I120">
        <v>117</v>
      </c>
      <c r="J120">
        <v>3.4</v>
      </c>
      <c r="K120">
        <v>8.3000000000000007</v>
      </c>
      <c r="L120">
        <v>36.659999999999997</v>
      </c>
      <c r="M120">
        <v>4289.22</v>
      </c>
      <c r="N120" t="s">
        <v>20</v>
      </c>
    </row>
    <row r="121" spans="1:14" x14ac:dyDescent="0.25">
      <c r="A121" t="s">
        <v>52</v>
      </c>
      <c r="B121" t="s">
        <v>69</v>
      </c>
      <c r="C121" t="s">
        <v>53</v>
      </c>
      <c r="D121">
        <v>20020011</v>
      </c>
      <c r="E121" t="s">
        <v>70</v>
      </c>
      <c r="F121" s="1">
        <v>46113</v>
      </c>
      <c r="G121" t="s">
        <v>18</v>
      </c>
      <c r="H121" t="s">
        <v>19</v>
      </c>
      <c r="I121">
        <v>71.599999999999994</v>
      </c>
      <c r="J121">
        <v>3.7</v>
      </c>
      <c r="K121">
        <v>8.4</v>
      </c>
      <c r="L121">
        <v>38.020000000000003</v>
      </c>
      <c r="M121">
        <v>2722.23</v>
      </c>
      <c r="N121" t="s">
        <v>20</v>
      </c>
    </row>
    <row r="122" spans="1:14" x14ac:dyDescent="0.25">
      <c r="A122" t="s">
        <v>52</v>
      </c>
      <c r="B122" t="s">
        <v>69</v>
      </c>
      <c r="C122" t="s">
        <v>53</v>
      </c>
      <c r="D122">
        <v>20020014</v>
      </c>
      <c r="E122" t="s">
        <v>71</v>
      </c>
      <c r="F122" s="1">
        <v>46113</v>
      </c>
      <c r="G122" t="s">
        <v>18</v>
      </c>
      <c r="H122" t="s">
        <v>19</v>
      </c>
      <c r="I122">
        <v>58.4</v>
      </c>
      <c r="J122">
        <v>3.9</v>
      </c>
      <c r="K122">
        <v>8.4</v>
      </c>
      <c r="L122">
        <v>38.76</v>
      </c>
      <c r="M122">
        <v>2263.58</v>
      </c>
      <c r="N122" t="s">
        <v>20</v>
      </c>
    </row>
    <row r="123" spans="1:14" x14ac:dyDescent="0.25">
      <c r="A123" t="s">
        <v>52</v>
      </c>
      <c r="B123" t="s">
        <v>69</v>
      </c>
      <c r="C123" t="s">
        <v>53</v>
      </c>
      <c r="D123">
        <v>20020020</v>
      </c>
      <c r="E123" t="s">
        <v>72</v>
      </c>
      <c r="F123" s="1">
        <v>46113</v>
      </c>
      <c r="G123" t="s">
        <v>18</v>
      </c>
      <c r="H123" t="s">
        <v>19</v>
      </c>
      <c r="I123">
        <v>120.1</v>
      </c>
      <c r="J123">
        <v>3.9</v>
      </c>
      <c r="K123">
        <v>8.5</v>
      </c>
      <c r="L123">
        <v>39.380000000000003</v>
      </c>
      <c r="M123">
        <v>4729.54</v>
      </c>
      <c r="N123" t="s">
        <v>20</v>
      </c>
    </row>
    <row r="124" spans="1:14" x14ac:dyDescent="0.25">
      <c r="A124" t="s">
        <v>52</v>
      </c>
      <c r="B124" t="s">
        <v>69</v>
      </c>
      <c r="C124" t="s">
        <v>53</v>
      </c>
      <c r="D124">
        <v>20020015</v>
      </c>
      <c r="E124" t="s">
        <v>73</v>
      </c>
      <c r="F124" s="1">
        <v>46113</v>
      </c>
      <c r="G124" t="s">
        <v>18</v>
      </c>
      <c r="H124" t="s">
        <v>19</v>
      </c>
      <c r="I124">
        <v>148.69999999999999</v>
      </c>
      <c r="J124">
        <v>3.5</v>
      </c>
      <c r="K124">
        <v>8.6</v>
      </c>
      <c r="L124">
        <v>38.130000000000003</v>
      </c>
      <c r="M124">
        <v>5669.93</v>
      </c>
      <c r="N124" t="s">
        <v>20</v>
      </c>
    </row>
    <row r="125" spans="1:14" x14ac:dyDescent="0.25">
      <c r="A125" t="s">
        <v>52</v>
      </c>
      <c r="B125" t="s">
        <v>69</v>
      </c>
      <c r="C125" t="s">
        <v>53</v>
      </c>
      <c r="D125">
        <v>20020002</v>
      </c>
      <c r="E125" t="s">
        <v>74</v>
      </c>
      <c r="F125" s="1">
        <v>46113</v>
      </c>
      <c r="G125" t="s">
        <v>18</v>
      </c>
      <c r="H125" t="s">
        <v>19</v>
      </c>
      <c r="I125">
        <v>151.6</v>
      </c>
      <c r="J125">
        <v>3.9</v>
      </c>
      <c r="K125">
        <v>8.4</v>
      </c>
      <c r="L125">
        <v>38.76</v>
      </c>
      <c r="M125">
        <v>5876.02</v>
      </c>
      <c r="N125" t="s">
        <v>20</v>
      </c>
    </row>
    <row r="126" spans="1:14" x14ac:dyDescent="0.25">
      <c r="A126" t="s">
        <v>52</v>
      </c>
      <c r="B126" t="s">
        <v>69</v>
      </c>
      <c r="C126" t="s">
        <v>53</v>
      </c>
      <c r="D126">
        <v>20020016</v>
      </c>
      <c r="E126" t="s">
        <v>75</v>
      </c>
      <c r="F126" s="1">
        <v>46113</v>
      </c>
      <c r="G126" t="s">
        <v>18</v>
      </c>
      <c r="H126" t="s">
        <v>19</v>
      </c>
      <c r="I126">
        <v>37</v>
      </c>
      <c r="J126">
        <v>3.5</v>
      </c>
      <c r="K126">
        <v>8.4</v>
      </c>
      <c r="L126">
        <v>37.28</v>
      </c>
      <c r="M126">
        <v>1379.36</v>
      </c>
      <c r="N126" t="s">
        <v>20</v>
      </c>
    </row>
    <row r="127" spans="1:14" x14ac:dyDescent="0.25">
      <c r="A127" t="s">
        <v>52</v>
      </c>
      <c r="B127" t="s">
        <v>69</v>
      </c>
      <c r="C127" t="s">
        <v>53</v>
      </c>
      <c r="D127">
        <v>20020017</v>
      </c>
      <c r="E127" t="s">
        <v>76</v>
      </c>
      <c r="F127" s="1">
        <v>46113</v>
      </c>
      <c r="G127" t="s">
        <v>18</v>
      </c>
      <c r="H127" t="s">
        <v>19</v>
      </c>
      <c r="I127">
        <v>40.1</v>
      </c>
      <c r="J127">
        <v>3.2</v>
      </c>
      <c r="K127">
        <v>8.3000000000000007</v>
      </c>
      <c r="L127">
        <v>35.92</v>
      </c>
      <c r="M127">
        <v>1440.39</v>
      </c>
      <c r="N127" t="s">
        <v>20</v>
      </c>
    </row>
    <row r="128" spans="1:14" x14ac:dyDescent="0.25">
      <c r="A128" t="s">
        <v>52</v>
      </c>
      <c r="B128" t="s">
        <v>77</v>
      </c>
      <c r="C128" t="s">
        <v>50</v>
      </c>
      <c r="D128">
        <v>20020001</v>
      </c>
      <c r="E128" t="s">
        <v>53</v>
      </c>
      <c r="F128" s="1">
        <v>46113</v>
      </c>
      <c r="G128" t="s">
        <v>18</v>
      </c>
      <c r="H128" t="s">
        <v>19</v>
      </c>
      <c r="I128">
        <v>657.3</v>
      </c>
      <c r="J128">
        <v>4.2</v>
      </c>
      <c r="K128">
        <v>8.5</v>
      </c>
      <c r="L128">
        <v>40.549999999999997</v>
      </c>
      <c r="M128">
        <v>26655.360000000001</v>
      </c>
      <c r="N128" t="s">
        <v>22</v>
      </c>
    </row>
    <row r="129" spans="1:14" x14ac:dyDescent="0.25">
      <c r="A129" t="s">
        <v>52</v>
      </c>
      <c r="B129" t="s">
        <v>77</v>
      </c>
      <c r="C129" t="s">
        <v>50</v>
      </c>
      <c r="D129">
        <v>20020001</v>
      </c>
      <c r="E129" t="s">
        <v>53</v>
      </c>
      <c r="F129" s="1">
        <v>46113</v>
      </c>
      <c r="G129" t="s">
        <v>18</v>
      </c>
      <c r="H129" t="s">
        <v>29</v>
      </c>
      <c r="I129">
        <v>33.9</v>
      </c>
      <c r="J129">
        <v>6.9</v>
      </c>
      <c r="K129">
        <v>8.6</v>
      </c>
      <c r="L129">
        <v>54.91</v>
      </c>
      <c r="M129">
        <v>1861.59</v>
      </c>
      <c r="N129" t="s">
        <v>22</v>
      </c>
    </row>
    <row r="130" spans="1:14" x14ac:dyDescent="0.25">
      <c r="A130" t="s">
        <v>52</v>
      </c>
      <c r="B130" t="s">
        <v>54</v>
      </c>
      <c r="C130" t="s">
        <v>55</v>
      </c>
      <c r="D130">
        <v>20020007</v>
      </c>
      <c r="E130" t="s">
        <v>56</v>
      </c>
      <c r="F130" s="1">
        <v>46113</v>
      </c>
      <c r="G130" t="s">
        <v>51</v>
      </c>
      <c r="H130" t="s">
        <v>19</v>
      </c>
      <c r="I130">
        <v>42.8</v>
      </c>
      <c r="J130">
        <v>3.5</v>
      </c>
      <c r="K130">
        <v>8.5</v>
      </c>
      <c r="L130">
        <v>37.880000000000003</v>
      </c>
      <c r="M130">
        <v>1621.26</v>
      </c>
      <c r="N130" t="s">
        <v>20</v>
      </c>
    </row>
    <row r="131" spans="1:14" x14ac:dyDescent="0.25">
      <c r="A131" t="s">
        <v>52</v>
      </c>
      <c r="B131" t="s">
        <v>54</v>
      </c>
      <c r="C131" t="s">
        <v>55</v>
      </c>
      <c r="D131">
        <v>20020005</v>
      </c>
      <c r="E131" t="s">
        <v>57</v>
      </c>
      <c r="F131" s="1">
        <v>46113</v>
      </c>
      <c r="G131" t="s">
        <v>51</v>
      </c>
      <c r="H131" t="s">
        <v>19</v>
      </c>
      <c r="I131">
        <v>16.399999999999999</v>
      </c>
      <c r="J131">
        <v>3.5</v>
      </c>
      <c r="K131">
        <v>8.5</v>
      </c>
      <c r="L131">
        <v>37.880000000000003</v>
      </c>
      <c r="M131">
        <v>621.23</v>
      </c>
      <c r="N131" t="s">
        <v>20</v>
      </c>
    </row>
    <row r="132" spans="1:14" x14ac:dyDescent="0.25">
      <c r="A132" t="s">
        <v>52</v>
      </c>
      <c r="B132" t="s">
        <v>54</v>
      </c>
      <c r="C132" t="s">
        <v>55</v>
      </c>
      <c r="D132">
        <v>20050001</v>
      </c>
      <c r="E132" t="s">
        <v>55</v>
      </c>
      <c r="F132" s="1">
        <v>46113</v>
      </c>
      <c r="G132" t="s">
        <v>51</v>
      </c>
      <c r="H132" t="s">
        <v>19</v>
      </c>
      <c r="I132">
        <v>24.1</v>
      </c>
      <c r="J132">
        <v>3.8</v>
      </c>
      <c r="K132">
        <v>8.5</v>
      </c>
      <c r="L132">
        <v>39</v>
      </c>
      <c r="M132">
        <v>939.9</v>
      </c>
      <c r="N132" t="s">
        <v>20</v>
      </c>
    </row>
    <row r="133" spans="1:14" x14ac:dyDescent="0.25">
      <c r="A133" t="s">
        <v>52</v>
      </c>
      <c r="B133" t="s">
        <v>54</v>
      </c>
      <c r="C133" t="s">
        <v>55</v>
      </c>
      <c r="D133">
        <v>20020021</v>
      </c>
      <c r="E133" t="s">
        <v>61</v>
      </c>
      <c r="F133" s="1">
        <v>46113</v>
      </c>
      <c r="G133" t="s">
        <v>51</v>
      </c>
      <c r="H133" t="s">
        <v>19</v>
      </c>
      <c r="I133">
        <v>17</v>
      </c>
      <c r="J133">
        <v>4.2</v>
      </c>
      <c r="K133">
        <v>8.5</v>
      </c>
      <c r="L133">
        <v>40.5</v>
      </c>
      <c r="M133">
        <v>688.5</v>
      </c>
      <c r="N133" t="s">
        <v>20</v>
      </c>
    </row>
    <row r="134" spans="1:14" x14ac:dyDescent="0.25">
      <c r="A134" t="s">
        <v>52</v>
      </c>
      <c r="B134" t="s">
        <v>54</v>
      </c>
      <c r="C134" t="s">
        <v>55</v>
      </c>
      <c r="D134">
        <v>20050003</v>
      </c>
      <c r="E134" t="s">
        <v>60</v>
      </c>
      <c r="F134" s="1">
        <v>46113</v>
      </c>
      <c r="G134" t="s">
        <v>51</v>
      </c>
      <c r="H134" t="s">
        <v>19</v>
      </c>
      <c r="I134">
        <v>55.8</v>
      </c>
      <c r="J134">
        <v>3.5</v>
      </c>
      <c r="K134">
        <v>8.3000000000000007</v>
      </c>
      <c r="L134">
        <v>37.03</v>
      </c>
      <c r="M134">
        <v>2066.27</v>
      </c>
      <c r="N134" t="s">
        <v>20</v>
      </c>
    </row>
    <row r="135" spans="1:14" x14ac:dyDescent="0.25">
      <c r="A135" t="s">
        <v>52</v>
      </c>
      <c r="B135" t="s">
        <v>54</v>
      </c>
      <c r="C135" t="s">
        <v>55</v>
      </c>
      <c r="D135">
        <v>20050002</v>
      </c>
      <c r="E135" t="s">
        <v>58</v>
      </c>
      <c r="F135" s="1">
        <v>46113</v>
      </c>
      <c r="G135" t="s">
        <v>51</v>
      </c>
      <c r="H135" t="s">
        <v>19</v>
      </c>
      <c r="I135">
        <v>33.799999999999997</v>
      </c>
      <c r="J135">
        <v>3</v>
      </c>
      <c r="K135">
        <v>8.3000000000000007</v>
      </c>
      <c r="L135">
        <v>35.18</v>
      </c>
      <c r="M135">
        <v>1189.08</v>
      </c>
      <c r="N135" t="s">
        <v>20</v>
      </c>
    </row>
    <row r="136" spans="1:14" x14ac:dyDescent="0.25">
      <c r="A136" t="s">
        <v>52</v>
      </c>
      <c r="B136" t="s">
        <v>54</v>
      </c>
      <c r="C136" t="s">
        <v>55</v>
      </c>
      <c r="D136">
        <v>20020023</v>
      </c>
      <c r="E136" t="s">
        <v>59</v>
      </c>
      <c r="F136" s="1">
        <v>46113</v>
      </c>
      <c r="G136" t="s">
        <v>51</v>
      </c>
      <c r="H136" t="s">
        <v>19</v>
      </c>
      <c r="I136">
        <v>10</v>
      </c>
      <c r="J136">
        <v>3.7</v>
      </c>
      <c r="K136">
        <v>8.5</v>
      </c>
      <c r="L136">
        <v>38.630000000000003</v>
      </c>
      <c r="M136">
        <v>386.3</v>
      </c>
      <c r="N136" t="s">
        <v>20</v>
      </c>
    </row>
    <row r="137" spans="1:14" x14ac:dyDescent="0.25">
      <c r="A137" t="s">
        <v>52</v>
      </c>
      <c r="B137" t="s">
        <v>69</v>
      </c>
      <c r="C137" t="s">
        <v>53</v>
      </c>
      <c r="D137">
        <v>20020014</v>
      </c>
      <c r="E137" t="s">
        <v>71</v>
      </c>
      <c r="F137" s="1">
        <v>46113</v>
      </c>
      <c r="G137" t="s">
        <v>51</v>
      </c>
      <c r="H137" t="s">
        <v>19</v>
      </c>
      <c r="I137">
        <v>76.599999999999994</v>
      </c>
      <c r="J137">
        <v>3.5</v>
      </c>
      <c r="K137">
        <v>8.5</v>
      </c>
      <c r="L137">
        <v>37.880000000000003</v>
      </c>
      <c r="M137">
        <v>2901.61</v>
      </c>
      <c r="N137" t="s">
        <v>20</v>
      </c>
    </row>
    <row r="138" spans="1:14" x14ac:dyDescent="0.25">
      <c r="A138" t="s">
        <v>52</v>
      </c>
      <c r="B138" t="s">
        <v>69</v>
      </c>
      <c r="C138" t="s">
        <v>53</v>
      </c>
      <c r="D138">
        <v>20020011</v>
      </c>
      <c r="E138" t="s">
        <v>70</v>
      </c>
      <c r="F138" s="1">
        <v>46113</v>
      </c>
      <c r="G138" t="s">
        <v>51</v>
      </c>
      <c r="H138" t="s">
        <v>19</v>
      </c>
      <c r="I138">
        <v>23</v>
      </c>
      <c r="J138">
        <v>3.4</v>
      </c>
      <c r="K138">
        <v>8.4</v>
      </c>
      <c r="L138">
        <v>36.909999999999997</v>
      </c>
      <c r="M138">
        <v>848.93</v>
      </c>
      <c r="N138" t="s">
        <v>20</v>
      </c>
    </row>
    <row r="139" spans="1:14" x14ac:dyDescent="0.25">
      <c r="A139" t="s">
        <v>52</v>
      </c>
      <c r="B139" t="s">
        <v>69</v>
      </c>
      <c r="C139" t="s">
        <v>53</v>
      </c>
      <c r="D139">
        <v>20020020</v>
      </c>
      <c r="E139" t="s">
        <v>72</v>
      </c>
      <c r="F139" s="1">
        <v>46113</v>
      </c>
      <c r="G139" t="s">
        <v>51</v>
      </c>
      <c r="H139" t="s">
        <v>19</v>
      </c>
      <c r="I139">
        <v>56.1</v>
      </c>
      <c r="J139">
        <v>3.8</v>
      </c>
      <c r="K139">
        <v>8.4</v>
      </c>
      <c r="L139">
        <v>38.39</v>
      </c>
      <c r="M139">
        <v>2153.6799999999998</v>
      </c>
      <c r="N139" t="s">
        <v>20</v>
      </c>
    </row>
    <row r="140" spans="1:14" x14ac:dyDescent="0.25">
      <c r="A140" t="s">
        <v>52</v>
      </c>
      <c r="B140" t="s">
        <v>69</v>
      </c>
      <c r="C140" t="s">
        <v>53</v>
      </c>
      <c r="D140">
        <v>20020015</v>
      </c>
      <c r="E140" t="s">
        <v>73</v>
      </c>
      <c r="F140" s="1">
        <v>46113</v>
      </c>
      <c r="G140" t="s">
        <v>51</v>
      </c>
      <c r="H140" t="s">
        <v>19</v>
      </c>
      <c r="I140">
        <v>89.7</v>
      </c>
      <c r="J140">
        <v>3.6</v>
      </c>
      <c r="K140">
        <v>8.5</v>
      </c>
      <c r="L140">
        <v>38.25</v>
      </c>
      <c r="M140">
        <v>3431.03</v>
      </c>
      <c r="N140" t="s">
        <v>20</v>
      </c>
    </row>
    <row r="141" spans="1:14" x14ac:dyDescent="0.25">
      <c r="A141" t="s">
        <v>52</v>
      </c>
      <c r="B141" t="s">
        <v>69</v>
      </c>
      <c r="C141" t="s">
        <v>53</v>
      </c>
      <c r="D141">
        <v>20020002</v>
      </c>
      <c r="E141" t="s">
        <v>74</v>
      </c>
      <c r="F141" s="1">
        <v>46113</v>
      </c>
      <c r="G141" t="s">
        <v>51</v>
      </c>
      <c r="H141" t="s">
        <v>19</v>
      </c>
      <c r="I141">
        <v>60.7</v>
      </c>
      <c r="J141">
        <v>3.8</v>
      </c>
      <c r="K141">
        <v>8.4</v>
      </c>
      <c r="L141">
        <v>38.39</v>
      </c>
      <c r="M141">
        <v>2330.27</v>
      </c>
      <c r="N141" t="s">
        <v>20</v>
      </c>
    </row>
    <row r="142" spans="1:14" x14ac:dyDescent="0.25">
      <c r="A142" t="s">
        <v>52</v>
      </c>
      <c r="B142" t="s">
        <v>69</v>
      </c>
      <c r="C142" t="s">
        <v>53</v>
      </c>
      <c r="D142">
        <v>20020016</v>
      </c>
      <c r="E142" t="s">
        <v>75</v>
      </c>
      <c r="F142" s="1">
        <v>46113</v>
      </c>
      <c r="G142" t="s">
        <v>51</v>
      </c>
      <c r="H142" t="s">
        <v>19</v>
      </c>
      <c r="I142">
        <v>21.3</v>
      </c>
      <c r="J142">
        <v>3.7</v>
      </c>
      <c r="K142">
        <v>8.4</v>
      </c>
      <c r="L142">
        <v>38.020000000000003</v>
      </c>
      <c r="M142">
        <v>809.83</v>
      </c>
      <c r="N142" t="s">
        <v>20</v>
      </c>
    </row>
    <row r="143" spans="1:14" x14ac:dyDescent="0.25">
      <c r="A143" t="s">
        <v>52</v>
      </c>
      <c r="B143" t="s">
        <v>62</v>
      </c>
      <c r="C143" t="s">
        <v>63</v>
      </c>
      <c r="D143">
        <v>20020006</v>
      </c>
      <c r="E143" t="s">
        <v>64</v>
      </c>
      <c r="F143" s="1">
        <v>46113</v>
      </c>
      <c r="G143" t="s">
        <v>51</v>
      </c>
      <c r="H143" t="s">
        <v>19</v>
      </c>
      <c r="I143">
        <v>144.69999999999999</v>
      </c>
      <c r="J143">
        <v>3.7</v>
      </c>
      <c r="K143">
        <v>8.4</v>
      </c>
      <c r="L143">
        <v>38.020000000000003</v>
      </c>
      <c r="M143">
        <v>5501.49</v>
      </c>
      <c r="N143" t="s">
        <v>20</v>
      </c>
    </row>
    <row r="144" spans="1:14" x14ac:dyDescent="0.25">
      <c r="A144" t="s">
        <v>52</v>
      </c>
      <c r="B144" t="s">
        <v>62</v>
      </c>
      <c r="C144" t="s">
        <v>63</v>
      </c>
      <c r="D144">
        <v>20020004</v>
      </c>
      <c r="E144" t="s">
        <v>66</v>
      </c>
      <c r="F144" s="1">
        <v>46113</v>
      </c>
      <c r="G144" t="s">
        <v>51</v>
      </c>
      <c r="H144" t="s">
        <v>19</v>
      </c>
      <c r="I144">
        <v>6.5</v>
      </c>
      <c r="J144">
        <v>3.3</v>
      </c>
      <c r="K144">
        <v>8.3000000000000007</v>
      </c>
      <c r="L144">
        <v>36.29</v>
      </c>
      <c r="M144">
        <v>235.89</v>
      </c>
      <c r="N144" t="s">
        <v>20</v>
      </c>
    </row>
    <row r="145" spans="1:14" x14ac:dyDescent="0.25">
      <c r="A145" t="s">
        <v>52</v>
      </c>
      <c r="B145" t="s">
        <v>62</v>
      </c>
      <c r="C145" t="s">
        <v>63</v>
      </c>
      <c r="D145">
        <v>20020013</v>
      </c>
      <c r="E145" t="s">
        <v>65</v>
      </c>
      <c r="F145" s="1">
        <v>46113</v>
      </c>
      <c r="G145" t="s">
        <v>51</v>
      </c>
      <c r="H145" t="s">
        <v>19</v>
      </c>
      <c r="I145">
        <v>135</v>
      </c>
      <c r="J145">
        <v>3.6</v>
      </c>
      <c r="K145">
        <v>8.4</v>
      </c>
      <c r="L145">
        <v>37.65</v>
      </c>
      <c r="M145">
        <v>5082.75</v>
      </c>
      <c r="N145" t="s">
        <v>20</v>
      </c>
    </row>
    <row r="146" spans="1:14" x14ac:dyDescent="0.25">
      <c r="A146" t="s">
        <v>52</v>
      </c>
      <c r="B146" t="s">
        <v>62</v>
      </c>
      <c r="C146" t="s">
        <v>63</v>
      </c>
      <c r="D146">
        <v>20020003</v>
      </c>
      <c r="E146" t="s">
        <v>68</v>
      </c>
      <c r="F146" s="1">
        <v>46113</v>
      </c>
      <c r="G146" t="s">
        <v>51</v>
      </c>
      <c r="H146" t="s">
        <v>19</v>
      </c>
      <c r="I146">
        <v>104.6</v>
      </c>
      <c r="J146">
        <v>3.8</v>
      </c>
      <c r="K146">
        <v>8.4</v>
      </c>
      <c r="L146">
        <v>38.39</v>
      </c>
      <c r="M146">
        <v>4015.59</v>
      </c>
      <c r="N146" t="s">
        <v>20</v>
      </c>
    </row>
    <row r="147" spans="1:14" x14ac:dyDescent="0.25">
      <c r="A147" t="s">
        <v>52</v>
      </c>
      <c r="B147" t="s">
        <v>62</v>
      </c>
      <c r="C147" t="s">
        <v>63</v>
      </c>
      <c r="D147">
        <v>20020010</v>
      </c>
      <c r="E147" t="s">
        <v>67</v>
      </c>
      <c r="F147" s="1">
        <v>46113</v>
      </c>
      <c r="G147" t="s">
        <v>51</v>
      </c>
      <c r="H147" t="s">
        <v>19</v>
      </c>
      <c r="I147">
        <v>37.6</v>
      </c>
      <c r="J147">
        <v>4</v>
      </c>
      <c r="K147">
        <v>8.4</v>
      </c>
      <c r="L147">
        <v>39.130000000000003</v>
      </c>
      <c r="M147">
        <v>1471.29</v>
      </c>
      <c r="N147" t="s">
        <v>20</v>
      </c>
    </row>
    <row r="148" spans="1:14" x14ac:dyDescent="0.25">
      <c r="A148" t="s">
        <v>52</v>
      </c>
      <c r="B148" t="s">
        <v>69</v>
      </c>
      <c r="C148" t="s">
        <v>53</v>
      </c>
      <c r="D148">
        <v>20020017</v>
      </c>
      <c r="E148" t="s">
        <v>76</v>
      </c>
      <c r="F148" s="1">
        <v>46113</v>
      </c>
      <c r="G148" t="s">
        <v>51</v>
      </c>
      <c r="H148" t="s">
        <v>19</v>
      </c>
      <c r="I148">
        <v>40.1</v>
      </c>
      <c r="J148">
        <v>3.8</v>
      </c>
      <c r="K148">
        <v>8.4</v>
      </c>
      <c r="L148">
        <v>38.39</v>
      </c>
      <c r="M148">
        <v>1539.44</v>
      </c>
      <c r="N148" t="s">
        <v>20</v>
      </c>
    </row>
    <row r="149" spans="1:14" x14ac:dyDescent="0.25">
      <c r="A149" t="s">
        <v>52</v>
      </c>
      <c r="B149" t="s">
        <v>77</v>
      </c>
      <c r="C149" t="s">
        <v>50</v>
      </c>
      <c r="D149">
        <v>20020001</v>
      </c>
      <c r="E149" t="s">
        <v>53</v>
      </c>
      <c r="F149" s="1">
        <v>46113</v>
      </c>
      <c r="G149" t="s">
        <v>51</v>
      </c>
      <c r="H149" t="s">
        <v>19</v>
      </c>
      <c r="I149">
        <v>550.4</v>
      </c>
      <c r="J149">
        <v>4</v>
      </c>
      <c r="K149">
        <v>8.4</v>
      </c>
      <c r="L149">
        <v>39.21</v>
      </c>
      <c r="M149">
        <v>21581.72</v>
      </c>
      <c r="N149" t="s">
        <v>22</v>
      </c>
    </row>
    <row r="150" spans="1:14" x14ac:dyDescent="0.25">
      <c r="A150" t="s">
        <v>52</v>
      </c>
      <c r="B150" t="s">
        <v>77</v>
      </c>
      <c r="C150" t="s">
        <v>50</v>
      </c>
      <c r="D150">
        <v>20020001</v>
      </c>
      <c r="E150" t="s">
        <v>53</v>
      </c>
      <c r="F150" s="1">
        <v>46113</v>
      </c>
      <c r="G150" t="s">
        <v>51</v>
      </c>
      <c r="H150" t="s">
        <v>29</v>
      </c>
      <c r="I150">
        <v>15</v>
      </c>
      <c r="J150">
        <v>6.4</v>
      </c>
      <c r="K150">
        <v>8.6</v>
      </c>
      <c r="L150">
        <v>51.99</v>
      </c>
      <c r="M150">
        <v>779.89</v>
      </c>
      <c r="N150" t="s">
        <v>22</v>
      </c>
    </row>
    <row r="151" spans="1:14" x14ac:dyDescent="0.25">
      <c r="A151" t="s">
        <v>52</v>
      </c>
      <c r="B151" t="s">
        <v>69</v>
      </c>
      <c r="C151" t="s">
        <v>53</v>
      </c>
      <c r="D151">
        <v>20020014</v>
      </c>
      <c r="E151" t="s">
        <v>71</v>
      </c>
      <c r="F151" s="1">
        <v>46114</v>
      </c>
      <c r="G151" t="s">
        <v>18</v>
      </c>
      <c r="H151" t="s">
        <v>19</v>
      </c>
      <c r="I151">
        <v>104.3</v>
      </c>
      <c r="J151">
        <v>3.7</v>
      </c>
      <c r="K151">
        <v>8.5</v>
      </c>
      <c r="L151">
        <v>38.630000000000003</v>
      </c>
      <c r="M151">
        <v>4029.11</v>
      </c>
      <c r="N151" t="s">
        <v>20</v>
      </c>
    </row>
    <row r="152" spans="1:14" x14ac:dyDescent="0.25">
      <c r="A152" t="s">
        <v>52</v>
      </c>
      <c r="B152" t="s">
        <v>69</v>
      </c>
      <c r="C152" t="s">
        <v>53</v>
      </c>
      <c r="D152">
        <v>20020011</v>
      </c>
      <c r="E152" t="s">
        <v>70</v>
      </c>
      <c r="F152" s="1">
        <v>46114</v>
      </c>
      <c r="G152" t="s">
        <v>18</v>
      </c>
      <c r="H152" t="s">
        <v>19</v>
      </c>
      <c r="I152">
        <v>58.4</v>
      </c>
      <c r="J152">
        <v>4</v>
      </c>
      <c r="K152">
        <v>8.3000000000000007</v>
      </c>
      <c r="L152">
        <v>38.880000000000003</v>
      </c>
      <c r="M152">
        <v>2270.59</v>
      </c>
      <c r="N152" t="s">
        <v>20</v>
      </c>
    </row>
    <row r="153" spans="1:14" x14ac:dyDescent="0.25">
      <c r="A153" t="s">
        <v>52</v>
      </c>
      <c r="B153" t="s">
        <v>69</v>
      </c>
      <c r="C153" t="s">
        <v>53</v>
      </c>
      <c r="D153">
        <v>20020020</v>
      </c>
      <c r="E153" t="s">
        <v>72</v>
      </c>
      <c r="F153" s="1">
        <v>46114</v>
      </c>
      <c r="G153" t="s">
        <v>18</v>
      </c>
      <c r="H153" t="s">
        <v>19</v>
      </c>
      <c r="I153">
        <v>112.3</v>
      </c>
      <c r="J153">
        <v>3.9</v>
      </c>
      <c r="K153">
        <v>8.4</v>
      </c>
      <c r="L153">
        <v>38.76</v>
      </c>
      <c r="M153">
        <v>4352.75</v>
      </c>
      <c r="N153" t="s">
        <v>20</v>
      </c>
    </row>
    <row r="154" spans="1:14" x14ac:dyDescent="0.25">
      <c r="A154" t="s">
        <v>52</v>
      </c>
      <c r="B154" t="s">
        <v>69</v>
      </c>
      <c r="C154" t="s">
        <v>53</v>
      </c>
      <c r="D154">
        <v>20020015</v>
      </c>
      <c r="E154" t="s">
        <v>73</v>
      </c>
      <c r="F154" s="1">
        <v>46114</v>
      </c>
      <c r="G154" t="s">
        <v>18</v>
      </c>
      <c r="H154" t="s">
        <v>19</v>
      </c>
      <c r="I154">
        <v>147.6</v>
      </c>
      <c r="J154">
        <v>3.5</v>
      </c>
      <c r="K154">
        <v>8.5</v>
      </c>
      <c r="L154">
        <v>37.880000000000003</v>
      </c>
      <c r="M154">
        <v>5591.09</v>
      </c>
      <c r="N154" t="s">
        <v>20</v>
      </c>
    </row>
    <row r="155" spans="1:14" x14ac:dyDescent="0.25">
      <c r="A155" t="s">
        <v>52</v>
      </c>
      <c r="B155" t="s">
        <v>69</v>
      </c>
      <c r="C155" t="s">
        <v>53</v>
      </c>
      <c r="D155">
        <v>20020002</v>
      </c>
      <c r="E155" t="s">
        <v>74</v>
      </c>
      <c r="F155" s="1">
        <v>46114</v>
      </c>
      <c r="G155" t="s">
        <v>18</v>
      </c>
      <c r="H155" t="s">
        <v>19</v>
      </c>
      <c r="I155">
        <v>129.4</v>
      </c>
      <c r="J155">
        <v>3.8</v>
      </c>
      <c r="K155">
        <v>8.4</v>
      </c>
      <c r="L155">
        <v>38.39</v>
      </c>
      <c r="M155">
        <v>4967.67</v>
      </c>
      <c r="N155" t="s">
        <v>20</v>
      </c>
    </row>
    <row r="156" spans="1:14" x14ac:dyDescent="0.25">
      <c r="A156" t="s">
        <v>52</v>
      </c>
      <c r="B156" t="s">
        <v>69</v>
      </c>
      <c r="C156" t="s">
        <v>53</v>
      </c>
      <c r="D156">
        <v>20020016</v>
      </c>
      <c r="E156" t="s">
        <v>75</v>
      </c>
      <c r="F156" s="1">
        <v>46114</v>
      </c>
      <c r="G156" t="s">
        <v>18</v>
      </c>
      <c r="H156" t="s">
        <v>19</v>
      </c>
      <c r="I156">
        <v>19.3</v>
      </c>
      <c r="J156">
        <v>4</v>
      </c>
      <c r="K156">
        <v>8.3000000000000007</v>
      </c>
      <c r="L156">
        <v>38.880000000000003</v>
      </c>
      <c r="M156">
        <v>750.38</v>
      </c>
      <c r="N156" t="s">
        <v>20</v>
      </c>
    </row>
    <row r="157" spans="1:14" x14ac:dyDescent="0.25">
      <c r="A157" t="s">
        <v>52</v>
      </c>
      <c r="B157" t="s">
        <v>54</v>
      </c>
      <c r="C157" t="s">
        <v>55</v>
      </c>
      <c r="D157">
        <v>20020007</v>
      </c>
      <c r="E157" t="s">
        <v>56</v>
      </c>
      <c r="F157" s="1">
        <v>46114</v>
      </c>
      <c r="G157" t="s">
        <v>18</v>
      </c>
      <c r="H157" t="s">
        <v>19</v>
      </c>
      <c r="I157">
        <v>137.5</v>
      </c>
      <c r="J157">
        <v>4.2</v>
      </c>
      <c r="K157">
        <v>8.4</v>
      </c>
      <c r="L157">
        <v>39.869999999999997</v>
      </c>
      <c r="M157">
        <v>5482.13</v>
      </c>
      <c r="N157" t="s">
        <v>20</v>
      </c>
    </row>
    <row r="158" spans="1:14" x14ac:dyDescent="0.25">
      <c r="A158" t="s">
        <v>52</v>
      </c>
      <c r="B158" t="s">
        <v>54</v>
      </c>
      <c r="C158" t="s">
        <v>55</v>
      </c>
      <c r="D158">
        <v>20050001</v>
      </c>
      <c r="E158" t="s">
        <v>55</v>
      </c>
      <c r="F158" s="1">
        <v>46114</v>
      </c>
      <c r="G158" t="s">
        <v>18</v>
      </c>
      <c r="H158" t="s">
        <v>19</v>
      </c>
      <c r="I158">
        <v>85.1</v>
      </c>
      <c r="J158">
        <v>3.9</v>
      </c>
      <c r="K158">
        <v>8.4</v>
      </c>
      <c r="L158">
        <v>38.76</v>
      </c>
      <c r="M158">
        <v>3298.48</v>
      </c>
      <c r="N158" t="s">
        <v>20</v>
      </c>
    </row>
    <row r="159" spans="1:14" x14ac:dyDescent="0.25">
      <c r="A159" t="s">
        <v>52</v>
      </c>
      <c r="B159" t="s">
        <v>54</v>
      </c>
      <c r="C159" t="s">
        <v>55</v>
      </c>
      <c r="D159">
        <v>20020005</v>
      </c>
      <c r="E159" t="s">
        <v>57</v>
      </c>
      <c r="F159" s="1">
        <v>46114</v>
      </c>
      <c r="G159" t="s">
        <v>18</v>
      </c>
      <c r="H159" t="s">
        <v>19</v>
      </c>
      <c r="I159">
        <v>60.7</v>
      </c>
      <c r="J159">
        <v>4</v>
      </c>
      <c r="K159">
        <v>8.4</v>
      </c>
      <c r="L159">
        <v>39.130000000000003</v>
      </c>
      <c r="M159">
        <v>2375.19</v>
      </c>
      <c r="N159" t="s">
        <v>20</v>
      </c>
    </row>
    <row r="160" spans="1:14" x14ac:dyDescent="0.25">
      <c r="A160" t="s">
        <v>52</v>
      </c>
      <c r="B160" t="s">
        <v>54</v>
      </c>
      <c r="C160" t="s">
        <v>55</v>
      </c>
      <c r="D160">
        <v>20050002</v>
      </c>
      <c r="E160" t="s">
        <v>58</v>
      </c>
      <c r="F160" s="1">
        <v>46114</v>
      </c>
      <c r="G160" t="s">
        <v>18</v>
      </c>
      <c r="H160" t="s">
        <v>19</v>
      </c>
      <c r="I160">
        <v>66.3</v>
      </c>
      <c r="J160">
        <v>3.3</v>
      </c>
      <c r="K160">
        <v>8.3000000000000007</v>
      </c>
      <c r="L160">
        <v>36.29</v>
      </c>
      <c r="M160">
        <v>2406.0300000000002</v>
      </c>
      <c r="N160" t="s">
        <v>20</v>
      </c>
    </row>
    <row r="161" spans="1:14" x14ac:dyDescent="0.25">
      <c r="A161" t="s">
        <v>52</v>
      </c>
      <c r="B161" t="s">
        <v>54</v>
      </c>
      <c r="C161" t="s">
        <v>55</v>
      </c>
      <c r="D161">
        <v>20050003</v>
      </c>
      <c r="E161" t="s">
        <v>60</v>
      </c>
      <c r="F161" s="1">
        <v>46114</v>
      </c>
      <c r="G161" t="s">
        <v>18</v>
      </c>
      <c r="H161" t="s">
        <v>19</v>
      </c>
      <c r="I161">
        <v>86.5</v>
      </c>
      <c r="J161">
        <v>3.7</v>
      </c>
      <c r="K161">
        <v>8.5</v>
      </c>
      <c r="L161">
        <v>38.630000000000003</v>
      </c>
      <c r="M161">
        <v>3341.5</v>
      </c>
      <c r="N161" t="s">
        <v>20</v>
      </c>
    </row>
    <row r="162" spans="1:14" x14ac:dyDescent="0.25">
      <c r="A162" t="s">
        <v>52</v>
      </c>
      <c r="B162" t="s">
        <v>54</v>
      </c>
      <c r="C162" t="s">
        <v>55</v>
      </c>
      <c r="D162">
        <v>20020023</v>
      </c>
      <c r="E162" t="s">
        <v>59</v>
      </c>
      <c r="F162" s="1">
        <v>46114</v>
      </c>
      <c r="G162" t="s">
        <v>18</v>
      </c>
      <c r="H162" t="s">
        <v>19</v>
      </c>
      <c r="I162">
        <v>34.200000000000003</v>
      </c>
      <c r="J162">
        <v>3.9</v>
      </c>
      <c r="K162">
        <v>8.5</v>
      </c>
      <c r="L162">
        <v>39.380000000000003</v>
      </c>
      <c r="M162">
        <v>1346.8</v>
      </c>
      <c r="N162" t="s">
        <v>20</v>
      </c>
    </row>
    <row r="163" spans="1:14" x14ac:dyDescent="0.25">
      <c r="A163" t="s">
        <v>52</v>
      </c>
      <c r="B163" t="s">
        <v>54</v>
      </c>
      <c r="C163" t="s">
        <v>55</v>
      </c>
      <c r="D163">
        <v>20020021</v>
      </c>
      <c r="E163" t="s">
        <v>61</v>
      </c>
      <c r="F163" s="1">
        <v>46114</v>
      </c>
      <c r="G163" t="s">
        <v>18</v>
      </c>
      <c r="H163" t="s">
        <v>19</v>
      </c>
      <c r="I163">
        <v>38.9</v>
      </c>
      <c r="J163">
        <v>4.2</v>
      </c>
      <c r="K163">
        <v>8.4</v>
      </c>
      <c r="L163">
        <v>39.869999999999997</v>
      </c>
      <c r="M163">
        <v>1550.94</v>
      </c>
      <c r="N163" t="s">
        <v>20</v>
      </c>
    </row>
    <row r="164" spans="1:14" x14ac:dyDescent="0.25">
      <c r="A164" t="s">
        <v>52</v>
      </c>
      <c r="B164" t="s">
        <v>62</v>
      </c>
      <c r="C164" t="s">
        <v>63</v>
      </c>
      <c r="D164">
        <v>20020006</v>
      </c>
      <c r="E164" t="s">
        <v>64</v>
      </c>
      <c r="F164" s="1">
        <v>46114</v>
      </c>
      <c r="G164" t="s">
        <v>18</v>
      </c>
      <c r="H164" t="s">
        <v>19</v>
      </c>
      <c r="I164">
        <v>169.8</v>
      </c>
      <c r="J164">
        <v>3.6</v>
      </c>
      <c r="K164">
        <v>8.5</v>
      </c>
      <c r="L164">
        <v>38.25</v>
      </c>
      <c r="M164">
        <v>6494.85</v>
      </c>
      <c r="N164" t="s">
        <v>20</v>
      </c>
    </row>
    <row r="165" spans="1:14" x14ac:dyDescent="0.25">
      <c r="A165" t="s">
        <v>52</v>
      </c>
      <c r="B165" t="s">
        <v>62</v>
      </c>
      <c r="C165" t="s">
        <v>63</v>
      </c>
      <c r="D165">
        <v>20020003</v>
      </c>
      <c r="E165" t="s">
        <v>68</v>
      </c>
      <c r="F165" s="1">
        <v>46114</v>
      </c>
      <c r="G165" t="s">
        <v>18</v>
      </c>
      <c r="H165" t="s">
        <v>19</v>
      </c>
      <c r="I165">
        <v>112</v>
      </c>
      <c r="J165">
        <v>3.3</v>
      </c>
      <c r="K165">
        <v>8.4</v>
      </c>
      <c r="L165">
        <v>36.54</v>
      </c>
      <c r="M165">
        <v>4092.48</v>
      </c>
      <c r="N165" t="s">
        <v>20</v>
      </c>
    </row>
    <row r="166" spans="1:14" x14ac:dyDescent="0.25">
      <c r="A166" t="s">
        <v>52</v>
      </c>
      <c r="B166" t="s">
        <v>62</v>
      </c>
      <c r="C166" t="s">
        <v>63</v>
      </c>
      <c r="D166">
        <v>20020004</v>
      </c>
      <c r="E166" t="s">
        <v>66</v>
      </c>
      <c r="F166" s="1">
        <v>46114</v>
      </c>
      <c r="G166" t="s">
        <v>18</v>
      </c>
      <c r="H166" t="s">
        <v>19</v>
      </c>
      <c r="I166">
        <v>19</v>
      </c>
      <c r="J166">
        <v>4.5999999999999996</v>
      </c>
      <c r="K166">
        <v>8.5</v>
      </c>
      <c r="L166">
        <v>42</v>
      </c>
      <c r="M166">
        <v>798</v>
      </c>
      <c r="N166" t="s">
        <v>20</v>
      </c>
    </row>
    <row r="167" spans="1:14" x14ac:dyDescent="0.25">
      <c r="A167" t="s">
        <v>52</v>
      </c>
      <c r="B167" t="s">
        <v>62</v>
      </c>
      <c r="C167" t="s">
        <v>63</v>
      </c>
      <c r="D167">
        <v>20020010</v>
      </c>
      <c r="E167" t="s">
        <v>67</v>
      </c>
      <c r="F167" s="1">
        <v>46114</v>
      </c>
      <c r="G167" t="s">
        <v>18</v>
      </c>
      <c r="H167" t="s">
        <v>19</v>
      </c>
      <c r="I167">
        <v>52.5</v>
      </c>
      <c r="J167">
        <v>3.5</v>
      </c>
      <c r="K167">
        <v>8.4</v>
      </c>
      <c r="L167">
        <v>37.28</v>
      </c>
      <c r="M167">
        <v>1957.2</v>
      </c>
      <c r="N167" t="s">
        <v>20</v>
      </c>
    </row>
    <row r="168" spans="1:14" x14ac:dyDescent="0.25">
      <c r="A168" t="s">
        <v>52</v>
      </c>
      <c r="B168" t="s">
        <v>62</v>
      </c>
      <c r="C168" t="s">
        <v>63</v>
      </c>
      <c r="D168">
        <v>20020013</v>
      </c>
      <c r="E168" t="s">
        <v>65</v>
      </c>
      <c r="F168" s="1">
        <v>46114</v>
      </c>
      <c r="G168" t="s">
        <v>18</v>
      </c>
      <c r="H168" t="s">
        <v>19</v>
      </c>
      <c r="I168">
        <v>41.6</v>
      </c>
      <c r="J168">
        <v>3.8</v>
      </c>
      <c r="K168">
        <v>8.4</v>
      </c>
      <c r="L168">
        <v>38.39</v>
      </c>
      <c r="M168">
        <v>1597.02</v>
      </c>
      <c r="N168" t="s">
        <v>20</v>
      </c>
    </row>
    <row r="169" spans="1:14" x14ac:dyDescent="0.25">
      <c r="A169" t="s">
        <v>52</v>
      </c>
      <c r="B169" t="s">
        <v>62</v>
      </c>
      <c r="C169" t="s">
        <v>63</v>
      </c>
      <c r="D169">
        <v>20020025</v>
      </c>
      <c r="E169" t="s">
        <v>78</v>
      </c>
      <c r="F169" s="1">
        <v>46114</v>
      </c>
      <c r="G169" t="s">
        <v>18</v>
      </c>
      <c r="H169" t="s">
        <v>19</v>
      </c>
      <c r="I169">
        <v>30.9</v>
      </c>
      <c r="J169">
        <v>4.4000000000000004</v>
      </c>
      <c r="K169">
        <v>8.4</v>
      </c>
      <c r="L169">
        <v>40.61</v>
      </c>
      <c r="M169">
        <v>1254.8499999999999</v>
      </c>
      <c r="N169" t="s">
        <v>20</v>
      </c>
    </row>
    <row r="170" spans="1:14" x14ac:dyDescent="0.25">
      <c r="A170" t="s">
        <v>52</v>
      </c>
      <c r="B170" t="s">
        <v>69</v>
      </c>
      <c r="C170" t="s">
        <v>53</v>
      </c>
      <c r="D170">
        <v>20020017</v>
      </c>
      <c r="E170" t="s">
        <v>76</v>
      </c>
      <c r="F170" s="1">
        <v>46114</v>
      </c>
      <c r="G170" t="s">
        <v>18</v>
      </c>
      <c r="H170" t="s">
        <v>19</v>
      </c>
      <c r="I170">
        <v>80.7</v>
      </c>
      <c r="J170">
        <v>4</v>
      </c>
      <c r="K170">
        <v>8.3000000000000007</v>
      </c>
      <c r="L170">
        <v>38.880000000000003</v>
      </c>
      <c r="M170">
        <v>3137.62</v>
      </c>
      <c r="N170" t="s">
        <v>20</v>
      </c>
    </row>
    <row r="171" spans="1:14" x14ac:dyDescent="0.25">
      <c r="A171" t="s">
        <v>52</v>
      </c>
      <c r="B171" t="s">
        <v>77</v>
      </c>
      <c r="C171" t="s">
        <v>50</v>
      </c>
      <c r="D171">
        <v>20020001</v>
      </c>
      <c r="E171" t="s">
        <v>53</v>
      </c>
      <c r="F171" s="1">
        <v>46114</v>
      </c>
      <c r="G171" t="s">
        <v>18</v>
      </c>
      <c r="H171" t="s">
        <v>19</v>
      </c>
      <c r="I171">
        <v>1472.5</v>
      </c>
      <c r="J171">
        <v>4.0999999999999996</v>
      </c>
      <c r="K171">
        <v>8.4</v>
      </c>
      <c r="L171">
        <v>39.39</v>
      </c>
      <c r="M171">
        <v>57997.57</v>
      </c>
      <c r="N171" t="s">
        <v>22</v>
      </c>
    </row>
    <row r="172" spans="1:14" x14ac:dyDescent="0.25">
      <c r="A172" t="s">
        <v>52</v>
      </c>
      <c r="B172" t="s">
        <v>77</v>
      </c>
      <c r="C172" t="s">
        <v>50</v>
      </c>
      <c r="D172">
        <v>20020001</v>
      </c>
      <c r="E172" t="s">
        <v>53</v>
      </c>
      <c r="F172" s="1">
        <v>46114</v>
      </c>
      <c r="G172" t="s">
        <v>18</v>
      </c>
      <c r="H172" t="s">
        <v>29</v>
      </c>
      <c r="I172">
        <v>43.4</v>
      </c>
      <c r="J172">
        <v>6.7</v>
      </c>
      <c r="K172">
        <v>8.6</v>
      </c>
      <c r="L172">
        <v>54.03</v>
      </c>
      <c r="M172">
        <v>2344.9699999999998</v>
      </c>
      <c r="N172" t="s">
        <v>22</v>
      </c>
    </row>
    <row r="173" spans="1:14" x14ac:dyDescent="0.25">
      <c r="A173" t="s">
        <v>52</v>
      </c>
      <c r="B173" t="s">
        <v>69</v>
      </c>
      <c r="C173" t="s">
        <v>53</v>
      </c>
      <c r="D173">
        <v>20020014</v>
      </c>
      <c r="E173" t="s">
        <v>71</v>
      </c>
      <c r="F173" s="1">
        <v>46114</v>
      </c>
      <c r="G173" t="s">
        <v>51</v>
      </c>
      <c r="H173" t="s">
        <v>19</v>
      </c>
      <c r="I173">
        <v>76.7</v>
      </c>
      <c r="J173">
        <v>3.8</v>
      </c>
      <c r="K173">
        <v>8.4</v>
      </c>
      <c r="L173">
        <v>38.39</v>
      </c>
      <c r="M173">
        <v>2944.51</v>
      </c>
      <c r="N173" t="s">
        <v>20</v>
      </c>
    </row>
    <row r="174" spans="1:14" x14ac:dyDescent="0.25">
      <c r="A174" t="s">
        <v>52</v>
      </c>
      <c r="B174" t="s">
        <v>69</v>
      </c>
      <c r="C174" t="s">
        <v>53</v>
      </c>
      <c r="D174">
        <v>20020011</v>
      </c>
      <c r="E174" t="s">
        <v>70</v>
      </c>
      <c r="F174" s="1">
        <v>46114</v>
      </c>
      <c r="G174" t="s">
        <v>51</v>
      </c>
      <c r="H174" t="s">
        <v>19</v>
      </c>
      <c r="I174">
        <v>26.9</v>
      </c>
      <c r="J174">
        <v>3.7</v>
      </c>
      <c r="K174">
        <v>8.4</v>
      </c>
      <c r="L174">
        <v>38.020000000000003</v>
      </c>
      <c r="M174">
        <v>1022.74</v>
      </c>
      <c r="N174" t="s">
        <v>20</v>
      </c>
    </row>
    <row r="175" spans="1:14" x14ac:dyDescent="0.25">
      <c r="A175" t="s">
        <v>52</v>
      </c>
      <c r="B175" t="s">
        <v>69</v>
      </c>
      <c r="C175" t="s">
        <v>53</v>
      </c>
      <c r="D175">
        <v>20020020</v>
      </c>
      <c r="E175" t="s">
        <v>72</v>
      </c>
      <c r="F175" s="1">
        <v>46114</v>
      </c>
      <c r="G175" t="s">
        <v>51</v>
      </c>
      <c r="H175" t="s">
        <v>19</v>
      </c>
      <c r="I175">
        <v>55.7</v>
      </c>
      <c r="J175">
        <v>3.8</v>
      </c>
      <c r="K175">
        <v>8.5</v>
      </c>
      <c r="L175">
        <v>39</v>
      </c>
      <c r="M175">
        <v>2172.3000000000002</v>
      </c>
      <c r="N175" t="s">
        <v>22</v>
      </c>
    </row>
    <row r="176" spans="1:14" x14ac:dyDescent="0.25">
      <c r="A176" t="s">
        <v>52</v>
      </c>
      <c r="B176" t="s">
        <v>69</v>
      </c>
      <c r="C176" t="s">
        <v>53</v>
      </c>
      <c r="D176">
        <v>20020015</v>
      </c>
      <c r="E176" t="s">
        <v>73</v>
      </c>
      <c r="F176" s="1">
        <v>46114</v>
      </c>
      <c r="G176" t="s">
        <v>51</v>
      </c>
      <c r="H176" t="s">
        <v>19</v>
      </c>
      <c r="I176">
        <v>80.400000000000006</v>
      </c>
      <c r="J176">
        <v>3.5</v>
      </c>
      <c r="K176">
        <v>8.3000000000000007</v>
      </c>
      <c r="L176">
        <v>37.03</v>
      </c>
      <c r="M176">
        <v>2977.21</v>
      </c>
      <c r="N176" t="s">
        <v>20</v>
      </c>
    </row>
    <row r="177" spans="1:14" x14ac:dyDescent="0.25">
      <c r="A177" t="s">
        <v>52</v>
      </c>
      <c r="B177" t="s">
        <v>69</v>
      </c>
      <c r="C177" t="s">
        <v>53</v>
      </c>
      <c r="D177">
        <v>20020002</v>
      </c>
      <c r="E177" t="s">
        <v>74</v>
      </c>
      <c r="F177" s="1">
        <v>46114</v>
      </c>
      <c r="G177" t="s">
        <v>51</v>
      </c>
      <c r="H177" t="s">
        <v>19</v>
      </c>
      <c r="I177">
        <v>61</v>
      </c>
      <c r="J177">
        <v>3.4</v>
      </c>
      <c r="K177">
        <v>8.4</v>
      </c>
      <c r="L177">
        <v>36.909999999999997</v>
      </c>
      <c r="M177">
        <v>2251.5100000000002</v>
      </c>
      <c r="N177" t="s">
        <v>20</v>
      </c>
    </row>
    <row r="178" spans="1:14" x14ac:dyDescent="0.25">
      <c r="A178" t="s">
        <v>52</v>
      </c>
      <c r="B178" t="s">
        <v>69</v>
      </c>
      <c r="C178" t="s">
        <v>53</v>
      </c>
      <c r="D178">
        <v>20020016</v>
      </c>
      <c r="E178" t="s">
        <v>75</v>
      </c>
      <c r="F178" s="1">
        <v>46114</v>
      </c>
      <c r="G178" t="s">
        <v>51</v>
      </c>
      <c r="H178" t="s">
        <v>19</v>
      </c>
      <c r="I178">
        <v>25</v>
      </c>
      <c r="J178">
        <v>3.6</v>
      </c>
      <c r="K178">
        <v>8.3000000000000007</v>
      </c>
      <c r="L178">
        <v>37.4</v>
      </c>
      <c r="M178">
        <v>935</v>
      </c>
      <c r="N178" t="s">
        <v>20</v>
      </c>
    </row>
    <row r="179" spans="1:14" x14ac:dyDescent="0.25">
      <c r="A179" t="s">
        <v>52</v>
      </c>
      <c r="B179" t="s">
        <v>69</v>
      </c>
      <c r="C179" t="s">
        <v>53</v>
      </c>
      <c r="D179">
        <v>20020015</v>
      </c>
      <c r="E179" t="s">
        <v>73</v>
      </c>
      <c r="F179" s="1">
        <v>46114</v>
      </c>
      <c r="G179" t="s">
        <v>51</v>
      </c>
      <c r="H179" t="s">
        <v>19</v>
      </c>
      <c r="I179">
        <v>8.8000000000000007</v>
      </c>
      <c r="J179">
        <v>3.5</v>
      </c>
      <c r="K179">
        <v>8.3000000000000007</v>
      </c>
      <c r="L179">
        <v>37.03</v>
      </c>
      <c r="M179">
        <v>325.86</v>
      </c>
      <c r="N179" t="s">
        <v>20</v>
      </c>
    </row>
    <row r="180" spans="1:14" x14ac:dyDescent="0.25">
      <c r="A180" t="s">
        <v>52</v>
      </c>
      <c r="B180" t="s">
        <v>62</v>
      </c>
      <c r="C180" t="s">
        <v>63</v>
      </c>
      <c r="D180">
        <v>20020006</v>
      </c>
      <c r="E180" t="s">
        <v>64</v>
      </c>
      <c r="F180" s="1">
        <v>46114</v>
      </c>
      <c r="G180" t="s">
        <v>51</v>
      </c>
      <c r="H180" t="s">
        <v>19</v>
      </c>
      <c r="I180">
        <v>140.19999999999999</v>
      </c>
      <c r="J180">
        <v>3.7</v>
      </c>
      <c r="K180">
        <v>8.4</v>
      </c>
      <c r="L180">
        <v>38.020000000000003</v>
      </c>
      <c r="M180">
        <v>5330.4</v>
      </c>
      <c r="N180" t="s">
        <v>20</v>
      </c>
    </row>
    <row r="181" spans="1:14" x14ac:dyDescent="0.25">
      <c r="A181" t="s">
        <v>52</v>
      </c>
      <c r="B181" t="s">
        <v>62</v>
      </c>
      <c r="C181" t="s">
        <v>63</v>
      </c>
      <c r="D181">
        <v>20020013</v>
      </c>
      <c r="E181" t="s">
        <v>65</v>
      </c>
      <c r="F181" s="1">
        <v>46114</v>
      </c>
      <c r="G181" t="s">
        <v>51</v>
      </c>
      <c r="H181" t="s">
        <v>19</v>
      </c>
      <c r="I181">
        <v>110.8</v>
      </c>
      <c r="J181">
        <v>3.3</v>
      </c>
      <c r="K181">
        <v>8.3000000000000007</v>
      </c>
      <c r="L181">
        <v>36.29</v>
      </c>
      <c r="M181">
        <v>4020.93</v>
      </c>
      <c r="N181" t="s">
        <v>20</v>
      </c>
    </row>
    <row r="182" spans="1:14" x14ac:dyDescent="0.25">
      <c r="A182" t="s">
        <v>52</v>
      </c>
      <c r="B182" t="s">
        <v>62</v>
      </c>
      <c r="C182" t="s">
        <v>63</v>
      </c>
      <c r="D182">
        <v>20020004</v>
      </c>
      <c r="E182" t="s">
        <v>66</v>
      </c>
      <c r="F182" s="1">
        <v>46114</v>
      </c>
      <c r="G182" t="s">
        <v>51</v>
      </c>
      <c r="H182" t="s">
        <v>19</v>
      </c>
      <c r="I182">
        <v>7.9</v>
      </c>
      <c r="J182">
        <v>3.3</v>
      </c>
      <c r="K182">
        <v>8.4</v>
      </c>
      <c r="L182">
        <v>36.54</v>
      </c>
      <c r="M182">
        <v>288.67</v>
      </c>
      <c r="N182" t="s">
        <v>20</v>
      </c>
    </row>
    <row r="183" spans="1:14" x14ac:dyDescent="0.25">
      <c r="A183" t="s">
        <v>52</v>
      </c>
      <c r="B183" t="s">
        <v>62</v>
      </c>
      <c r="C183" t="s">
        <v>63</v>
      </c>
      <c r="D183">
        <v>20020003</v>
      </c>
      <c r="E183" t="s">
        <v>68</v>
      </c>
      <c r="F183" s="1">
        <v>46114</v>
      </c>
      <c r="G183" t="s">
        <v>51</v>
      </c>
      <c r="H183" t="s">
        <v>19</v>
      </c>
      <c r="I183">
        <v>97.6</v>
      </c>
      <c r="J183">
        <v>3.6</v>
      </c>
      <c r="K183">
        <v>8.3000000000000007</v>
      </c>
      <c r="L183">
        <v>37.4</v>
      </c>
      <c r="M183">
        <v>3650.24</v>
      </c>
      <c r="N183" t="s">
        <v>20</v>
      </c>
    </row>
    <row r="184" spans="1:14" x14ac:dyDescent="0.25">
      <c r="A184" t="s">
        <v>52</v>
      </c>
      <c r="B184" t="s">
        <v>62</v>
      </c>
      <c r="C184" t="s">
        <v>63</v>
      </c>
      <c r="D184">
        <v>20020025</v>
      </c>
      <c r="E184" t="s">
        <v>78</v>
      </c>
      <c r="F184" s="1">
        <v>46114</v>
      </c>
      <c r="G184" t="s">
        <v>51</v>
      </c>
      <c r="H184" t="s">
        <v>19</v>
      </c>
      <c r="I184">
        <v>20.3</v>
      </c>
      <c r="J184">
        <v>4.7</v>
      </c>
      <c r="K184">
        <v>8.4</v>
      </c>
      <c r="L184">
        <v>41.72</v>
      </c>
      <c r="M184">
        <v>846.92</v>
      </c>
      <c r="N184" t="s">
        <v>20</v>
      </c>
    </row>
    <row r="185" spans="1:14" x14ac:dyDescent="0.25">
      <c r="A185" t="s">
        <v>52</v>
      </c>
      <c r="B185" t="s">
        <v>62</v>
      </c>
      <c r="C185" t="s">
        <v>63</v>
      </c>
      <c r="D185">
        <v>20020010</v>
      </c>
      <c r="E185" t="s">
        <v>67</v>
      </c>
      <c r="F185" s="1">
        <v>46114</v>
      </c>
      <c r="G185" t="s">
        <v>51</v>
      </c>
      <c r="H185" t="s">
        <v>19</v>
      </c>
      <c r="I185">
        <v>36.200000000000003</v>
      </c>
      <c r="J185">
        <v>3.9</v>
      </c>
      <c r="K185">
        <v>8.4</v>
      </c>
      <c r="L185">
        <v>38.76</v>
      </c>
      <c r="M185">
        <v>1403.11</v>
      </c>
      <c r="N185" t="s">
        <v>20</v>
      </c>
    </row>
    <row r="186" spans="1:14" x14ac:dyDescent="0.25">
      <c r="A186" t="s">
        <v>52</v>
      </c>
      <c r="B186" t="s">
        <v>54</v>
      </c>
      <c r="C186" t="s">
        <v>55</v>
      </c>
      <c r="D186">
        <v>20020021</v>
      </c>
      <c r="E186" t="s">
        <v>61</v>
      </c>
      <c r="F186" s="1">
        <v>46114</v>
      </c>
      <c r="G186" t="s">
        <v>51</v>
      </c>
      <c r="H186" t="s">
        <v>19</v>
      </c>
      <c r="I186">
        <v>7.2</v>
      </c>
      <c r="J186">
        <v>4</v>
      </c>
      <c r="K186">
        <v>8.3000000000000007</v>
      </c>
      <c r="L186">
        <v>38.880000000000003</v>
      </c>
      <c r="M186">
        <v>279.94</v>
      </c>
      <c r="N186" t="s">
        <v>20</v>
      </c>
    </row>
    <row r="187" spans="1:14" x14ac:dyDescent="0.25">
      <c r="A187" t="s">
        <v>52</v>
      </c>
      <c r="B187" t="s">
        <v>54</v>
      </c>
      <c r="C187" t="s">
        <v>55</v>
      </c>
      <c r="D187">
        <v>20050001</v>
      </c>
      <c r="E187" t="s">
        <v>55</v>
      </c>
      <c r="F187" s="1">
        <v>46114</v>
      </c>
      <c r="G187" t="s">
        <v>51</v>
      </c>
      <c r="H187" t="s">
        <v>19</v>
      </c>
      <c r="I187">
        <v>21.1</v>
      </c>
      <c r="J187">
        <v>3.8</v>
      </c>
      <c r="K187">
        <v>8.4</v>
      </c>
      <c r="L187">
        <v>38.39</v>
      </c>
      <c r="M187">
        <v>810.03</v>
      </c>
      <c r="N187" t="s">
        <v>20</v>
      </c>
    </row>
    <row r="188" spans="1:14" x14ac:dyDescent="0.25">
      <c r="A188" t="s">
        <v>52</v>
      </c>
      <c r="B188" t="s">
        <v>54</v>
      </c>
      <c r="C188" t="s">
        <v>55</v>
      </c>
      <c r="D188">
        <v>20050002</v>
      </c>
      <c r="E188" t="s">
        <v>58</v>
      </c>
      <c r="F188" s="1">
        <v>46114</v>
      </c>
      <c r="G188" t="s">
        <v>51</v>
      </c>
      <c r="H188" t="s">
        <v>19</v>
      </c>
      <c r="I188">
        <v>34.200000000000003</v>
      </c>
      <c r="J188">
        <v>3.1</v>
      </c>
      <c r="K188">
        <v>8.3000000000000007</v>
      </c>
      <c r="L188">
        <v>35.549999999999997</v>
      </c>
      <c r="M188">
        <v>1215.81</v>
      </c>
      <c r="N188" t="s">
        <v>20</v>
      </c>
    </row>
    <row r="189" spans="1:14" x14ac:dyDescent="0.25">
      <c r="A189" t="s">
        <v>52</v>
      </c>
      <c r="B189" t="s">
        <v>54</v>
      </c>
      <c r="C189" t="s">
        <v>55</v>
      </c>
      <c r="D189">
        <v>20050003</v>
      </c>
      <c r="E189" t="s">
        <v>60</v>
      </c>
      <c r="F189" s="1">
        <v>46114</v>
      </c>
      <c r="G189" t="s">
        <v>51</v>
      </c>
      <c r="H189" t="s">
        <v>19</v>
      </c>
      <c r="I189">
        <v>57.2</v>
      </c>
      <c r="J189">
        <v>3.8</v>
      </c>
      <c r="K189">
        <v>8.4</v>
      </c>
      <c r="L189">
        <v>38.39</v>
      </c>
      <c r="M189">
        <v>2195.91</v>
      </c>
      <c r="N189" t="s">
        <v>20</v>
      </c>
    </row>
    <row r="190" spans="1:14" x14ac:dyDescent="0.25">
      <c r="A190" t="s">
        <v>52</v>
      </c>
      <c r="B190" t="s">
        <v>54</v>
      </c>
      <c r="C190" t="s">
        <v>55</v>
      </c>
      <c r="D190">
        <v>20020005</v>
      </c>
      <c r="E190" t="s">
        <v>57</v>
      </c>
      <c r="F190" s="1">
        <v>46114</v>
      </c>
      <c r="G190" t="s">
        <v>51</v>
      </c>
      <c r="H190" t="s">
        <v>19</v>
      </c>
      <c r="I190">
        <v>15.9</v>
      </c>
      <c r="J190">
        <v>4</v>
      </c>
      <c r="K190">
        <v>8.4</v>
      </c>
      <c r="L190">
        <v>39.130000000000003</v>
      </c>
      <c r="M190">
        <v>622.16999999999996</v>
      </c>
      <c r="N190" t="s">
        <v>20</v>
      </c>
    </row>
    <row r="191" spans="1:14" x14ac:dyDescent="0.25">
      <c r="A191" t="s">
        <v>52</v>
      </c>
      <c r="B191" t="s">
        <v>54</v>
      </c>
      <c r="C191" t="s">
        <v>55</v>
      </c>
      <c r="D191">
        <v>20020023</v>
      </c>
      <c r="E191" t="s">
        <v>59</v>
      </c>
      <c r="F191" s="1">
        <v>46114</v>
      </c>
      <c r="G191" t="s">
        <v>51</v>
      </c>
      <c r="H191" t="s">
        <v>19</v>
      </c>
      <c r="I191">
        <v>26.2</v>
      </c>
      <c r="J191">
        <v>4.4000000000000004</v>
      </c>
      <c r="K191">
        <v>8.4</v>
      </c>
      <c r="L191">
        <v>40.61</v>
      </c>
      <c r="M191">
        <v>1063.98</v>
      </c>
      <c r="N191" t="s">
        <v>20</v>
      </c>
    </row>
    <row r="192" spans="1:14" x14ac:dyDescent="0.25">
      <c r="A192" t="s">
        <v>52</v>
      </c>
      <c r="B192" t="s">
        <v>77</v>
      </c>
      <c r="C192" t="s">
        <v>50</v>
      </c>
      <c r="D192">
        <v>20020001</v>
      </c>
      <c r="E192" t="s">
        <v>53</v>
      </c>
      <c r="F192" s="1">
        <v>46114</v>
      </c>
      <c r="G192" t="s">
        <v>51</v>
      </c>
      <c r="H192" t="s">
        <v>19</v>
      </c>
      <c r="I192">
        <v>616.5</v>
      </c>
      <c r="J192">
        <v>4.0999999999999996</v>
      </c>
      <c r="K192">
        <v>8.4</v>
      </c>
      <c r="L192">
        <v>39.29</v>
      </c>
      <c r="M192">
        <v>24221.19</v>
      </c>
      <c r="N192" t="s">
        <v>22</v>
      </c>
    </row>
    <row r="193" spans="1:14" x14ac:dyDescent="0.25">
      <c r="A193" t="s">
        <v>52</v>
      </c>
      <c r="B193" t="s">
        <v>77</v>
      </c>
      <c r="C193" t="s">
        <v>50</v>
      </c>
      <c r="D193">
        <v>20020001</v>
      </c>
      <c r="E193" t="s">
        <v>53</v>
      </c>
      <c r="F193" s="1">
        <v>46114</v>
      </c>
      <c r="G193" t="s">
        <v>51</v>
      </c>
      <c r="H193" t="s">
        <v>29</v>
      </c>
      <c r="I193">
        <v>37.6</v>
      </c>
      <c r="J193">
        <v>6</v>
      </c>
      <c r="K193">
        <v>8.4</v>
      </c>
      <c r="L193">
        <v>49.23</v>
      </c>
      <c r="M193">
        <v>1850.9</v>
      </c>
      <c r="N193" t="s">
        <v>22</v>
      </c>
    </row>
    <row r="194" spans="1:14" x14ac:dyDescent="0.25">
      <c r="A194" t="s">
        <v>52</v>
      </c>
      <c r="B194" t="s">
        <v>54</v>
      </c>
      <c r="C194" t="s">
        <v>55</v>
      </c>
      <c r="D194">
        <v>20020007</v>
      </c>
      <c r="E194" t="s">
        <v>56</v>
      </c>
      <c r="F194" s="1">
        <v>46114</v>
      </c>
      <c r="G194" t="s">
        <v>51</v>
      </c>
      <c r="H194" t="s">
        <v>19</v>
      </c>
      <c r="I194">
        <v>43</v>
      </c>
      <c r="J194">
        <v>3.9</v>
      </c>
      <c r="K194">
        <v>8.3000000000000007</v>
      </c>
      <c r="L194">
        <v>38.51</v>
      </c>
      <c r="M194">
        <v>1655.93</v>
      </c>
      <c r="N194" t="s">
        <v>20</v>
      </c>
    </row>
    <row r="195" spans="1:14" x14ac:dyDescent="0.25">
      <c r="A195" t="s">
        <v>79</v>
      </c>
      <c r="B195" t="s">
        <v>81</v>
      </c>
      <c r="C195" t="s">
        <v>80</v>
      </c>
      <c r="D195">
        <v>20030005</v>
      </c>
      <c r="E195" t="s">
        <v>82</v>
      </c>
      <c r="F195" s="1">
        <v>46113</v>
      </c>
      <c r="G195" t="s">
        <v>18</v>
      </c>
      <c r="H195" t="s">
        <v>19</v>
      </c>
      <c r="I195">
        <v>4.72</v>
      </c>
      <c r="J195">
        <v>3.8</v>
      </c>
      <c r="K195">
        <v>8.6</v>
      </c>
      <c r="L195">
        <v>39.25</v>
      </c>
      <c r="M195">
        <v>185.26</v>
      </c>
      <c r="N195" t="s">
        <v>22</v>
      </c>
    </row>
    <row r="196" spans="1:14" x14ac:dyDescent="0.25">
      <c r="A196" t="s">
        <v>79</v>
      </c>
      <c r="B196" t="s">
        <v>81</v>
      </c>
      <c r="C196" t="s">
        <v>80</v>
      </c>
      <c r="D196">
        <v>20030009</v>
      </c>
      <c r="E196" t="s">
        <v>83</v>
      </c>
      <c r="F196" s="1">
        <v>46113</v>
      </c>
      <c r="G196" t="s">
        <v>18</v>
      </c>
      <c r="H196" t="s">
        <v>19</v>
      </c>
      <c r="I196">
        <v>42.51</v>
      </c>
      <c r="J196">
        <v>3.8</v>
      </c>
      <c r="K196">
        <v>8</v>
      </c>
      <c r="L196">
        <v>36.97</v>
      </c>
      <c r="M196">
        <v>1571.59</v>
      </c>
      <c r="N196" t="s">
        <v>22</v>
      </c>
    </row>
    <row r="197" spans="1:14" x14ac:dyDescent="0.25">
      <c r="A197" t="s">
        <v>79</v>
      </c>
      <c r="B197" t="s">
        <v>81</v>
      </c>
      <c r="C197" t="s">
        <v>80</v>
      </c>
      <c r="D197">
        <v>20030002</v>
      </c>
      <c r="E197" t="s">
        <v>84</v>
      </c>
      <c r="F197" s="1">
        <v>46113</v>
      </c>
      <c r="G197" t="s">
        <v>18</v>
      </c>
      <c r="H197" t="s">
        <v>19</v>
      </c>
      <c r="I197">
        <v>39.950000000000003</v>
      </c>
      <c r="J197">
        <v>3.8</v>
      </c>
      <c r="K197">
        <v>8</v>
      </c>
      <c r="L197">
        <v>36.97</v>
      </c>
      <c r="M197">
        <v>1476.95</v>
      </c>
      <c r="N197" t="s">
        <v>22</v>
      </c>
    </row>
    <row r="198" spans="1:14" x14ac:dyDescent="0.25">
      <c r="A198" t="s">
        <v>79</v>
      </c>
      <c r="B198" t="s">
        <v>81</v>
      </c>
      <c r="C198" t="s">
        <v>80</v>
      </c>
      <c r="D198">
        <v>20030012</v>
      </c>
      <c r="E198" t="s">
        <v>85</v>
      </c>
      <c r="F198" s="1">
        <v>46113</v>
      </c>
      <c r="G198" t="s">
        <v>18</v>
      </c>
      <c r="H198" t="s">
        <v>19</v>
      </c>
      <c r="I198">
        <v>47.57</v>
      </c>
      <c r="J198">
        <v>4</v>
      </c>
      <c r="K198">
        <v>8.3000000000000007</v>
      </c>
      <c r="L198">
        <v>38.880000000000003</v>
      </c>
      <c r="M198">
        <v>1849.52</v>
      </c>
      <c r="N198" t="s">
        <v>22</v>
      </c>
    </row>
    <row r="199" spans="1:14" x14ac:dyDescent="0.25">
      <c r="A199" t="s">
        <v>79</v>
      </c>
      <c r="B199" t="s">
        <v>86</v>
      </c>
      <c r="C199" t="s">
        <v>50</v>
      </c>
      <c r="D199">
        <v>20030001</v>
      </c>
      <c r="E199" t="s">
        <v>80</v>
      </c>
      <c r="F199" s="1">
        <v>46113</v>
      </c>
      <c r="G199" t="s">
        <v>18</v>
      </c>
      <c r="H199" t="s">
        <v>19</v>
      </c>
      <c r="I199">
        <v>452.11</v>
      </c>
      <c r="J199">
        <v>3.7</v>
      </c>
      <c r="K199">
        <v>8.4</v>
      </c>
      <c r="L199">
        <v>37.58</v>
      </c>
      <c r="M199">
        <v>16989.990000000002</v>
      </c>
      <c r="N199" t="s">
        <v>22</v>
      </c>
    </row>
    <row r="200" spans="1:14" x14ac:dyDescent="0.25">
      <c r="A200" t="s">
        <v>79</v>
      </c>
      <c r="B200" t="s">
        <v>86</v>
      </c>
      <c r="C200" t="s">
        <v>50</v>
      </c>
      <c r="D200">
        <v>20030001</v>
      </c>
      <c r="E200" t="s">
        <v>80</v>
      </c>
      <c r="F200" s="1">
        <v>46113</v>
      </c>
      <c r="G200" t="s">
        <v>18</v>
      </c>
      <c r="H200" t="s">
        <v>29</v>
      </c>
      <c r="I200">
        <v>12.37</v>
      </c>
      <c r="J200">
        <v>5.2</v>
      </c>
      <c r="K200">
        <v>8.6</v>
      </c>
      <c r="L200">
        <v>44.03</v>
      </c>
      <c r="M200">
        <v>544.61</v>
      </c>
      <c r="N200" t="s">
        <v>22</v>
      </c>
    </row>
    <row r="201" spans="1:14" x14ac:dyDescent="0.25">
      <c r="A201" t="s">
        <v>79</v>
      </c>
      <c r="B201" t="s">
        <v>81</v>
      </c>
      <c r="C201" t="s">
        <v>80</v>
      </c>
      <c r="D201">
        <v>20030005</v>
      </c>
      <c r="E201" t="s">
        <v>82</v>
      </c>
      <c r="F201" s="1">
        <v>46113</v>
      </c>
      <c r="G201" t="s">
        <v>51</v>
      </c>
      <c r="H201" t="s">
        <v>19</v>
      </c>
      <c r="I201">
        <v>6.95</v>
      </c>
      <c r="J201">
        <v>4.3</v>
      </c>
      <c r="K201">
        <v>8.6999999999999993</v>
      </c>
      <c r="L201">
        <v>41.38</v>
      </c>
      <c r="M201">
        <v>287.58999999999997</v>
      </c>
      <c r="N201" t="s">
        <v>22</v>
      </c>
    </row>
    <row r="202" spans="1:14" x14ac:dyDescent="0.25">
      <c r="A202" t="s">
        <v>79</v>
      </c>
      <c r="B202" t="s">
        <v>86</v>
      </c>
      <c r="C202" t="s">
        <v>50</v>
      </c>
      <c r="D202">
        <v>20030001</v>
      </c>
      <c r="E202" t="s">
        <v>80</v>
      </c>
      <c r="F202" s="1">
        <v>46113</v>
      </c>
      <c r="G202" t="s">
        <v>51</v>
      </c>
      <c r="H202" t="s">
        <v>19</v>
      </c>
      <c r="I202">
        <v>183.46</v>
      </c>
      <c r="J202">
        <v>3.6</v>
      </c>
      <c r="K202">
        <v>8.1</v>
      </c>
      <c r="L202">
        <v>35.869999999999997</v>
      </c>
      <c r="M202">
        <v>6581.43</v>
      </c>
      <c r="N202" t="s">
        <v>22</v>
      </c>
    </row>
    <row r="203" spans="1:14" x14ac:dyDescent="0.25">
      <c r="A203" t="s">
        <v>79</v>
      </c>
      <c r="B203" t="s">
        <v>86</v>
      </c>
      <c r="C203" t="s">
        <v>50</v>
      </c>
      <c r="D203">
        <v>20030001</v>
      </c>
      <c r="E203" t="s">
        <v>80</v>
      </c>
      <c r="F203" s="1">
        <v>46113</v>
      </c>
      <c r="G203" t="s">
        <v>51</v>
      </c>
      <c r="H203" t="s">
        <v>29</v>
      </c>
      <c r="I203">
        <v>10.85</v>
      </c>
      <c r="J203">
        <v>5.9</v>
      </c>
      <c r="K203">
        <v>8.6999999999999993</v>
      </c>
      <c r="L203">
        <v>47.12</v>
      </c>
      <c r="M203">
        <v>511.29</v>
      </c>
      <c r="N203" t="s">
        <v>22</v>
      </c>
    </row>
    <row r="204" spans="1:14" x14ac:dyDescent="0.25">
      <c r="A204" t="s">
        <v>79</v>
      </c>
      <c r="B204" t="s">
        <v>81</v>
      </c>
      <c r="C204" t="s">
        <v>80</v>
      </c>
      <c r="D204">
        <v>20030005</v>
      </c>
      <c r="E204" t="s">
        <v>82</v>
      </c>
      <c r="F204" s="1">
        <v>46114</v>
      </c>
      <c r="G204" t="s">
        <v>18</v>
      </c>
      <c r="H204" t="s">
        <v>19</v>
      </c>
      <c r="I204">
        <v>5.13</v>
      </c>
      <c r="J204">
        <v>4</v>
      </c>
      <c r="K204">
        <v>8.6999999999999993</v>
      </c>
      <c r="L204">
        <v>40.25</v>
      </c>
      <c r="M204">
        <v>206.48</v>
      </c>
      <c r="N204" t="s">
        <v>22</v>
      </c>
    </row>
    <row r="205" spans="1:14" x14ac:dyDescent="0.25">
      <c r="A205" t="s">
        <v>79</v>
      </c>
      <c r="B205" t="s">
        <v>81</v>
      </c>
      <c r="C205" t="s">
        <v>80</v>
      </c>
      <c r="D205">
        <v>20030009</v>
      </c>
      <c r="E205" t="s">
        <v>83</v>
      </c>
      <c r="F205" s="1">
        <v>46114</v>
      </c>
      <c r="G205" t="s">
        <v>18</v>
      </c>
      <c r="H205" t="s">
        <v>19</v>
      </c>
      <c r="I205">
        <v>42.17</v>
      </c>
      <c r="J205">
        <v>3.6</v>
      </c>
      <c r="K205">
        <v>7.8</v>
      </c>
      <c r="L205">
        <v>34.22</v>
      </c>
      <c r="M205">
        <v>1443.06</v>
      </c>
      <c r="N205" t="s">
        <v>22</v>
      </c>
    </row>
    <row r="206" spans="1:14" x14ac:dyDescent="0.25">
      <c r="A206" t="s">
        <v>79</v>
      </c>
      <c r="B206" t="s">
        <v>81</v>
      </c>
      <c r="C206" t="s">
        <v>80</v>
      </c>
      <c r="D206">
        <v>20030012</v>
      </c>
      <c r="E206" t="s">
        <v>85</v>
      </c>
      <c r="F206" s="1">
        <v>46114</v>
      </c>
      <c r="G206" t="s">
        <v>18</v>
      </c>
      <c r="H206" t="s">
        <v>19</v>
      </c>
      <c r="I206">
        <v>46.41</v>
      </c>
      <c r="J206">
        <v>3.6</v>
      </c>
      <c r="K206">
        <v>8.1999999999999993</v>
      </c>
      <c r="L206">
        <v>36.729999999999997</v>
      </c>
      <c r="M206">
        <v>1704.64</v>
      </c>
      <c r="N206" t="s">
        <v>22</v>
      </c>
    </row>
    <row r="207" spans="1:14" x14ac:dyDescent="0.25">
      <c r="A207" t="s">
        <v>79</v>
      </c>
      <c r="B207" t="s">
        <v>81</v>
      </c>
      <c r="C207" t="s">
        <v>80</v>
      </c>
      <c r="D207">
        <v>20030002</v>
      </c>
      <c r="E207" t="s">
        <v>84</v>
      </c>
      <c r="F207" s="1">
        <v>46114</v>
      </c>
      <c r="G207" t="s">
        <v>18</v>
      </c>
      <c r="H207" t="s">
        <v>19</v>
      </c>
      <c r="I207">
        <v>49.14</v>
      </c>
      <c r="J207">
        <v>3.6</v>
      </c>
      <c r="K207">
        <v>8</v>
      </c>
      <c r="L207">
        <v>36.24</v>
      </c>
      <c r="M207">
        <v>1780.83</v>
      </c>
      <c r="N207" t="s">
        <v>22</v>
      </c>
    </row>
    <row r="208" spans="1:14" x14ac:dyDescent="0.25">
      <c r="A208" t="s">
        <v>79</v>
      </c>
      <c r="B208" t="s">
        <v>86</v>
      </c>
      <c r="C208" t="s">
        <v>50</v>
      </c>
      <c r="D208">
        <v>20030001</v>
      </c>
      <c r="E208" t="s">
        <v>80</v>
      </c>
      <c r="F208" s="1">
        <v>46114</v>
      </c>
      <c r="G208" t="s">
        <v>18</v>
      </c>
      <c r="H208" t="s">
        <v>19</v>
      </c>
      <c r="I208">
        <v>389.44</v>
      </c>
      <c r="J208">
        <v>3.7</v>
      </c>
      <c r="K208">
        <v>8.3000000000000007</v>
      </c>
      <c r="L208">
        <v>37.770000000000003</v>
      </c>
      <c r="M208">
        <v>14709.15</v>
      </c>
      <c r="N208" t="s">
        <v>22</v>
      </c>
    </row>
    <row r="209" spans="1:14" x14ac:dyDescent="0.25">
      <c r="A209" t="s">
        <v>79</v>
      </c>
      <c r="B209" t="s">
        <v>86</v>
      </c>
      <c r="C209" t="s">
        <v>50</v>
      </c>
      <c r="D209">
        <v>20030001</v>
      </c>
      <c r="E209" t="s">
        <v>80</v>
      </c>
      <c r="F209" s="1">
        <v>46114</v>
      </c>
      <c r="G209" t="s">
        <v>18</v>
      </c>
      <c r="H209" t="s">
        <v>29</v>
      </c>
      <c r="I209">
        <v>9.82</v>
      </c>
      <c r="J209">
        <v>5.7</v>
      </c>
      <c r="K209">
        <v>8.8000000000000007</v>
      </c>
      <c r="L209">
        <v>46.49</v>
      </c>
      <c r="M209">
        <v>456.57</v>
      </c>
      <c r="N209" t="s">
        <v>22</v>
      </c>
    </row>
    <row r="210" spans="1:14" x14ac:dyDescent="0.25">
      <c r="A210" t="s">
        <v>79</v>
      </c>
      <c r="B210" t="s">
        <v>81</v>
      </c>
      <c r="C210" t="s">
        <v>80</v>
      </c>
      <c r="D210">
        <v>20030005</v>
      </c>
      <c r="E210" t="s">
        <v>82</v>
      </c>
      <c r="F210" s="1">
        <v>46114</v>
      </c>
      <c r="G210" t="s">
        <v>51</v>
      </c>
      <c r="H210" t="s">
        <v>19</v>
      </c>
      <c r="I210">
        <v>5.42</v>
      </c>
      <c r="J210">
        <v>4.0999999999999996</v>
      </c>
      <c r="K210">
        <v>8.6</v>
      </c>
      <c r="L210">
        <v>40.380000000000003</v>
      </c>
      <c r="M210">
        <v>218.86</v>
      </c>
      <c r="N210" t="s">
        <v>22</v>
      </c>
    </row>
    <row r="211" spans="1:14" x14ac:dyDescent="0.25">
      <c r="A211" t="s">
        <v>79</v>
      </c>
      <c r="B211" t="s">
        <v>86</v>
      </c>
      <c r="C211" t="s">
        <v>50</v>
      </c>
      <c r="D211">
        <v>20030001</v>
      </c>
      <c r="E211" t="s">
        <v>80</v>
      </c>
      <c r="F211" s="1">
        <v>46114</v>
      </c>
      <c r="G211" t="s">
        <v>51</v>
      </c>
      <c r="H211" t="s">
        <v>19</v>
      </c>
      <c r="I211">
        <v>182.29</v>
      </c>
      <c r="J211">
        <v>3.7</v>
      </c>
      <c r="K211">
        <v>8.1</v>
      </c>
      <c r="L211">
        <v>36.17</v>
      </c>
      <c r="M211">
        <v>6593.66</v>
      </c>
      <c r="N211" t="s">
        <v>22</v>
      </c>
    </row>
    <row r="212" spans="1:14" x14ac:dyDescent="0.25">
      <c r="A212" t="s">
        <v>79</v>
      </c>
      <c r="B212" t="s">
        <v>86</v>
      </c>
      <c r="C212" t="s">
        <v>50</v>
      </c>
      <c r="D212">
        <v>20030001</v>
      </c>
      <c r="E212" t="s">
        <v>80</v>
      </c>
      <c r="F212" s="1">
        <v>46114</v>
      </c>
      <c r="G212" t="s">
        <v>51</v>
      </c>
      <c r="H212" t="s">
        <v>29</v>
      </c>
      <c r="I212">
        <v>14.79</v>
      </c>
      <c r="J212">
        <v>5.4</v>
      </c>
      <c r="K212">
        <v>8.6999999999999993</v>
      </c>
      <c r="L212">
        <v>45.48</v>
      </c>
      <c r="M212">
        <v>672.65</v>
      </c>
      <c r="N212" t="s">
        <v>22</v>
      </c>
    </row>
    <row r="213" spans="1:14" x14ac:dyDescent="0.25">
      <c r="A213" t="s">
        <v>87</v>
      </c>
      <c r="B213" t="s">
        <v>89</v>
      </c>
      <c r="C213" t="s">
        <v>88</v>
      </c>
      <c r="D213">
        <v>20040007</v>
      </c>
      <c r="E213" t="s">
        <v>90</v>
      </c>
      <c r="F213" s="1">
        <v>46113</v>
      </c>
      <c r="G213" t="s">
        <v>18</v>
      </c>
      <c r="H213" t="s">
        <v>19</v>
      </c>
      <c r="I213">
        <v>27.24</v>
      </c>
      <c r="J213">
        <v>4.2</v>
      </c>
      <c r="K213">
        <v>8</v>
      </c>
      <c r="L213">
        <v>38.43</v>
      </c>
      <c r="M213">
        <v>1046.83</v>
      </c>
      <c r="N213" t="s">
        <v>22</v>
      </c>
    </row>
    <row r="214" spans="1:14" x14ac:dyDescent="0.25">
      <c r="A214" t="s">
        <v>87</v>
      </c>
      <c r="B214" t="s">
        <v>89</v>
      </c>
      <c r="C214" t="s">
        <v>88</v>
      </c>
      <c r="D214">
        <v>20040006</v>
      </c>
      <c r="E214" t="s">
        <v>91</v>
      </c>
      <c r="F214" s="1">
        <v>46113</v>
      </c>
      <c r="G214" t="s">
        <v>18</v>
      </c>
      <c r="H214" t="s">
        <v>19</v>
      </c>
      <c r="I214">
        <v>38.47</v>
      </c>
      <c r="J214">
        <v>4.2</v>
      </c>
      <c r="K214">
        <v>8.3000000000000007</v>
      </c>
      <c r="L214">
        <v>39.619999999999997</v>
      </c>
      <c r="M214">
        <v>1524.18</v>
      </c>
      <c r="N214" t="s">
        <v>22</v>
      </c>
    </row>
    <row r="215" spans="1:14" x14ac:dyDescent="0.25">
      <c r="A215" t="s">
        <v>87</v>
      </c>
      <c r="B215" t="s">
        <v>92</v>
      </c>
      <c r="C215" t="s">
        <v>50</v>
      </c>
      <c r="D215">
        <v>20040001</v>
      </c>
      <c r="E215" t="s">
        <v>93</v>
      </c>
      <c r="F215" s="1">
        <v>46113</v>
      </c>
      <c r="G215" t="s">
        <v>18</v>
      </c>
      <c r="H215" t="s">
        <v>19</v>
      </c>
      <c r="I215">
        <v>123.44</v>
      </c>
      <c r="J215">
        <v>3</v>
      </c>
      <c r="K215">
        <v>8</v>
      </c>
      <c r="L215">
        <v>32.85</v>
      </c>
      <c r="M215">
        <v>4055.42</v>
      </c>
      <c r="N215" t="s">
        <v>22</v>
      </c>
    </row>
    <row r="216" spans="1:14" x14ac:dyDescent="0.25">
      <c r="A216" t="s">
        <v>87</v>
      </c>
      <c r="B216" t="s">
        <v>92</v>
      </c>
      <c r="C216" t="s">
        <v>50</v>
      </c>
      <c r="D216">
        <v>20040001</v>
      </c>
      <c r="E216" t="s">
        <v>93</v>
      </c>
      <c r="F216" s="1">
        <v>46113</v>
      </c>
      <c r="G216" t="s">
        <v>18</v>
      </c>
      <c r="H216" t="s">
        <v>29</v>
      </c>
      <c r="I216">
        <v>1.76</v>
      </c>
      <c r="J216">
        <v>5.6</v>
      </c>
      <c r="K216">
        <v>8.4</v>
      </c>
      <c r="L216">
        <v>44.19</v>
      </c>
      <c r="M216">
        <v>77.77</v>
      </c>
      <c r="N216" t="s">
        <v>22</v>
      </c>
    </row>
    <row r="217" spans="1:14" x14ac:dyDescent="0.25">
      <c r="A217" t="s">
        <v>87</v>
      </c>
      <c r="B217" t="s">
        <v>89</v>
      </c>
      <c r="C217" t="s">
        <v>88</v>
      </c>
      <c r="D217">
        <v>20040006</v>
      </c>
      <c r="E217" t="s">
        <v>91</v>
      </c>
      <c r="F217" s="1">
        <v>46113</v>
      </c>
      <c r="G217" t="s">
        <v>51</v>
      </c>
      <c r="H217" t="s">
        <v>19</v>
      </c>
      <c r="I217">
        <v>14.4</v>
      </c>
      <c r="J217">
        <v>3.6</v>
      </c>
      <c r="K217">
        <v>8.4</v>
      </c>
      <c r="L217">
        <v>37.65</v>
      </c>
      <c r="M217">
        <v>542.16</v>
      </c>
      <c r="N217" t="s">
        <v>22</v>
      </c>
    </row>
    <row r="218" spans="1:14" x14ac:dyDescent="0.25">
      <c r="A218" t="s">
        <v>87</v>
      </c>
      <c r="B218" t="s">
        <v>89</v>
      </c>
      <c r="C218" t="s">
        <v>88</v>
      </c>
      <c r="D218">
        <v>20040007</v>
      </c>
      <c r="E218" t="s">
        <v>90</v>
      </c>
      <c r="F218" s="1">
        <v>46113</v>
      </c>
      <c r="G218" t="s">
        <v>51</v>
      </c>
      <c r="H218" t="s">
        <v>19</v>
      </c>
      <c r="I218">
        <v>9.56</v>
      </c>
      <c r="J218">
        <v>4</v>
      </c>
      <c r="K218">
        <v>7.8</v>
      </c>
      <c r="L218">
        <v>35.64</v>
      </c>
      <c r="M218">
        <v>340.72</v>
      </c>
      <c r="N218" t="s">
        <v>22</v>
      </c>
    </row>
    <row r="219" spans="1:14" x14ac:dyDescent="0.25">
      <c r="A219" t="s">
        <v>87</v>
      </c>
      <c r="B219" t="s">
        <v>92</v>
      </c>
      <c r="C219" t="s">
        <v>50</v>
      </c>
      <c r="D219">
        <v>20040001</v>
      </c>
      <c r="E219" t="s">
        <v>93</v>
      </c>
      <c r="F219" s="1">
        <v>46113</v>
      </c>
      <c r="G219" t="s">
        <v>51</v>
      </c>
      <c r="H219" t="s">
        <v>19</v>
      </c>
      <c r="I219">
        <v>396.82</v>
      </c>
      <c r="J219">
        <v>3.5</v>
      </c>
      <c r="K219">
        <v>8.1</v>
      </c>
      <c r="L219">
        <v>35.81</v>
      </c>
      <c r="M219">
        <v>14210.9</v>
      </c>
      <c r="N219" t="s">
        <v>22</v>
      </c>
    </row>
    <row r="220" spans="1:14" x14ac:dyDescent="0.25">
      <c r="A220" t="s">
        <v>87</v>
      </c>
      <c r="B220" t="s">
        <v>89</v>
      </c>
      <c r="C220" t="s">
        <v>88</v>
      </c>
      <c r="D220">
        <v>20040006</v>
      </c>
      <c r="E220" t="s">
        <v>91</v>
      </c>
      <c r="F220" s="1">
        <v>46114</v>
      </c>
      <c r="G220" t="s">
        <v>18</v>
      </c>
      <c r="H220" t="s">
        <v>19</v>
      </c>
      <c r="I220">
        <v>39.15</v>
      </c>
      <c r="J220">
        <v>4.5</v>
      </c>
      <c r="K220">
        <v>8.4</v>
      </c>
      <c r="L220">
        <v>40.98</v>
      </c>
      <c r="M220">
        <v>1604.37</v>
      </c>
      <c r="N220" t="s">
        <v>22</v>
      </c>
    </row>
    <row r="221" spans="1:14" x14ac:dyDescent="0.25">
      <c r="A221" t="s">
        <v>87</v>
      </c>
      <c r="B221" t="s">
        <v>89</v>
      </c>
      <c r="C221" t="s">
        <v>88</v>
      </c>
      <c r="D221">
        <v>20040007</v>
      </c>
      <c r="E221" t="s">
        <v>90</v>
      </c>
      <c r="F221" s="1">
        <v>46114</v>
      </c>
      <c r="G221" t="s">
        <v>18</v>
      </c>
      <c r="H221" t="s">
        <v>19</v>
      </c>
      <c r="I221">
        <v>31.06</v>
      </c>
      <c r="J221">
        <v>4.0999999999999996</v>
      </c>
      <c r="K221">
        <v>8</v>
      </c>
      <c r="L221">
        <v>38.07</v>
      </c>
      <c r="M221">
        <v>1182.45</v>
      </c>
      <c r="N221" t="s">
        <v>22</v>
      </c>
    </row>
    <row r="222" spans="1:14" x14ac:dyDescent="0.25">
      <c r="A222" t="s">
        <v>87</v>
      </c>
      <c r="B222" t="s">
        <v>92</v>
      </c>
      <c r="C222" t="s">
        <v>50</v>
      </c>
      <c r="D222">
        <v>20040001</v>
      </c>
      <c r="E222" t="s">
        <v>93</v>
      </c>
      <c r="F222" s="1">
        <v>46114</v>
      </c>
      <c r="G222" t="s">
        <v>18</v>
      </c>
      <c r="H222" t="s">
        <v>19</v>
      </c>
      <c r="I222">
        <v>151.02000000000001</v>
      </c>
      <c r="J222">
        <v>2.7</v>
      </c>
      <c r="K222">
        <v>7.8</v>
      </c>
      <c r="L222">
        <v>30.92</v>
      </c>
      <c r="M222">
        <v>4669.57</v>
      </c>
      <c r="N222" t="s">
        <v>22</v>
      </c>
    </row>
    <row r="223" spans="1:14" x14ac:dyDescent="0.25">
      <c r="A223" t="s">
        <v>87</v>
      </c>
      <c r="B223" t="s">
        <v>92</v>
      </c>
      <c r="C223" t="s">
        <v>50</v>
      </c>
      <c r="D223">
        <v>20040001</v>
      </c>
      <c r="E223" t="s">
        <v>93</v>
      </c>
      <c r="F223" s="1">
        <v>46114</v>
      </c>
      <c r="G223" t="s">
        <v>18</v>
      </c>
      <c r="H223" t="s">
        <v>29</v>
      </c>
      <c r="I223">
        <v>2.06</v>
      </c>
      <c r="J223">
        <v>6</v>
      </c>
      <c r="K223">
        <v>8.1999999999999993</v>
      </c>
      <c r="L223">
        <v>44.8</v>
      </c>
      <c r="M223">
        <v>92.29</v>
      </c>
      <c r="N223" t="s">
        <v>22</v>
      </c>
    </row>
    <row r="224" spans="1:14" x14ac:dyDescent="0.25">
      <c r="A224" t="s">
        <v>87</v>
      </c>
      <c r="B224" t="s">
        <v>89</v>
      </c>
      <c r="C224" t="s">
        <v>88</v>
      </c>
      <c r="D224">
        <v>20040006</v>
      </c>
      <c r="E224" t="s">
        <v>91</v>
      </c>
      <c r="F224" s="1">
        <v>46114</v>
      </c>
      <c r="G224" t="s">
        <v>51</v>
      </c>
      <c r="H224" t="s">
        <v>19</v>
      </c>
      <c r="I224">
        <v>15.03</v>
      </c>
      <c r="J224">
        <v>3.6</v>
      </c>
      <c r="K224">
        <v>8.1999999999999993</v>
      </c>
      <c r="L224">
        <v>36.729999999999997</v>
      </c>
      <c r="M224">
        <v>552.04999999999995</v>
      </c>
      <c r="N224" t="s">
        <v>22</v>
      </c>
    </row>
    <row r="225" spans="1:14" x14ac:dyDescent="0.25">
      <c r="A225" t="s">
        <v>87</v>
      </c>
      <c r="B225" t="s">
        <v>89</v>
      </c>
      <c r="C225" t="s">
        <v>88</v>
      </c>
      <c r="D225">
        <v>20040007</v>
      </c>
      <c r="E225" t="s">
        <v>90</v>
      </c>
      <c r="F225" s="1">
        <v>46114</v>
      </c>
      <c r="G225" t="s">
        <v>51</v>
      </c>
      <c r="H225" t="s">
        <v>19</v>
      </c>
      <c r="I225">
        <v>10.66</v>
      </c>
      <c r="J225">
        <v>4.0999999999999996</v>
      </c>
      <c r="K225">
        <v>8</v>
      </c>
      <c r="L225">
        <v>38.07</v>
      </c>
      <c r="M225">
        <v>405.83</v>
      </c>
      <c r="N225" t="s">
        <v>22</v>
      </c>
    </row>
    <row r="226" spans="1:14" x14ac:dyDescent="0.25">
      <c r="A226" t="s">
        <v>87</v>
      </c>
      <c r="B226" t="s">
        <v>92</v>
      </c>
      <c r="C226" t="s">
        <v>50</v>
      </c>
      <c r="D226">
        <v>20040001</v>
      </c>
      <c r="E226" t="s">
        <v>93</v>
      </c>
      <c r="F226" s="1">
        <v>46114</v>
      </c>
      <c r="G226" t="s">
        <v>51</v>
      </c>
      <c r="H226" t="s">
        <v>19</v>
      </c>
      <c r="I226">
        <v>622.85</v>
      </c>
      <c r="J226">
        <v>2.6</v>
      </c>
      <c r="K226">
        <v>8.1</v>
      </c>
      <c r="L226">
        <v>32.700000000000003</v>
      </c>
      <c r="M226">
        <v>20366.740000000002</v>
      </c>
      <c r="N226" t="s">
        <v>22</v>
      </c>
    </row>
    <row r="227" spans="1:14" x14ac:dyDescent="0.25">
      <c r="A227" t="s">
        <v>87</v>
      </c>
      <c r="B227" t="s">
        <v>92</v>
      </c>
      <c r="C227" t="s">
        <v>50</v>
      </c>
      <c r="D227">
        <v>20040001</v>
      </c>
      <c r="E227" t="s">
        <v>93</v>
      </c>
      <c r="F227" s="1">
        <v>46114</v>
      </c>
      <c r="G227" t="s">
        <v>51</v>
      </c>
      <c r="H227" t="s">
        <v>29</v>
      </c>
      <c r="I227">
        <v>3.53</v>
      </c>
      <c r="J227">
        <v>5.0999999999999996</v>
      </c>
      <c r="K227">
        <v>9.3000000000000007</v>
      </c>
      <c r="L227">
        <v>45.31</v>
      </c>
      <c r="M227">
        <v>159.94</v>
      </c>
      <c r="N227" t="s">
        <v>22</v>
      </c>
    </row>
    <row r="228" spans="1:14" x14ac:dyDescent="0.25">
      <c r="A228" t="s">
        <v>94</v>
      </c>
      <c r="B228" t="s">
        <v>96</v>
      </c>
      <c r="C228" t="s">
        <v>95</v>
      </c>
      <c r="D228">
        <v>20060019</v>
      </c>
      <c r="E228" t="s">
        <v>97</v>
      </c>
      <c r="F228" s="1">
        <v>46113</v>
      </c>
      <c r="G228" t="s">
        <v>18</v>
      </c>
      <c r="H228" t="s">
        <v>19</v>
      </c>
      <c r="I228">
        <v>111.89</v>
      </c>
      <c r="J228">
        <v>3.5</v>
      </c>
      <c r="K228">
        <v>8.6999999999999993</v>
      </c>
      <c r="L228">
        <v>38.380000000000003</v>
      </c>
      <c r="M228">
        <v>4294.34</v>
      </c>
      <c r="N228" t="s">
        <v>22</v>
      </c>
    </row>
    <row r="229" spans="1:14" x14ac:dyDescent="0.25">
      <c r="A229" t="s">
        <v>94</v>
      </c>
      <c r="B229" t="s">
        <v>96</v>
      </c>
      <c r="C229" t="s">
        <v>95</v>
      </c>
      <c r="D229">
        <v>20060007</v>
      </c>
      <c r="E229" t="s">
        <v>98</v>
      </c>
      <c r="F229" s="1">
        <v>46113</v>
      </c>
      <c r="G229" t="s">
        <v>18</v>
      </c>
      <c r="H229" t="s">
        <v>19</v>
      </c>
      <c r="I229">
        <v>100.7</v>
      </c>
      <c r="J229">
        <v>3.8</v>
      </c>
      <c r="K229">
        <v>8.5</v>
      </c>
      <c r="L229">
        <v>39</v>
      </c>
      <c r="M229">
        <v>3927.3</v>
      </c>
      <c r="N229" t="s">
        <v>22</v>
      </c>
    </row>
    <row r="230" spans="1:14" x14ac:dyDescent="0.25">
      <c r="A230" t="s">
        <v>94</v>
      </c>
      <c r="B230" t="s">
        <v>96</v>
      </c>
      <c r="C230" t="s">
        <v>95</v>
      </c>
      <c r="D230">
        <v>20060005</v>
      </c>
      <c r="E230" t="s">
        <v>99</v>
      </c>
      <c r="F230" s="1">
        <v>46113</v>
      </c>
      <c r="G230" t="s">
        <v>18</v>
      </c>
      <c r="H230" t="s">
        <v>19</v>
      </c>
      <c r="I230">
        <v>52.28</v>
      </c>
      <c r="J230">
        <v>4.2</v>
      </c>
      <c r="K230">
        <v>8.1999999999999993</v>
      </c>
      <c r="L230">
        <v>38.92</v>
      </c>
      <c r="M230">
        <v>2034.74</v>
      </c>
      <c r="N230" t="s">
        <v>22</v>
      </c>
    </row>
    <row r="231" spans="1:14" x14ac:dyDescent="0.25">
      <c r="A231" t="s">
        <v>94</v>
      </c>
      <c r="B231" t="s">
        <v>96</v>
      </c>
      <c r="C231" t="s">
        <v>95</v>
      </c>
      <c r="D231">
        <v>20060017</v>
      </c>
      <c r="E231" t="s">
        <v>100</v>
      </c>
      <c r="F231" s="1">
        <v>46113</v>
      </c>
      <c r="G231" t="s">
        <v>18</v>
      </c>
      <c r="H231" t="s">
        <v>19</v>
      </c>
      <c r="I231">
        <v>49.4</v>
      </c>
      <c r="J231">
        <v>4.5</v>
      </c>
      <c r="K231">
        <v>8</v>
      </c>
      <c r="L231">
        <v>39.53</v>
      </c>
      <c r="M231">
        <v>1952.78</v>
      </c>
      <c r="N231" t="s">
        <v>22</v>
      </c>
    </row>
    <row r="232" spans="1:14" x14ac:dyDescent="0.25">
      <c r="A232" t="s">
        <v>94</v>
      </c>
      <c r="B232" t="s">
        <v>96</v>
      </c>
      <c r="C232" t="s">
        <v>95</v>
      </c>
      <c r="D232">
        <v>20060009</v>
      </c>
      <c r="E232" t="s">
        <v>101</v>
      </c>
      <c r="F232" s="1">
        <v>46113</v>
      </c>
      <c r="G232" t="s">
        <v>18</v>
      </c>
      <c r="H232" t="s">
        <v>29</v>
      </c>
      <c r="I232">
        <v>40.21</v>
      </c>
      <c r="J232">
        <v>4.9000000000000004</v>
      </c>
      <c r="K232">
        <v>8.1</v>
      </c>
      <c r="L232">
        <v>41.23</v>
      </c>
      <c r="M232">
        <v>1657.86</v>
      </c>
      <c r="N232" t="s">
        <v>22</v>
      </c>
    </row>
    <row r="233" spans="1:14" x14ac:dyDescent="0.25">
      <c r="A233" t="s">
        <v>94</v>
      </c>
      <c r="B233" t="s">
        <v>96</v>
      </c>
      <c r="C233" t="s">
        <v>95</v>
      </c>
      <c r="D233">
        <v>20060002</v>
      </c>
      <c r="E233" t="s">
        <v>102</v>
      </c>
      <c r="F233" s="1">
        <v>46113</v>
      </c>
      <c r="G233" t="s">
        <v>18</v>
      </c>
      <c r="H233" t="s">
        <v>29</v>
      </c>
      <c r="I233">
        <v>5.88</v>
      </c>
      <c r="J233">
        <v>5.7</v>
      </c>
      <c r="K233">
        <v>9</v>
      </c>
      <c r="L233">
        <v>47.56</v>
      </c>
      <c r="M233">
        <v>279.64999999999998</v>
      </c>
      <c r="N233" t="s">
        <v>22</v>
      </c>
    </row>
    <row r="234" spans="1:14" x14ac:dyDescent="0.25">
      <c r="A234" t="s">
        <v>94</v>
      </c>
      <c r="B234" t="s">
        <v>103</v>
      </c>
      <c r="C234" t="s">
        <v>50</v>
      </c>
      <c r="D234">
        <v>20060022</v>
      </c>
      <c r="E234" t="s">
        <v>104</v>
      </c>
      <c r="F234" s="1">
        <v>46113</v>
      </c>
      <c r="G234" t="s">
        <v>18</v>
      </c>
      <c r="H234" t="s">
        <v>19</v>
      </c>
      <c r="I234">
        <v>71.13</v>
      </c>
      <c r="J234">
        <v>3</v>
      </c>
      <c r="K234">
        <v>8.3000000000000007</v>
      </c>
      <c r="L234">
        <v>35.18</v>
      </c>
      <c r="M234">
        <v>2502.35</v>
      </c>
      <c r="N234" t="s">
        <v>22</v>
      </c>
    </row>
    <row r="235" spans="1:14" x14ac:dyDescent="0.25">
      <c r="A235" t="s">
        <v>94</v>
      </c>
      <c r="B235" t="s">
        <v>96</v>
      </c>
      <c r="C235" t="s">
        <v>95</v>
      </c>
      <c r="D235">
        <v>20060004</v>
      </c>
      <c r="E235" t="s">
        <v>105</v>
      </c>
      <c r="F235" s="1">
        <v>46113</v>
      </c>
      <c r="G235" t="s">
        <v>18</v>
      </c>
      <c r="H235" t="s">
        <v>19</v>
      </c>
      <c r="I235">
        <v>104.35</v>
      </c>
      <c r="J235">
        <v>3.5</v>
      </c>
      <c r="K235">
        <v>8.4</v>
      </c>
      <c r="L235">
        <v>37.28</v>
      </c>
      <c r="M235">
        <v>3890.17</v>
      </c>
      <c r="N235" t="s">
        <v>22</v>
      </c>
    </row>
    <row r="236" spans="1:14" x14ac:dyDescent="0.25">
      <c r="A236" t="s">
        <v>94</v>
      </c>
      <c r="B236" t="s">
        <v>96</v>
      </c>
      <c r="C236" t="s">
        <v>95</v>
      </c>
      <c r="D236">
        <v>20060018</v>
      </c>
      <c r="E236" t="s">
        <v>106</v>
      </c>
      <c r="F236" s="1">
        <v>46113</v>
      </c>
      <c r="G236" t="s">
        <v>18</v>
      </c>
      <c r="H236" t="s">
        <v>19</v>
      </c>
      <c r="I236">
        <v>6.04</v>
      </c>
      <c r="J236">
        <v>4</v>
      </c>
      <c r="K236">
        <v>8.9</v>
      </c>
      <c r="L236">
        <v>40.75</v>
      </c>
      <c r="M236">
        <v>246.13</v>
      </c>
      <c r="N236" t="s">
        <v>22</v>
      </c>
    </row>
    <row r="237" spans="1:14" x14ac:dyDescent="0.25">
      <c r="A237" t="s">
        <v>94</v>
      </c>
      <c r="B237" t="s">
        <v>96</v>
      </c>
      <c r="C237" t="s">
        <v>95</v>
      </c>
      <c r="D237">
        <v>20060020</v>
      </c>
      <c r="E237" t="s">
        <v>107</v>
      </c>
      <c r="F237" s="1">
        <v>46113</v>
      </c>
      <c r="G237" t="s">
        <v>18</v>
      </c>
      <c r="H237" t="s">
        <v>19</v>
      </c>
      <c r="I237">
        <v>10.17</v>
      </c>
      <c r="J237">
        <v>3.4</v>
      </c>
      <c r="K237">
        <v>7.8</v>
      </c>
      <c r="L237">
        <v>33.51</v>
      </c>
      <c r="M237">
        <v>340.8</v>
      </c>
      <c r="N237" t="s">
        <v>22</v>
      </c>
    </row>
    <row r="238" spans="1:14" x14ac:dyDescent="0.25">
      <c r="A238" t="s">
        <v>94</v>
      </c>
      <c r="B238" t="s">
        <v>96</v>
      </c>
      <c r="C238" t="s">
        <v>95</v>
      </c>
      <c r="D238">
        <v>20060013</v>
      </c>
      <c r="E238" t="s">
        <v>108</v>
      </c>
      <c r="F238" s="1">
        <v>46113</v>
      </c>
      <c r="G238" t="s">
        <v>18</v>
      </c>
      <c r="H238" t="s">
        <v>19</v>
      </c>
      <c r="I238">
        <v>179.05</v>
      </c>
      <c r="J238">
        <v>3.5</v>
      </c>
      <c r="K238">
        <v>8.3000000000000007</v>
      </c>
      <c r="L238">
        <v>37.03</v>
      </c>
      <c r="M238">
        <v>6630.22</v>
      </c>
      <c r="N238" t="s">
        <v>22</v>
      </c>
    </row>
    <row r="239" spans="1:14" x14ac:dyDescent="0.25">
      <c r="A239" t="s">
        <v>94</v>
      </c>
      <c r="B239" t="s">
        <v>96</v>
      </c>
      <c r="C239" t="s">
        <v>95</v>
      </c>
      <c r="D239">
        <v>20060008</v>
      </c>
      <c r="E239" t="s">
        <v>109</v>
      </c>
      <c r="F239" s="1">
        <v>46113</v>
      </c>
      <c r="G239" t="s">
        <v>18</v>
      </c>
      <c r="H239" t="s">
        <v>19</v>
      </c>
      <c r="I239">
        <v>185.21</v>
      </c>
      <c r="J239">
        <v>3.8</v>
      </c>
      <c r="K239">
        <v>8.5</v>
      </c>
      <c r="L239">
        <v>39</v>
      </c>
      <c r="M239">
        <v>7223.19</v>
      </c>
      <c r="N239" t="s">
        <v>22</v>
      </c>
    </row>
    <row r="240" spans="1:14" x14ac:dyDescent="0.25">
      <c r="A240" t="s">
        <v>94</v>
      </c>
      <c r="B240" t="s">
        <v>103</v>
      </c>
      <c r="C240" t="s">
        <v>50</v>
      </c>
      <c r="D240">
        <v>20060001</v>
      </c>
      <c r="E240" t="s">
        <v>95</v>
      </c>
      <c r="F240" s="1">
        <v>46113</v>
      </c>
      <c r="G240" t="s">
        <v>18</v>
      </c>
      <c r="H240" t="s">
        <v>19</v>
      </c>
      <c r="I240">
        <v>27.95</v>
      </c>
      <c r="J240">
        <v>4.0999999999999996</v>
      </c>
      <c r="K240">
        <v>8.3000000000000007</v>
      </c>
      <c r="L240">
        <v>37.9</v>
      </c>
      <c r="M240">
        <v>1059.3599999999999</v>
      </c>
      <c r="N240" t="s">
        <v>22</v>
      </c>
    </row>
    <row r="241" spans="1:14" x14ac:dyDescent="0.25">
      <c r="A241" t="s">
        <v>94</v>
      </c>
      <c r="B241" t="s">
        <v>103</v>
      </c>
      <c r="C241" t="s">
        <v>50</v>
      </c>
      <c r="D241">
        <v>20060001</v>
      </c>
      <c r="E241" t="s">
        <v>95</v>
      </c>
      <c r="F241" s="1">
        <v>46113</v>
      </c>
      <c r="G241" t="s">
        <v>18</v>
      </c>
      <c r="H241" t="s">
        <v>29</v>
      </c>
      <c r="I241">
        <v>5.81</v>
      </c>
      <c r="J241">
        <v>5.3</v>
      </c>
      <c r="K241">
        <v>8.9</v>
      </c>
      <c r="L241">
        <v>45.8</v>
      </c>
      <c r="M241">
        <v>266.10000000000002</v>
      </c>
      <c r="N241" t="s">
        <v>22</v>
      </c>
    </row>
    <row r="242" spans="1:14" x14ac:dyDescent="0.25">
      <c r="A242" t="s">
        <v>94</v>
      </c>
      <c r="B242" t="s">
        <v>96</v>
      </c>
      <c r="C242" t="s">
        <v>95</v>
      </c>
      <c r="D242">
        <v>20060019</v>
      </c>
      <c r="E242" t="s">
        <v>97</v>
      </c>
      <c r="F242" s="1">
        <v>46113</v>
      </c>
      <c r="G242" t="s">
        <v>51</v>
      </c>
      <c r="H242" t="s">
        <v>19</v>
      </c>
      <c r="I242">
        <v>127.25</v>
      </c>
      <c r="J242">
        <v>3.6</v>
      </c>
      <c r="K242">
        <v>8.3000000000000007</v>
      </c>
      <c r="L242">
        <v>37.4</v>
      </c>
      <c r="M242">
        <v>4759.1499999999996</v>
      </c>
      <c r="N242" t="s">
        <v>22</v>
      </c>
    </row>
    <row r="243" spans="1:14" x14ac:dyDescent="0.25">
      <c r="A243" t="s">
        <v>94</v>
      </c>
      <c r="B243" t="s">
        <v>96</v>
      </c>
      <c r="C243" t="s">
        <v>95</v>
      </c>
      <c r="D243">
        <v>20060007</v>
      </c>
      <c r="E243" t="s">
        <v>98</v>
      </c>
      <c r="F243" s="1">
        <v>46113</v>
      </c>
      <c r="G243" t="s">
        <v>51</v>
      </c>
      <c r="H243" t="s">
        <v>19</v>
      </c>
      <c r="I243">
        <v>101.52</v>
      </c>
      <c r="J243">
        <v>4</v>
      </c>
      <c r="K243">
        <v>8.6999999999999993</v>
      </c>
      <c r="L243">
        <v>40.25</v>
      </c>
      <c r="M243">
        <v>4086.18</v>
      </c>
      <c r="N243" t="s">
        <v>22</v>
      </c>
    </row>
    <row r="244" spans="1:14" x14ac:dyDescent="0.25">
      <c r="A244" t="s">
        <v>94</v>
      </c>
      <c r="B244" t="s">
        <v>96</v>
      </c>
      <c r="C244" t="s">
        <v>95</v>
      </c>
      <c r="D244">
        <v>20060005</v>
      </c>
      <c r="E244" t="s">
        <v>99</v>
      </c>
      <c r="F244" s="1">
        <v>46113</v>
      </c>
      <c r="G244" t="s">
        <v>51</v>
      </c>
      <c r="H244" t="s">
        <v>19</v>
      </c>
      <c r="I244">
        <v>25.1</v>
      </c>
      <c r="J244">
        <v>4.2</v>
      </c>
      <c r="K244">
        <v>8.1</v>
      </c>
      <c r="L244">
        <v>38.68</v>
      </c>
      <c r="M244">
        <v>970.87</v>
      </c>
      <c r="N244" t="s">
        <v>22</v>
      </c>
    </row>
    <row r="245" spans="1:14" x14ac:dyDescent="0.25">
      <c r="A245" t="s">
        <v>94</v>
      </c>
      <c r="B245" t="s">
        <v>96</v>
      </c>
      <c r="C245" t="s">
        <v>95</v>
      </c>
      <c r="D245">
        <v>20060017</v>
      </c>
      <c r="E245" t="s">
        <v>100</v>
      </c>
      <c r="F245" s="1">
        <v>46113</v>
      </c>
      <c r="G245" t="s">
        <v>51</v>
      </c>
      <c r="H245" t="s">
        <v>19</v>
      </c>
      <c r="I245">
        <v>22.42</v>
      </c>
      <c r="J245">
        <v>4.0999999999999996</v>
      </c>
      <c r="K245">
        <v>8.1999999999999993</v>
      </c>
      <c r="L245">
        <v>38.56</v>
      </c>
      <c r="M245">
        <v>864.52</v>
      </c>
      <c r="N245" t="s">
        <v>22</v>
      </c>
    </row>
    <row r="246" spans="1:14" x14ac:dyDescent="0.25">
      <c r="A246" t="s">
        <v>94</v>
      </c>
      <c r="B246" t="s">
        <v>96</v>
      </c>
      <c r="C246" t="s">
        <v>95</v>
      </c>
      <c r="D246">
        <v>20060002</v>
      </c>
      <c r="E246" t="s">
        <v>102</v>
      </c>
      <c r="F246" s="1">
        <v>46113</v>
      </c>
      <c r="G246" t="s">
        <v>51</v>
      </c>
      <c r="H246" t="s">
        <v>19</v>
      </c>
      <c r="I246">
        <v>20.8</v>
      </c>
      <c r="J246">
        <v>3.7</v>
      </c>
      <c r="K246">
        <v>8.1</v>
      </c>
      <c r="L246">
        <v>36.85</v>
      </c>
      <c r="M246">
        <v>766.48</v>
      </c>
      <c r="N246" t="s">
        <v>22</v>
      </c>
    </row>
    <row r="247" spans="1:14" x14ac:dyDescent="0.25">
      <c r="A247" t="s">
        <v>94</v>
      </c>
      <c r="B247" t="s">
        <v>96</v>
      </c>
      <c r="C247" t="s">
        <v>95</v>
      </c>
      <c r="D247">
        <v>20060009</v>
      </c>
      <c r="E247" t="s">
        <v>101</v>
      </c>
      <c r="F247" s="1">
        <v>46113</v>
      </c>
      <c r="G247" t="s">
        <v>51</v>
      </c>
      <c r="H247" t="s">
        <v>19</v>
      </c>
      <c r="I247">
        <v>2.25</v>
      </c>
      <c r="J247">
        <v>2.9</v>
      </c>
      <c r="K247">
        <v>8</v>
      </c>
      <c r="L247">
        <v>33.68</v>
      </c>
      <c r="M247">
        <v>75.78</v>
      </c>
      <c r="N247" t="s">
        <v>22</v>
      </c>
    </row>
    <row r="248" spans="1:14" x14ac:dyDescent="0.25">
      <c r="A248" t="s">
        <v>94</v>
      </c>
      <c r="B248" t="s">
        <v>96</v>
      </c>
      <c r="C248" t="s">
        <v>95</v>
      </c>
      <c r="D248">
        <v>20060004</v>
      </c>
      <c r="E248" t="s">
        <v>105</v>
      </c>
      <c r="F248" s="1">
        <v>46113</v>
      </c>
      <c r="G248" t="s">
        <v>51</v>
      </c>
      <c r="H248" t="s">
        <v>19</v>
      </c>
      <c r="I248">
        <v>111.2</v>
      </c>
      <c r="J248">
        <v>4.2</v>
      </c>
      <c r="K248">
        <v>8.1</v>
      </c>
      <c r="L248">
        <v>38.68</v>
      </c>
      <c r="M248">
        <v>4301.22</v>
      </c>
      <c r="N248" t="s">
        <v>22</v>
      </c>
    </row>
    <row r="249" spans="1:14" x14ac:dyDescent="0.25">
      <c r="A249" t="s">
        <v>94</v>
      </c>
      <c r="B249" t="s">
        <v>96</v>
      </c>
      <c r="C249" t="s">
        <v>95</v>
      </c>
      <c r="D249">
        <v>20060008</v>
      </c>
      <c r="E249" t="s">
        <v>109</v>
      </c>
      <c r="F249" s="1">
        <v>46113</v>
      </c>
      <c r="G249" t="s">
        <v>51</v>
      </c>
      <c r="H249" t="s">
        <v>19</v>
      </c>
      <c r="I249">
        <v>133.71</v>
      </c>
      <c r="J249">
        <v>4.3</v>
      </c>
      <c r="K249">
        <v>8.6</v>
      </c>
      <c r="L249">
        <v>41.13</v>
      </c>
      <c r="M249">
        <v>5499.49</v>
      </c>
      <c r="N249" t="s">
        <v>22</v>
      </c>
    </row>
    <row r="250" spans="1:14" x14ac:dyDescent="0.25">
      <c r="A250" t="s">
        <v>94</v>
      </c>
      <c r="B250" t="s">
        <v>103</v>
      </c>
      <c r="C250" t="s">
        <v>50</v>
      </c>
      <c r="D250">
        <v>20060022</v>
      </c>
      <c r="E250" t="s">
        <v>104</v>
      </c>
      <c r="F250" s="1">
        <v>46113</v>
      </c>
      <c r="G250" t="s">
        <v>51</v>
      </c>
      <c r="H250" t="s">
        <v>19</v>
      </c>
      <c r="I250">
        <v>50.48</v>
      </c>
      <c r="J250">
        <v>3.4</v>
      </c>
      <c r="K250">
        <v>7.5</v>
      </c>
      <c r="L250">
        <v>31.88</v>
      </c>
      <c r="M250">
        <v>1609.3</v>
      </c>
      <c r="N250" t="s">
        <v>22</v>
      </c>
    </row>
    <row r="251" spans="1:14" x14ac:dyDescent="0.25">
      <c r="A251" t="s">
        <v>94</v>
      </c>
      <c r="B251" t="s">
        <v>96</v>
      </c>
      <c r="C251" t="s">
        <v>95</v>
      </c>
      <c r="D251">
        <v>20060003</v>
      </c>
      <c r="E251" t="s">
        <v>110</v>
      </c>
      <c r="F251" s="1">
        <v>46113</v>
      </c>
      <c r="G251" t="s">
        <v>51</v>
      </c>
      <c r="H251" t="s">
        <v>19</v>
      </c>
      <c r="I251">
        <v>117.15</v>
      </c>
      <c r="J251">
        <v>3.9</v>
      </c>
      <c r="K251">
        <v>8.6</v>
      </c>
      <c r="L251">
        <v>39.630000000000003</v>
      </c>
      <c r="M251">
        <v>4642.6499999999996</v>
      </c>
      <c r="N251" t="s">
        <v>22</v>
      </c>
    </row>
    <row r="252" spans="1:14" x14ac:dyDescent="0.25">
      <c r="A252" t="s">
        <v>94</v>
      </c>
      <c r="B252" t="s">
        <v>96</v>
      </c>
      <c r="C252" t="s">
        <v>95</v>
      </c>
      <c r="D252">
        <v>20060020</v>
      </c>
      <c r="E252" t="s">
        <v>107</v>
      </c>
      <c r="F252" s="1">
        <v>46113</v>
      </c>
      <c r="G252" t="s">
        <v>51</v>
      </c>
      <c r="H252" t="s">
        <v>19</v>
      </c>
      <c r="I252">
        <v>50.93</v>
      </c>
      <c r="J252">
        <v>3.4</v>
      </c>
      <c r="K252">
        <v>7.9</v>
      </c>
      <c r="L252">
        <v>33.74</v>
      </c>
      <c r="M252">
        <v>1718.38</v>
      </c>
      <c r="N252" t="s">
        <v>22</v>
      </c>
    </row>
    <row r="253" spans="1:14" x14ac:dyDescent="0.25">
      <c r="A253" t="s">
        <v>94</v>
      </c>
      <c r="B253" t="s">
        <v>96</v>
      </c>
      <c r="C253" t="s">
        <v>95</v>
      </c>
      <c r="D253">
        <v>20060013</v>
      </c>
      <c r="E253" t="s">
        <v>108</v>
      </c>
      <c r="F253" s="1">
        <v>46113</v>
      </c>
      <c r="G253" t="s">
        <v>51</v>
      </c>
      <c r="H253" t="s">
        <v>19</v>
      </c>
      <c r="I253">
        <v>2.98</v>
      </c>
      <c r="J253">
        <v>3.4</v>
      </c>
      <c r="K253">
        <v>7.9</v>
      </c>
      <c r="L253">
        <v>33.74</v>
      </c>
      <c r="M253">
        <v>100.55</v>
      </c>
      <c r="N253" t="s">
        <v>22</v>
      </c>
    </row>
    <row r="254" spans="1:14" x14ac:dyDescent="0.25">
      <c r="A254" t="s">
        <v>94</v>
      </c>
      <c r="B254" t="s">
        <v>96</v>
      </c>
      <c r="C254" t="s">
        <v>95</v>
      </c>
      <c r="D254">
        <v>20060025</v>
      </c>
      <c r="E254" t="s">
        <v>111</v>
      </c>
      <c r="F254" s="1">
        <v>46113</v>
      </c>
      <c r="G254" t="s">
        <v>51</v>
      </c>
      <c r="H254" t="s">
        <v>19</v>
      </c>
      <c r="I254">
        <v>1.54</v>
      </c>
      <c r="J254">
        <v>3.4</v>
      </c>
      <c r="K254">
        <v>7.9</v>
      </c>
      <c r="L254">
        <v>33.74</v>
      </c>
      <c r="M254">
        <v>51.96</v>
      </c>
      <c r="N254" t="s">
        <v>22</v>
      </c>
    </row>
    <row r="255" spans="1:14" x14ac:dyDescent="0.25">
      <c r="A255" t="s">
        <v>94</v>
      </c>
      <c r="B255" t="s">
        <v>103</v>
      </c>
      <c r="C255" t="s">
        <v>50</v>
      </c>
      <c r="D255">
        <v>20060001</v>
      </c>
      <c r="E255" t="s">
        <v>95</v>
      </c>
      <c r="F255" s="1">
        <v>46113</v>
      </c>
      <c r="G255" t="s">
        <v>51</v>
      </c>
      <c r="H255" t="s">
        <v>19</v>
      </c>
      <c r="I255">
        <v>9.82</v>
      </c>
      <c r="J255">
        <v>4</v>
      </c>
      <c r="K255">
        <v>8.4</v>
      </c>
      <c r="L255">
        <v>38.26</v>
      </c>
      <c r="M255">
        <v>375.73</v>
      </c>
      <c r="N255" t="s">
        <v>22</v>
      </c>
    </row>
    <row r="256" spans="1:14" x14ac:dyDescent="0.25">
      <c r="A256" t="s">
        <v>94</v>
      </c>
      <c r="B256" t="s">
        <v>103</v>
      </c>
      <c r="C256" t="s">
        <v>50</v>
      </c>
      <c r="D256">
        <v>20060001</v>
      </c>
      <c r="E256" t="s">
        <v>95</v>
      </c>
      <c r="F256" s="1">
        <v>46113</v>
      </c>
      <c r="G256" t="s">
        <v>51</v>
      </c>
      <c r="H256" t="s">
        <v>29</v>
      </c>
      <c r="I256">
        <v>13.85</v>
      </c>
      <c r="J256">
        <v>5.4</v>
      </c>
      <c r="K256">
        <v>8.3000000000000007</v>
      </c>
      <c r="L256">
        <v>43.53</v>
      </c>
      <c r="M256">
        <v>602.91999999999996</v>
      </c>
      <c r="N256" t="s">
        <v>22</v>
      </c>
    </row>
    <row r="257" spans="1:14" x14ac:dyDescent="0.25">
      <c r="A257" t="s">
        <v>94</v>
      </c>
      <c r="B257" t="s">
        <v>96</v>
      </c>
      <c r="C257" t="s">
        <v>95</v>
      </c>
      <c r="D257">
        <v>20060013</v>
      </c>
      <c r="E257" t="s">
        <v>108</v>
      </c>
      <c r="F257" s="1">
        <v>46114</v>
      </c>
      <c r="G257" t="s">
        <v>18</v>
      </c>
      <c r="H257" t="s">
        <v>19</v>
      </c>
      <c r="I257">
        <v>152.18</v>
      </c>
      <c r="J257">
        <v>3.7</v>
      </c>
      <c r="K257">
        <v>8.4</v>
      </c>
      <c r="L257">
        <v>38.020000000000003</v>
      </c>
      <c r="M257">
        <v>5785.88</v>
      </c>
      <c r="N257" t="s">
        <v>22</v>
      </c>
    </row>
    <row r="258" spans="1:14" x14ac:dyDescent="0.25">
      <c r="A258" t="s">
        <v>94</v>
      </c>
      <c r="B258" t="s">
        <v>96</v>
      </c>
      <c r="C258" t="s">
        <v>95</v>
      </c>
      <c r="D258">
        <v>20060005</v>
      </c>
      <c r="E258" t="s">
        <v>99</v>
      </c>
      <c r="F258" s="1">
        <v>46114</v>
      </c>
      <c r="G258" t="s">
        <v>18</v>
      </c>
      <c r="H258" t="s">
        <v>19</v>
      </c>
      <c r="I258">
        <v>50.63</v>
      </c>
      <c r="J258">
        <v>4</v>
      </c>
      <c r="K258">
        <v>8</v>
      </c>
      <c r="L258">
        <v>37.700000000000003</v>
      </c>
      <c r="M258">
        <v>1908.75</v>
      </c>
      <c r="N258" t="s">
        <v>22</v>
      </c>
    </row>
    <row r="259" spans="1:14" x14ac:dyDescent="0.25">
      <c r="A259" t="s">
        <v>94</v>
      </c>
      <c r="B259" t="s">
        <v>96</v>
      </c>
      <c r="C259" t="s">
        <v>95</v>
      </c>
      <c r="D259">
        <v>20060007</v>
      </c>
      <c r="E259" t="s">
        <v>98</v>
      </c>
      <c r="F259" s="1">
        <v>46114</v>
      </c>
      <c r="G259" t="s">
        <v>18</v>
      </c>
      <c r="H259" t="s">
        <v>19</v>
      </c>
      <c r="I259">
        <v>101.64</v>
      </c>
      <c r="J259">
        <v>3.7</v>
      </c>
      <c r="K259">
        <v>8.6999999999999993</v>
      </c>
      <c r="L259">
        <v>39.130000000000003</v>
      </c>
      <c r="M259">
        <v>3977.17</v>
      </c>
      <c r="N259" t="s">
        <v>22</v>
      </c>
    </row>
    <row r="260" spans="1:14" x14ac:dyDescent="0.25">
      <c r="A260" t="s">
        <v>94</v>
      </c>
      <c r="B260" t="s">
        <v>96</v>
      </c>
      <c r="C260" t="s">
        <v>95</v>
      </c>
      <c r="D260">
        <v>20060019</v>
      </c>
      <c r="E260" t="s">
        <v>97</v>
      </c>
      <c r="F260" s="1">
        <v>46114</v>
      </c>
      <c r="G260" t="s">
        <v>18</v>
      </c>
      <c r="H260" t="s">
        <v>19</v>
      </c>
      <c r="I260">
        <v>107.69</v>
      </c>
      <c r="J260">
        <v>3.5</v>
      </c>
      <c r="K260">
        <v>8.6</v>
      </c>
      <c r="L260">
        <v>38.130000000000003</v>
      </c>
      <c r="M260">
        <v>4106.22</v>
      </c>
      <c r="N260" t="s">
        <v>22</v>
      </c>
    </row>
    <row r="261" spans="1:14" x14ac:dyDescent="0.25">
      <c r="A261" t="s">
        <v>94</v>
      </c>
      <c r="B261" t="s">
        <v>96</v>
      </c>
      <c r="C261" t="s">
        <v>95</v>
      </c>
      <c r="D261">
        <v>20060009</v>
      </c>
      <c r="E261" t="s">
        <v>101</v>
      </c>
      <c r="F261" s="1">
        <v>46114</v>
      </c>
      <c r="G261" t="s">
        <v>18</v>
      </c>
      <c r="H261" t="s">
        <v>29</v>
      </c>
      <c r="I261">
        <v>37.61</v>
      </c>
      <c r="J261">
        <v>4.9000000000000004</v>
      </c>
      <c r="K261">
        <v>8.1999999999999993</v>
      </c>
      <c r="L261">
        <v>41.48</v>
      </c>
      <c r="M261">
        <v>1560.06</v>
      </c>
      <c r="N261" t="s">
        <v>22</v>
      </c>
    </row>
    <row r="262" spans="1:14" x14ac:dyDescent="0.25">
      <c r="A262" t="s">
        <v>94</v>
      </c>
      <c r="B262" t="s">
        <v>96</v>
      </c>
      <c r="C262" t="s">
        <v>95</v>
      </c>
      <c r="D262">
        <v>20060017</v>
      </c>
      <c r="E262" t="s">
        <v>100</v>
      </c>
      <c r="F262" s="1">
        <v>46114</v>
      </c>
      <c r="G262" t="s">
        <v>18</v>
      </c>
      <c r="H262" t="s">
        <v>19</v>
      </c>
      <c r="I262">
        <v>58.79</v>
      </c>
      <c r="J262">
        <v>4.7</v>
      </c>
      <c r="K262">
        <v>8.4</v>
      </c>
      <c r="L262">
        <v>41.72</v>
      </c>
      <c r="M262">
        <v>2452.7199999999998</v>
      </c>
      <c r="N262" t="s">
        <v>22</v>
      </c>
    </row>
    <row r="263" spans="1:14" x14ac:dyDescent="0.25">
      <c r="A263" t="s">
        <v>94</v>
      </c>
      <c r="B263" t="s">
        <v>96</v>
      </c>
      <c r="C263" t="s">
        <v>95</v>
      </c>
      <c r="D263">
        <v>20060004</v>
      </c>
      <c r="E263" t="s">
        <v>105</v>
      </c>
      <c r="F263" s="1">
        <v>46114</v>
      </c>
      <c r="G263" t="s">
        <v>18</v>
      </c>
      <c r="H263" t="s">
        <v>19</v>
      </c>
      <c r="I263">
        <v>117.02</v>
      </c>
      <c r="J263">
        <v>3.6</v>
      </c>
      <c r="K263">
        <v>8.1</v>
      </c>
      <c r="L263">
        <v>36.49</v>
      </c>
      <c r="M263">
        <v>4270.0600000000004</v>
      </c>
      <c r="N263" t="s">
        <v>22</v>
      </c>
    </row>
    <row r="264" spans="1:14" x14ac:dyDescent="0.25">
      <c r="A264" t="s">
        <v>94</v>
      </c>
      <c r="B264" t="s">
        <v>96</v>
      </c>
      <c r="C264" t="s">
        <v>95</v>
      </c>
      <c r="D264">
        <v>20060008</v>
      </c>
      <c r="E264" t="s">
        <v>109</v>
      </c>
      <c r="F264" s="1">
        <v>46114</v>
      </c>
      <c r="G264" t="s">
        <v>18</v>
      </c>
      <c r="H264" t="s">
        <v>19</v>
      </c>
      <c r="I264">
        <v>152.37</v>
      </c>
      <c r="J264">
        <v>3.9</v>
      </c>
      <c r="K264">
        <v>8.4</v>
      </c>
      <c r="L264">
        <v>38.76</v>
      </c>
      <c r="M264">
        <v>5905.86</v>
      </c>
      <c r="N264" t="s">
        <v>22</v>
      </c>
    </row>
    <row r="265" spans="1:14" x14ac:dyDescent="0.25">
      <c r="A265" t="s">
        <v>94</v>
      </c>
      <c r="B265" t="s">
        <v>96</v>
      </c>
      <c r="C265" t="s">
        <v>95</v>
      </c>
      <c r="D265">
        <v>20060003</v>
      </c>
      <c r="E265" t="s">
        <v>110</v>
      </c>
      <c r="F265" s="1">
        <v>46114</v>
      </c>
      <c r="G265" t="s">
        <v>18</v>
      </c>
      <c r="H265" t="s">
        <v>19</v>
      </c>
      <c r="I265">
        <v>112.06</v>
      </c>
      <c r="J265">
        <v>3.3</v>
      </c>
      <c r="K265">
        <v>8.5</v>
      </c>
      <c r="L265">
        <v>37.130000000000003</v>
      </c>
      <c r="M265">
        <v>4160.79</v>
      </c>
      <c r="N265" t="s">
        <v>22</v>
      </c>
    </row>
    <row r="266" spans="1:14" x14ac:dyDescent="0.25">
      <c r="A266" t="s">
        <v>94</v>
      </c>
      <c r="B266" t="s">
        <v>103</v>
      </c>
      <c r="C266" t="s">
        <v>50</v>
      </c>
      <c r="D266">
        <v>20060022</v>
      </c>
      <c r="E266" t="s">
        <v>104</v>
      </c>
      <c r="F266" s="1">
        <v>46114</v>
      </c>
      <c r="G266" t="s">
        <v>18</v>
      </c>
      <c r="H266" t="s">
        <v>19</v>
      </c>
      <c r="I266">
        <v>67.040000000000006</v>
      </c>
      <c r="J266">
        <v>3.1</v>
      </c>
      <c r="K266">
        <v>8.4</v>
      </c>
      <c r="L266">
        <v>35.799999999999997</v>
      </c>
      <c r="M266">
        <v>2400.0300000000002</v>
      </c>
      <c r="N266" t="s">
        <v>22</v>
      </c>
    </row>
    <row r="267" spans="1:14" x14ac:dyDescent="0.25">
      <c r="A267" t="s">
        <v>94</v>
      </c>
      <c r="B267" t="s">
        <v>96</v>
      </c>
      <c r="C267" t="s">
        <v>95</v>
      </c>
      <c r="D267">
        <v>20060002</v>
      </c>
      <c r="E267" t="s">
        <v>102</v>
      </c>
      <c r="F267" s="1">
        <v>46114</v>
      </c>
      <c r="G267" t="s">
        <v>18</v>
      </c>
      <c r="H267" t="s">
        <v>19</v>
      </c>
      <c r="I267">
        <v>8.3699999999999992</v>
      </c>
      <c r="J267">
        <v>3.9</v>
      </c>
      <c r="K267">
        <v>8.9</v>
      </c>
      <c r="L267">
        <v>40.380000000000003</v>
      </c>
      <c r="M267">
        <v>337.98</v>
      </c>
      <c r="N267" t="s">
        <v>22</v>
      </c>
    </row>
    <row r="268" spans="1:14" x14ac:dyDescent="0.25">
      <c r="A268" t="s">
        <v>94</v>
      </c>
      <c r="B268" t="s">
        <v>103</v>
      </c>
      <c r="C268" t="s">
        <v>50</v>
      </c>
      <c r="D268">
        <v>20060001</v>
      </c>
      <c r="E268" t="s">
        <v>95</v>
      </c>
      <c r="F268" s="1">
        <v>46114</v>
      </c>
      <c r="G268" t="s">
        <v>18</v>
      </c>
      <c r="H268" t="s">
        <v>19</v>
      </c>
      <c r="I268">
        <v>27.78</v>
      </c>
      <c r="J268">
        <v>4.2</v>
      </c>
      <c r="K268">
        <v>8.3000000000000007</v>
      </c>
      <c r="L268">
        <v>38.799999999999997</v>
      </c>
      <c r="M268">
        <v>1077.95</v>
      </c>
      <c r="N268" t="s">
        <v>22</v>
      </c>
    </row>
    <row r="269" spans="1:14" x14ac:dyDescent="0.25">
      <c r="A269" t="s">
        <v>94</v>
      </c>
      <c r="B269" t="s">
        <v>103</v>
      </c>
      <c r="C269" t="s">
        <v>50</v>
      </c>
      <c r="D269">
        <v>20060001</v>
      </c>
      <c r="E269" t="s">
        <v>95</v>
      </c>
      <c r="F269" s="1">
        <v>46114</v>
      </c>
      <c r="G269" t="s">
        <v>18</v>
      </c>
      <c r="H269" t="s">
        <v>29</v>
      </c>
      <c r="I269">
        <v>5.75</v>
      </c>
      <c r="J269">
        <v>5.3</v>
      </c>
      <c r="K269">
        <v>8.5</v>
      </c>
      <c r="L269">
        <v>44.8</v>
      </c>
      <c r="M269">
        <v>257.60000000000002</v>
      </c>
      <c r="N269" t="s">
        <v>22</v>
      </c>
    </row>
    <row r="270" spans="1:14" x14ac:dyDescent="0.25">
      <c r="A270" t="s">
        <v>94</v>
      </c>
      <c r="B270" t="s">
        <v>103</v>
      </c>
      <c r="C270" t="s">
        <v>50</v>
      </c>
      <c r="D270">
        <v>20060015</v>
      </c>
      <c r="E270" t="s">
        <v>112</v>
      </c>
      <c r="F270" s="1">
        <v>46114</v>
      </c>
      <c r="G270" t="s">
        <v>51</v>
      </c>
      <c r="H270" t="s">
        <v>19</v>
      </c>
      <c r="I270">
        <v>104.77</v>
      </c>
      <c r="J270">
        <v>3.8</v>
      </c>
      <c r="K270">
        <v>7.9</v>
      </c>
      <c r="L270">
        <v>35.159999999999997</v>
      </c>
      <c r="M270">
        <v>3683.71</v>
      </c>
      <c r="N270" t="s">
        <v>22</v>
      </c>
    </row>
    <row r="271" spans="1:14" x14ac:dyDescent="0.25">
      <c r="A271" t="s">
        <v>94</v>
      </c>
      <c r="B271" t="s">
        <v>96</v>
      </c>
      <c r="C271" t="s">
        <v>95</v>
      </c>
      <c r="D271">
        <v>20060019</v>
      </c>
      <c r="E271" t="s">
        <v>97</v>
      </c>
      <c r="F271" s="1">
        <v>46114</v>
      </c>
      <c r="G271" t="s">
        <v>51</v>
      </c>
      <c r="H271" t="s">
        <v>19</v>
      </c>
      <c r="I271">
        <v>132.65</v>
      </c>
      <c r="J271">
        <v>3.5</v>
      </c>
      <c r="K271">
        <v>8.5</v>
      </c>
      <c r="L271">
        <v>37.880000000000003</v>
      </c>
      <c r="M271">
        <v>5024.78</v>
      </c>
      <c r="N271" t="s">
        <v>22</v>
      </c>
    </row>
    <row r="272" spans="1:14" x14ac:dyDescent="0.25">
      <c r="A272" t="s">
        <v>94</v>
      </c>
      <c r="B272" t="s">
        <v>96</v>
      </c>
      <c r="C272" t="s">
        <v>95</v>
      </c>
      <c r="D272">
        <v>20060007</v>
      </c>
      <c r="E272" t="s">
        <v>98</v>
      </c>
      <c r="F272" s="1">
        <v>46114</v>
      </c>
      <c r="G272" t="s">
        <v>51</v>
      </c>
      <c r="H272" t="s">
        <v>19</v>
      </c>
      <c r="I272">
        <v>94.01</v>
      </c>
      <c r="J272">
        <v>4</v>
      </c>
      <c r="K272">
        <v>8.6</v>
      </c>
      <c r="L272">
        <v>40</v>
      </c>
      <c r="M272">
        <v>3760.4</v>
      </c>
      <c r="N272" t="s">
        <v>22</v>
      </c>
    </row>
    <row r="273" spans="1:14" x14ac:dyDescent="0.25">
      <c r="A273" t="s">
        <v>94</v>
      </c>
      <c r="B273" t="s">
        <v>96</v>
      </c>
      <c r="C273" t="s">
        <v>95</v>
      </c>
      <c r="D273">
        <v>20060005</v>
      </c>
      <c r="E273" t="s">
        <v>99</v>
      </c>
      <c r="F273" s="1">
        <v>46114</v>
      </c>
      <c r="G273" t="s">
        <v>51</v>
      </c>
      <c r="H273" t="s">
        <v>19</v>
      </c>
      <c r="I273">
        <v>25.07</v>
      </c>
      <c r="J273">
        <v>4.5</v>
      </c>
      <c r="K273">
        <v>8</v>
      </c>
      <c r="L273">
        <v>39.53</v>
      </c>
      <c r="M273">
        <v>991.02</v>
      </c>
      <c r="N273" t="s">
        <v>22</v>
      </c>
    </row>
    <row r="274" spans="1:14" x14ac:dyDescent="0.25">
      <c r="A274" t="s">
        <v>94</v>
      </c>
      <c r="B274" t="s">
        <v>96</v>
      </c>
      <c r="C274" t="s">
        <v>95</v>
      </c>
      <c r="D274">
        <v>20060002</v>
      </c>
      <c r="E274" t="s">
        <v>102</v>
      </c>
      <c r="F274" s="1">
        <v>46114</v>
      </c>
      <c r="G274" t="s">
        <v>51</v>
      </c>
      <c r="H274" t="s">
        <v>19</v>
      </c>
      <c r="I274">
        <v>17.07</v>
      </c>
      <c r="J274">
        <v>3.9</v>
      </c>
      <c r="K274">
        <v>8.5</v>
      </c>
      <c r="L274">
        <v>39.380000000000003</v>
      </c>
      <c r="M274">
        <v>672.22</v>
      </c>
      <c r="N274" t="s">
        <v>22</v>
      </c>
    </row>
    <row r="275" spans="1:14" x14ac:dyDescent="0.25">
      <c r="A275" t="s">
        <v>94</v>
      </c>
      <c r="B275" t="s">
        <v>96</v>
      </c>
      <c r="C275" t="s">
        <v>95</v>
      </c>
      <c r="D275">
        <v>20060017</v>
      </c>
      <c r="E275" t="s">
        <v>100</v>
      </c>
      <c r="F275" s="1">
        <v>46114</v>
      </c>
      <c r="G275" t="s">
        <v>51</v>
      </c>
      <c r="H275" t="s">
        <v>19</v>
      </c>
      <c r="I275">
        <v>51.21</v>
      </c>
      <c r="J275">
        <v>4</v>
      </c>
      <c r="K275">
        <v>8.1999999999999993</v>
      </c>
      <c r="L275">
        <v>38.19</v>
      </c>
      <c r="M275">
        <v>1955.71</v>
      </c>
      <c r="N275" t="s">
        <v>22</v>
      </c>
    </row>
    <row r="276" spans="1:14" x14ac:dyDescent="0.25">
      <c r="A276" t="s">
        <v>94</v>
      </c>
      <c r="B276" t="s">
        <v>96</v>
      </c>
      <c r="C276" t="s">
        <v>95</v>
      </c>
      <c r="D276">
        <v>20060009</v>
      </c>
      <c r="E276" t="s">
        <v>101</v>
      </c>
      <c r="F276" s="1">
        <v>46114</v>
      </c>
      <c r="G276" t="s">
        <v>51</v>
      </c>
      <c r="H276" t="s">
        <v>19</v>
      </c>
      <c r="I276">
        <v>2.8</v>
      </c>
      <c r="J276">
        <v>3.1</v>
      </c>
      <c r="K276">
        <v>7.6</v>
      </c>
      <c r="L276">
        <v>31.23</v>
      </c>
      <c r="M276">
        <v>87.44</v>
      </c>
      <c r="N276" t="s">
        <v>22</v>
      </c>
    </row>
    <row r="277" spans="1:14" x14ac:dyDescent="0.25">
      <c r="A277" t="s">
        <v>94</v>
      </c>
      <c r="B277" t="s">
        <v>96</v>
      </c>
      <c r="C277" t="s">
        <v>95</v>
      </c>
      <c r="D277">
        <v>20060003</v>
      </c>
      <c r="E277" t="s">
        <v>110</v>
      </c>
      <c r="F277" s="1">
        <v>46114</v>
      </c>
      <c r="G277" t="s">
        <v>51</v>
      </c>
      <c r="H277" t="s">
        <v>19</v>
      </c>
      <c r="I277">
        <v>107.03</v>
      </c>
      <c r="J277">
        <v>3.9</v>
      </c>
      <c r="K277">
        <v>8.5</v>
      </c>
      <c r="L277">
        <v>39.380000000000003</v>
      </c>
      <c r="M277">
        <v>4214.84</v>
      </c>
      <c r="N277" t="s">
        <v>22</v>
      </c>
    </row>
    <row r="278" spans="1:14" x14ac:dyDescent="0.25">
      <c r="A278" t="s">
        <v>94</v>
      </c>
      <c r="B278" t="s">
        <v>96</v>
      </c>
      <c r="C278" t="s">
        <v>95</v>
      </c>
      <c r="D278">
        <v>20060004</v>
      </c>
      <c r="E278" t="s">
        <v>105</v>
      </c>
      <c r="F278" s="1">
        <v>46114</v>
      </c>
      <c r="G278" t="s">
        <v>51</v>
      </c>
      <c r="H278" t="s">
        <v>19</v>
      </c>
      <c r="I278">
        <v>132.49</v>
      </c>
      <c r="J278">
        <v>4.0999999999999996</v>
      </c>
      <c r="K278">
        <v>8.1999999999999993</v>
      </c>
      <c r="L278">
        <v>38.56</v>
      </c>
      <c r="M278">
        <v>5108.8100000000004</v>
      </c>
      <c r="N278" t="s">
        <v>22</v>
      </c>
    </row>
    <row r="279" spans="1:14" x14ac:dyDescent="0.25">
      <c r="A279" t="s">
        <v>94</v>
      </c>
      <c r="B279" t="s">
        <v>96</v>
      </c>
      <c r="C279" t="s">
        <v>95</v>
      </c>
      <c r="D279">
        <v>20060020</v>
      </c>
      <c r="E279" t="s">
        <v>107</v>
      </c>
      <c r="F279" s="1">
        <v>46114</v>
      </c>
      <c r="G279" t="s">
        <v>51</v>
      </c>
      <c r="H279" t="s">
        <v>19</v>
      </c>
      <c r="I279">
        <v>26.03</v>
      </c>
      <c r="J279">
        <v>2.9</v>
      </c>
      <c r="K279">
        <v>8.1</v>
      </c>
      <c r="L279">
        <v>33.93</v>
      </c>
      <c r="M279">
        <v>883.2</v>
      </c>
      <c r="N279" t="s">
        <v>22</v>
      </c>
    </row>
    <row r="280" spans="1:14" x14ac:dyDescent="0.25">
      <c r="A280" t="s">
        <v>94</v>
      </c>
      <c r="B280" t="s">
        <v>103</v>
      </c>
      <c r="C280" t="s">
        <v>50</v>
      </c>
      <c r="D280">
        <v>20060022</v>
      </c>
      <c r="E280" t="s">
        <v>104</v>
      </c>
      <c r="F280" s="1">
        <v>46114</v>
      </c>
      <c r="G280" t="s">
        <v>51</v>
      </c>
      <c r="H280" t="s">
        <v>19</v>
      </c>
      <c r="I280">
        <v>55.37</v>
      </c>
      <c r="J280">
        <v>3.1</v>
      </c>
      <c r="K280">
        <v>8.1999999999999993</v>
      </c>
      <c r="L280">
        <v>34.909999999999997</v>
      </c>
      <c r="M280">
        <v>1932.97</v>
      </c>
      <c r="N280" t="s">
        <v>22</v>
      </c>
    </row>
    <row r="281" spans="1:14" x14ac:dyDescent="0.25">
      <c r="A281" t="s">
        <v>94</v>
      </c>
      <c r="B281" t="s">
        <v>96</v>
      </c>
      <c r="C281" t="s">
        <v>95</v>
      </c>
      <c r="D281">
        <v>20060008</v>
      </c>
      <c r="E281" t="s">
        <v>109</v>
      </c>
      <c r="F281" s="1">
        <v>46114</v>
      </c>
      <c r="G281" t="s">
        <v>51</v>
      </c>
      <c r="H281" t="s">
        <v>19</v>
      </c>
      <c r="I281">
        <v>129.52000000000001</v>
      </c>
      <c r="J281">
        <v>4.3</v>
      </c>
      <c r="K281">
        <v>8.4</v>
      </c>
      <c r="L281">
        <v>40.24</v>
      </c>
      <c r="M281">
        <v>5211.88</v>
      </c>
      <c r="N281" t="s">
        <v>22</v>
      </c>
    </row>
    <row r="282" spans="1:14" x14ac:dyDescent="0.25">
      <c r="A282" t="s">
        <v>94</v>
      </c>
      <c r="B282" t="s">
        <v>103</v>
      </c>
      <c r="C282" t="s">
        <v>50</v>
      </c>
      <c r="D282">
        <v>20060001</v>
      </c>
      <c r="E282" t="s">
        <v>95</v>
      </c>
      <c r="F282" s="1">
        <v>46114</v>
      </c>
      <c r="G282" t="s">
        <v>51</v>
      </c>
      <c r="H282" t="s">
        <v>19</v>
      </c>
      <c r="I282">
        <v>280.13</v>
      </c>
      <c r="J282">
        <v>3.8</v>
      </c>
      <c r="K282">
        <v>8.3000000000000007</v>
      </c>
      <c r="L282">
        <v>38.200000000000003</v>
      </c>
      <c r="M282">
        <v>10702.16</v>
      </c>
      <c r="N282" t="s">
        <v>22</v>
      </c>
    </row>
    <row r="283" spans="1:14" x14ac:dyDescent="0.25">
      <c r="A283" t="s">
        <v>94</v>
      </c>
      <c r="B283" t="s">
        <v>103</v>
      </c>
      <c r="C283" t="s">
        <v>50</v>
      </c>
      <c r="D283">
        <v>20060001</v>
      </c>
      <c r="E283" t="s">
        <v>95</v>
      </c>
      <c r="F283" s="1">
        <v>46114</v>
      </c>
      <c r="G283" t="s">
        <v>51</v>
      </c>
      <c r="H283" t="s">
        <v>29</v>
      </c>
      <c r="I283">
        <v>17.079999999999998</v>
      </c>
      <c r="J283">
        <v>5.0999999999999996</v>
      </c>
      <c r="K283">
        <v>8.3000000000000007</v>
      </c>
      <c r="L283">
        <v>43.13</v>
      </c>
      <c r="M283">
        <v>736.72</v>
      </c>
      <c r="N283" t="s">
        <v>22</v>
      </c>
    </row>
    <row r="284" spans="1:14" x14ac:dyDescent="0.25">
      <c r="A284" t="s">
        <v>113</v>
      </c>
      <c r="B284" t="s">
        <v>115</v>
      </c>
      <c r="C284" t="s">
        <v>114</v>
      </c>
      <c r="D284">
        <v>20070009</v>
      </c>
      <c r="E284" t="s">
        <v>116</v>
      </c>
      <c r="F284" s="1">
        <v>46113</v>
      </c>
      <c r="G284" t="s">
        <v>18</v>
      </c>
      <c r="H284" t="s">
        <v>19</v>
      </c>
      <c r="I284">
        <v>34.6</v>
      </c>
      <c r="J284">
        <v>4.3</v>
      </c>
      <c r="K284">
        <v>8.6999999999999993</v>
      </c>
      <c r="L284">
        <v>41.38</v>
      </c>
      <c r="M284">
        <v>1431.75</v>
      </c>
      <c r="N284" t="s">
        <v>22</v>
      </c>
    </row>
    <row r="285" spans="1:14" x14ac:dyDescent="0.25">
      <c r="A285" t="s">
        <v>113</v>
      </c>
      <c r="B285" t="s">
        <v>115</v>
      </c>
      <c r="C285" t="s">
        <v>114</v>
      </c>
      <c r="D285">
        <v>20070004</v>
      </c>
      <c r="E285" t="s">
        <v>117</v>
      </c>
      <c r="F285" s="1">
        <v>46113</v>
      </c>
      <c r="G285" t="s">
        <v>18</v>
      </c>
      <c r="H285" t="s">
        <v>19</v>
      </c>
      <c r="I285">
        <v>58.35</v>
      </c>
      <c r="J285">
        <v>4.0999999999999996</v>
      </c>
      <c r="K285">
        <v>8.6</v>
      </c>
      <c r="L285">
        <v>40.380000000000003</v>
      </c>
      <c r="M285">
        <v>2356.17</v>
      </c>
      <c r="N285" t="s">
        <v>22</v>
      </c>
    </row>
    <row r="286" spans="1:14" x14ac:dyDescent="0.25">
      <c r="A286" t="s">
        <v>113</v>
      </c>
      <c r="B286" t="s">
        <v>115</v>
      </c>
      <c r="C286" t="s">
        <v>114</v>
      </c>
      <c r="D286">
        <v>20070007</v>
      </c>
      <c r="E286" t="s">
        <v>118</v>
      </c>
      <c r="F286" s="1">
        <v>46113</v>
      </c>
      <c r="G286" t="s">
        <v>18</v>
      </c>
      <c r="H286" t="s">
        <v>19</v>
      </c>
      <c r="I286">
        <v>26.73</v>
      </c>
      <c r="J286">
        <v>4.4000000000000004</v>
      </c>
      <c r="K286">
        <v>8.9</v>
      </c>
      <c r="L286">
        <v>42.25</v>
      </c>
      <c r="M286">
        <v>1129.3399999999999</v>
      </c>
      <c r="N286" t="s">
        <v>22</v>
      </c>
    </row>
    <row r="287" spans="1:14" x14ac:dyDescent="0.25">
      <c r="A287" t="s">
        <v>113</v>
      </c>
      <c r="B287" t="s">
        <v>115</v>
      </c>
      <c r="C287" t="s">
        <v>114</v>
      </c>
      <c r="D287">
        <v>20070003</v>
      </c>
      <c r="E287" t="s">
        <v>119</v>
      </c>
      <c r="F287" s="1">
        <v>46113</v>
      </c>
      <c r="G287" t="s">
        <v>18</v>
      </c>
      <c r="H287" t="s">
        <v>19</v>
      </c>
      <c r="I287">
        <v>71.239999999999995</v>
      </c>
      <c r="J287">
        <v>4.4000000000000004</v>
      </c>
      <c r="K287">
        <v>9</v>
      </c>
      <c r="L287">
        <v>42.5</v>
      </c>
      <c r="M287">
        <v>3027.7</v>
      </c>
      <c r="N287" t="s">
        <v>22</v>
      </c>
    </row>
    <row r="288" spans="1:14" x14ac:dyDescent="0.25">
      <c r="A288" t="s">
        <v>113</v>
      </c>
      <c r="B288" t="s">
        <v>115</v>
      </c>
      <c r="C288" t="s">
        <v>114</v>
      </c>
      <c r="D288">
        <v>20070019</v>
      </c>
      <c r="E288" t="s">
        <v>120</v>
      </c>
      <c r="F288" s="1">
        <v>46113</v>
      </c>
      <c r="G288" t="s">
        <v>18</v>
      </c>
      <c r="H288" t="s">
        <v>19</v>
      </c>
      <c r="I288">
        <v>34.409999999999997</v>
      </c>
      <c r="J288">
        <v>4.2</v>
      </c>
      <c r="K288">
        <v>8.5</v>
      </c>
      <c r="L288">
        <v>40.5</v>
      </c>
      <c r="M288">
        <v>1393.6</v>
      </c>
      <c r="N288" t="s">
        <v>22</v>
      </c>
    </row>
    <row r="289" spans="1:14" x14ac:dyDescent="0.25">
      <c r="A289" t="s">
        <v>113</v>
      </c>
      <c r="B289" t="s">
        <v>115</v>
      </c>
      <c r="C289" t="s">
        <v>114</v>
      </c>
      <c r="D289">
        <v>20070021</v>
      </c>
      <c r="E289" t="s">
        <v>121</v>
      </c>
      <c r="F289" s="1">
        <v>46113</v>
      </c>
      <c r="G289" t="s">
        <v>18</v>
      </c>
      <c r="H289" t="s">
        <v>29</v>
      </c>
      <c r="I289">
        <v>10.23</v>
      </c>
      <c r="J289">
        <v>5</v>
      </c>
      <c r="K289">
        <v>8.8000000000000007</v>
      </c>
      <c r="L289">
        <v>44.43</v>
      </c>
      <c r="M289">
        <v>454.52</v>
      </c>
      <c r="N289" t="s">
        <v>22</v>
      </c>
    </row>
    <row r="290" spans="1:14" x14ac:dyDescent="0.25">
      <c r="A290" t="s">
        <v>113</v>
      </c>
      <c r="B290" t="s">
        <v>115</v>
      </c>
      <c r="C290" t="s">
        <v>114</v>
      </c>
      <c r="D290">
        <v>20070006</v>
      </c>
      <c r="E290" t="s">
        <v>122</v>
      </c>
      <c r="F290" s="1">
        <v>46113</v>
      </c>
      <c r="G290" t="s">
        <v>18</v>
      </c>
      <c r="H290" t="s">
        <v>19</v>
      </c>
      <c r="I290">
        <v>55.8</v>
      </c>
      <c r="J290">
        <v>4.5999999999999996</v>
      </c>
      <c r="K290">
        <v>8.8000000000000007</v>
      </c>
      <c r="L290">
        <v>42.75</v>
      </c>
      <c r="M290">
        <v>2385.4499999999998</v>
      </c>
      <c r="N290" t="s">
        <v>22</v>
      </c>
    </row>
    <row r="291" spans="1:14" x14ac:dyDescent="0.25">
      <c r="A291" t="s">
        <v>113</v>
      </c>
      <c r="B291" t="s">
        <v>123</v>
      </c>
      <c r="C291" t="s">
        <v>124</v>
      </c>
      <c r="D291">
        <v>20070024</v>
      </c>
      <c r="E291" t="s">
        <v>125</v>
      </c>
      <c r="F291" s="1">
        <v>46113</v>
      </c>
      <c r="G291" t="s">
        <v>18</v>
      </c>
      <c r="H291" t="s">
        <v>29</v>
      </c>
      <c r="I291">
        <v>66.739999999999995</v>
      </c>
      <c r="J291">
        <v>5.9</v>
      </c>
      <c r="K291">
        <v>9.3000000000000007</v>
      </c>
      <c r="L291">
        <v>48.31</v>
      </c>
      <c r="M291">
        <v>3224.21</v>
      </c>
      <c r="N291" t="s">
        <v>22</v>
      </c>
    </row>
    <row r="292" spans="1:14" x14ac:dyDescent="0.25">
      <c r="A292" t="s">
        <v>113</v>
      </c>
      <c r="B292" t="s">
        <v>123</v>
      </c>
      <c r="C292" t="s">
        <v>124</v>
      </c>
      <c r="D292">
        <v>20070026</v>
      </c>
      <c r="E292" t="s">
        <v>126</v>
      </c>
      <c r="F292" s="1">
        <v>46113</v>
      </c>
      <c r="G292" t="s">
        <v>18</v>
      </c>
      <c r="H292" t="s">
        <v>19</v>
      </c>
      <c r="I292">
        <v>50.25</v>
      </c>
      <c r="J292">
        <v>3.8</v>
      </c>
      <c r="K292">
        <v>8.6</v>
      </c>
      <c r="L292">
        <v>39.25</v>
      </c>
      <c r="M292">
        <v>1972.31</v>
      </c>
      <c r="N292" t="s">
        <v>22</v>
      </c>
    </row>
    <row r="293" spans="1:14" x14ac:dyDescent="0.25">
      <c r="A293" t="s">
        <v>113</v>
      </c>
      <c r="B293" t="s">
        <v>123</v>
      </c>
      <c r="C293" t="s">
        <v>124</v>
      </c>
      <c r="D293">
        <v>20070020</v>
      </c>
      <c r="E293" t="s">
        <v>127</v>
      </c>
      <c r="F293" s="1">
        <v>46113</v>
      </c>
      <c r="G293" t="s">
        <v>18</v>
      </c>
      <c r="H293" t="s">
        <v>29</v>
      </c>
      <c r="I293">
        <v>62.71</v>
      </c>
      <c r="J293">
        <v>5</v>
      </c>
      <c r="K293">
        <v>8.8000000000000007</v>
      </c>
      <c r="L293">
        <v>44.43</v>
      </c>
      <c r="M293">
        <v>2786.21</v>
      </c>
      <c r="N293" t="s">
        <v>22</v>
      </c>
    </row>
    <row r="294" spans="1:14" x14ac:dyDescent="0.25">
      <c r="A294" t="s">
        <v>113</v>
      </c>
      <c r="B294" t="s">
        <v>123</v>
      </c>
      <c r="C294" t="s">
        <v>124</v>
      </c>
      <c r="D294">
        <v>20070023</v>
      </c>
      <c r="E294" t="s">
        <v>128</v>
      </c>
      <c r="F294" s="1">
        <v>46113</v>
      </c>
      <c r="G294" t="s">
        <v>18</v>
      </c>
      <c r="H294" t="s">
        <v>19</v>
      </c>
      <c r="I294">
        <v>18.03</v>
      </c>
      <c r="J294">
        <v>4.7</v>
      </c>
      <c r="K294">
        <v>8.5</v>
      </c>
      <c r="L294">
        <v>42.38</v>
      </c>
      <c r="M294">
        <v>764.11</v>
      </c>
      <c r="N294" t="s">
        <v>22</v>
      </c>
    </row>
    <row r="295" spans="1:14" x14ac:dyDescent="0.25">
      <c r="A295" t="s">
        <v>113</v>
      </c>
      <c r="B295" t="s">
        <v>123</v>
      </c>
      <c r="C295" t="s">
        <v>124</v>
      </c>
      <c r="D295">
        <v>20070010</v>
      </c>
      <c r="E295" t="s">
        <v>129</v>
      </c>
      <c r="F295" s="1">
        <v>46113</v>
      </c>
      <c r="G295" t="s">
        <v>18</v>
      </c>
      <c r="H295" t="s">
        <v>19</v>
      </c>
      <c r="I295">
        <v>40.56</v>
      </c>
      <c r="J295">
        <v>4.2</v>
      </c>
      <c r="K295">
        <v>8.5</v>
      </c>
      <c r="L295">
        <v>40.5</v>
      </c>
      <c r="M295">
        <v>1642.68</v>
      </c>
      <c r="N295" t="s">
        <v>22</v>
      </c>
    </row>
    <row r="296" spans="1:14" x14ac:dyDescent="0.25">
      <c r="A296" t="s">
        <v>113</v>
      </c>
      <c r="B296" t="s">
        <v>123</v>
      </c>
      <c r="C296" t="s">
        <v>124</v>
      </c>
      <c r="D296">
        <v>20070018</v>
      </c>
      <c r="E296" t="s">
        <v>130</v>
      </c>
      <c r="F296" s="1">
        <v>46113</v>
      </c>
      <c r="G296" t="s">
        <v>18</v>
      </c>
      <c r="H296" t="s">
        <v>19</v>
      </c>
      <c r="I296">
        <v>40.56</v>
      </c>
      <c r="J296">
        <v>4.5999999999999996</v>
      </c>
      <c r="K296">
        <v>8.5</v>
      </c>
      <c r="L296">
        <v>42</v>
      </c>
      <c r="M296">
        <v>1703.52</v>
      </c>
      <c r="N296" t="s">
        <v>22</v>
      </c>
    </row>
    <row r="297" spans="1:14" x14ac:dyDescent="0.25">
      <c r="A297" t="s">
        <v>113</v>
      </c>
      <c r="B297" t="s">
        <v>131</v>
      </c>
      <c r="C297" t="s">
        <v>50</v>
      </c>
      <c r="D297">
        <v>20070001</v>
      </c>
      <c r="E297" t="s">
        <v>114</v>
      </c>
      <c r="F297" s="1">
        <v>46113</v>
      </c>
      <c r="G297" t="s">
        <v>18</v>
      </c>
      <c r="H297" t="s">
        <v>19</v>
      </c>
      <c r="I297">
        <v>23.06</v>
      </c>
      <c r="J297">
        <v>3.9</v>
      </c>
      <c r="K297">
        <v>8.6</v>
      </c>
      <c r="L297">
        <v>39.54</v>
      </c>
      <c r="M297">
        <v>911.84</v>
      </c>
      <c r="N297" t="s">
        <v>22</v>
      </c>
    </row>
    <row r="298" spans="1:14" x14ac:dyDescent="0.25">
      <c r="A298" t="s">
        <v>113</v>
      </c>
      <c r="B298" t="s">
        <v>131</v>
      </c>
      <c r="C298" t="s">
        <v>50</v>
      </c>
      <c r="D298">
        <v>20070001</v>
      </c>
      <c r="E298" t="s">
        <v>114</v>
      </c>
      <c r="F298" s="1">
        <v>46113</v>
      </c>
      <c r="G298" t="s">
        <v>18</v>
      </c>
      <c r="H298" t="s">
        <v>29</v>
      </c>
      <c r="I298">
        <v>5.46</v>
      </c>
      <c r="J298">
        <v>6.4</v>
      </c>
      <c r="K298">
        <v>8.6999999999999993</v>
      </c>
      <c r="L298">
        <v>51.93</v>
      </c>
      <c r="M298">
        <v>283.52999999999997</v>
      </c>
      <c r="N298" t="s">
        <v>22</v>
      </c>
    </row>
    <row r="299" spans="1:14" x14ac:dyDescent="0.25">
      <c r="A299" t="s">
        <v>113</v>
      </c>
      <c r="B299" t="s">
        <v>115</v>
      </c>
      <c r="C299" t="s">
        <v>114</v>
      </c>
      <c r="D299">
        <v>20070002</v>
      </c>
      <c r="E299" t="s">
        <v>132</v>
      </c>
      <c r="F299" s="1">
        <v>46113</v>
      </c>
      <c r="G299" t="s">
        <v>18</v>
      </c>
      <c r="H299" t="s">
        <v>19</v>
      </c>
      <c r="I299">
        <v>94</v>
      </c>
      <c r="J299">
        <v>4.7</v>
      </c>
      <c r="K299">
        <v>8.6999999999999993</v>
      </c>
      <c r="L299">
        <v>42.88</v>
      </c>
      <c r="M299">
        <v>4030.72</v>
      </c>
      <c r="N299" t="s">
        <v>20</v>
      </c>
    </row>
    <row r="300" spans="1:14" x14ac:dyDescent="0.25">
      <c r="A300" t="s">
        <v>113</v>
      </c>
      <c r="B300" t="s">
        <v>123</v>
      </c>
      <c r="C300" t="s">
        <v>124</v>
      </c>
      <c r="D300">
        <v>20070025</v>
      </c>
      <c r="E300" t="s">
        <v>133</v>
      </c>
      <c r="F300" s="1">
        <v>46113</v>
      </c>
      <c r="G300" t="s">
        <v>18</v>
      </c>
      <c r="H300" t="s">
        <v>29</v>
      </c>
      <c r="I300">
        <v>24</v>
      </c>
      <c r="J300">
        <v>6.7</v>
      </c>
      <c r="K300">
        <v>8.6999999999999993</v>
      </c>
      <c r="L300">
        <v>50.92</v>
      </c>
      <c r="M300">
        <v>1222.08</v>
      </c>
      <c r="N300" t="s">
        <v>20</v>
      </c>
    </row>
    <row r="301" spans="1:14" x14ac:dyDescent="0.25">
      <c r="A301" t="s">
        <v>113</v>
      </c>
      <c r="B301" t="s">
        <v>115</v>
      </c>
      <c r="C301" t="s">
        <v>114</v>
      </c>
      <c r="D301">
        <v>20070002</v>
      </c>
      <c r="E301" t="s">
        <v>132</v>
      </c>
      <c r="F301" s="1">
        <v>46113</v>
      </c>
      <c r="G301" t="s">
        <v>51</v>
      </c>
      <c r="H301" t="s">
        <v>29</v>
      </c>
      <c r="I301">
        <v>67.349999999999994</v>
      </c>
      <c r="J301">
        <v>5.0999999999999996</v>
      </c>
      <c r="K301">
        <v>8.5</v>
      </c>
      <c r="L301">
        <v>44.05</v>
      </c>
      <c r="M301">
        <v>2966.77</v>
      </c>
      <c r="N301" t="s">
        <v>22</v>
      </c>
    </row>
    <row r="302" spans="1:14" x14ac:dyDescent="0.25">
      <c r="A302" t="s">
        <v>113</v>
      </c>
      <c r="B302" t="s">
        <v>115</v>
      </c>
      <c r="C302" t="s">
        <v>114</v>
      </c>
      <c r="D302">
        <v>20070004</v>
      </c>
      <c r="E302" t="s">
        <v>117</v>
      </c>
      <c r="F302" s="1">
        <v>46113</v>
      </c>
      <c r="G302" t="s">
        <v>51</v>
      </c>
      <c r="H302" t="s">
        <v>19</v>
      </c>
      <c r="I302">
        <v>43.19</v>
      </c>
      <c r="J302">
        <v>3.9</v>
      </c>
      <c r="K302">
        <v>8.3000000000000007</v>
      </c>
      <c r="L302">
        <v>38.51</v>
      </c>
      <c r="M302">
        <v>1663.25</v>
      </c>
      <c r="N302" t="s">
        <v>22</v>
      </c>
    </row>
    <row r="303" spans="1:14" x14ac:dyDescent="0.25">
      <c r="A303" t="s">
        <v>113</v>
      </c>
      <c r="B303" t="s">
        <v>115</v>
      </c>
      <c r="C303" t="s">
        <v>114</v>
      </c>
      <c r="D303">
        <v>20070003</v>
      </c>
      <c r="E303" t="s">
        <v>119</v>
      </c>
      <c r="F303" s="1">
        <v>46113</v>
      </c>
      <c r="G303" t="s">
        <v>51</v>
      </c>
      <c r="H303" t="s">
        <v>19</v>
      </c>
      <c r="I303">
        <v>24.29</v>
      </c>
      <c r="J303">
        <v>4.2</v>
      </c>
      <c r="K303">
        <v>8.8000000000000007</v>
      </c>
      <c r="L303">
        <v>41.25</v>
      </c>
      <c r="M303">
        <v>1001.96</v>
      </c>
      <c r="N303" t="s">
        <v>22</v>
      </c>
    </row>
    <row r="304" spans="1:14" x14ac:dyDescent="0.25">
      <c r="A304" t="s">
        <v>113</v>
      </c>
      <c r="B304" t="s">
        <v>115</v>
      </c>
      <c r="C304" t="s">
        <v>114</v>
      </c>
      <c r="D304">
        <v>20070019</v>
      </c>
      <c r="E304" t="s">
        <v>120</v>
      </c>
      <c r="F304" s="1">
        <v>46113</v>
      </c>
      <c r="G304" t="s">
        <v>51</v>
      </c>
      <c r="H304" t="s">
        <v>19</v>
      </c>
      <c r="I304">
        <v>5.24</v>
      </c>
      <c r="J304">
        <v>4.8</v>
      </c>
      <c r="K304">
        <v>8.1</v>
      </c>
      <c r="L304">
        <v>40.869999999999997</v>
      </c>
      <c r="M304">
        <v>214.16</v>
      </c>
      <c r="N304" t="s">
        <v>22</v>
      </c>
    </row>
    <row r="305" spans="1:14" x14ac:dyDescent="0.25">
      <c r="A305" t="s">
        <v>113</v>
      </c>
      <c r="B305" t="s">
        <v>115</v>
      </c>
      <c r="C305" t="s">
        <v>114</v>
      </c>
      <c r="D305">
        <v>20070009</v>
      </c>
      <c r="E305" t="s">
        <v>116</v>
      </c>
      <c r="F305" s="1">
        <v>46113</v>
      </c>
      <c r="G305" t="s">
        <v>51</v>
      </c>
      <c r="H305" t="s">
        <v>19</v>
      </c>
      <c r="I305">
        <v>16.940000000000001</v>
      </c>
      <c r="J305">
        <v>4</v>
      </c>
      <c r="K305">
        <v>8.4</v>
      </c>
      <c r="L305">
        <v>39.130000000000003</v>
      </c>
      <c r="M305">
        <v>662.86</v>
      </c>
      <c r="N305" t="s">
        <v>22</v>
      </c>
    </row>
    <row r="306" spans="1:14" x14ac:dyDescent="0.25">
      <c r="A306" t="s">
        <v>113</v>
      </c>
      <c r="B306" t="s">
        <v>115</v>
      </c>
      <c r="C306" t="s">
        <v>114</v>
      </c>
      <c r="D306">
        <v>20070007</v>
      </c>
      <c r="E306" t="s">
        <v>118</v>
      </c>
      <c r="F306" s="1">
        <v>46113</v>
      </c>
      <c r="G306" t="s">
        <v>51</v>
      </c>
      <c r="H306" t="s">
        <v>19</v>
      </c>
      <c r="I306">
        <v>57.42</v>
      </c>
      <c r="J306">
        <v>4.0999999999999996</v>
      </c>
      <c r="K306">
        <v>8.9</v>
      </c>
      <c r="L306">
        <v>41.13</v>
      </c>
      <c r="M306">
        <v>2361.6799999999998</v>
      </c>
      <c r="N306" t="s">
        <v>22</v>
      </c>
    </row>
    <row r="307" spans="1:14" x14ac:dyDescent="0.25">
      <c r="A307" t="s">
        <v>113</v>
      </c>
      <c r="B307" t="s">
        <v>115</v>
      </c>
      <c r="C307" t="s">
        <v>114</v>
      </c>
      <c r="D307">
        <v>20070006</v>
      </c>
      <c r="E307" t="s">
        <v>122</v>
      </c>
      <c r="F307" s="1">
        <v>46113</v>
      </c>
      <c r="G307" t="s">
        <v>51</v>
      </c>
      <c r="H307" t="s">
        <v>19</v>
      </c>
      <c r="I307">
        <v>24.38</v>
      </c>
      <c r="J307">
        <v>4.0999999999999996</v>
      </c>
      <c r="K307">
        <v>8</v>
      </c>
      <c r="L307">
        <v>38.07</v>
      </c>
      <c r="M307">
        <v>928.15</v>
      </c>
      <c r="N307" t="s">
        <v>22</v>
      </c>
    </row>
    <row r="308" spans="1:14" x14ac:dyDescent="0.25">
      <c r="A308" t="s">
        <v>113</v>
      </c>
      <c r="B308" t="s">
        <v>123</v>
      </c>
      <c r="C308" t="s">
        <v>124</v>
      </c>
      <c r="D308">
        <v>20070016</v>
      </c>
      <c r="E308" t="s">
        <v>134</v>
      </c>
      <c r="F308" s="1">
        <v>46113</v>
      </c>
      <c r="G308" t="s">
        <v>51</v>
      </c>
      <c r="H308" t="s">
        <v>19</v>
      </c>
      <c r="I308">
        <v>20.49</v>
      </c>
      <c r="J308">
        <v>3.8</v>
      </c>
      <c r="K308">
        <v>8.1</v>
      </c>
      <c r="L308">
        <v>37.22</v>
      </c>
      <c r="M308">
        <v>762.64</v>
      </c>
      <c r="N308" t="s">
        <v>22</v>
      </c>
    </row>
    <row r="309" spans="1:14" x14ac:dyDescent="0.25">
      <c r="A309" t="s">
        <v>113</v>
      </c>
      <c r="B309" t="s">
        <v>123</v>
      </c>
      <c r="C309" t="s">
        <v>124</v>
      </c>
      <c r="D309">
        <v>20070025</v>
      </c>
      <c r="E309" t="s">
        <v>133</v>
      </c>
      <c r="F309" s="1">
        <v>46113</v>
      </c>
      <c r="G309" t="s">
        <v>51</v>
      </c>
      <c r="H309" t="s">
        <v>29</v>
      </c>
      <c r="I309">
        <v>24.93</v>
      </c>
      <c r="J309">
        <v>5.6</v>
      </c>
      <c r="K309">
        <v>8.5</v>
      </c>
      <c r="L309">
        <v>45.92</v>
      </c>
      <c r="M309">
        <v>1144.79</v>
      </c>
      <c r="N309" t="s">
        <v>22</v>
      </c>
    </row>
    <row r="310" spans="1:14" x14ac:dyDescent="0.25">
      <c r="A310" t="s">
        <v>113</v>
      </c>
      <c r="B310" t="s">
        <v>123</v>
      </c>
      <c r="C310" t="s">
        <v>124</v>
      </c>
      <c r="D310">
        <v>20070020</v>
      </c>
      <c r="E310" t="s">
        <v>127</v>
      </c>
      <c r="F310" s="1">
        <v>46113</v>
      </c>
      <c r="G310" t="s">
        <v>51</v>
      </c>
      <c r="H310" t="s">
        <v>19</v>
      </c>
      <c r="I310">
        <v>21.49</v>
      </c>
      <c r="J310">
        <v>4</v>
      </c>
      <c r="K310">
        <v>8.6999999999999993</v>
      </c>
      <c r="L310">
        <v>40.25</v>
      </c>
      <c r="M310">
        <v>864.97</v>
      </c>
      <c r="N310" t="s">
        <v>22</v>
      </c>
    </row>
    <row r="311" spans="1:14" x14ac:dyDescent="0.25">
      <c r="A311" t="s">
        <v>113</v>
      </c>
      <c r="B311" t="s">
        <v>123</v>
      </c>
      <c r="C311" t="s">
        <v>124</v>
      </c>
      <c r="D311">
        <v>20070018</v>
      </c>
      <c r="E311" t="s">
        <v>130</v>
      </c>
      <c r="F311" s="1">
        <v>46113</v>
      </c>
      <c r="G311" t="s">
        <v>51</v>
      </c>
      <c r="H311" t="s">
        <v>29</v>
      </c>
      <c r="I311">
        <v>32.5</v>
      </c>
      <c r="J311">
        <v>5</v>
      </c>
      <c r="K311">
        <v>8.9</v>
      </c>
      <c r="L311">
        <v>44.68</v>
      </c>
      <c r="M311">
        <v>1452.1</v>
      </c>
      <c r="N311" t="s">
        <v>22</v>
      </c>
    </row>
    <row r="312" spans="1:14" x14ac:dyDescent="0.25">
      <c r="A312" t="s">
        <v>113</v>
      </c>
      <c r="B312" t="s">
        <v>123</v>
      </c>
      <c r="C312" t="s">
        <v>124</v>
      </c>
      <c r="D312">
        <v>20070026</v>
      </c>
      <c r="E312" t="s">
        <v>126</v>
      </c>
      <c r="F312" s="1">
        <v>46113</v>
      </c>
      <c r="G312" t="s">
        <v>51</v>
      </c>
      <c r="H312" t="s">
        <v>19</v>
      </c>
      <c r="I312">
        <v>41.7</v>
      </c>
      <c r="J312">
        <v>3.6</v>
      </c>
      <c r="K312">
        <v>8.6</v>
      </c>
      <c r="L312">
        <v>38.5</v>
      </c>
      <c r="M312">
        <v>1605.45</v>
      </c>
      <c r="N312" t="s">
        <v>22</v>
      </c>
    </row>
    <row r="313" spans="1:14" x14ac:dyDescent="0.25">
      <c r="A313" t="s">
        <v>113</v>
      </c>
      <c r="B313" t="s">
        <v>123</v>
      </c>
      <c r="C313" t="s">
        <v>124</v>
      </c>
      <c r="D313">
        <v>20070010</v>
      </c>
      <c r="E313" t="s">
        <v>129</v>
      </c>
      <c r="F313" s="1">
        <v>46113</v>
      </c>
      <c r="G313" t="s">
        <v>51</v>
      </c>
      <c r="H313" t="s">
        <v>19</v>
      </c>
      <c r="I313">
        <v>13.43</v>
      </c>
      <c r="J313">
        <v>3.9</v>
      </c>
      <c r="K313">
        <v>8.8000000000000007</v>
      </c>
      <c r="L313">
        <v>40.130000000000003</v>
      </c>
      <c r="M313">
        <v>538.95000000000005</v>
      </c>
      <c r="N313" t="s">
        <v>22</v>
      </c>
    </row>
    <row r="314" spans="1:14" x14ac:dyDescent="0.25">
      <c r="A314" t="s">
        <v>113</v>
      </c>
      <c r="B314" t="s">
        <v>131</v>
      </c>
      <c r="C314" t="s">
        <v>50</v>
      </c>
      <c r="D314">
        <v>20070001</v>
      </c>
      <c r="E314" t="s">
        <v>114</v>
      </c>
      <c r="F314" s="1">
        <v>46113</v>
      </c>
      <c r="G314" t="s">
        <v>51</v>
      </c>
      <c r="H314" t="s">
        <v>19</v>
      </c>
      <c r="I314">
        <v>13.43</v>
      </c>
      <c r="J314">
        <v>3.9</v>
      </c>
      <c r="K314">
        <v>8.8000000000000007</v>
      </c>
      <c r="L314">
        <v>40.130000000000003</v>
      </c>
      <c r="M314">
        <v>538.95000000000005</v>
      </c>
      <c r="N314" t="s">
        <v>22</v>
      </c>
    </row>
    <row r="315" spans="1:14" x14ac:dyDescent="0.25">
      <c r="A315" t="s">
        <v>113</v>
      </c>
      <c r="B315" t="s">
        <v>123</v>
      </c>
      <c r="C315" t="s">
        <v>124</v>
      </c>
      <c r="D315">
        <v>20070023</v>
      </c>
      <c r="E315" t="s">
        <v>128</v>
      </c>
      <c r="F315" s="1">
        <v>46113</v>
      </c>
      <c r="G315" t="s">
        <v>51</v>
      </c>
      <c r="H315" t="s">
        <v>19</v>
      </c>
      <c r="I315">
        <v>4.0999999999999996</v>
      </c>
      <c r="J315">
        <v>4.5</v>
      </c>
      <c r="K315">
        <v>8.1999999999999993</v>
      </c>
      <c r="L315">
        <v>40.020000000000003</v>
      </c>
      <c r="M315">
        <v>164.08</v>
      </c>
      <c r="N315" t="s">
        <v>20</v>
      </c>
    </row>
    <row r="316" spans="1:14" x14ac:dyDescent="0.25">
      <c r="A316" t="s">
        <v>113</v>
      </c>
      <c r="B316" t="s">
        <v>115</v>
      </c>
      <c r="C316" t="s">
        <v>114</v>
      </c>
      <c r="D316">
        <v>20070003</v>
      </c>
      <c r="E316" t="s">
        <v>119</v>
      </c>
      <c r="F316" s="1">
        <v>46114</v>
      </c>
      <c r="G316" t="s">
        <v>18</v>
      </c>
      <c r="H316" t="s">
        <v>19</v>
      </c>
      <c r="I316">
        <v>68.48</v>
      </c>
      <c r="J316">
        <v>4.4000000000000004</v>
      </c>
      <c r="K316">
        <v>9.1</v>
      </c>
      <c r="L316">
        <v>42.5</v>
      </c>
      <c r="M316">
        <v>2910.4</v>
      </c>
      <c r="N316" t="s">
        <v>22</v>
      </c>
    </row>
    <row r="317" spans="1:14" x14ac:dyDescent="0.25">
      <c r="A317" t="s">
        <v>113</v>
      </c>
      <c r="B317" t="s">
        <v>115</v>
      </c>
      <c r="C317" t="s">
        <v>114</v>
      </c>
      <c r="D317">
        <v>20070002</v>
      </c>
      <c r="E317" t="s">
        <v>132</v>
      </c>
      <c r="F317" s="1">
        <v>46114</v>
      </c>
      <c r="G317" t="s">
        <v>18</v>
      </c>
      <c r="H317" t="s">
        <v>19</v>
      </c>
      <c r="I317">
        <v>101.17</v>
      </c>
      <c r="J317">
        <v>4.7</v>
      </c>
      <c r="K317">
        <v>8.6999999999999993</v>
      </c>
      <c r="L317">
        <v>42.88</v>
      </c>
      <c r="M317">
        <v>4338.17</v>
      </c>
      <c r="N317" t="s">
        <v>22</v>
      </c>
    </row>
    <row r="318" spans="1:14" x14ac:dyDescent="0.25">
      <c r="A318" t="s">
        <v>113</v>
      </c>
      <c r="B318" t="s">
        <v>115</v>
      </c>
      <c r="C318" t="s">
        <v>114</v>
      </c>
      <c r="D318">
        <v>20070019</v>
      </c>
      <c r="E318" t="s">
        <v>120</v>
      </c>
      <c r="F318" s="1">
        <v>46114</v>
      </c>
      <c r="G318" t="s">
        <v>18</v>
      </c>
      <c r="H318" t="s">
        <v>19</v>
      </c>
      <c r="I318">
        <v>36.57</v>
      </c>
      <c r="J318">
        <v>4.5999999999999996</v>
      </c>
      <c r="K318">
        <v>8.6</v>
      </c>
      <c r="L318">
        <v>42.25</v>
      </c>
      <c r="M318">
        <v>1545.08</v>
      </c>
      <c r="N318" t="s">
        <v>22</v>
      </c>
    </row>
    <row r="319" spans="1:14" x14ac:dyDescent="0.25">
      <c r="A319" t="s">
        <v>113</v>
      </c>
      <c r="B319" t="s">
        <v>115</v>
      </c>
      <c r="C319" t="s">
        <v>114</v>
      </c>
      <c r="D319">
        <v>20070004</v>
      </c>
      <c r="E319" t="s">
        <v>117</v>
      </c>
      <c r="F319" s="1">
        <v>46114</v>
      </c>
      <c r="G319" t="s">
        <v>18</v>
      </c>
      <c r="H319" t="s">
        <v>19</v>
      </c>
      <c r="I319">
        <v>62.2</v>
      </c>
      <c r="J319">
        <v>4</v>
      </c>
      <c r="K319">
        <v>8.6</v>
      </c>
      <c r="L319">
        <v>40</v>
      </c>
      <c r="M319">
        <v>2488</v>
      </c>
      <c r="N319" t="s">
        <v>22</v>
      </c>
    </row>
    <row r="320" spans="1:14" x14ac:dyDescent="0.25">
      <c r="A320" t="s">
        <v>113</v>
      </c>
      <c r="B320" t="s">
        <v>115</v>
      </c>
      <c r="C320" t="s">
        <v>114</v>
      </c>
      <c r="D320">
        <v>20070007</v>
      </c>
      <c r="E320" t="s">
        <v>118</v>
      </c>
      <c r="F320" s="1">
        <v>46114</v>
      </c>
      <c r="G320" t="s">
        <v>18</v>
      </c>
      <c r="H320" t="s">
        <v>19</v>
      </c>
      <c r="I320">
        <v>54.97</v>
      </c>
      <c r="J320">
        <v>4.2</v>
      </c>
      <c r="K320">
        <v>9</v>
      </c>
      <c r="L320">
        <v>41.75</v>
      </c>
      <c r="M320">
        <v>2295</v>
      </c>
      <c r="N320" t="s">
        <v>22</v>
      </c>
    </row>
    <row r="321" spans="1:14" x14ac:dyDescent="0.25">
      <c r="A321" t="s">
        <v>113</v>
      </c>
      <c r="B321" t="s">
        <v>115</v>
      </c>
      <c r="C321" t="s">
        <v>114</v>
      </c>
      <c r="D321">
        <v>20070009</v>
      </c>
      <c r="E321" t="s">
        <v>116</v>
      </c>
      <c r="F321" s="1">
        <v>46114</v>
      </c>
      <c r="G321" t="s">
        <v>18</v>
      </c>
      <c r="H321" t="s">
        <v>19</v>
      </c>
      <c r="I321">
        <v>33.01</v>
      </c>
      <c r="J321">
        <v>4</v>
      </c>
      <c r="K321">
        <v>8.6999999999999993</v>
      </c>
      <c r="L321">
        <v>40.25</v>
      </c>
      <c r="M321">
        <v>1328.65</v>
      </c>
      <c r="N321" t="s">
        <v>22</v>
      </c>
    </row>
    <row r="322" spans="1:14" x14ac:dyDescent="0.25">
      <c r="A322" t="s">
        <v>113</v>
      </c>
      <c r="B322" t="s">
        <v>115</v>
      </c>
      <c r="C322" t="s">
        <v>114</v>
      </c>
      <c r="D322">
        <v>20070006</v>
      </c>
      <c r="E322" t="s">
        <v>122</v>
      </c>
      <c r="F322" s="1">
        <v>46114</v>
      </c>
      <c r="G322" t="s">
        <v>18</v>
      </c>
      <c r="H322" t="s">
        <v>19</v>
      </c>
      <c r="I322">
        <v>51.95</v>
      </c>
      <c r="J322">
        <v>4.3</v>
      </c>
      <c r="K322">
        <v>8.9</v>
      </c>
      <c r="L322">
        <v>41.88</v>
      </c>
      <c r="M322">
        <v>2175.67</v>
      </c>
      <c r="N322" t="s">
        <v>22</v>
      </c>
    </row>
    <row r="323" spans="1:14" x14ac:dyDescent="0.25">
      <c r="A323" t="s">
        <v>113</v>
      </c>
      <c r="B323" t="s">
        <v>115</v>
      </c>
      <c r="C323" t="s">
        <v>114</v>
      </c>
      <c r="D323">
        <v>20070021</v>
      </c>
      <c r="E323" t="s">
        <v>121</v>
      </c>
      <c r="F323" s="1">
        <v>46114</v>
      </c>
      <c r="G323" t="s">
        <v>18</v>
      </c>
      <c r="H323" t="s">
        <v>29</v>
      </c>
      <c r="I323">
        <v>10.029999999999999</v>
      </c>
      <c r="J323">
        <v>5.0999999999999996</v>
      </c>
      <c r="K323">
        <v>8.6999999999999993</v>
      </c>
      <c r="L323">
        <v>44.55</v>
      </c>
      <c r="M323">
        <v>446.84</v>
      </c>
      <c r="N323" t="s">
        <v>22</v>
      </c>
    </row>
    <row r="324" spans="1:14" x14ac:dyDescent="0.25">
      <c r="A324" t="s">
        <v>113</v>
      </c>
      <c r="B324" t="s">
        <v>123</v>
      </c>
      <c r="C324" t="s">
        <v>124</v>
      </c>
      <c r="D324">
        <v>20070010</v>
      </c>
      <c r="E324" t="s">
        <v>129</v>
      </c>
      <c r="F324" s="1">
        <v>46114</v>
      </c>
      <c r="G324" t="s">
        <v>18</v>
      </c>
      <c r="H324" t="s">
        <v>19</v>
      </c>
      <c r="I324">
        <v>43.1</v>
      </c>
      <c r="J324">
        <v>4.2</v>
      </c>
      <c r="K324">
        <v>8.5</v>
      </c>
      <c r="L324">
        <v>40.5</v>
      </c>
      <c r="M324">
        <v>1745.55</v>
      </c>
      <c r="N324" t="s">
        <v>22</v>
      </c>
    </row>
    <row r="325" spans="1:14" x14ac:dyDescent="0.25">
      <c r="A325" t="s">
        <v>113</v>
      </c>
      <c r="B325" t="s">
        <v>123</v>
      </c>
      <c r="C325" t="s">
        <v>124</v>
      </c>
      <c r="D325">
        <v>20070020</v>
      </c>
      <c r="E325" t="s">
        <v>127</v>
      </c>
      <c r="F325" s="1">
        <v>46114</v>
      </c>
      <c r="G325" t="s">
        <v>18</v>
      </c>
      <c r="H325" t="s">
        <v>29</v>
      </c>
      <c r="I325">
        <v>61.85</v>
      </c>
      <c r="J325">
        <v>5</v>
      </c>
      <c r="K325">
        <v>9</v>
      </c>
      <c r="L325">
        <v>44.93</v>
      </c>
      <c r="M325">
        <v>2778.92</v>
      </c>
      <c r="N325" t="s">
        <v>22</v>
      </c>
    </row>
    <row r="326" spans="1:14" x14ac:dyDescent="0.25">
      <c r="A326" t="s">
        <v>113</v>
      </c>
      <c r="B326" t="s">
        <v>123</v>
      </c>
      <c r="C326" t="s">
        <v>124</v>
      </c>
      <c r="D326">
        <v>20070016</v>
      </c>
      <c r="E326" t="s">
        <v>134</v>
      </c>
      <c r="F326" s="1">
        <v>46114</v>
      </c>
      <c r="G326" t="s">
        <v>18</v>
      </c>
      <c r="H326" t="s">
        <v>19</v>
      </c>
      <c r="I326">
        <v>10.99</v>
      </c>
      <c r="J326">
        <v>3.7</v>
      </c>
      <c r="K326">
        <v>8.4</v>
      </c>
      <c r="L326">
        <v>38.020000000000003</v>
      </c>
      <c r="M326">
        <v>417.84</v>
      </c>
      <c r="N326" t="s">
        <v>22</v>
      </c>
    </row>
    <row r="327" spans="1:14" x14ac:dyDescent="0.25">
      <c r="A327" t="s">
        <v>113</v>
      </c>
      <c r="B327" t="s">
        <v>123</v>
      </c>
      <c r="C327" t="s">
        <v>124</v>
      </c>
      <c r="D327">
        <v>20070025</v>
      </c>
      <c r="E327" t="s">
        <v>133</v>
      </c>
      <c r="F327" s="1">
        <v>46114</v>
      </c>
      <c r="G327" t="s">
        <v>18</v>
      </c>
      <c r="H327" t="s">
        <v>29</v>
      </c>
      <c r="I327">
        <v>59.06</v>
      </c>
      <c r="J327">
        <v>6.7</v>
      </c>
      <c r="K327">
        <v>8.6999999999999993</v>
      </c>
      <c r="L327">
        <v>50.92</v>
      </c>
      <c r="M327">
        <v>3007.34</v>
      </c>
      <c r="N327" t="s">
        <v>22</v>
      </c>
    </row>
    <row r="328" spans="1:14" x14ac:dyDescent="0.25">
      <c r="A328" t="s">
        <v>113</v>
      </c>
      <c r="B328" t="s">
        <v>123</v>
      </c>
      <c r="C328" t="s">
        <v>124</v>
      </c>
      <c r="D328">
        <v>20070026</v>
      </c>
      <c r="E328" t="s">
        <v>126</v>
      </c>
      <c r="F328" s="1">
        <v>46114</v>
      </c>
      <c r="G328" t="s">
        <v>18</v>
      </c>
      <c r="H328" t="s">
        <v>19</v>
      </c>
      <c r="I328">
        <v>45.26</v>
      </c>
      <c r="J328">
        <v>3.8</v>
      </c>
      <c r="K328">
        <v>8.5</v>
      </c>
      <c r="L328">
        <v>39</v>
      </c>
      <c r="M328">
        <v>1765.14</v>
      </c>
      <c r="N328" t="s">
        <v>22</v>
      </c>
    </row>
    <row r="329" spans="1:14" x14ac:dyDescent="0.25">
      <c r="A329" t="s">
        <v>113</v>
      </c>
      <c r="B329" t="s">
        <v>123</v>
      </c>
      <c r="C329" t="s">
        <v>124</v>
      </c>
      <c r="D329">
        <v>20070024</v>
      </c>
      <c r="E329" t="s">
        <v>125</v>
      </c>
      <c r="F329" s="1">
        <v>46114</v>
      </c>
      <c r="G329" t="s">
        <v>18</v>
      </c>
      <c r="H329" t="s">
        <v>29</v>
      </c>
      <c r="I329">
        <v>76.239999999999995</v>
      </c>
      <c r="J329">
        <v>5.6</v>
      </c>
      <c r="K329">
        <v>9.1</v>
      </c>
      <c r="L329">
        <v>47.18</v>
      </c>
      <c r="M329">
        <v>3597</v>
      </c>
      <c r="N329" t="s">
        <v>22</v>
      </c>
    </row>
    <row r="330" spans="1:14" x14ac:dyDescent="0.25">
      <c r="A330" t="s">
        <v>113</v>
      </c>
      <c r="B330" t="s">
        <v>131</v>
      </c>
      <c r="C330" t="s">
        <v>50</v>
      </c>
      <c r="D330">
        <v>20070001</v>
      </c>
      <c r="E330" t="s">
        <v>114</v>
      </c>
      <c r="F330" s="1">
        <v>46114</v>
      </c>
      <c r="G330" t="s">
        <v>18</v>
      </c>
      <c r="H330" t="s">
        <v>19</v>
      </c>
      <c r="I330">
        <v>567.30999999999995</v>
      </c>
      <c r="J330">
        <v>3.4</v>
      </c>
      <c r="K330">
        <v>9.1</v>
      </c>
      <c r="L330">
        <v>38.770000000000003</v>
      </c>
      <c r="M330">
        <v>21993.200000000001</v>
      </c>
      <c r="N330" t="s">
        <v>22</v>
      </c>
    </row>
    <row r="331" spans="1:14" x14ac:dyDescent="0.25">
      <c r="A331" t="s">
        <v>113</v>
      </c>
      <c r="B331" t="s">
        <v>131</v>
      </c>
      <c r="C331" t="s">
        <v>50</v>
      </c>
      <c r="D331">
        <v>20070001</v>
      </c>
      <c r="E331" t="s">
        <v>114</v>
      </c>
      <c r="F331" s="1">
        <v>46114</v>
      </c>
      <c r="G331" t="s">
        <v>18</v>
      </c>
      <c r="H331" t="s">
        <v>29</v>
      </c>
      <c r="I331">
        <v>2.2599999999999998</v>
      </c>
      <c r="J331">
        <v>7.3</v>
      </c>
      <c r="K331">
        <v>9.3000000000000007</v>
      </c>
      <c r="L331">
        <v>55.01</v>
      </c>
      <c r="M331">
        <v>124.32</v>
      </c>
      <c r="N331" t="s">
        <v>22</v>
      </c>
    </row>
    <row r="332" spans="1:14" x14ac:dyDescent="0.25">
      <c r="A332" t="s">
        <v>113</v>
      </c>
      <c r="B332" t="s">
        <v>123</v>
      </c>
      <c r="C332" t="s">
        <v>124</v>
      </c>
      <c r="D332">
        <v>20070023</v>
      </c>
      <c r="E332" t="s">
        <v>128</v>
      </c>
      <c r="F332" s="1">
        <v>46114</v>
      </c>
      <c r="G332" t="s">
        <v>18</v>
      </c>
      <c r="H332" t="s">
        <v>19</v>
      </c>
      <c r="I332">
        <v>18.03</v>
      </c>
      <c r="J332">
        <v>4.7</v>
      </c>
      <c r="K332">
        <v>8.5</v>
      </c>
      <c r="L332">
        <v>42.38</v>
      </c>
      <c r="M332">
        <v>764.11</v>
      </c>
      <c r="N332" t="s">
        <v>20</v>
      </c>
    </row>
    <row r="333" spans="1:14" x14ac:dyDescent="0.25">
      <c r="A333" t="s">
        <v>113</v>
      </c>
      <c r="B333" t="s">
        <v>131</v>
      </c>
      <c r="C333" t="s">
        <v>50</v>
      </c>
      <c r="D333">
        <v>20070001</v>
      </c>
      <c r="E333" t="s">
        <v>114</v>
      </c>
      <c r="F333" s="1">
        <v>46114</v>
      </c>
      <c r="G333" t="s">
        <v>51</v>
      </c>
      <c r="H333" t="s">
        <v>19</v>
      </c>
      <c r="I333">
        <v>800</v>
      </c>
      <c r="J333">
        <v>3.3</v>
      </c>
      <c r="K333">
        <v>7.9</v>
      </c>
      <c r="L333">
        <v>33.39</v>
      </c>
      <c r="M333">
        <v>26712</v>
      </c>
      <c r="N333" t="s">
        <v>20</v>
      </c>
    </row>
    <row r="334" spans="1:14" x14ac:dyDescent="0.25">
      <c r="A334" t="s">
        <v>113</v>
      </c>
      <c r="B334" t="s">
        <v>115</v>
      </c>
      <c r="C334" t="s">
        <v>114</v>
      </c>
      <c r="D334">
        <v>20070002</v>
      </c>
      <c r="E334" t="s">
        <v>132</v>
      </c>
      <c r="F334" s="1">
        <v>46114</v>
      </c>
      <c r="G334" t="s">
        <v>51</v>
      </c>
      <c r="H334" t="s">
        <v>19</v>
      </c>
      <c r="I334">
        <v>61.1</v>
      </c>
      <c r="J334">
        <v>5.0999999999999996</v>
      </c>
      <c r="K334">
        <v>8.5</v>
      </c>
      <c r="L334">
        <v>44.05</v>
      </c>
      <c r="M334">
        <v>2691.45</v>
      </c>
      <c r="N334" t="s">
        <v>20</v>
      </c>
    </row>
    <row r="335" spans="1:14" x14ac:dyDescent="0.25">
      <c r="A335" t="s">
        <v>113</v>
      </c>
      <c r="B335" t="s">
        <v>115</v>
      </c>
      <c r="C335" t="s">
        <v>114</v>
      </c>
      <c r="D335">
        <v>20070003</v>
      </c>
      <c r="E335" t="s">
        <v>119</v>
      </c>
      <c r="F335" s="1">
        <v>46114</v>
      </c>
      <c r="G335" t="s">
        <v>51</v>
      </c>
      <c r="H335" t="s">
        <v>19</v>
      </c>
      <c r="I335">
        <v>28.3</v>
      </c>
      <c r="J335">
        <v>4.2</v>
      </c>
      <c r="K335">
        <v>8.8000000000000007</v>
      </c>
      <c r="L335">
        <v>41.25</v>
      </c>
      <c r="M335">
        <v>1167.3800000000001</v>
      </c>
      <c r="N335" t="s">
        <v>20</v>
      </c>
    </row>
    <row r="336" spans="1:14" x14ac:dyDescent="0.25">
      <c r="A336" t="s">
        <v>113</v>
      </c>
      <c r="B336" t="s">
        <v>115</v>
      </c>
      <c r="C336" t="s">
        <v>114</v>
      </c>
      <c r="D336">
        <v>20070004</v>
      </c>
      <c r="E336" t="s">
        <v>117</v>
      </c>
      <c r="F336" s="1">
        <v>46114</v>
      </c>
      <c r="G336" t="s">
        <v>51</v>
      </c>
      <c r="H336" t="s">
        <v>19</v>
      </c>
      <c r="I336">
        <v>45.9</v>
      </c>
      <c r="J336">
        <v>3.9</v>
      </c>
      <c r="K336">
        <v>8.3000000000000007</v>
      </c>
      <c r="L336">
        <v>38.51</v>
      </c>
      <c r="M336">
        <v>1767.61</v>
      </c>
      <c r="N336" t="s">
        <v>20</v>
      </c>
    </row>
    <row r="337" spans="1:14" x14ac:dyDescent="0.25">
      <c r="A337" t="s">
        <v>113</v>
      </c>
      <c r="B337" t="s">
        <v>115</v>
      </c>
      <c r="C337" t="s">
        <v>114</v>
      </c>
      <c r="D337">
        <v>20070006</v>
      </c>
      <c r="E337" t="s">
        <v>122</v>
      </c>
      <c r="F337" s="1">
        <v>46114</v>
      </c>
      <c r="G337" t="s">
        <v>51</v>
      </c>
      <c r="H337" t="s">
        <v>19</v>
      </c>
      <c r="I337">
        <v>27.4</v>
      </c>
      <c r="J337">
        <v>4.0999999999999996</v>
      </c>
      <c r="K337">
        <v>8</v>
      </c>
      <c r="L337">
        <v>38.07</v>
      </c>
      <c r="M337">
        <v>1043.1199999999999</v>
      </c>
      <c r="N337" t="s">
        <v>20</v>
      </c>
    </row>
    <row r="338" spans="1:14" x14ac:dyDescent="0.25">
      <c r="A338" t="s">
        <v>113</v>
      </c>
      <c r="B338" t="s">
        <v>115</v>
      </c>
      <c r="C338" t="s">
        <v>114</v>
      </c>
      <c r="D338">
        <v>20070007</v>
      </c>
      <c r="E338" t="s">
        <v>118</v>
      </c>
      <c r="F338" s="1">
        <v>46114</v>
      </c>
      <c r="G338" t="s">
        <v>51</v>
      </c>
      <c r="H338" t="s">
        <v>19</v>
      </c>
      <c r="I338">
        <v>33.1</v>
      </c>
      <c r="J338">
        <v>4.0999999999999996</v>
      </c>
      <c r="K338">
        <v>8.9</v>
      </c>
      <c r="L338">
        <v>41.13</v>
      </c>
      <c r="M338">
        <v>1361.4</v>
      </c>
      <c r="N338" t="s">
        <v>20</v>
      </c>
    </row>
    <row r="339" spans="1:14" x14ac:dyDescent="0.25">
      <c r="A339" t="s">
        <v>113</v>
      </c>
      <c r="B339" t="s">
        <v>115</v>
      </c>
      <c r="C339" t="s">
        <v>114</v>
      </c>
      <c r="D339">
        <v>20070009</v>
      </c>
      <c r="E339" t="s">
        <v>116</v>
      </c>
      <c r="F339" s="1">
        <v>46114</v>
      </c>
      <c r="G339" t="s">
        <v>51</v>
      </c>
      <c r="H339" t="s">
        <v>19</v>
      </c>
      <c r="I339">
        <v>16.100000000000001</v>
      </c>
      <c r="J339">
        <v>4</v>
      </c>
      <c r="K339">
        <v>8.4</v>
      </c>
      <c r="L339">
        <v>39.130000000000003</v>
      </c>
      <c r="M339">
        <v>629.99</v>
      </c>
      <c r="N339" t="s">
        <v>20</v>
      </c>
    </row>
    <row r="340" spans="1:14" x14ac:dyDescent="0.25">
      <c r="A340" t="s">
        <v>113</v>
      </c>
      <c r="B340" t="s">
        <v>123</v>
      </c>
      <c r="C340" t="s">
        <v>124</v>
      </c>
      <c r="D340">
        <v>20070010</v>
      </c>
      <c r="E340" t="s">
        <v>129</v>
      </c>
      <c r="F340" s="1">
        <v>46114</v>
      </c>
      <c r="G340" t="s">
        <v>51</v>
      </c>
      <c r="H340" t="s">
        <v>19</v>
      </c>
      <c r="I340">
        <v>15.8</v>
      </c>
      <c r="J340">
        <v>3.9</v>
      </c>
      <c r="K340">
        <v>8.8000000000000007</v>
      </c>
      <c r="L340">
        <v>40.130000000000003</v>
      </c>
      <c r="M340">
        <v>634.04999999999995</v>
      </c>
      <c r="N340" t="s">
        <v>20</v>
      </c>
    </row>
    <row r="341" spans="1:14" x14ac:dyDescent="0.25">
      <c r="A341" t="s">
        <v>113</v>
      </c>
      <c r="B341" t="s">
        <v>123</v>
      </c>
      <c r="C341" t="s">
        <v>124</v>
      </c>
      <c r="D341">
        <v>20070016</v>
      </c>
      <c r="E341" t="s">
        <v>134</v>
      </c>
      <c r="F341" s="1">
        <v>46114</v>
      </c>
      <c r="G341" t="s">
        <v>51</v>
      </c>
      <c r="H341" t="s">
        <v>19</v>
      </c>
      <c r="I341">
        <v>24.44</v>
      </c>
      <c r="J341">
        <v>3.8</v>
      </c>
      <c r="K341">
        <v>8.1</v>
      </c>
      <c r="L341">
        <v>37.22</v>
      </c>
      <c r="M341">
        <v>909.66</v>
      </c>
      <c r="N341" t="s">
        <v>20</v>
      </c>
    </row>
    <row r="342" spans="1:14" x14ac:dyDescent="0.25">
      <c r="A342" t="s">
        <v>113</v>
      </c>
      <c r="B342" t="s">
        <v>123</v>
      </c>
      <c r="C342" t="s">
        <v>124</v>
      </c>
      <c r="D342">
        <v>20070018</v>
      </c>
      <c r="E342" t="s">
        <v>130</v>
      </c>
      <c r="F342" s="1">
        <v>46114</v>
      </c>
      <c r="G342" t="s">
        <v>51</v>
      </c>
      <c r="H342" t="s">
        <v>29</v>
      </c>
      <c r="I342">
        <v>32.299999999999997</v>
      </c>
      <c r="J342">
        <v>5</v>
      </c>
      <c r="K342">
        <v>8.9</v>
      </c>
      <c r="L342">
        <v>44.68</v>
      </c>
      <c r="M342">
        <v>1443.16</v>
      </c>
      <c r="N342" t="s">
        <v>20</v>
      </c>
    </row>
    <row r="343" spans="1:14" x14ac:dyDescent="0.25">
      <c r="A343" t="s">
        <v>113</v>
      </c>
      <c r="B343" t="s">
        <v>115</v>
      </c>
      <c r="C343" t="s">
        <v>114</v>
      </c>
      <c r="D343">
        <v>20070019</v>
      </c>
      <c r="E343" t="s">
        <v>120</v>
      </c>
      <c r="F343" s="1">
        <v>46114</v>
      </c>
      <c r="G343" t="s">
        <v>51</v>
      </c>
      <c r="H343" t="s">
        <v>29</v>
      </c>
      <c r="I343">
        <v>4.5999999999999996</v>
      </c>
      <c r="J343">
        <v>4.8</v>
      </c>
      <c r="K343">
        <v>8.1</v>
      </c>
      <c r="L343">
        <v>40.869999999999997</v>
      </c>
      <c r="M343">
        <v>188</v>
      </c>
      <c r="N343" t="s">
        <v>20</v>
      </c>
    </row>
    <row r="344" spans="1:14" x14ac:dyDescent="0.25">
      <c r="A344" t="s">
        <v>113</v>
      </c>
      <c r="B344" t="s">
        <v>123</v>
      </c>
      <c r="C344" t="s">
        <v>124</v>
      </c>
      <c r="D344">
        <v>20070020</v>
      </c>
      <c r="E344" t="s">
        <v>127</v>
      </c>
      <c r="F344" s="1">
        <v>46114</v>
      </c>
      <c r="G344" t="s">
        <v>51</v>
      </c>
      <c r="H344" t="s">
        <v>29</v>
      </c>
      <c r="I344">
        <v>26</v>
      </c>
      <c r="J344">
        <v>4</v>
      </c>
      <c r="K344">
        <v>8.6999999999999993</v>
      </c>
      <c r="L344">
        <v>40.25</v>
      </c>
      <c r="M344">
        <v>1046.5</v>
      </c>
      <c r="N344" t="s">
        <v>20</v>
      </c>
    </row>
    <row r="345" spans="1:14" x14ac:dyDescent="0.25">
      <c r="A345" t="s">
        <v>113</v>
      </c>
      <c r="B345" t="s">
        <v>123</v>
      </c>
      <c r="C345" t="s">
        <v>124</v>
      </c>
      <c r="D345">
        <v>20070023</v>
      </c>
      <c r="E345" t="s">
        <v>128</v>
      </c>
      <c r="F345" s="1">
        <v>46114</v>
      </c>
      <c r="G345" t="s">
        <v>51</v>
      </c>
      <c r="H345" t="s">
        <v>19</v>
      </c>
      <c r="I345">
        <v>4</v>
      </c>
      <c r="J345">
        <v>4.5</v>
      </c>
      <c r="K345">
        <v>8.6999999999999993</v>
      </c>
      <c r="L345">
        <v>42.13</v>
      </c>
      <c r="M345">
        <v>168.52</v>
      </c>
      <c r="N345" t="s">
        <v>20</v>
      </c>
    </row>
    <row r="346" spans="1:14" x14ac:dyDescent="0.25">
      <c r="A346" t="s">
        <v>113</v>
      </c>
      <c r="B346" t="s">
        <v>123</v>
      </c>
      <c r="C346" t="s">
        <v>124</v>
      </c>
      <c r="D346">
        <v>20070025</v>
      </c>
      <c r="E346" t="s">
        <v>133</v>
      </c>
      <c r="F346" s="1">
        <v>46114</v>
      </c>
      <c r="G346" t="s">
        <v>51</v>
      </c>
      <c r="H346" t="s">
        <v>19</v>
      </c>
      <c r="I346">
        <v>28.1</v>
      </c>
      <c r="J346">
        <v>5.6</v>
      </c>
      <c r="K346">
        <v>8.5</v>
      </c>
      <c r="L346">
        <v>45.92</v>
      </c>
      <c r="M346">
        <v>1290.3499999999999</v>
      </c>
      <c r="N346" t="s">
        <v>20</v>
      </c>
    </row>
    <row r="347" spans="1:14" x14ac:dyDescent="0.25">
      <c r="A347" t="s">
        <v>113</v>
      </c>
      <c r="B347" t="s">
        <v>123</v>
      </c>
      <c r="C347" t="s">
        <v>124</v>
      </c>
      <c r="D347">
        <v>20070026</v>
      </c>
      <c r="E347" t="s">
        <v>126</v>
      </c>
      <c r="F347" s="1">
        <v>46114</v>
      </c>
      <c r="G347" t="s">
        <v>51</v>
      </c>
      <c r="H347" t="s">
        <v>19</v>
      </c>
      <c r="I347">
        <v>43.29</v>
      </c>
      <c r="J347">
        <v>3.6</v>
      </c>
      <c r="K347">
        <v>8.6</v>
      </c>
      <c r="L347">
        <v>38.5</v>
      </c>
      <c r="M347">
        <v>1666.66</v>
      </c>
      <c r="N347" t="s">
        <v>20</v>
      </c>
    </row>
    <row r="348" spans="1:14" x14ac:dyDescent="0.25">
      <c r="A348" t="s">
        <v>135</v>
      </c>
      <c r="B348" t="s">
        <v>137</v>
      </c>
      <c r="C348" t="s">
        <v>136</v>
      </c>
      <c r="D348">
        <v>20080034</v>
      </c>
      <c r="E348" t="s">
        <v>138</v>
      </c>
      <c r="F348" s="1">
        <v>46113</v>
      </c>
      <c r="G348" t="s">
        <v>18</v>
      </c>
      <c r="H348" t="s">
        <v>19</v>
      </c>
      <c r="I348">
        <v>69.78</v>
      </c>
      <c r="J348">
        <v>4.3</v>
      </c>
      <c r="K348">
        <v>8.4</v>
      </c>
      <c r="L348">
        <v>40.24</v>
      </c>
      <c r="M348">
        <v>2807.95</v>
      </c>
      <c r="N348" t="s">
        <v>22</v>
      </c>
    </row>
    <row r="349" spans="1:14" x14ac:dyDescent="0.25">
      <c r="A349" t="s">
        <v>135</v>
      </c>
      <c r="B349" t="s">
        <v>137</v>
      </c>
      <c r="C349" t="s">
        <v>136</v>
      </c>
      <c r="D349">
        <v>20080008</v>
      </c>
      <c r="E349" t="s">
        <v>139</v>
      </c>
      <c r="F349" s="1">
        <v>46113</v>
      </c>
      <c r="G349" t="s">
        <v>18</v>
      </c>
      <c r="H349" t="s">
        <v>19</v>
      </c>
      <c r="I349">
        <v>77.02</v>
      </c>
      <c r="J349">
        <v>3.6</v>
      </c>
      <c r="K349">
        <v>8.4</v>
      </c>
      <c r="L349">
        <v>37.65</v>
      </c>
      <c r="M349">
        <v>2899.8</v>
      </c>
      <c r="N349" t="s">
        <v>22</v>
      </c>
    </row>
    <row r="350" spans="1:14" x14ac:dyDescent="0.25">
      <c r="A350" t="s">
        <v>135</v>
      </c>
      <c r="B350" t="s">
        <v>137</v>
      </c>
      <c r="C350" t="s">
        <v>136</v>
      </c>
      <c r="D350">
        <v>20080006</v>
      </c>
      <c r="E350" t="s">
        <v>140</v>
      </c>
      <c r="F350" s="1">
        <v>46113</v>
      </c>
      <c r="G350" t="s">
        <v>18</v>
      </c>
      <c r="H350" t="s">
        <v>19</v>
      </c>
      <c r="I350">
        <v>57.22</v>
      </c>
      <c r="J350">
        <v>4.0999999999999996</v>
      </c>
      <c r="K350">
        <v>8.1</v>
      </c>
      <c r="L350">
        <v>38.31</v>
      </c>
      <c r="M350">
        <v>2192.1</v>
      </c>
      <c r="N350" t="s">
        <v>22</v>
      </c>
    </row>
    <row r="351" spans="1:14" x14ac:dyDescent="0.25">
      <c r="A351" t="s">
        <v>135</v>
      </c>
      <c r="B351" t="s">
        <v>137</v>
      </c>
      <c r="C351" t="s">
        <v>136</v>
      </c>
      <c r="D351">
        <v>20080025</v>
      </c>
      <c r="E351" t="s">
        <v>141</v>
      </c>
      <c r="F351" s="1">
        <v>46113</v>
      </c>
      <c r="G351" t="s">
        <v>18</v>
      </c>
      <c r="H351" t="s">
        <v>19</v>
      </c>
      <c r="I351">
        <v>38.96</v>
      </c>
      <c r="J351">
        <v>3.9</v>
      </c>
      <c r="K351">
        <v>8.3000000000000007</v>
      </c>
      <c r="L351">
        <v>38.51</v>
      </c>
      <c r="M351">
        <v>1500.35</v>
      </c>
      <c r="N351" t="s">
        <v>22</v>
      </c>
    </row>
    <row r="352" spans="1:14" x14ac:dyDescent="0.25">
      <c r="A352" t="s">
        <v>135</v>
      </c>
      <c r="B352" t="s">
        <v>142</v>
      </c>
      <c r="C352" t="s">
        <v>143</v>
      </c>
      <c r="D352">
        <v>20080007</v>
      </c>
      <c r="E352" t="s">
        <v>144</v>
      </c>
      <c r="F352" s="1">
        <v>46113</v>
      </c>
      <c r="G352" t="s">
        <v>18</v>
      </c>
      <c r="H352" t="s">
        <v>19</v>
      </c>
      <c r="I352">
        <v>262.52</v>
      </c>
      <c r="J352">
        <v>3.4</v>
      </c>
      <c r="K352">
        <v>8</v>
      </c>
      <c r="L352">
        <v>35.51</v>
      </c>
      <c r="M352">
        <v>9322.09</v>
      </c>
      <c r="N352" t="s">
        <v>22</v>
      </c>
    </row>
    <row r="353" spans="1:14" x14ac:dyDescent="0.25">
      <c r="A353" t="s">
        <v>135</v>
      </c>
      <c r="B353" t="s">
        <v>142</v>
      </c>
      <c r="C353" t="s">
        <v>143</v>
      </c>
      <c r="D353">
        <v>20080004</v>
      </c>
      <c r="E353" t="s">
        <v>145</v>
      </c>
      <c r="F353" s="1">
        <v>46113</v>
      </c>
      <c r="G353" t="s">
        <v>18</v>
      </c>
      <c r="H353" t="s">
        <v>19</v>
      </c>
      <c r="I353">
        <v>115.84</v>
      </c>
      <c r="J353">
        <v>3.8</v>
      </c>
      <c r="K353">
        <v>8.6999999999999993</v>
      </c>
      <c r="L353">
        <v>39.5</v>
      </c>
      <c r="M353">
        <v>4575.68</v>
      </c>
      <c r="N353" t="s">
        <v>22</v>
      </c>
    </row>
    <row r="354" spans="1:14" x14ac:dyDescent="0.25">
      <c r="A354" t="s">
        <v>135</v>
      </c>
      <c r="B354" t="s">
        <v>142</v>
      </c>
      <c r="C354" t="s">
        <v>143</v>
      </c>
      <c r="D354">
        <v>20080036</v>
      </c>
      <c r="E354" t="s">
        <v>146</v>
      </c>
      <c r="F354" s="1">
        <v>46113</v>
      </c>
      <c r="G354" t="s">
        <v>18</v>
      </c>
      <c r="H354" t="s">
        <v>19</v>
      </c>
      <c r="I354">
        <v>47.02</v>
      </c>
      <c r="J354">
        <v>4.2</v>
      </c>
      <c r="K354">
        <v>8</v>
      </c>
      <c r="L354">
        <v>38.43</v>
      </c>
      <c r="M354">
        <v>1806.98</v>
      </c>
      <c r="N354" t="s">
        <v>22</v>
      </c>
    </row>
    <row r="355" spans="1:14" x14ac:dyDescent="0.25">
      <c r="A355" t="s">
        <v>135</v>
      </c>
      <c r="B355" t="s">
        <v>142</v>
      </c>
      <c r="C355" t="s">
        <v>143</v>
      </c>
      <c r="D355">
        <v>20080027</v>
      </c>
      <c r="E355" t="s">
        <v>147</v>
      </c>
      <c r="F355" s="1">
        <v>46113</v>
      </c>
      <c r="G355" t="s">
        <v>18</v>
      </c>
      <c r="H355" t="s">
        <v>19</v>
      </c>
      <c r="I355">
        <v>40.28</v>
      </c>
      <c r="J355">
        <v>4</v>
      </c>
      <c r="K355">
        <v>8.5</v>
      </c>
      <c r="L355">
        <v>39.75</v>
      </c>
      <c r="M355">
        <v>1601.13</v>
      </c>
      <c r="N355" t="s">
        <v>22</v>
      </c>
    </row>
    <row r="356" spans="1:14" x14ac:dyDescent="0.25">
      <c r="A356" t="s">
        <v>135</v>
      </c>
      <c r="B356" t="s">
        <v>142</v>
      </c>
      <c r="C356" t="s">
        <v>143</v>
      </c>
      <c r="D356">
        <v>20080028</v>
      </c>
      <c r="E356" t="s">
        <v>148</v>
      </c>
      <c r="F356" s="1">
        <v>46113</v>
      </c>
      <c r="G356" t="s">
        <v>18</v>
      </c>
      <c r="H356" t="s">
        <v>19</v>
      </c>
      <c r="I356">
        <v>14.04</v>
      </c>
      <c r="J356">
        <v>4.8</v>
      </c>
      <c r="K356">
        <v>8.1</v>
      </c>
      <c r="L356">
        <v>40.869999999999997</v>
      </c>
      <c r="M356">
        <v>573.80999999999995</v>
      </c>
      <c r="N356" t="s">
        <v>22</v>
      </c>
    </row>
    <row r="357" spans="1:14" x14ac:dyDescent="0.25">
      <c r="A357" t="s">
        <v>135</v>
      </c>
      <c r="B357" t="s">
        <v>142</v>
      </c>
      <c r="C357" t="s">
        <v>143</v>
      </c>
      <c r="D357">
        <v>20080005</v>
      </c>
      <c r="E357" t="s">
        <v>149</v>
      </c>
      <c r="F357" s="1">
        <v>46113</v>
      </c>
      <c r="G357" t="s">
        <v>18</v>
      </c>
      <c r="H357" t="s">
        <v>19</v>
      </c>
      <c r="I357">
        <v>5.2</v>
      </c>
      <c r="J357">
        <v>4.7</v>
      </c>
      <c r="K357">
        <v>8.4</v>
      </c>
      <c r="L357">
        <v>41.72</v>
      </c>
      <c r="M357">
        <v>216.94</v>
      </c>
      <c r="N357" t="s">
        <v>22</v>
      </c>
    </row>
    <row r="358" spans="1:14" x14ac:dyDescent="0.25">
      <c r="A358" t="s">
        <v>135</v>
      </c>
      <c r="B358" t="s">
        <v>150</v>
      </c>
      <c r="C358" t="s">
        <v>151</v>
      </c>
      <c r="D358">
        <v>20080026</v>
      </c>
      <c r="E358" t="s">
        <v>152</v>
      </c>
      <c r="F358" s="1">
        <v>46113</v>
      </c>
      <c r="G358" t="s">
        <v>18</v>
      </c>
      <c r="H358" t="s">
        <v>19</v>
      </c>
      <c r="I358">
        <v>43.42</v>
      </c>
      <c r="J358">
        <v>3.8</v>
      </c>
      <c r="K358">
        <v>8.3000000000000007</v>
      </c>
      <c r="L358">
        <v>38.14</v>
      </c>
      <c r="M358">
        <v>1656.04</v>
      </c>
      <c r="N358" t="s">
        <v>22</v>
      </c>
    </row>
    <row r="359" spans="1:14" x14ac:dyDescent="0.25">
      <c r="A359" t="s">
        <v>135</v>
      </c>
      <c r="B359" t="s">
        <v>150</v>
      </c>
      <c r="C359" t="s">
        <v>151</v>
      </c>
      <c r="D359">
        <v>20080049</v>
      </c>
      <c r="E359" t="s">
        <v>153</v>
      </c>
      <c r="F359" s="1">
        <v>46113</v>
      </c>
      <c r="G359" t="s">
        <v>18</v>
      </c>
      <c r="H359" t="s">
        <v>19</v>
      </c>
      <c r="I359">
        <v>56.42</v>
      </c>
      <c r="J359">
        <v>4</v>
      </c>
      <c r="K359">
        <v>8.1</v>
      </c>
      <c r="L359">
        <v>37.950000000000003</v>
      </c>
      <c r="M359">
        <v>2141.14</v>
      </c>
      <c r="N359" t="s">
        <v>22</v>
      </c>
    </row>
    <row r="360" spans="1:14" x14ac:dyDescent="0.25">
      <c r="A360" t="s">
        <v>135</v>
      </c>
      <c r="B360" t="s">
        <v>150</v>
      </c>
      <c r="C360" t="s">
        <v>151</v>
      </c>
      <c r="D360">
        <v>20080030</v>
      </c>
      <c r="E360" t="s">
        <v>154</v>
      </c>
      <c r="F360" s="1">
        <v>46113</v>
      </c>
      <c r="G360" t="s">
        <v>18</v>
      </c>
      <c r="H360" t="s">
        <v>19</v>
      </c>
      <c r="I360">
        <v>34.5</v>
      </c>
      <c r="J360">
        <v>4.5999999999999996</v>
      </c>
      <c r="K360">
        <v>8.1999999999999993</v>
      </c>
      <c r="L360">
        <v>40.380000000000003</v>
      </c>
      <c r="M360">
        <v>1393.11</v>
      </c>
      <c r="N360" t="s">
        <v>22</v>
      </c>
    </row>
    <row r="361" spans="1:14" x14ac:dyDescent="0.25">
      <c r="A361" t="s">
        <v>135</v>
      </c>
      <c r="B361" t="s">
        <v>150</v>
      </c>
      <c r="C361" t="s">
        <v>151</v>
      </c>
      <c r="D361">
        <v>20080009</v>
      </c>
      <c r="E361" t="s">
        <v>155</v>
      </c>
      <c r="F361" s="1">
        <v>46113</v>
      </c>
      <c r="G361" t="s">
        <v>18</v>
      </c>
      <c r="H361" t="s">
        <v>19</v>
      </c>
      <c r="I361">
        <v>66.7</v>
      </c>
      <c r="J361">
        <v>3.7</v>
      </c>
      <c r="K361">
        <v>7.9</v>
      </c>
      <c r="L361">
        <v>34.81</v>
      </c>
      <c r="M361">
        <v>2321.83</v>
      </c>
      <c r="N361" t="s">
        <v>22</v>
      </c>
    </row>
    <row r="362" spans="1:14" x14ac:dyDescent="0.25">
      <c r="A362" t="s">
        <v>135</v>
      </c>
      <c r="B362" t="s">
        <v>150</v>
      </c>
      <c r="C362" t="s">
        <v>151</v>
      </c>
      <c r="D362">
        <v>20080039</v>
      </c>
      <c r="E362" t="s">
        <v>156</v>
      </c>
      <c r="F362" s="1">
        <v>46113</v>
      </c>
      <c r="G362" t="s">
        <v>18</v>
      </c>
      <c r="H362" t="s">
        <v>19</v>
      </c>
      <c r="I362">
        <v>31.38</v>
      </c>
      <c r="J362">
        <v>4.0999999999999996</v>
      </c>
      <c r="K362">
        <v>8</v>
      </c>
      <c r="L362">
        <v>38.07</v>
      </c>
      <c r="M362">
        <v>1194.6400000000001</v>
      </c>
      <c r="N362" t="s">
        <v>22</v>
      </c>
    </row>
    <row r="363" spans="1:14" x14ac:dyDescent="0.25">
      <c r="A363" t="s">
        <v>135</v>
      </c>
      <c r="B363" t="s">
        <v>150</v>
      </c>
      <c r="C363" t="s">
        <v>151</v>
      </c>
      <c r="D363">
        <v>20080002</v>
      </c>
      <c r="E363" t="s">
        <v>157</v>
      </c>
      <c r="F363" s="1">
        <v>46113</v>
      </c>
      <c r="G363" t="s">
        <v>18</v>
      </c>
      <c r="H363" t="s">
        <v>19</v>
      </c>
      <c r="I363">
        <v>48.44</v>
      </c>
      <c r="J363">
        <v>4.0999999999999996</v>
      </c>
      <c r="K363">
        <v>7.9</v>
      </c>
      <c r="L363">
        <v>36.229999999999997</v>
      </c>
      <c r="M363">
        <v>1754.98</v>
      </c>
      <c r="N363" t="s">
        <v>22</v>
      </c>
    </row>
    <row r="364" spans="1:14" x14ac:dyDescent="0.25">
      <c r="A364" t="s">
        <v>135</v>
      </c>
      <c r="B364" t="s">
        <v>150</v>
      </c>
      <c r="C364" t="s">
        <v>151</v>
      </c>
      <c r="D364">
        <v>20080010</v>
      </c>
      <c r="E364" t="s">
        <v>158</v>
      </c>
      <c r="F364" s="1">
        <v>46113</v>
      </c>
      <c r="G364" t="s">
        <v>18</v>
      </c>
      <c r="H364" t="s">
        <v>19</v>
      </c>
      <c r="I364">
        <v>84.22</v>
      </c>
      <c r="J364">
        <v>4.3</v>
      </c>
      <c r="K364">
        <v>8.3000000000000007</v>
      </c>
      <c r="L364">
        <v>39.99</v>
      </c>
      <c r="M364">
        <v>3367.96</v>
      </c>
      <c r="N364" t="s">
        <v>22</v>
      </c>
    </row>
    <row r="365" spans="1:14" x14ac:dyDescent="0.25">
      <c r="A365" t="s">
        <v>135</v>
      </c>
      <c r="B365" t="s">
        <v>150</v>
      </c>
      <c r="C365" t="s">
        <v>151</v>
      </c>
      <c r="D365">
        <v>20080050</v>
      </c>
      <c r="E365" t="s">
        <v>159</v>
      </c>
      <c r="F365" s="1">
        <v>46113</v>
      </c>
      <c r="G365" t="s">
        <v>18</v>
      </c>
      <c r="H365" t="s">
        <v>19</v>
      </c>
      <c r="I365">
        <v>13.72</v>
      </c>
      <c r="J365">
        <v>4.3</v>
      </c>
      <c r="K365">
        <v>8.1999999999999993</v>
      </c>
      <c r="L365">
        <v>39.29</v>
      </c>
      <c r="M365">
        <v>539.05999999999995</v>
      </c>
      <c r="N365" t="s">
        <v>22</v>
      </c>
    </row>
    <row r="366" spans="1:14" x14ac:dyDescent="0.25">
      <c r="A366" t="s">
        <v>135</v>
      </c>
      <c r="B366" t="s">
        <v>137</v>
      </c>
      <c r="C366" t="s">
        <v>136</v>
      </c>
      <c r="D366">
        <v>20080047</v>
      </c>
      <c r="E366" t="s">
        <v>160</v>
      </c>
      <c r="F366" s="1">
        <v>46113</v>
      </c>
      <c r="G366" t="s">
        <v>18</v>
      </c>
      <c r="H366" t="s">
        <v>19</v>
      </c>
      <c r="I366">
        <v>25.14</v>
      </c>
      <c r="J366">
        <v>4.8</v>
      </c>
      <c r="K366">
        <v>8</v>
      </c>
      <c r="L366">
        <v>40.619999999999997</v>
      </c>
      <c r="M366">
        <v>1021.19</v>
      </c>
      <c r="N366" t="s">
        <v>22</v>
      </c>
    </row>
    <row r="367" spans="1:14" x14ac:dyDescent="0.25">
      <c r="A367" t="s">
        <v>135</v>
      </c>
      <c r="B367" t="s">
        <v>150</v>
      </c>
      <c r="C367" t="s">
        <v>151</v>
      </c>
      <c r="D367">
        <v>20080041</v>
      </c>
      <c r="E367" t="s">
        <v>161</v>
      </c>
      <c r="F367" s="1">
        <v>46113</v>
      </c>
      <c r="G367" t="s">
        <v>18</v>
      </c>
      <c r="H367" t="s">
        <v>19</v>
      </c>
      <c r="I367">
        <v>50.02</v>
      </c>
      <c r="J367">
        <v>3.9</v>
      </c>
      <c r="K367">
        <v>8.3000000000000007</v>
      </c>
      <c r="L367">
        <v>38.51</v>
      </c>
      <c r="M367">
        <v>1926.27</v>
      </c>
      <c r="N367" t="s">
        <v>22</v>
      </c>
    </row>
    <row r="368" spans="1:14" x14ac:dyDescent="0.25">
      <c r="A368" t="s">
        <v>135</v>
      </c>
      <c r="B368" t="s">
        <v>150</v>
      </c>
      <c r="C368" t="s">
        <v>151</v>
      </c>
      <c r="D368">
        <v>20080046</v>
      </c>
      <c r="E368" t="s">
        <v>162</v>
      </c>
      <c r="F368" s="1">
        <v>46113</v>
      </c>
      <c r="G368" t="s">
        <v>18</v>
      </c>
      <c r="H368" t="s">
        <v>19</v>
      </c>
      <c r="I368">
        <v>6.92</v>
      </c>
      <c r="J368">
        <v>3.9</v>
      </c>
      <c r="K368">
        <v>8.5</v>
      </c>
      <c r="L368">
        <v>39.380000000000003</v>
      </c>
      <c r="M368">
        <v>272.51</v>
      </c>
      <c r="N368" t="s">
        <v>22</v>
      </c>
    </row>
    <row r="369" spans="1:14" x14ac:dyDescent="0.25">
      <c r="A369" t="s">
        <v>135</v>
      </c>
      <c r="B369" t="s">
        <v>137</v>
      </c>
      <c r="C369" t="s">
        <v>136</v>
      </c>
      <c r="D369">
        <v>20080043</v>
      </c>
      <c r="E369" t="s">
        <v>163</v>
      </c>
      <c r="F369" s="1">
        <v>46113</v>
      </c>
      <c r="G369" t="s">
        <v>18</v>
      </c>
      <c r="H369" t="s">
        <v>19</v>
      </c>
      <c r="I369">
        <v>65.400000000000006</v>
      </c>
      <c r="J369">
        <v>4.3</v>
      </c>
      <c r="K369">
        <v>8.4</v>
      </c>
      <c r="L369">
        <v>40.24</v>
      </c>
      <c r="M369">
        <v>2631.7</v>
      </c>
      <c r="N369" t="s">
        <v>22</v>
      </c>
    </row>
    <row r="370" spans="1:14" x14ac:dyDescent="0.25">
      <c r="A370" t="s">
        <v>135</v>
      </c>
      <c r="B370" t="s">
        <v>164</v>
      </c>
      <c r="C370" t="s">
        <v>50</v>
      </c>
      <c r="D370">
        <v>20080001</v>
      </c>
      <c r="E370" t="s">
        <v>136</v>
      </c>
      <c r="F370" s="1">
        <v>46113</v>
      </c>
      <c r="G370" t="s">
        <v>18</v>
      </c>
      <c r="H370" t="s">
        <v>19</v>
      </c>
      <c r="I370">
        <v>231.26</v>
      </c>
      <c r="J370">
        <v>3.8</v>
      </c>
      <c r="K370">
        <v>8.6999999999999993</v>
      </c>
      <c r="L370">
        <v>39.42</v>
      </c>
      <c r="M370">
        <v>9116.56</v>
      </c>
      <c r="N370" t="s">
        <v>22</v>
      </c>
    </row>
    <row r="371" spans="1:14" x14ac:dyDescent="0.25">
      <c r="A371" t="s">
        <v>135</v>
      </c>
      <c r="B371" t="s">
        <v>164</v>
      </c>
      <c r="C371" t="s">
        <v>50</v>
      </c>
      <c r="D371">
        <v>20080001</v>
      </c>
      <c r="E371" t="s">
        <v>136</v>
      </c>
      <c r="F371" s="1">
        <v>46113</v>
      </c>
      <c r="G371" t="s">
        <v>18</v>
      </c>
      <c r="H371" t="s">
        <v>29</v>
      </c>
      <c r="I371">
        <v>20.34</v>
      </c>
      <c r="J371">
        <v>5.6</v>
      </c>
      <c r="K371">
        <v>8.5</v>
      </c>
      <c r="L371">
        <v>46.57</v>
      </c>
      <c r="M371">
        <v>947.14</v>
      </c>
      <c r="N371" t="s">
        <v>22</v>
      </c>
    </row>
    <row r="372" spans="1:14" x14ac:dyDescent="0.25">
      <c r="A372" t="s">
        <v>135</v>
      </c>
      <c r="B372" t="s">
        <v>142</v>
      </c>
      <c r="C372" t="s">
        <v>143</v>
      </c>
      <c r="D372">
        <v>20080014</v>
      </c>
      <c r="E372" t="s">
        <v>165</v>
      </c>
      <c r="F372" s="1">
        <v>46113</v>
      </c>
      <c r="G372" t="s">
        <v>18</v>
      </c>
      <c r="H372" t="s">
        <v>19</v>
      </c>
      <c r="I372">
        <v>56.42</v>
      </c>
      <c r="J372">
        <v>3.6</v>
      </c>
      <c r="K372">
        <v>8</v>
      </c>
      <c r="L372">
        <v>36.24</v>
      </c>
      <c r="M372">
        <v>2044.66</v>
      </c>
      <c r="N372" t="s">
        <v>20</v>
      </c>
    </row>
    <row r="373" spans="1:14" x14ac:dyDescent="0.25">
      <c r="A373" t="s">
        <v>135</v>
      </c>
      <c r="B373" t="s">
        <v>137</v>
      </c>
      <c r="C373" t="s">
        <v>136</v>
      </c>
      <c r="D373">
        <v>20080008</v>
      </c>
      <c r="E373" t="s">
        <v>139</v>
      </c>
      <c r="F373" s="1">
        <v>46113</v>
      </c>
      <c r="G373" t="s">
        <v>51</v>
      </c>
      <c r="H373" t="s">
        <v>19</v>
      </c>
      <c r="I373">
        <v>48.28</v>
      </c>
      <c r="J373">
        <v>4</v>
      </c>
      <c r="K373">
        <v>8.3000000000000007</v>
      </c>
      <c r="L373">
        <v>38.880000000000003</v>
      </c>
      <c r="M373">
        <v>1877.13</v>
      </c>
      <c r="N373" t="s">
        <v>22</v>
      </c>
    </row>
    <row r="374" spans="1:14" x14ac:dyDescent="0.25">
      <c r="A374" t="s">
        <v>135</v>
      </c>
      <c r="B374" t="s">
        <v>137</v>
      </c>
      <c r="C374" t="s">
        <v>136</v>
      </c>
      <c r="D374">
        <v>20080006</v>
      </c>
      <c r="E374" t="s">
        <v>140</v>
      </c>
      <c r="F374" s="1">
        <v>46113</v>
      </c>
      <c r="G374" t="s">
        <v>51</v>
      </c>
      <c r="H374" t="s">
        <v>19</v>
      </c>
      <c r="I374">
        <v>74.98</v>
      </c>
      <c r="J374">
        <v>3.6</v>
      </c>
      <c r="K374">
        <v>8.5</v>
      </c>
      <c r="L374">
        <v>38.25</v>
      </c>
      <c r="M374">
        <v>2867.99</v>
      </c>
      <c r="N374" t="s">
        <v>22</v>
      </c>
    </row>
    <row r="375" spans="1:14" x14ac:dyDescent="0.25">
      <c r="A375" t="s">
        <v>135</v>
      </c>
      <c r="B375" t="s">
        <v>137</v>
      </c>
      <c r="C375" t="s">
        <v>136</v>
      </c>
      <c r="D375">
        <v>20080025</v>
      </c>
      <c r="E375" t="s">
        <v>141</v>
      </c>
      <c r="F375" s="1">
        <v>46113</v>
      </c>
      <c r="G375" t="s">
        <v>51</v>
      </c>
      <c r="H375" t="s">
        <v>19</v>
      </c>
      <c r="I375">
        <v>87.96</v>
      </c>
      <c r="J375">
        <v>4</v>
      </c>
      <c r="K375">
        <v>8.1</v>
      </c>
      <c r="L375">
        <v>37.950000000000003</v>
      </c>
      <c r="M375">
        <v>3338.08</v>
      </c>
      <c r="N375" t="s">
        <v>22</v>
      </c>
    </row>
    <row r="376" spans="1:14" x14ac:dyDescent="0.25">
      <c r="A376" t="s">
        <v>135</v>
      </c>
      <c r="B376" t="s">
        <v>150</v>
      </c>
      <c r="C376" t="s">
        <v>151</v>
      </c>
      <c r="D376">
        <v>20080046</v>
      </c>
      <c r="E376" t="s">
        <v>162</v>
      </c>
      <c r="F376" s="1">
        <v>46113</v>
      </c>
      <c r="G376" t="s">
        <v>51</v>
      </c>
      <c r="H376" t="s">
        <v>19</v>
      </c>
      <c r="I376">
        <v>5.64</v>
      </c>
      <c r="J376">
        <v>4.2</v>
      </c>
      <c r="K376">
        <v>9</v>
      </c>
      <c r="L376">
        <v>41.75</v>
      </c>
      <c r="M376">
        <v>235.47</v>
      </c>
      <c r="N376" t="s">
        <v>22</v>
      </c>
    </row>
    <row r="377" spans="1:14" x14ac:dyDescent="0.25">
      <c r="A377" t="s">
        <v>135</v>
      </c>
      <c r="B377" t="s">
        <v>150</v>
      </c>
      <c r="C377" t="s">
        <v>151</v>
      </c>
      <c r="D377">
        <v>20080009</v>
      </c>
      <c r="E377" t="s">
        <v>155</v>
      </c>
      <c r="F377" s="1">
        <v>46113</v>
      </c>
      <c r="G377" t="s">
        <v>51</v>
      </c>
      <c r="H377" t="s">
        <v>19</v>
      </c>
      <c r="I377">
        <v>38.06</v>
      </c>
      <c r="J377">
        <v>4.0999999999999996</v>
      </c>
      <c r="K377">
        <v>8</v>
      </c>
      <c r="L377">
        <v>38.07</v>
      </c>
      <c r="M377">
        <v>1448.94</v>
      </c>
      <c r="N377" t="s">
        <v>22</v>
      </c>
    </row>
    <row r="378" spans="1:14" x14ac:dyDescent="0.25">
      <c r="A378" t="s">
        <v>135</v>
      </c>
      <c r="B378" t="s">
        <v>150</v>
      </c>
      <c r="C378" t="s">
        <v>151</v>
      </c>
      <c r="D378">
        <v>20080010</v>
      </c>
      <c r="E378" t="s">
        <v>158</v>
      </c>
      <c r="F378" s="1">
        <v>46113</v>
      </c>
      <c r="G378" t="s">
        <v>51</v>
      </c>
      <c r="H378" t="s">
        <v>19</v>
      </c>
      <c r="I378">
        <v>2.78</v>
      </c>
      <c r="J378">
        <v>3.1</v>
      </c>
      <c r="K378">
        <v>7.8</v>
      </c>
      <c r="L378">
        <v>32.450000000000003</v>
      </c>
      <c r="M378">
        <v>90.21</v>
      </c>
      <c r="N378" t="s">
        <v>22</v>
      </c>
    </row>
    <row r="379" spans="1:14" x14ac:dyDescent="0.25">
      <c r="A379" t="s">
        <v>135</v>
      </c>
      <c r="B379" t="s">
        <v>150</v>
      </c>
      <c r="C379" t="s">
        <v>151</v>
      </c>
      <c r="D379">
        <v>20080049</v>
      </c>
      <c r="E379" t="s">
        <v>153</v>
      </c>
      <c r="F379" s="1">
        <v>46113</v>
      </c>
      <c r="G379" t="s">
        <v>51</v>
      </c>
      <c r="H379" t="s">
        <v>19</v>
      </c>
      <c r="I379">
        <v>3.96</v>
      </c>
      <c r="J379">
        <v>2.8</v>
      </c>
      <c r="K379">
        <v>7.6</v>
      </c>
      <c r="L379">
        <v>30.16</v>
      </c>
      <c r="M379">
        <v>119.43</v>
      </c>
      <c r="N379" t="s">
        <v>22</v>
      </c>
    </row>
    <row r="380" spans="1:14" x14ac:dyDescent="0.25">
      <c r="A380" t="s">
        <v>135</v>
      </c>
      <c r="B380" t="s">
        <v>150</v>
      </c>
      <c r="C380" t="s">
        <v>151</v>
      </c>
      <c r="D380">
        <v>20080050</v>
      </c>
      <c r="E380" t="s">
        <v>159</v>
      </c>
      <c r="F380" s="1">
        <v>46113</v>
      </c>
      <c r="G380" t="s">
        <v>51</v>
      </c>
      <c r="H380" t="s">
        <v>19</v>
      </c>
      <c r="I380">
        <v>3.98</v>
      </c>
      <c r="J380">
        <v>4.0999999999999996</v>
      </c>
      <c r="K380">
        <v>8.1999999999999993</v>
      </c>
      <c r="L380">
        <v>38.56</v>
      </c>
      <c r="M380">
        <v>153.47</v>
      </c>
      <c r="N380" t="s">
        <v>22</v>
      </c>
    </row>
    <row r="381" spans="1:14" x14ac:dyDescent="0.25">
      <c r="A381" t="s">
        <v>135</v>
      </c>
      <c r="B381" t="s">
        <v>150</v>
      </c>
      <c r="C381" t="s">
        <v>151</v>
      </c>
      <c r="D381">
        <v>20080030</v>
      </c>
      <c r="E381" t="s">
        <v>154</v>
      </c>
      <c r="F381" s="1">
        <v>46113</v>
      </c>
      <c r="G381" t="s">
        <v>51</v>
      </c>
      <c r="H381" t="s">
        <v>19</v>
      </c>
      <c r="I381">
        <v>5.9</v>
      </c>
      <c r="J381">
        <v>4</v>
      </c>
      <c r="K381">
        <v>7.9</v>
      </c>
      <c r="L381">
        <v>35.869999999999997</v>
      </c>
      <c r="M381">
        <v>211.63</v>
      </c>
      <c r="N381" t="s">
        <v>22</v>
      </c>
    </row>
    <row r="382" spans="1:14" x14ac:dyDescent="0.25">
      <c r="A382" t="s">
        <v>135</v>
      </c>
      <c r="B382" t="s">
        <v>150</v>
      </c>
      <c r="C382" t="s">
        <v>151</v>
      </c>
      <c r="D382">
        <v>20080002</v>
      </c>
      <c r="E382" t="s">
        <v>157</v>
      </c>
      <c r="F382" s="1">
        <v>46113</v>
      </c>
      <c r="G382" t="s">
        <v>51</v>
      </c>
      <c r="H382" t="s">
        <v>19</v>
      </c>
      <c r="I382">
        <v>16.68</v>
      </c>
      <c r="J382">
        <v>3.9</v>
      </c>
      <c r="K382">
        <v>8.1</v>
      </c>
      <c r="L382">
        <v>37.58</v>
      </c>
      <c r="M382">
        <v>626.83000000000004</v>
      </c>
      <c r="N382" t="s">
        <v>22</v>
      </c>
    </row>
    <row r="383" spans="1:14" x14ac:dyDescent="0.25">
      <c r="A383" t="s">
        <v>135</v>
      </c>
      <c r="B383" t="s">
        <v>150</v>
      </c>
      <c r="C383" t="s">
        <v>151</v>
      </c>
      <c r="D383">
        <v>20080041</v>
      </c>
      <c r="E383" t="s">
        <v>161</v>
      </c>
      <c r="F383" s="1">
        <v>46113</v>
      </c>
      <c r="G383" t="s">
        <v>51</v>
      </c>
      <c r="H383" t="s">
        <v>19</v>
      </c>
      <c r="I383">
        <v>18.48</v>
      </c>
      <c r="J383">
        <v>4.3</v>
      </c>
      <c r="K383">
        <v>8.4</v>
      </c>
      <c r="L383">
        <v>40.24</v>
      </c>
      <c r="M383">
        <v>743.64</v>
      </c>
      <c r="N383" t="s">
        <v>22</v>
      </c>
    </row>
    <row r="384" spans="1:14" x14ac:dyDescent="0.25">
      <c r="A384" t="s">
        <v>135</v>
      </c>
      <c r="B384" t="s">
        <v>150</v>
      </c>
      <c r="C384" t="s">
        <v>151</v>
      </c>
      <c r="D384">
        <v>20080026</v>
      </c>
      <c r="E384" t="s">
        <v>152</v>
      </c>
      <c r="F384" s="1">
        <v>46113</v>
      </c>
      <c r="G384" t="s">
        <v>51</v>
      </c>
      <c r="H384" t="s">
        <v>19</v>
      </c>
      <c r="I384">
        <v>14.58</v>
      </c>
      <c r="J384">
        <v>4.0999999999999996</v>
      </c>
      <c r="K384">
        <v>8.1</v>
      </c>
      <c r="L384">
        <v>38.31</v>
      </c>
      <c r="M384">
        <v>558.55999999999995</v>
      </c>
      <c r="N384" t="s">
        <v>22</v>
      </c>
    </row>
    <row r="385" spans="1:14" x14ac:dyDescent="0.25">
      <c r="A385" t="s">
        <v>135</v>
      </c>
      <c r="B385" t="s">
        <v>142</v>
      </c>
      <c r="C385" t="s">
        <v>143</v>
      </c>
      <c r="D385">
        <v>20080007</v>
      </c>
      <c r="E385" t="s">
        <v>144</v>
      </c>
      <c r="F385" s="1">
        <v>46113</v>
      </c>
      <c r="G385" t="s">
        <v>51</v>
      </c>
      <c r="H385" t="s">
        <v>19</v>
      </c>
      <c r="I385">
        <v>185.7</v>
      </c>
      <c r="J385">
        <v>3.7</v>
      </c>
      <c r="K385">
        <v>8</v>
      </c>
      <c r="L385">
        <v>36.61</v>
      </c>
      <c r="M385">
        <v>6798.48</v>
      </c>
      <c r="N385" t="s">
        <v>22</v>
      </c>
    </row>
    <row r="386" spans="1:14" x14ac:dyDescent="0.25">
      <c r="A386" t="s">
        <v>135</v>
      </c>
      <c r="B386" t="s">
        <v>142</v>
      </c>
      <c r="C386" t="s">
        <v>143</v>
      </c>
      <c r="D386">
        <v>20080036</v>
      </c>
      <c r="E386" t="s">
        <v>146</v>
      </c>
      <c r="F386" s="1">
        <v>46113</v>
      </c>
      <c r="G386" t="s">
        <v>51</v>
      </c>
      <c r="H386" t="s">
        <v>19</v>
      </c>
      <c r="I386">
        <v>47.2</v>
      </c>
      <c r="J386">
        <v>3.8</v>
      </c>
      <c r="K386">
        <v>8.1999999999999993</v>
      </c>
      <c r="L386">
        <v>37.46</v>
      </c>
      <c r="M386">
        <v>1768.11</v>
      </c>
      <c r="N386" t="s">
        <v>22</v>
      </c>
    </row>
    <row r="387" spans="1:14" x14ac:dyDescent="0.25">
      <c r="A387" t="s">
        <v>135</v>
      </c>
      <c r="B387" t="s">
        <v>142</v>
      </c>
      <c r="C387" t="s">
        <v>143</v>
      </c>
      <c r="D387">
        <v>20080028</v>
      </c>
      <c r="E387" t="s">
        <v>148</v>
      </c>
      <c r="F387" s="1">
        <v>46113</v>
      </c>
      <c r="G387" t="s">
        <v>51</v>
      </c>
      <c r="H387" t="s">
        <v>19</v>
      </c>
      <c r="I387">
        <v>11.74</v>
      </c>
      <c r="J387">
        <v>3.9</v>
      </c>
      <c r="K387">
        <v>8</v>
      </c>
      <c r="L387">
        <v>37.340000000000003</v>
      </c>
      <c r="M387">
        <v>438.37</v>
      </c>
      <c r="N387" t="s">
        <v>22</v>
      </c>
    </row>
    <row r="388" spans="1:14" x14ac:dyDescent="0.25">
      <c r="A388" t="s">
        <v>135</v>
      </c>
      <c r="B388" t="s">
        <v>142</v>
      </c>
      <c r="C388" t="s">
        <v>143</v>
      </c>
      <c r="D388">
        <v>20080027</v>
      </c>
      <c r="E388" t="s">
        <v>147</v>
      </c>
      <c r="F388" s="1">
        <v>46113</v>
      </c>
      <c r="G388" t="s">
        <v>51</v>
      </c>
      <c r="H388" t="s">
        <v>19</v>
      </c>
      <c r="I388">
        <v>28.98</v>
      </c>
      <c r="J388">
        <v>3.4</v>
      </c>
      <c r="K388">
        <v>8.3000000000000007</v>
      </c>
      <c r="L388">
        <v>36.659999999999997</v>
      </c>
      <c r="M388">
        <v>1062.4100000000001</v>
      </c>
      <c r="N388" t="s">
        <v>22</v>
      </c>
    </row>
    <row r="389" spans="1:14" x14ac:dyDescent="0.25">
      <c r="A389" t="s">
        <v>135</v>
      </c>
      <c r="B389" t="s">
        <v>142</v>
      </c>
      <c r="C389" t="s">
        <v>143</v>
      </c>
      <c r="D389">
        <v>20080004</v>
      </c>
      <c r="E389" t="s">
        <v>145</v>
      </c>
      <c r="F389" s="1">
        <v>46113</v>
      </c>
      <c r="G389" t="s">
        <v>51</v>
      </c>
      <c r="H389" t="s">
        <v>19</v>
      </c>
      <c r="I389">
        <v>77.66</v>
      </c>
      <c r="J389">
        <v>3.8</v>
      </c>
      <c r="K389">
        <v>8.4</v>
      </c>
      <c r="L389">
        <v>38.39</v>
      </c>
      <c r="M389">
        <v>2981.37</v>
      </c>
      <c r="N389" t="s">
        <v>22</v>
      </c>
    </row>
    <row r="390" spans="1:14" x14ac:dyDescent="0.25">
      <c r="A390" t="s">
        <v>135</v>
      </c>
      <c r="B390" t="s">
        <v>164</v>
      </c>
      <c r="C390" t="s">
        <v>50</v>
      </c>
      <c r="D390">
        <v>20080001</v>
      </c>
      <c r="E390" t="s">
        <v>136</v>
      </c>
      <c r="F390" s="1">
        <v>46113</v>
      </c>
      <c r="G390" t="s">
        <v>51</v>
      </c>
      <c r="H390" t="s">
        <v>19</v>
      </c>
      <c r="I390">
        <v>146.80000000000001</v>
      </c>
      <c r="J390">
        <v>3.9</v>
      </c>
      <c r="K390">
        <v>8.4</v>
      </c>
      <c r="L390">
        <v>38.72</v>
      </c>
      <c r="M390">
        <v>5683.53</v>
      </c>
      <c r="N390" t="s">
        <v>22</v>
      </c>
    </row>
    <row r="391" spans="1:14" x14ac:dyDescent="0.25">
      <c r="A391" t="s">
        <v>135</v>
      </c>
      <c r="B391" t="s">
        <v>142</v>
      </c>
      <c r="C391" t="s">
        <v>143</v>
      </c>
      <c r="D391">
        <v>20080014</v>
      </c>
      <c r="E391" t="s">
        <v>165</v>
      </c>
      <c r="F391" s="1">
        <v>46113</v>
      </c>
      <c r="G391" t="s">
        <v>51</v>
      </c>
      <c r="H391" t="s">
        <v>19</v>
      </c>
      <c r="I391">
        <v>19.84</v>
      </c>
      <c r="J391">
        <v>3.6</v>
      </c>
      <c r="K391">
        <v>8</v>
      </c>
      <c r="L391">
        <v>36.24</v>
      </c>
      <c r="M391">
        <v>719</v>
      </c>
      <c r="N391" t="s">
        <v>20</v>
      </c>
    </row>
    <row r="392" spans="1:14" x14ac:dyDescent="0.25">
      <c r="A392" t="s">
        <v>135</v>
      </c>
      <c r="B392" t="s">
        <v>137</v>
      </c>
      <c r="C392" t="s">
        <v>136</v>
      </c>
      <c r="D392">
        <v>20080034</v>
      </c>
      <c r="E392" t="s">
        <v>138</v>
      </c>
      <c r="F392" s="1">
        <v>46113</v>
      </c>
      <c r="G392" t="s">
        <v>51</v>
      </c>
      <c r="H392" t="s">
        <v>19</v>
      </c>
      <c r="I392">
        <v>20.96</v>
      </c>
      <c r="J392">
        <v>4.5</v>
      </c>
      <c r="K392">
        <v>8.5</v>
      </c>
      <c r="L392">
        <v>41.63</v>
      </c>
      <c r="M392">
        <v>872.56</v>
      </c>
      <c r="N392" t="s">
        <v>20</v>
      </c>
    </row>
    <row r="393" spans="1:14" x14ac:dyDescent="0.25">
      <c r="A393" t="s">
        <v>135</v>
      </c>
      <c r="B393" t="s">
        <v>137</v>
      </c>
      <c r="C393" t="s">
        <v>136</v>
      </c>
      <c r="D393">
        <v>20080006</v>
      </c>
      <c r="E393" t="s">
        <v>140</v>
      </c>
      <c r="F393" s="1">
        <v>46114</v>
      </c>
      <c r="G393" t="s">
        <v>18</v>
      </c>
      <c r="H393" t="s">
        <v>19</v>
      </c>
      <c r="I393">
        <v>69.14</v>
      </c>
      <c r="J393">
        <v>4.2</v>
      </c>
      <c r="K393">
        <v>8.5</v>
      </c>
      <c r="L393">
        <v>40.5</v>
      </c>
      <c r="M393">
        <v>2800.17</v>
      </c>
      <c r="N393" t="s">
        <v>22</v>
      </c>
    </row>
    <row r="394" spans="1:14" x14ac:dyDescent="0.25">
      <c r="A394" t="s">
        <v>135</v>
      </c>
      <c r="B394" t="s">
        <v>137</v>
      </c>
      <c r="C394" t="s">
        <v>136</v>
      </c>
      <c r="D394">
        <v>20080025</v>
      </c>
      <c r="E394" t="s">
        <v>141</v>
      </c>
      <c r="F394" s="1">
        <v>46114</v>
      </c>
      <c r="G394" t="s">
        <v>18</v>
      </c>
      <c r="H394" t="s">
        <v>19</v>
      </c>
      <c r="I394">
        <v>74.5</v>
      </c>
      <c r="J394">
        <v>4.0999999999999996</v>
      </c>
      <c r="K394">
        <v>8.1999999999999993</v>
      </c>
      <c r="L394">
        <v>38.56</v>
      </c>
      <c r="M394">
        <v>2872.72</v>
      </c>
      <c r="N394" t="s">
        <v>22</v>
      </c>
    </row>
    <row r="395" spans="1:14" x14ac:dyDescent="0.25">
      <c r="A395" t="s">
        <v>135</v>
      </c>
      <c r="B395" t="s">
        <v>142</v>
      </c>
      <c r="C395" t="s">
        <v>143</v>
      </c>
      <c r="D395">
        <v>20080014</v>
      </c>
      <c r="E395" t="s">
        <v>165</v>
      </c>
      <c r="F395" s="1">
        <v>46114</v>
      </c>
      <c r="G395" t="s">
        <v>18</v>
      </c>
      <c r="H395" t="s">
        <v>19</v>
      </c>
      <c r="I395">
        <v>65.38</v>
      </c>
      <c r="J395">
        <v>3.7</v>
      </c>
      <c r="K395">
        <v>7.7</v>
      </c>
      <c r="L395">
        <v>33.96</v>
      </c>
      <c r="M395">
        <v>2220.3000000000002</v>
      </c>
      <c r="N395" t="s">
        <v>22</v>
      </c>
    </row>
    <row r="396" spans="1:14" x14ac:dyDescent="0.25">
      <c r="A396" t="s">
        <v>135</v>
      </c>
      <c r="B396" t="s">
        <v>142</v>
      </c>
      <c r="C396" t="s">
        <v>143</v>
      </c>
      <c r="D396">
        <v>20080004</v>
      </c>
      <c r="E396" t="s">
        <v>145</v>
      </c>
      <c r="F396" s="1">
        <v>46114</v>
      </c>
      <c r="G396" t="s">
        <v>18</v>
      </c>
      <c r="H396" t="s">
        <v>19</v>
      </c>
      <c r="I396">
        <v>115.8</v>
      </c>
      <c r="J396">
        <v>3.8</v>
      </c>
      <c r="K396">
        <v>8.6</v>
      </c>
      <c r="L396">
        <v>39.25</v>
      </c>
      <c r="M396">
        <v>4545.1499999999996</v>
      </c>
      <c r="N396" t="s">
        <v>22</v>
      </c>
    </row>
    <row r="397" spans="1:14" x14ac:dyDescent="0.25">
      <c r="A397" t="s">
        <v>135</v>
      </c>
      <c r="B397" t="s">
        <v>142</v>
      </c>
      <c r="C397" t="s">
        <v>143</v>
      </c>
      <c r="D397">
        <v>20080007</v>
      </c>
      <c r="E397" t="s">
        <v>144</v>
      </c>
      <c r="F397" s="1">
        <v>46114</v>
      </c>
      <c r="G397" t="s">
        <v>18</v>
      </c>
      <c r="H397" t="s">
        <v>19</v>
      </c>
      <c r="I397">
        <v>281.2</v>
      </c>
      <c r="J397">
        <v>3.7</v>
      </c>
      <c r="K397">
        <v>8.1999999999999993</v>
      </c>
      <c r="L397">
        <v>37.1</v>
      </c>
      <c r="M397">
        <v>10432.52</v>
      </c>
      <c r="N397" t="s">
        <v>22</v>
      </c>
    </row>
    <row r="398" spans="1:14" x14ac:dyDescent="0.25">
      <c r="A398" t="s">
        <v>135</v>
      </c>
      <c r="B398" t="s">
        <v>142</v>
      </c>
      <c r="C398" t="s">
        <v>143</v>
      </c>
      <c r="D398">
        <v>20080027</v>
      </c>
      <c r="E398" t="s">
        <v>147</v>
      </c>
      <c r="F398" s="1">
        <v>46114</v>
      </c>
      <c r="G398" t="s">
        <v>18</v>
      </c>
      <c r="H398" t="s">
        <v>19</v>
      </c>
      <c r="I398">
        <v>39.28</v>
      </c>
      <c r="J398">
        <v>3.9</v>
      </c>
      <c r="K398">
        <v>8.4</v>
      </c>
      <c r="L398">
        <v>38.76</v>
      </c>
      <c r="M398">
        <v>1522.49</v>
      </c>
      <c r="N398" t="s">
        <v>22</v>
      </c>
    </row>
    <row r="399" spans="1:14" x14ac:dyDescent="0.25">
      <c r="A399" t="s">
        <v>135</v>
      </c>
      <c r="B399" t="s">
        <v>142</v>
      </c>
      <c r="C399" t="s">
        <v>143</v>
      </c>
      <c r="D399">
        <v>20080028</v>
      </c>
      <c r="E399" t="s">
        <v>148</v>
      </c>
      <c r="F399" s="1">
        <v>46114</v>
      </c>
      <c r="G399" t="s">
        <v>18</v>
      </c>
      <c r="H399" t="s">
        <v>19</v>
      </c>
      <c r="I399">
        <v>14.16</v>
      </c>
      <c r="J399">
        <v>4.7</v>
      </c>
      <c r="K399">
        <v>8.1999999999999993</v>
      </c>
      <c r="L399">
        <v>40.75</v>
      </c>
      <c r="M399">
        <v>577.02</v>
      </c>
      <c r="N399" t="s">
        <v>22</v>
      </c>
    </row>
    <row r="400" spans="1:14" x14ac:dyDescent="0.25">
      <c r="A400" t="s">
        <v>135</v>
      </c>
      <c r="B400" t="s">
        <v>142</v>
      </c>
      <c r="C400" t="s">
        <v>143</v>
      </c>
      <c r="D400">
        <v>20080036</v>
      </c>
      <c r="E400" t="s">
        <v>146</v>
      </c>
      <c r="F400" s="1">
        <v>46114</v>
      </c>
      <c r="G400" t="s">
        <v>18</v>
      </c>
      <c r="H400" t="s">
        <v>19</v>
      </c>
      <c r="I400">
        <v>40.14</v>
      </c>
      <c r="J400">
        <v>4.5</v>
      </c>
      <c r="K400">
        <v>8.5</v>
      </c>
      <c r="L400">
        <v>41.63</v>
      </c>
      <c r="M400">
        <v>1671.03</v>
      </c>
      <c r="N400" t="s">
        <v>22</v>
      </c>
    </row>
    <row r="401" spans="1:14" x14ac:dyDescent="0.25">
      <c r="A401" t="s">
        <v>135</v>
      </c>
      <c r="B401" t="s">
        <v>142</v>
      </c>
      <c r="C401" t="s">
        <v>143</v>
      </c>
      <c r="D401">
        <v>20080005</v>
      </c>
      <c r="E401" t="s">
        <v>149</v>
      </c>
      <c r="F401" s="1">
        <v>46114</v>
      </c>
      <c r="G401" t="s">
        <v>18</v>
      </c>
      <c r="H401" t="s">
        <v>29</v>
      </c>
      <c r="I401">
        <v>5.8</v>
      </c>
      <c r="J401">
        <v>4.9000000000000004</v>
      </c>
      <c r="K401">
        <v>8.3000000000000007</v>
      </c>
      <c r="L401">
        <v>42.21</v>
      </c>
      <c r="M401">
        <v>244.82</v>
      </c>
      <c r="N401" t="s">
        <v>22</v>
      </c>
    </row>
    <row r="402" spans="1:14" x14ac:dyDescent="0.25">
      <c r="A402" t="s">
        <v>135</v>
      </c>
      <c r="B402" t="s">
        <v>137</v>
      </c>
      <c r="C402" t="s">
        <v>136</v>
      </c>
      <c r="D402">
        <v>20080043</v>
      </c>
      <c r="E402" t="s">
        <v>163</v>
      </c>
      <c r="F402" s="1">
        <v>46114</v>
      </c>
      <c r="G402" t="s">
        <v>18</v>
      </c>
      <c r="H402" t="s">
        <v>19</v>
      </c>
      <c r="I402">
        <v>61.34</v>
      </c>
      <c r="J402">
        <v>4.4000000000000004</v>
      </c>
      <c r="K402">
        <v>8.4</v>
      </c>
      <c r="L402">
        <v>40.61</v>
      </c>
      <c r="M402">
        <v>2491.02</v>
      </c>
      <c r="N402" t="s">
        <v>22</v>
      </c>
    </row>
    <row r="403" spans="1:14" x14ac:dyDescent="0.25">
      <c r="A403" t="s">
        <v>135</v>
      </c>
      <c r="B403" t="s">
        <v>150</v>
      </c>
      <c r="C403" t="s">
        <v>151</v>
      </c>
      <c r="D403">
        <v>20080026</v>
      </c>
      <c r="E403" t="s">
        <v>152</v>
      </c>
      <c r="F403" s="1">
        <v>46114</v>
      </c>
      <c r="G403" t="s">
        <v>18</v>
      </c>
      <c r="H403" t="s">
        <v>19</v>
      </c>
      <c r="I403">
        <v>41.92</v>
      </c>
      <c r="J403">
        <v>3.4</v>
      </c>
      <c r="K403">
        <v>8.1999999999999993</v>
      </c>
      <c r="L403">
        <v>36</v>
      </c>
      <c r="M403">
        <v>1509.12</v>
      </c>
      <c r="N403" t="s">
        <v>22</v>
      </c>
    </row>
    <row r="404" spans="1:14" x14ac:dyDescent="0.25">
      <c r="A404" t="s">
        <v>135</v>
      </c>
      <c r="B404" t="s">
        <v>150</v>
      </c>
      <c r="C404" t="s">
        <v>151</v>
      </c>
      <c r="D404">
        <v>20080010</v>
      </c>
      <c r="E404" t="s">
        <v>158</v>
      </c>
      <c r="F404" s="1">
        <v>46114</v>
      </c>
      <c r="G404" t="s">
        <v>18</v>
      </c>
      <c r="H404" t="s">
        <v>19</v>
      </c>
      <c r="I404">
        <v>78.88</v>
      </c>
      <c r="J404">
        <v>4.4000000000000004</v>
      </c>
      <c r="K404">
        <v>8.1999999999999993</v>
      </c>
      <c r="L404">
        <v>39.65</v>
      </c>
      <c r="M404">
        <v>3127.59</v>
      </c>
      <c r="N404" t="s">
        <v>22</v>
      </c>
    </row>
    <row r="405" spans="1:14" x14ac:dyDescent="0.25">
      <c r="A405" t="s">
        <v>135</v>
      </c>
      <c r="B405" t="s">
        <v>150</v>
      </c>
      <c r="C405" t="s">
        <v>151</v>
      </c>
      <c r="D405">
        <v>20080049</v>
      </c>
      <c r="E405" t="s">
        <v>153</v>
      </c>
      <c r="F405" s="1">
        <v>46114</v>
      </c>
      <c r="G405" t="s">
        <v>18</v>
      </c>
      <c r="H405" t="s">
        <v>19</v>
      </c>
      <c r="I405">
        <v>57.36</v>
      </c>
      <c r="J405">
        <v>4.0999999999999996</v>
      </c>
      <c r="K405">
        <v>8.1</v>
      </c>
      <c r="L405">
        <v>38.31</v>
      </c>
      <c r="M405">
        <v>2197.46</v>
      </c>
      <c r="N405" t="s">
        <v>22</v>
      </c>
    </row>
    <row r="406" spans="1:14" x14ac:dyDescent="0.25">
      <c r="A406" t="s">
        <v>135</v>
      </c>
      <c r="B406" t="s">
        <v>150</v>
      </c>
      <c r="C406" t="s">
        <v>151</v>
      </c>
      <c r="D406">
        <v>20080039</v>
      </c>
      <c r="E406" t="s">
        <v>156</v>
      </c>
      <c r="F406" s="1">
        <v>46114</v>
      </c>
      <c r="G406" t="s">
        <v>18</v>
      </c>
      <c r="H406" t="s">
        <v>19</v>
      </c>
      <c r="I406">
        <v>32.68</v>
      </c>
      <c r="J406">
        <v>4.2</v>
      </c>
      <c r="K406">
        <v>8</v>
      </c>
      <c r="L406">
        <v>38.43</v>
      </c>
      <c r="M406">
        <v>1255.8900000000001</v>
      </c>
      <c r="N406" t="s">
        <v>22</v>
      </c>
    </row>
    <row r="407" spans="1:14" x14ac:dyDescent="0.25">
      <c r="A407" t="s">
        <v>135</v>
      </c>
      <c r="B407" t="s">
        <v>137</v>
      </c>
      <c r="C407" t="s">
        <v>136</v>
      </c>
      <c r="D407">
        <v>20080047</v>
      </c>
      <c r="E407" t="s">
        <v>160</v>
      </c>
      <c r="F407" s="1">
        <v>46114</v>
      </c>
      <c r="G407" t="s">
        <v>18</v>
      </c>
      <c r="H407" t="s">
        <v>19</v>
      </c>
      <c r="I407">
        <v>21.66</v>
      </c>
      <c r="J407">
        <v>4.8</v>
      </c>
      <c r="K407">
        <v>8</v>
      </c>
      <c r="L407">
        <v>40.619999999999997</v>
      </c>
      <c r="M407">
        <v>879.83</v>
      </c>
      <c r="N407" t="s">
        <v>22</v>
      </c>
    </row>
    <row r="408" spans="1:14" x14ac:dyDescent="0.25">
      <c r="A408" t="s">
        <v>135</v>
      </c>
      <c r="B408" t="s">
        <v>150</v>
      </c>
      <c r="C408" t="s">
        <v>151</v>
      </c>
      <c r="D408">
        <v>20080030</v>
      </c>
      <c r="E408" t="s">
        <v>154</v>
      </c>
      <c r="F408" s="1">
        <v>46114</v>
      </c>
      <c r="G408" t="s">
        <v>18</v>
      </c>
      <c r="H408" t="s">
        <v>19</v>
      </c>
      <c r="I408">
        <v>23.74</v>
      </c>
      <c r="J408">
        <v>4.7</v>
      </c>
      <c r="K408">
        <v>8.3000000000000007</v>
      </c>
      <c r="L408">
        <v>41.47</v>
      </c>
      <c r="M408">
        <v>984.5</v>
      </c>
      <c r="N408" t="s">
        <v>22</v>
      </c>
    </row>
    <row r="409" spans="1:14" x14ac:dyDescent="0.25">
      <c r="A409" t="s">
        <v>135</v>
      </c>
      <c r="B409" t="s">
        <v>150</v>
      </c>
      <c r="C409" t="s">
        <v>151</v>
      </c>
      <c r="D409">
        <v>20080050</v>
      </c>
      <c r="E409" t="s">
        <v>159</v>
      </c>
      <c r="F409" s="1">
        <v>46114</v>
      </c>
      <c r="G409" t="s">
        <v>18</v>
      </c>
      <c r="H409" t="s">
        <v>19</v>
      </c>
      <c r="I409">
        <v>13.62</v>
      </c>
      <c r="J409">
        <v>4.0999999999999996</v>
      </c>
      <c r="K409">
        <v>8.1</v>
      </c>
      <c r="L409">
        <v>38.31</v>
      </c>
      <c r="M409">
        <v>521.78</v>
      </c>
      <c r="N409" t="s">
        <v>22</v>
      </c>
    </row>
    <row r="410" spans="1:14" x14ac:dyDescent="0.25">
      <c r="A410" t="s">
        <v>135</v>
      </c>
      <c r="B410" t="s">
        <v>150</v>
      </c>
      <c r="C410" t="s">
        <v>151</v>
      </c>
      <c r="D410">
        <v>20080046</v>
      </c>
      <c r="E410" t="s">
        <v>162</v>
      </c>
      <c r="F410" s="1">
        <v>46114</v>
      </c>
      <c r="G410" t="s">
        <v>18</v>
      </c>
      <c r="H410" t="s">
        <v>19</v>
      </c>
      <c r="I410">
        <v>6.7</v>
      </c>
      <c r="J410">
        <v>3.5</v>
      </c>
      <c r="K410">
        <v>8.6</v>
      </c>
      <c r="L410">
        <v>38.130000000000003</v>
      </c>
      <c r="M410">
        <v>255.47</v>
      </c>
      <c r="N410" t="s">
        <v>22</v>
      </c>
    </row>
    <row r="411" spans="1:14" x14ac:dyDescent="0.25">
      <c r="A411" t="s">
        <v>135</v>
      </c>
      <c r="B411" t="s">
        <v>150</v>
      </c>
      <c r="C411" t="s">
        <v>151</v>
      </c>
      <c r="D411">
        <v>20080009</v>
      </c>
      <c r="E411" t="s">
        <v>155</v>
      </c>
      <c r="F411" s="1">
        <v>46114</v>
      </c>
      <c r="G411" t="s">
        <v>18</v>
      </c>
      <c r="H411" t="s">
        <v>19</v>
      </c>
      <c r="I411">
        <v>69.12</v>
      </c>
      <c r="J411">
        <v>3.8</v>
      </c>
      <c r="K411">
        <v>7.9</v>
      </c>
      <c r="L411">
        <v>35.159999999999997</v>
      </c>
      <c r="M411">
        <v>2430.2600000000002</v>
      </c>
      <c r="N411" t="s">
        <v>22</v>
      </c>
    </row>
    <row r="412" spans="1:14" x14ac:dyDescent="0.25">
      <c r="A412" t="s">
        <v>135</v>
      </c>
      <c r="B412" t="s">
        <v>150</v>
      </c>
      <c r="C412" t="s">
        <v>151</v>
      </c>
      <c r="D412">
        <v>20080002</v>
      </c>
      <c r="E412" t="s">
        <v>157</v>
      </c>
      <c r="F412" s="1">
        <v>46114</v>
      </c>
      <c r="G412" t="s">
        <v>18</v>
      </c>
      <c r="H412" t="s">
        <v>19</v>
      </c>
      <c r="I412">
        <v>49.82</v>
      </c>
      <c r="J412">
        <v>4</v>
      </c>
      <c r="K412">
        <v>8.1999999999999993</v>
      </c>
      <c r="L412">
        <v>38.19</v>
      </c>
      <c r="M412">
        <v>1902.63</v>
      </c>
      <c r="N412" t="s">
        <v>22</v>
      </c>
    </row>
    <row r="413" spans="1:14" x14ac:dyDescent="0.25">
      <c r="A413" t="s">
        <v>135</v>
      </c>
      <c r="B413" t="s">
        <v>150</v>
      </c>
      <c r="C413" t="s">
        <v>151</v>
      </c>
      <c r="D413">
        <v>20080041</v>
      </c>
      <c r="E413" t="s">
        <v>161</v>
      </c>
      <c r="F413" s="1">
        <v>46114</v>
      </c>
      <c r="G413" t="s">
        <v>18</v>
      </c>
      <c r="H413" t="s">
        <v>19</v>
      </c>
      <c r="I413">
        <v>54.12</v>
      </c>
      <c r="J413">
        <v>3.8</v>
      </c>
      <c r="K413">
        <v>8.1</v>
      </c>
      <c r="L413">
        <v>37.22</v>
      </c>
      <c r="M413">
        <v>2014.35</v>
      </c>
      <c r="N413" t="s">
        <v>22</v>
      </c>
    </row>
    <row r="414" spans="1:14" x14ac:dyDescent="0.25">
      <c r="A414" t="s">
        <v>135</v>
      </c>
      <c r="B414" t="s">
        <v>164</v>
      </c>
      <c r="C414" t="s">
        <v>50</v>
      </c>
      <c r="D414">
        <v>20080001</v>
      </c>
      <c r="E414" t="s">
        <v>136</v>
      </c>
      <c r="F414" s="1">
        <v>46114</v>
      </c>
      <c r="G414" t="s">
        <v>18</v>
      </c>
      <c r="H414" t="s">
        <v>19</v>
      </c>
      <c r="I414">
        <v>263.54000000000002</v>
      </c>
      <c r="J414">
        <v>3.8</v>
      </c>
      <c r="K414">
        <v>8.6</v>
      </c>
      <c r="L414">
        <v>39.17</v>
      </c>
      <c r="M414">
        <v>10322.48</v>
      </c>
      <c r="N414" t="s">
        <v>22</v>
      </c>
    </row>
    <row r="415" spans="1:14" x14ac:dyDescent="0.25">
      <c r="A415" t="s">
        <v>135</v>
      </c>
      <c r="B415" t="s">
        <v>164</v>
      </c>
      <c r="C415" t="s">
        <v>50</v>
      </c>
      <c r="D415">
        <v>20080001</v>
      </c>
      <c r="E415" t="s">
        <v>136</v>
      </c>
      <c r="F415" s="1">
        <v>46114</v>
      </c>
      <c r="G415" t="s">
        <v>18</v>
      </c>
      <c r="H415" t="s">
        <v>29</v>
      </c>
      <c r="I415">
        <v>5.72</v>
      </c>
      <c r="J415">
        <v>6.3</v>
      </c>
      <c r="K415">
        <v>8.4</v>
      </c>
      <c r="L415">
        <v>49.28</v>
      </c>
      <c r="M415">
        <v>281.91000000000003</v>
      </c>
      <c r="N415" t="s">
        <v>22</v>
      </c>
    </row>
    <row r="416" spans="1:14" x14ac:dyDescent="0.25">
      <c r="A416" t="s">
        <v>135</v>
      </c>
      <c r="B416" t="s">
        <v>137</v>
      </c>
      <c r="C416" t="s">
        <v>136</v>
      </c>
      <c r="D416">
        <v>20080034</v>
      </c>
      <c r="E416" t="s">
        <v>138</v>
      </c>
      <c r="F416" s="1">
        <v>46114</v>
      </c>
      <c r="G416" t="s">
        <v>18</v>
      </c>
      <c r="H416" t="s">
        <v>19</v>
      </c>
      <c r="I416">
        <v>78.099999999999994</v>
      </c>
      <c r="J416">
        <v>4.5</v>
      </c>
      <c r="K416">
        <v>8.5</v>
      </c>
      <c r="L416">
        <v>41.63</v>
      </c>
      <c r="M416">
        <v>3251.3</v>
      </c>
      <c r="N416" t="s">
        <v>20</v>
      </c>
    </row>
    <row r="417" spans="1:14" x14ac:dyDescent="0.25">
      <c r="A417" t="s">
        <v>135</v>
      </c>
      <c r="B417" t="s">
        <v>137</v>
      </c>
      <c r="C417" t="s">
        <v>136</v>
      </c>
      <c r="D417">
        <v>20080008</v>
      </c>
      <c r="E417" t="s">
        <v>139</v>
      </c>
      <c r="F417" s="1">
        <v>46114</v>
      </c>
      <c r="G417" t="s">
        <v>18</v>
      </c>
      <c r="H417" t="s">
        <v>19</v>
      </c>
      <c r="I417">
        <v>77.58</v>
      </c>
      <c r="J417">
        <v>3.7</v>
      </c>
      <c r="K417">
        <v>8.4</v>
      </c>
      <c r="L417">
        <v>38.020000000000003</v>
      </c>
      <c r="M417">
        <v>2949.59</v>
      </c>
      <c r="N417" t="s">
        <v>20</v>
      </c>
    </row>
    <row r="418" spans="1:14" x14ac:dyDescent="0.25">
      <c r="A418" t="s">
        <v>135</v>
      </c>
      <c r="B418" t="s">
        <v>137</v>
      </c>
      <c r="C418" t="s">
        <v>136</v>
      </c>
      <c r="D418">
        <v>20080025</v>
      </c>
      <c r="E418" t="s">
        <v>141</v>
      </c>
      <c r="F418" s="1">
        <v>46114</v>
      </c>
      <c r="G418" t="s">
        <v>51</v>
      </c>
      <c r="H418" t="s">
        <v>19</v>
      </c>
      <c r="I418">
        <v>112.68</v>
      </c>
      <c r="J418">
        <v>4</v>
      </c>
      <c r="K418">
        <v>8.4</v>
      </c>
      <c r="L418">
        <v>39.130000000000003</v>
      </c>
      <c r="M418">
        <v>4409.17</v>
      </c>
      <c r="N418" t="s">
        <v>22</v>
      </c>
    </row>
    <row r="419" spans="1:14" x14ac:dyDescent="0.25">
      <c r="A419" t="s">
        <v>135</v>
      </c>
      <c r="B419" t="s">
        <v>137</v>
      </c>
      <c r="C419" t="s">
        <v>136</v>
      </c>
      <c r="D419">
        <v>20080008</v>
      </c>
      <c r="E419" t="s">
        <v>139</v>
      </c>
      <c r="F419" s="1">
        <v>46114</v>
      </c>
      <c r="G419" t="s">
        <v>51</v>
      </c>
      <c r="H419" t="s">
        <v>19</v>
      </c>
      <c r="I419">
        <v>50.02</v>
      </c>
      <c r="J419">
        <v>4.0999999999999996</v>
      </c>
      <c r="K419">
        <v>8.5</v>
      </c>
      <c r="L419">
        <v>40.130000000000003</v>
      </c>
      <c r="M419">
        <v>2007.3</v>
      </c>
      <c r="N419" t="s">
        <v>22</v>
      </c>
    </row>
    <row r="420" spans="1:14" x14ac:dyDescent="0.25">
      <c r="A420" t="s">
        <v>135</v>
      </c>
      <c r="B420" t="s">
        <v>137</v>
      </c>
      <c r="C420" t="s">
        <v>136</v>
      </c>
      <c r="D420">
        <v>20080006</v>
      </c>
      <c r="E420" t="s">
        <v>140</v>
      </c>
      <c r="F420" s="1">
        <v>46114</v>
      </c>
      <c r="G420" t="s">
        <v>51</v>
      </c>
      <c r="H420" t="s">
        <v>19</v>
      </c>
      <c r="I420">
        <v>75.64</v>
      </c>
      <c r="J420">
        <v>3.8</v>
      </c>
      <c r="K420">
        <v>8.4</v>
      </c>
      <c r="L420">
        <v>38.39</v>
      </c>
      <c r="M420">
        <v>2903.82</v>
      </c>
      <c r="N420" t="s">
        <v>22</v>
      </c>
    </row>
    <row r="421" spans="1:14" x14ac:dyDescent="0.25">
      <c r="A421" t="s">
        <v>135</v>
      </c>
      <c r="B421" t="s">
        <v>150</v>
      </c>
      <c r="C421" t="s">
        <v>151</v>
      </c>
      <c r="D421">
        <v>20080046</v>
      </c>
      <c r="E421" t="s">
        <v>162</v>
      </c>
      <c r="F421" s="1">
        <v>46114</v>
      </c>
      <c r="G421" t="s">
        <v>51</v>
      </c>
      <c r="H421" t="s">
        <v>19</v>
      </c>
      <c r="I421">
        <v>6.2</v>
      </c>
      <c r="J421">
        <v>3.9</v>
      </c>
      <c r="K421">
        <v>7.7</v>
      </c>
      <c r="L421">
        <v>34.67</v>
      </c>
      <c r="M421">
        <v>214.95</v>
      </c>
      <c r="N421" t="s">
        <v>22</v>
      </c>
    </row>
    <row r="422" spans="1:14" x14ac:dyDescent="0.25">
      <c r="A422" t="s">
        <v>135</v>
      </c>
      <c r="B422" t="s">
        <v>150</v>
      </c>
      <c r="C422" t="s">
        <v>151</v>
      </c>
      <c r="D422">
        <v>20080030</v>
      </c>
      <c r="E422" t="s">
        <v>154</v>
      </c>
      <c r="F422" s="1">
        <v>46114</v>
      </c>
      <c r="G422" t="s">
        <v>51</v>
      </c>
      <c r="H422" t="s">
        <v>19</v>
      </c>
      <c r="I422">
        <v>3.16</v>
      </c>
      <c r="J422">
        <v>4.7</v>
      </c>
      <c r="K422">
        <v>8.1999999999999993</v>
      </c>
      <c r="L422">
        <v>40.75</v>
      </c>
      <c r="M422">
        <v>128.77000000000001</v>
      </c>
      <c r="N422" t="s">
        <v>22</v>
      </c>
    </row>
    <row r="423" spans="1:14" x14ac:dyDescent="0.25">
      <c r="A423" t="s">
        <v>135</v>
      </c>
      <c r="B423" t="s">
        <v>150</v>
      </c>
      <c r="C423" t="s">
        <v>151</v>
      </c>
      <c r="D423">
        <v>20080002</v>
      </c>
      <c r="E423" t="s">
        <v>157</v>
      </c>
      <c r="F423" s="1">
        <v>46114</v>
      </c>
      <c r="G423" t="s">
        <v>51</v>
      </c>
      <c r="H423" t="s">
        <v>19</v>
      </c>
      <c r="I423">
        <v>16.12</v>
      </c>
      <c r="J423">
        <v>3.7</v>
      </c>
      <c r="K423">
        <v>8.1</v>
      </c>
      <c r="L423">
        <v>36.85</v>
      </c>
      <c r="M423">
        <v>594.02</v>
      </c>
      <c r="N423" t="s">
        <v>22</v>
      </c>
    </row>
    <row r="424" spans="1:14" x14ac:dyDescent="0.25">
      <c r="A424" t="s">
        <v>135</v>
      </c>
      <c r="B424" t="s">
        <v>150</v>
      </c>
      <c r="C424" t="s">
        <v>151</v>
      </c>
      <c r="D424">
        <v>20080009</v>
      </c>
      <c r="E424" t="s">
        <v>155</v>
      </c>
      <c r="F424" s="1">
        <v>46114</v>
      </c>
      <c r="G424" t="s">
        <v>51</v>
      </c>
      <c r="H424" t="s">
        <v>19</v>
      </c>
      <c r="I424">
        <v>37.979999999999997</v>
      </c>
      <c r="J424">
        <v>4.0999999999999996</v>
      </c>
      <c r="K424">
        <v>8</v>
      </c>
      <c r="L424">
        <v>38.07</v>
      </c>
      <c r="M424">
        <v>1445.9</v>
      </c>
      <c r="N424" t="s">
        <v>22</v>
      </c>
    </row>
    <row r="425" spans="1:14" x14ac:dyDescent="0.25">
      <c r="A425" t="s">
        <v>135</v>
      </c>
      <c r="B425" t="s">
        <v>150</v>
      </c>
      <c r="C425" t="s">
        <v>151</v>
      </c>
      <c r="D425">
        <v>20080026</v>
      </c>
      <c r="E425" t="s">
        <v>152</v>
      </c>
      <c r="F425" s="1">
        <v>46114</v>
      </c>
      <c r="G425" t="s">
        <v>51</v>
      </c>
      <c r="H425" t="s">
        <v>19</v>
      </c>
      <c r="I425">
        <v>11.62</v>
      </c>
      <c r="J425">
        <v>4.0999999999999996</v>
      </c>
      <c r="K425">
        <v>8</v>
      </c>
      <c r="L425">
        <v>38.07</v>
      </c>
      <c r="M425">
        <v>442.37</v>
      </c>
      <c r="N425" t="s">
        <v>22</v>
      </c>
    </row>
    <row r="426" spans="1:14" x14ac:dyDescent="0.25">
      <c r="A426" t="s">
        <v>135</v>
      </c>
      <c r="B426" t="s">
        <v>150</v>
      </c>
      <c r="C426" t="s">
        <v>151</v>
      </c>
      <c r="D426">
        <v>20080041</v>
      </c>
      <c r="E426" t="s">
        <v>161</v>
      </c>
      <c r="F426" s="1">
        <v>46114</v>
      </c>
      <c r="G426" t="s">
        <v>51</v>
      </c>
      <c r="H426" t="s">
        <v>19</v>
      </c>
      <c r="I426">
        <v>19.18</v>
      </c>
      <c r="J426">
        <v>4.3</v>
      </c>
      <c r="K426">
        <v>8.1</v>
      </c>
      <c r="L426">
        <v>39.04</v>
      </c>
      <c r="M426">
        <v>748.79</v>
      </c>
      <c r="N426" t="s">
        <v>22</v>
      </c>
    </row>
    <row r="427" spans="1:14" x14ac:dyDescent="0.25">
      <c r="A427" t="s">
        <v>135</v>
      </c>
      <c r="B427" t="s">
        <v>142</v>
      </c>
      <c r="C427" t="s">
        <v>143</v>
      </c>
      <c r="D427">
        <v>20080014</v>
      </c>
      <c r="E427" t="s">
        <v>165</v>
      </c>
      <c r="F427" s="1">
        <v>46114</v>
      </c>
      <c r="G427" t="s">
        <v>51</v>
      </c>
      <c r="H427" t="s">
        <v>19</v>
      </c>
      <c r="I427">
        <v>22.18</v>
      </c>
      <c r="J427">
        <v>3.7</v>
      </c>
      <c r="K427">
        <v>7.5</v>
      </c>
      <c r="L427">
        <v>32.950000000000003</v>
      </c>
      <c r="M427">
        <v>730.83</v>
      </c>
      <c r="N427" t="s">
        <v>22</v>
      </c>
    </row>
    <row r="428" spans="1:14" x14ac:dyDescent="0.25">
      <c r="A428" t="s">
        <v>135</v>
      </c>
      <c r="B428" t="s">
        <v>142</v>
      </c>
      <c r="C428" t="s">
        <v>143</v>
      </c>
      <c r="D428">
        <v>20080007</v>
      </c>
      <c r="E428" t="s">
        <v>144</v>
      </c>
      <c r="F428" s="1">
        <v>46114</v>
      </c>
      <c r="G428" t="s">
        <v>51</v>
      </c>
      <c r="H428" t="s">
        <v>19</v>
      </c>
      <c r="I428">
        <v>178.78</v>
      </c>
      <c r="J428">
        <v>3.7</v>
      </c>
      <c r="K428">
        <v>8</v>
      </c>
      <c r="L428">
        <v>36.61</v>
      </c>
      <c r="M428">
        <v>6545.14</v>
      </c>
      <c r="N428" t="s">
        <v>22</v>
      </c>
    </row>
    <row r="429" spans="1:14" x14ac:dyDescent="0.25">
      <c r="A429" t="s">
        <v>135</v>
      </c>
      <c r="B429" t="s">
        <v>142</v>
      </c>
      <c r="C429" t="s">
        <v>143</v>
      </c>
      <c r="D429">
        <v>20080004</v>
      </c>
      <c r="E429" t="s">
        <v>145</v>
      </c>
      <c r="F429" s="1">
        <v>46114</v>
      </c>
      <c r="G429" t="s">
        <v>51</v>
      </c>
      <c r="H429" t="s">
        <v>19</v>
      </c>
      <c r="I429">
        <v>79.92</v>
      </c>
      <c r="J429">
        <v>4.0999999999999996</v>
      </c>
      <c r="K429">
        <v>8.1</v>
      </c>
      <c r="L429">
        <v>38.31</v>
      </c>
      <c r="M429">
        <v>3061.74</v>
      </c>
      <c r="N429" t="s">
        <v>22</v>
      </c>
    </row>
    <row r="430" spans="1:14" x14ac:dyDescent="0.25">
      <c r="A430" t="s">
        <v>135</v>
      </c>
      <c r="B430" t="s">
        <v>142</v>
      </c>
      <c r="C430" t="s">
        <v>143</v>
      </c>
      <c r="D430">
        <v>20080027</v>
      </c>
      <c r="E430" t="s">
        <v>147</v>
      </c>
      <c r="F430" s="1">
        <v>46114</v>
      </c>
      <c r="G430" t="s">
        <v>51</v>
      </c>
      <c r="H430" t="s">
        <v>19</v>
      </c>
      <c r="I430">
        <v>31.02</v>
      </c>
      <c r="J430">
        <v>3.2</v>
      </c>
      <c r="K430">
        <v>8.4</v>
      </c>
      <c r="L430">
        <v>36.17</v>
      </c>
      <c r="M430">
        <v>1121.99</v>
      </c>
      <c r="N430" t="s">
        <v>22</v>
      </c>
    </row>
    <row r="431" spans="1:14" x14ac:dyDescent="0.25">
      <c r="A431" t="s">
        <v>135</v>
      </c>
      <c r="B431" t="s">
        <v>142</v>
      </c>
      <c r="C431" t="s">
        <v>143</v>
      </c>
      <c r="D431">
        <v>20080028</v>
      </c>
      <c r="E431" t="s">
        <v>148</v>
      </c>
      <c r="F431" s="1">
        <v>46114</v>
      </c>
      <c r="G431" t="s">
        <v>51</v>
      </c>
      <c r="H431" t="s">
        <v>19</v>
      </c>
      <c r="I431">
        <v>10.220000000000001</v>
      </c>
      <c r="J431">
        <v>4</v>
      </c>
      <c r="K431">
        <v>8.1</v>
      </c>
      <c r="L431">
        <v>37.950000000000003</v>
      </c>
      <c r="M431">
        <v>387.85</v>
      </c>
      <c r="N431" t="s">
        <v>22</v>
      </c>
    </row>
    <row r="432" spans="1:14" x14ac:dyDescent="0.25">
      <c r="A432" t="s">
        <v>135</v>
      </c>
      <c r="B432" t="s">
        <v>164</v>
      </c>
      <c r="C432" t="s">
        <v>50</v>
      </c>
      <c r="D432">
        <v>20080001</v>
      </c>
      <c r="E432" t="s">
        <v>136</v>
      </c>
      <c r="F432" s="1">
        <v>46114</v>
      </c>
      <c r="G432" t="s">
        <v>51</v>
      </c>
      <c r="H432" t="s">
        <v>19</v>
      </c>
      <c r="I432">
        <v>209.98</v>
      </c>
      <c r="J432">
        <v>3.9</v>
      </c>
      <c r="K432">
        <v>8.4</v>
      </c>
      <c r="L432">
        <v>38.700000000000003</v>
      </c>
      <c r="M432">
        <v>8127.09</v>
      </c>
      <c r="N432" t="s">
        <v>22</v>
      </c>
    </row>
    <row r="433" spans="1:14" x14ac:dyDescent="0.25">
      <c r="A433" t="s">
        <v>135</v>
      </c>
      <c r="B433" t="s">
        <v>137</v>
      </c>
      <c r="C433" t="s">
        <v>136</v>
      </c>
      <c r="D433">
        <v>20080034</v>
      </c>
      <c r="E433" t="s">
        <v>138</v>
      </c>
      <c r="F433" s="1">
        <v>46114</v>
      </c>
      <c r="G433" t="s">
        <v>51</v>
      </c>
      <c r="H433" t="s">
        <v>19</v>
      </c>
      <c r="I433">
        <v>27.24</v>
      </c>
      <c r="J433">
        <v>4.2</v>
      </c>
      <c r="K433">
        <v>8.4</v>
      </c>
      <c r="L433">
        <v>39.869999999999997</v>
      </c>
      <c r="M433">
        <v>1086.06</v>
      </c>
      <c r="N433" t="s">
        <v>20</v>
      </c>
    </row>
    <row r="434" spans="1:14" x14ac:dyDescent="0.25">
      <c r="A434" t="s">
        <v>135</v>
      </c>
      <c r="B434" t="s">
        <v>142</v>
      </c>
      <c r="C434" t="s">
        <v>143</v>
      </c>
      <c r="D434">
        <v>20080036</v>
      </c>
      <c r="E434" t="s">
        <v>146</v>
      </c>
      <c r="F434" s="1">
        <v>46114</v>
      </c>
      <c r="G434" t="s">
        <v>51</v>
      </c>
      <c r="H434" t="s">
        <v>19</v>
      </c>
      <c r="I434">
        <v>46.6</v>
      </c>
      <c r="J434">
        <v>3.8</v>
      </c>
      <c r="K434">
        <v>8.3000000000000007</v>
      </c>
      <c r="L434">
        <v>38.14</v>
      </c>
      <c r="M434">
        <v>1777.32</v>
      </c>
      <c r="N434" t="s">
        <v>20</v>
      </c>
    </row>
    <row r="435" spans="1:14" x14ac:dyDescent="0.25">
      <c r="A435" t="s">
        <v>135</v>
      </c>
      <c r="B435" t="s">
        <v>150</v>
      </c>
      <c r="C435" t="s">
        <v>151</v>
      </c>
      <c r="D435">
        <v>20080050</v>
      </c>
      <c r="E435" t="s">
        <v>159</v>
      </c>
      <c r="F435" s="1">
        <v>46114</v>
      </c>
      <c r="G435" t="s">
        <v>51</v>
      </c>
      <c r="H435" t="s">
        <v>19</v>
      </c>
      <c r="I435">
        <v>3.16</v>
      </c>
      <c r="J435">
        <v>4.7</v>
      </c>
      <c r="K435">
        <v>8.1999999999999993</v>
      </c>
      <c r="L435">
        <v>40.75</v>
      </c>
      <c r="M435">
        <v>128.77000000000001</v>
      </c>
      <c r="N435" t="s">
        <v>20</v>
      </c>
    </row>
    <row r="436" spans="1:14" x14ac:dyDescent="0.25">
      <c r="A436" t="s">
        <v>166</v>
      </c>
      <c r="B436" t="s">
        <v>168</v>
      </c>
      <c r="C436" t="s">
        <v>169</v>
      </c>
      <c r="D436">
        <v>20090014</v>
      </c>
      <c r="E436" t="s">
        <v>170</v>
      </c>
      <c r="F436" s="1">
        <v>46113</v>
      </c>
      <c r="G436" t="s">
        <v>18</v>
      </c>
      <c r="H436" t="s">
        <v>19</v>
      </c>
      <c r="I436">
        <v>111.31</v>
      </c>
      <c r="J436">
        <v>3.8</v>
      </c>
      <c r="K436">
        <v>8.4</v>
      </c>
      <c r="L436">
        <v>38.39</v>
      </c>
      <c r="M436">
        <v>4273.1899999999996</v>
      </c>
      <c r="N436" t="s">
        <v>22</v>
      </c>
    </row>
    <row r="437" spans="1:14" x14ac:dyDescent="0.25">
      <c r="A437" t="s">
        <v>166</v>
      </c>
      <c r="B437" t="s">
        <v>168</v>
      </c>
      <c r="C437" t="s">
        <v>169</v>
      </c>
      <c r="D437">
        <v>20090015</v>
      </c>
      <c r="E437" t="s">
        <v>171</v>
      </c>
      <c r="F437" s="1">
        <v>46113</v>
      </c>
      <c r="G437" t="s">
        <v>18</v>
      </c>
      <c r="H437" t="s">
        <v>19</v>
      </c>
      <c r="I437">
        <v>41.9</v>
      </c>
      <c r="J437">
        <v>4.3</v>
      </c>
      <c r="K437">
        <v>8.4</v>
      </c>
      <c r="L437">
        <v>40.24</v>
      </c>
      <c r="M437">
        <v>1686.06</v>
      </c>
      <c r="N437" t="s">
        <v>22</v>
      </c>
    </row>
    <row r="438" spans="1:14" x14ac:dyDescent="0.25">
      <c r="A438" t="s">
        <v>166</v>
      </c>
      <c r="B438" t="s">
        <v>168</v>
      </c>
      <c r="C438" t="s">
        <v>169</v>
      </c>
      <c r="D438">
        <v>20090020</v>
      </c>
      <c r="E438" t="s">
        <v>172</v>
      </c>
      <c r="F438" s="1">
        <v>46113</v>
      </c>
      <c r="G438" t="s">
        <v>18</v>
      </c>
      <c r="H438" t="s">
        <v>19</v>
      </c>
      <c r="I438">
        <v>77.81</v>
      </c>
      <c r="J438">
        <v>3.8</v>
      </c>
      <c r="K438">
        <v>8.4</v>
      </c>
      <c r="L438">
        <v>38.39</v>
      </c>
      <c r="M438">
        <v>2987.13</v>
      </c>
      <c r="N438" t="s">
        <v>22</v>
      </c>
    </row>
    <row r="439" spans="1:14" x14ac:dyDescent="0.25">
      <c r="A439" t="s">
        <v>166</v>
      </c>
      <c r="B439" t="s">
        <v>168</v>
      </c>
      <c r="C439" t="s">
        <v>169</v>
      </c>
      <c r="D439">
        <v>20090011</v>
      </c>
      <c r="E439" t="s">
        <v>173</v>
      </c>
      <c r="F439" s="1">
        <v>46113</v>
      </c>
      <c r="G439" t="s">
        <v>18</v>
      </c>
      <c r="H439" t="s">
        <v>19</v>
      </c>
      <c r="I439">
        <v>48.13</v>
      </c>
      <c r="J439">
        <v>3.7</v>
      </c>
      <c r="K439">
        <v>8.1</v>
      </c>
      <c r="L439">
        <v>36.85</v>
      </c>
      <c r="M439">
        <v>1773.59</v>
      </c>
      <c r="N439" t="s">
        <v>22</v>
      </c>
    </row>
    <row r="440" spans="1:14" x14ac:dyDescent="0.25">
      <c r="A440" t="s">
        <v>166</v>
      </c>
      <c r="B440" t="s">
        <v>168</v>
      </c>
      <c r="C440" t="s">
        <v>169</v>
      </c>
      <c r="D440">
        <v>20090022</v>
      </c>
      <c r="E440" t="s">
        <v>174</v>
      </c>
      <c r="F440" s="1">
        <v>46113</v>
      </c>
      <c r="G440" t="s">
        <v>18</v>
      </c>
      <c r="H440" t="s">
        <v>19</v>
      </c>
      <c r="I440">
        <v>25.39</v>
      </c>
      <c r="J440">
        <v>3.4</v>
      </c>
      <c r="K440">
        <v>8.1999999999999993</v>
      </c>
      <c r="L440">
        <v>36</v>
      </c>
      <c r="M440">
        <v>914.04</v>
      </c>
      <c r="N440" t="s">
        <v>22</v>
      </c>
    </row>
    <row r="441" spans="1:14" x14ac:dyDescent="0.25">
      <c r="A441" t="s">
        <v>166</v>
      </c>
      <c r="B441" t="s">
        <v>168</v>
      </c>
      <c r="C441" t="s">
        <v>169</v>
      </c>
      <c r="D441">
        <v>20090013</v>
      </c>
      <c r="E441" t="s">
        <v>175</v>
      </c>
      <c r="F441" s="1">
        <v>46113</v>
      </c>
      <c r="G441" t="s">
        <v>18</v>
      </c>
      <c r="H441" t="s">
        <v>19</v>
      </c>
      <c r="I441">
        <v>62.1</v>
      </c>
      <c r="J441">
        <v>3.9</v>
      </c>
      <c r="K441">
        <v>8.3000000000000007</v>
      </c>
      <c r="L441">
        <v>38.51</v>
      </c>
      <c r="M441">
        <v>2391.4699999999998</v>
      </c>
      <c r="N441" t="s">
        <v>22</v>
      </c>
    </row>
    <row r="442" spans="1:14" x14ac:dyDescent="0.25">
      <c r="A442" t="s">
        <v>166</v>
      </c>
      <c r="B442" t="s">
        <v>168</v>
      </c>
      <c r="C442" t="s">
        <v>169</v>
      </c>
      <c r="D442">
        <v>20090023</v>
      </c>
      <c r="E442" t="s">
        <v>176</v>
      </c>
      <c r="F442" s="1">
        <v>46113</v>
      </c>
      <c r="G442" t="s">
        <v>18</v>
      </c>
      <c r="H442" t="s">
        <v>19</v>
      </c>
      <c r="I442">
        <v>101.64</v>
      </c>
      <c r="J442">
        <v>4</v>
      </c>
      <c r="K442">
        <v>8.5</v>
      </c>
      <c r="L442">
        <v>39.75</v>
      </c>
      <c r="M442">
        <v>4040.19</v>
      </c>
      <c r="N442" t="s">
        <v>22</v>
      </c>
    </row>
    <row r="443" spans="1:14" x14ac:dyDescent="0.25">
      <c r="A443" t="s">
        <v>166</v>
      </c>
      <c r="B443" t="s">
        <v>168</v>
      </c>
      <c r="C443" t="s">
        <v>169</v>
      </c>
      <c r="D443">
        <v>20090017</v>
      </c>
      <c r="E443" t="s">
        <v>177</v>
      </c>
      <c r="F443" s="1">
        <v>46113</v>
      </c>
      <c r="G443" t="s">
        <v>18</v>
      </c>
      <c r="H443" t="s">
        <v>19</v>
      </c>
      <c r="I443">
        <v>51.25</v>
      </c>
      <c r="J443">
        <v>4.4000000000000004</v>
      </c>
      <c r="K443">
        <v>8.3000000000000007</v>
      </c>
      <c r="L443">
        <v>40.36</v>
      </c>
      <c r="M443">
        <v>2068.4499999999998</v>
      </c>
      <c r="N443" t="s">
        <v>22</v>
      </c>
    </row>
    <row r="444" spans="1:14" x14ac:dyDescent="0.25">
      <c r="A444" t="s">
        <v>166</v>
      </c>
      <c r="B444" t="s">
        <v>168</v>
      </c>
      <c r="C444" t="s">
        <v>169</v>
      </c>
      <c r="D444">
        <v>20090010</v>
      </c>
      <c r="E444" t="s">
        <v>178</v>
      </c>
      <c r="F444" s="1">
        <v>46113</v>
      </c>
      <c r="G444" t="s">
        <v>18</v>
      </c>
      <c r="H444" t="s">
        <v>19</v>
      </c>
      <c r="I444">
        <v>37.82</v>
      </c>
      <c r="J444">
        <v>4</v>
      </c>
      <c r="K444">
        <v>8.1999999999999993</v>
      </c>
      <c r="L444">
        <v>38.19</v>
      </c>
      <c r="M444">
        <v>1444.35</v>
      </c>
      <c r="N444" t="s">
        <v>22</v>
      </c>
    </row>
    <row r="445" spans="1:14" x14ac:dyDescent="0.25">
      <c r="A445" t="s">
        <v>166</v>
      </c>
      <c r="B445" t="s">
        <v>168</v>
      </c>
      <c r="C445" t="s">
        <v>169</v>
      </c>
      <c r="D445">
        <v>20090006</v>
      </c>
      <c r="E445" t="s">
        <v>179</v>
      </c>
      <c r="F445" s="1">
        <v>46113</v>
      </c>
      <c r="G445" t="s">
        <v>18</v>
      </c>
      <c r="H445" t="s">
        <v>19</v>
      </c>
      <c r="I445">
        <v>27.12</v>
      </c>
      <c r="J445">
        <v>3.7</v>
      </c>
      <c r="K445">
        <v>8</v>
      </c>
      <c r="L445">
        <v>36.61</v>
      </c>
      <c r="M445">
        <v>992.86</v>
      </c>
      <c r="N445" t="s">
        <v>22</v>
      </c>
    </row>
    <row r="446" spans="1:14" x14ac:dyDescent="0.25">
      <c r="A446" t="s">
        <v>166</v>
      </c>
      <c r="B446" t="s">
        <v>168</v>
      </c>
      <c r="C446" t="s">
        <v>169</v>
      </c>
      <c r="D446">
        <v>20090012</v>
      </c>
      <c r="E446" t="s">
        <v>180</v>
      </c>
      <c r="F446" s="1">
        <v>46113</v>
      </c>
      <c r="G446" t="s">
        <v>18</v>
      </c>
      <c r="H446" t="s">
        <v>19</v>
      </c>
      <c r="I446">
        <v>16.47</v>
      </c>
      <c r="J446">
        <v>4.0999999999999996</v>
      </c>
      <c r="K446">
        <v>8.6</v>
      </c>
      <c r="L446">
        <v>40.380000000000003</v>
      </c>
      <c r="M446">
        <v>665.06</v>
      </c>
      <c r="N446" t="s">
        <v>22</v>
      </c>
    </row>
    <row r="447" spans="1:14" x14ac:dyDescent="0.25">
      <c r="A447" t="s">
        <v>166</v>
      </c>
      <c r="B447" t="s">
        <v>168</v>
      </c>
      <c r="C447" t="s">
        <v>169</v>
      </c>
      <c r="D447">
        <v>20090021</v>
      </c>
      <c r="E447" t="s">
        <v>181</v>
      </c>
      <c r="F447" s="1">
        <v>46113</v>
      </c>
      <c r="G447" t="s">
        <v>18</v>
      </c>
      <c r="H447" t="s">
        <v>19</v>
      </c>
      <c r="I447">
        <v>12.32</v>
      </c>
      <c r="J447">
        <v>4</v>
      </c>
      <c r="K447">
        <v>8.1999999999999993</v>
      </c>
      <c r="L447">
        <v>38.19</v>
      </c>
      <c r="M447">
        <v>470.5</v>
      </c>
      <c r="N447" t="s">
        <v>22</v>
      </c>
    </row>
    <row r="448" spans="1:14" x14ac:dyDescent="0.25">
      <c r="A448" t="s">
        <v>166</v>
      </c>
      <c r="B448" t="s">
        <v>168</v>
      </c>
      <c r="C448" t="s">
        <v>169</v>
      </c>
      <c r="D448">
        <v>20090019</v>
      </c>
      <c r="E448" t="s">
        <v>182</v>
      </c>
      <c r="F448" s="1">
        <v>46113</v>
      </c>
      <c r="G448" t="s">
        <v>18</v>
      </c>
      <c r="H448" t="s">
        <v>19</v>
      </c>
      <c r="I448">
        <v>5.33</v>
      </c>
      <c r="J448">
        <v>3.3</v>
      </c>
      <c r="K448">
        <v>8.5</v>
      </c>
      <c r="L448">
        <v>37.130000000000003</v>
      </c>
      <c r="M448">
        <v>197.9</v>
      </c>
      <c r="N448" t="s">
        <v>22</v>
      </c>
    </row>
    <row r="449" spans="1:14" x14ac:dyDescent="0.25">
      <c r="A449" t="s">
        <v>166</v>
      </c>
      <c r="B449" t="s">
        <v>168</v>
      </c>
      <c r="C449" t="s">
        <v>169</v>
      </c>
      <c r="D449">
        <v>20090018</v>
      </c>
      <c r="E449" t="s">
        <v>183</v>
      </c>
      <c r="F449" s="1">
        <v>46113</v>
      </c>
      <c r="G449" t="s">
        <v>18</v>
      </c>
      <c r="H449" t="s">
        <v>19</v>
      </c>
      <c r="I449">
        <v>14.39</v>
      </c>
      <c r="J449">
        <v>3.4</v>
      </c>
      <c r="K449">
        <v>8</v>
      </c>
      <c r="L449">
        <v>35.51</v>
      </c>
      <c r="M449">
        <v>510.99</v>
      </c>
      <c r="N449" t="s">
        <v>22</v>
      </c>
    </row>
    <row r="450" spans="1:14" x14ac:dyDescent="0.25">
      <c r="A450" t="s">
        <v>166</v>
      </c>
      <c r="B450" t="s">
        <v>184</v>
      </c>
      <c r="C450" t="s">
        <v>167</v>
      </c>
      <c r="D450">
        <v>20090002</v>
      </c>
      <c r="E450" t="s">
        <v>185</v>
      </c>
      <c r="F450" s="1">
        <v>46113</v>
      </c>
      <c r="G450" t="s">
        <v>18</v>
      </c>
      <c r="H450" t="s">
        <v>19</v>
      </c>
      <c r="I450">
        <v>28.89</v>
      </c>
      <c r="J450">
        <v>3.8</v>
      </c>
      <c r="K450">
        <v>8.3000000000000007</v>
      </c>
      <c r="L450">
        <v>38.14</v>
      </c>
      <c r="M450">
        <v>1101.8599999999999</v>
      </c>
      <c r="N450" t="s">
        <v>22</v>
      </c>
    </row>
    <row r="451" spans="1:14" x14ac:dyDescent="0.25">
      <c r="A451" t="s">
        <v>166</v>
      </c>
      <c r="B451" t="s">
        <v>184</v>
      </c>
      <c r="C451" t="s">
        <v>167</v>
      </c>
      <c r="D451">
        <v>20090025</v>
      </c>
      <c r="E451" t="s">
        <v>186</v>
      </c>
      <c r="F451" s="1">
        <v>46113</v>
      </c>
      <c r="G451" t="s">
        <v>18</v>
      </c>
      <c r="H451" t="s">
        <v>19</v>
      </c>
      <c r="I451">
        <v>51.56</v>
      </c>
      <c r="J451">
        <v>4.0999999999999996</v>
      </c>
      <c r="K451">
        <v>8.3000000000000007</v>
      </c>
      <c r="L451">
        <v>39.25</v>
      </c>
      <c r="M451">
        <v>2023.73</v>
      </c>
      <c r="N451" t="s">
        <v>22</v>
      </c>
    </row>
    <row r="452" spans="1:14" x14ac:dyDescent="0.25">
      <c r="A452" t="s">
        <v>166</v>
      </c>
      <c r="B452" t="s">
        <v>184</v>
      </c>
      <c r="C452" t="s">
        <v>167</v>
      </c>
      <c r="D452">
        <v>20090008</v>
      </c>
      <c r="E452" t="s">
        <v>187</v>
      </c>
      <c r="F452" s="1">
        <v>46113</v>
      </c>
      <c r="G452" t="s">
        <v>18</v>
      </c>
      <c r="H452" t="s">
        <v>19</v>
      </c>
      <c r="I452">
        <v>162.72</v>
      </c>
      <c r="J452">
        <v>4.4000000000000004</v>
      </c>
      <c r="K452">
        <v>8.5</v>
      </c>
      <c r="L452">
        <v>41.25</v>
      </c>
      <c r="M452">
        <v>6712.2</v>
      </c>
      <c r="N452" t="s">
        <v>22</v>
      </c>
    </row>
    <row r="453" spans="1:14" x14ac:dyDescent="0.25">
      <c r="A453" t="s">
        <v>166</v>
      </c>
      <c r="B453" t="s">
        <v>184</v>
      </c>
      <c r="C453" t="s">
        <v>167</v>
      </c>
      <c r="D453">
        <v>20010053</v>
      </c>
      <c r="E453" t="s">
        <v>188</v>
      </c>
      <c r="F453" s="1">
        <v>46113</v>
      </c>
      <c r="G453" t="s">
        <v>18</v>
      </c>
      <c r="H453" t="s">
        <v>19</v>
      </c>
      <c r="I453">
        <v>125.23</v>
      </c>
      <c r="J453">
        <v>3.9</v>
      </c>
      <c r="K453">
        <v>8.4</v>
      </c>
      <c r="L453">
        <v>38.76</v>
      </c>
      <c r="M453">
        <v>4853.91</v>
      </c>
      <c r="N453" t="s">
        <v>22</v>
      </c>
    </row>
    <row r="454" spans="1:14" x14ac:dyDescent="0.25">
      <c r="A454" t="s">
        <v>166</v>
      </c>
      <c r="B454" t="s">
        <v>184</v>
      </c>
      <c r="C454" t="s">
        <v>167</v>
      </c>
      <c r="D454">
        <v>20090004</v>
      </c>
      <c r="E454" t="s">
        <v>189</v>
      </c>
      <c r="F454" s="1">
        <v>46113</v>
      </c>
      <c r="G454" t="s">
        <v>18</v>
      </c>
      <c r="H454" t="s">
        <v>19</v>
      </c>
      <c r="I454">
        <v>73.260000000000005</v>
      </c>
      <c r="J454">
        <v>4</v>
      </c>
      <c r="K454">
        <v>8.5</v>
      </c>
      <c r="L454">
        <v>39.75</v>
      </c>
      <c r="M454">
        <v>2912.09</v>
      </c>
      <c r="N454" t="s">
        <v>22</v>
      </c>
    </row>
    <row r="455" spans="1:14" x14ac:dyDescent="0.25">
      <c r="A455" t="s">
        <v>166</v>
      </c>
      <c r="B455" t="s">
        <v>184</v>
      </c>
      <c r="C455" t="s">
        <v>167</v>
      </c>
      <c r="D455">
        <v>20010054</v>
      </c>
      <c r="E455" t="s">
        <v>190</v>
      </c>
      <c r="F455" s="1">
        <v>46113</v>
      </c>
      <c r="G455" t="s">
        <v>18</v>
      </c>
      <c r="H455" t="s">
        <v>19</v>
      </c>
      <c r="I455">
        <v>95.19</v>
      </c>
      <c r="J455">
        <v>3.9</v>
      </c>
      <c r="K455">
        <v>8.1999999999999993</v>
      </c>
      <c r="L455">
        <v>37.83</v>
      </c>
      <c r="M455">
        <v>3601.04</v>
      </c>
      <c r="N455" t="s">
        <v>22</v>
      </c>
    </row>
    <row r="456" spans="1:14" x14ac:dyDescent="0.25">
      <c r="A456" t="s">
        <v>166</v>
      </c>
      <c r="B456" t="s">
        <v>184</v>
      </c>
      <c r="C456" t="s">
        <v>167</v>
      </c>
      <c r="D456">
        <v>20090026</v>
      </c>
      <c r="E456" t="s">
        <v>191</v>
      </c>
      <c r="F456" s="1">
        <v>46113</v>
      </c>
      <c r="G456" t="s">
        <v>18</v>
      </c>
      <c r="H456" t="s">
        <v>19</v>
      </c>
      <c r="I456">
        <v>36.07</v>
      </c>
      <c r="J456">
        <v>4.2</v>
      </c>
      <c r="K456">
        <v>8.1</v>
      </c>
      <c r="L456">
        <v>38.68</v>
      </c>
      <c r="M456">
        <v>1395.19</v>
      </c>
      <c r="N456" t="s">
        <v>22</v>
      </c>
    </row>
    <row r="457" spans="1:14" x14ac:dyDescent="0.25">
      <c r="A457" t="s">
        <v>166</v>
      </c>
      <c r="B457" t="s">
        <v>184</v>
      </c>
      <c r="C457" t="s">
        <v>167</v>
      </c>
      <c r="D457">
        <v>20090001</v>
      </c>
      <c r="E457" t="s">
        <v>167</v>
      </c>
      <c r="F457" s="1">
        <v>46113</v>
      </c>
      <c r="G457" t="s">
        <v>18</v>
      </c>
      <c r="H457" t="s">
        <v>19</v>
      </c>
      <c r="I457">
        <v>60.37</v>
      </c>
      <c r="J457">
        <v>4.2</v>
      </c>
      <c r="K457">
        <v>8.6999999999999993</v>
      </c>
      <c r="L457">
        <v>40.950000000000003</v>
      </c>
      <c r="M457">
        <v>2472.21</v>
      </c>
      <c r="N457" t="s">
        <v>22</v>
      </c>
    </row>
    <row r="458" spans="1:14" x14ac:dyDescent="0.25">
      <c r="A458" t="s">
        <v>166</v>
      </c>
      <c r="B458" t="s">
        <v>184</v>
      </c>
      <c r="C458" t="s">
        <v>167</v>
      </c>
      <c r="D458">
        <v>20090001</v>
      </c>
      <c r="E458" t="s">
        <v>167</v>
      </c>
      <c r="F458" s="1">
        <v>46113</v>
      </c>
      <c r="G458" t="s">
        <v>18</v>
      </c>
      <c r="H458" t="s">
        <v>29</v>
      </c>
      <c r="I458">
        <v>2.13</v>
      </c>
      <c r="J458">
        <v>6.8</v>
      </c>
      <c r="K458">
        <v>8.5</v>
      </c>
      <c r="L458">
        <v>50.79</v>
      </c>
      <c r="M458">
        <v>108.18</v>
      </c>
      <c r="N458" t="s">
        <v>22</v>
      </c>
    </row>
    <row r="459" spans="1:14" x14ac:dyDescent="0.25">
      <c r="A459" t="s">
        <v>166</v>
      </c>
      <c r="B459" t="s">
        <v>168</v>
      </c>
      <c r="C459" t="s">
        <v>169</v>
      </c>
      <c r="D459">
        <v>20090015</v>
      </c>
      <c r="E459" t="s">
        <v>171</v>
      </c>
      <c r="F459" s="1">
        <v>46113</v>
      </c>
      <c r="G459" t="s">
        <v>51</v>
      </c>
      <c r="H459" t="s">
        <v>19</v>
      </c>
      <c r="I459">
        <v>22.75</v>
      </c>
      <c r="J459">
        <v>4.7</v>
      </c>
      <c r="K459">
        <v>8.5</v>
      </c>
      <c r="L459">
        <v>42.38</v>
      </c>
      <c r="M459">
        <v>964.15</v>
      </c>
      <c r="N459" t="s">
        <v>22</v>
      </c>
    </row>
    <row r="460" spans="1:14" x14ac:dyDescent="0.25">
      <c r="A460" t="s">
        <v>166</v>
      </c>
      <c r="B460" t="s">
        <v>184</v>
      </c>
      <c r="C460" t="s">
        <v>167</v>
      </c>
      <c r="D460">
        <v>20090008</v>
      </c>
      <c r="E460" t="s">
        <v>187</v>
      </c>
      <c r="F460" s="1">
        <v>46113</v>
      </c>
      <c r="G460" t="s">
        <v>51</v>
      </c>
      <c r="H460" t="s">
        <v>19</v>
      </c>
      <c r="I460">
        <v>94.44</v>
      </c>
      <c r="J460">
        <v>4.0999999999999996</v>
      </c>
      <c r="K460">
        <v>8.1999999999999993</v>
      </c>
      <c r="L460">
        <v>38.56</v>
      </c>
      <c r="M460">
        <v>3641.61</v>
      </c>
      <c r="N460" t="s">
        <v>22</v>
      </c>
    </row>
    <row r="461" spans="1:14" x14ac:dyDescent="0.25">
      <c r="A461" t="s">
        <v>166</v>
      </c>
      <c r="B461" t="s">
        <v>184</v>
      </c>
      <c r="C461" t="s">
        <v>167</v>
      </c>
      <c r="D461">
        <v>20010053</v>
      </c>
      <c r="E461" t="s">
        <v>188</v>
      </c>
      <c r="F461" s="1">
        <v>46113</v>
      </c>
      <c r="G461" t="s">
        <v>51</v>
      </c>
      <c r="H461" t="s">
        <v>19</v>
      </c>
      <c r="I461">
        <v>68.28</v>
      </c>
      <c r="J461">
        <v>3.4</v>
      </c>
      <c r="K461">
        <v>8.4</v>
      </c>
      <c r="L461">
        <v>36.909999999999997</v>
      </c>
      <c r="M461">
        <v>2520.21</v>
      </c>
      <c r="N461" t="s">
        <v>22</v>
      </c>
    </row>
    <row r="462" spans="1:14" x14ac:dyDescent="0.25">
      <c r="A462" t="s">
        <v>166</v>
      </c>
      <c r="B462" t="s">
        <v>184</v>
      </c>
      <c r="C462" t="s">
        <v>167</v>
      </c>
      <c r="D462">
        <v>20090002</v>
      </c>
      <c r="E462" t="s">
        <v>185</v>
      </c>
      <c r="F462" s="1">
        <v>46113</v>
      </c>
      <c r="G462" t="s">
        <v>51</v>
      </c>
      <c r="H462" t="s">
        <v>19</v>
      </c>
      <c r="I462">
        <v>20.059999999999999</v>
      </c>
      <c r="J462">
        <v>4.3</v>
      </c>
      <c r="K462">
        <v>8.1999999999999993</v>
      </c>
      <c r="L462">
        <v>39.29</v>
      </c>
      <c r="M462">
        <v>788.16</v>
      </c>
      <c r="N462" t="s">
        <v>22</v>
      </c>
    </row>
    <row r="463" spans="1:14" x14ac:dyDescent="0.25">
      <c r="A463" t="s">
        <v>166</v>
      </c>
      <c r="B463" t="s">
        <v>184</v>
      </c>
      <c r="C463" t="s">
        <v>167</v>
      </c>
      <c r="D463">
        <v>20010054</v>
      </c>
      <c r="E463" t="s">
        <v>190</v>
      </c>
      <c r="F463" s="1">
        <v>46113</v>
      </c>
      <c r="G463" t="s">
        <v>51</v>
      </c>
      <c r="H463" t="s">
        <v>19</v>
      </c>
      <c r="I463">
        <v>47.39</v>
      </c>
      <c r="J463">
        <v>3.5</v>
      </c>
      <c r="K463">
        <v>8.1999999999999993</v>
      </c>
      <c r="L463">
        <v>36.369999999999997</v>
      </c>
      <c r="M463">
        <v>1723.57</v>
      </c>
      <c r="N463" t="s">
        <v>22</v>
      </c>
    </row>
    <row r="464" spans="1:14" x14ac:dyDescent="0.25">
      <c r="A464" t="s">
        <v>166</v>
      </c>
      <c r="B464" t="s">
        <v>184</v>
      </c>
      <c r="C464" t="s">
        <v>167</v>
      </c>
      <c r="D464">
        <v>20090004</v>
      </c>
      <c r="E464" t="s">
        <v>189</v>
      </c>
      <c r="F464" s="1">
        <v>46113</v>
      </c>
      <c r="G464" t="s">
        <v>51</v>
      </c>
      <c r="H464" t="s">
        <v>19</v>
      </c>
      <c r="I464">
        <v>18.190000000000001</v>
      </c>
      <c r="J464">
        <v>4.5</v>
      </c>
      <c r="K464">
        <v>8.6999999999999993</v>
      </c>
      <c r="L464">
        <v>42.13</v>
      </c>
      <c r="M464">
        <v>766.34</v>
      </c>
      <c r="N464" t="s">
        <v>22</v>
      </c>
    </row>
    <row r="465" spans="1:14" x14ac:dyDescent="0.25">
      <c r="A465" t="s">
        <v>166</v>
      </c>
      <c r="B465" t="s">
        <v>184</v>
      </c>
      <c r="C465" t="s">
        <v>167</v>
      </c>
      <c r="D465">
        <v>20090026</v>
      </c>
      <c r="E465" t="s">
        <v>191</v>
      </c>
      <c r="F465" s="1">
        <v>46113</v>
      </c>
      <c r="G465" t="s">
        <v>51</v>
      </c>
      <c r="H465" t="s">
        <v>19</v>
      </c>
      <c r="I465">
        <v>16.62</v>
      </c>
      <c r="J465">
        <v>3.8</v>
      </c>
      <c r="K465">
        <v>8.1999999999999993</v>
      </c>
      <c r="L465">
        <v>37.46</v>
      </c>
      <c r="M465">
        <v>622.59</v>
      </c>
      <c r="N465" t="s">
        <v>22</v>
      </c>
    </row>
    <row r="466" spans="1:14" x14ac:dyDescent="0.25">
      <c r="A466" t="s">
        <v>166</v>
      </c>
      <c r="B466" t="s">
        <v>168</v>
      </c>
      <c r="C466" t="s">
        <v>169</v>
      </c>
      <c r="D466">
        <v>20090014</v>
      </c>
      <c r="E466" t="s">
        <v>170</v>
      </c>
      <c r="F466" s="1">
        <v>46113</v>
      </c>
      <c r="G466" t="s">
        <v>51</v>
      </c>
      <c r="H466" t="s">
        <v>19</v>
      </c>
      <c r="I466">
        <v>108.04</v>
      </c>
      <c r="J466">
        <v>3.8</v>
      </c>
      <c r="K466">
        <v>8</v>
      </c>
      <c r="L466">
        <v>36.97</v>
      </c>
      <c r="M466">
        <v>3994.24</v>
      </c>
      <c r="N466" t="s">
        <v>22</v>
      </c>
    </row>
    <row r="467" spans="1:14" x14ac:dyDescent="0.25">
      <c r="A467" t="s">
        <v>166</v>
      </c>
      <c r="B467" t="s">
        <v>168</v>
      </c>
      <c r="C467" t="s">
        <v>169</v>
      </c>
      <c r="D467">
        <v>20090020</v>
      </c>
      <c r="E467" t="s">
        <v>172</v>
      </c>
      <c r="F467" s="1">
        <v>46113</v>
      </c>
      <c r="G467" t="s">
        <v>51</v>
      </c>
      <c r="H467" t="s">
        <v>19</v>
      </c>
      <c r="I467">
        <v>51.71</v>
      </c>
      <c r="J467">
        <v>3.9</v>
      </c>
      <c r="K467">
        <v>8.4</v>
      </c>
      <c r="L467">
        <v>38.76</v>
      </c>
      <c r="M467">
        <v>2004.28</v>
      </c>
      <c r="N467" t="s">
        <v>22</v>
      </c>
    </row>
    <row r="468" spans="1:14" x14ac:dyDescent="0.25">
      <c r="A468" t="s">
        <v>166</v>
      </c>
      <c r="B468" t="s">
        <v>168</v>
      </c>
      <c r="C468" t="s">
        <v>169</v>
      </c>
      <c r="D468">
        <v>20090012</v>
      </c>
      <c r="E468" t="s">
        <v>180</v>
      </c>
      <c r="F468" s="1">
        <v>46113</v>
      </c>
      <c r="G468" t="s">
        <v>51</v>
      </c>
      <c r="H468" t="s">
        <v>19</v>
      </c>
      <c r="I468">
        <v>16.45</v>
      </c>
      <c r="J468">
        <v>4.7</v>
      </c>
      <c r="K468">
        <v>8.5</v>
      </c>
      <c r="L468">
        <v>42.38</v>
      </c>
      <c r="M468">
        <v>697.15</v>
      </c>
      <c r="N468" t="s">
        <v>22</v>
      </c>
    </row>
    <row r="469" spans="1:14" x14ac:dyDescent="0.25">
      <c r="A469" t="s">
        <v>166</v>
      </c>
      <c r="B469" t="s">
        <v>168</v>
      </c>
      <c r="C469" t="s">
        <v>169</v>
      </c>
      <c r="D469">
        <v>20090023</v>
      </c>
      <c r="E469" t="s">
        <v>176</v>
      </c>
      <c r="F469" s="1">
        <v>46113</v>
      </c>
      <c r="G469" t="s">
        <v>51</v>
      </c>
      <c r="H469" t="s">
        <v>19</v>
      </c>
      <c r="I469">
        <v>57.17</v>
      </c>
      <c r="J469">
        <v>4.7</v>
      </c>
      <c r="K469">
        <v>8.5</v>
      </c>
      <c r="L469">
        <v>42.38</v>
      </c>
      <c r="M469">
        <v>2422.86</v>
      </c>
      <c r="N469" t="s">
        <v>22</v>
      </c>
    </row>
    <row r="470" spans="1:14" x14ac:dyDescent="0.25">
      <c r="A470" t="s">
        <v>166</v>
      </c>
      <c r="B470" t="s">
        <v>168</v>
      </c>
      <c r="C470" t="s">
        <v>169</v>
      </c>
      <c r="D470">
        <v>20090011</v>
      </c>
      <c r="E470" t="s">
        <v>173</v>
      </c>
      <c r="F470" s="1">
        <v>46113</v>
      </c>
      <c r="G470" t="s">
        <v>51</v>
      </c>
      <c r="H470" t="s">
        <v>19</v>
      </c>
      <c r="I470">
        <v>39.75</v>
      </c>
      <c r="J470">
        <v>3.7</v>
      </c>
      <c r="K470">
        <v>8</v>
      </c>
      <c r="L470">
        <v>36.61</v>
      </c>
      <c r="M470">
        <v>1455.25</v>
      </c>
      <c r="N470" t="s">
        <v>22</v>
      </c>
    </row>
    <row r="471" spans="1:14" x14ac:dyDescent="0.25">
      <c r="A471" t="s">
        <v>166</v>
      </c>
      <c r="B471" t="s">
        <v>168</v>
      </c>
      <c r="C471" t="s">
        <v>169</v>
      </c>
      <c r="D471">
        <v>20090022</v>
      </c>
      <c r="E471" t="s">
        <v>174</v>
      </c>
      <c r="F471" s="1">
        <v>46113</v>
      </c>
      <c r="G471" t="s">
        <v>51</v>
      </c>
      <c r="H471" t="s">
        <v>19</v>
      </c>
      <c r="I471">
        <v>24.79</v>
      </c>
      <c r="J471">
        <v>3.7</v>
      </c>
      <c r="K471">
        <v>7.9</v>
      </c>
      <c r="L471">
        <v>34.81</v>
      </c>
      <c r="M471">
        <v>862.94</v>
      </c>
      <c r="N471" t="s">
        <v>22</v>
      </c>
    </row>
    <row r="472" spans="1:14" x14ac:dyDescent="0.25">
      <c r="A472" t="s">
        <v>166</v>
      </c>
      <c r="B472" t="s">
        <v>168</v>
      </c>
      <c r="C472" t="s">
        <v>169</v>
      </c>
      <c r="D472">
        <v>20090017</v>
      </c>
      <c r="E472" t="s">
        <v>177</v>
      </c>
      <c r="F472" s="1">
        <v>46113</v>
      </c>
      <c r="G472" t="s">
        <v>51</v>
      </c>
      <c r="H472" t="s">
        <v>19</v>
      </c>
      <c r="I472">
        <v>23.22</v>
      </c>
      <c r="J472">
        <v>4.3</v>
      </c>
      <c r="K472">
        <v>8.1</v>
      </c>
      <c r="L472">
        <v>39.04</v>
      </c>
      <c r="M472">
        <v>906.51</v>
      </c>
      <c r="N472" t="s">
        <v>22</v>
      </c>
    </row>
    <row r="473" spans="1:14" x14ac:dyDescent="0.25">
      <c r="A473" t="s">
        <v>166</v>
      </c>
      <c r="B473" t="s">
        <v>168</v>
      </c>
      <c r="C473" t="s">
        <v>169</v>
      </c>
      <c r="D473">
        <v>20090013</v>
      </c>
      <c r="E473" t="s">
        <v>175</v>
      </c>
      <c r="F473" s="1">
        <v>46113</v>
      </c>
      <c r="G473" t="s">
        <v>51</v>
      </c>
      <c r="H473" t="s">
        <v>19</v>
      </c>
      <c r="I473">
        <v>37.69</v>
      </c>
      <c r="J473">
        <v>4.2</v>
      </c>
      <c r="K473">
        <v>8.1</v>
      </c>
      <c r="L473">
        <v>38.68</v>
      </c>
      <c r="M473">
        <v>1457.85</v>
      </c>
      <c r="N473" t="s">
        <v>22</v>
      </c>
    </row>
    <row r="474" spans="1:14" x14ac:dyDescent="0.25">
      <c r="A474" t="s">
        <v>166</v>
      </c>
      <c r="B474" t="s">
        <v>168</v>
      </c>
      <c r="C474" t="s">
        <v>169</v>
      </c>
      <c r="D474">
        <v>20090010</v>
      </c>
      <c r="E474" t="s">
        <v>178</v>
      </c>
      <c r="F474" s="1">
        <v>46113</v>
      </c>
      <c r="G474" t="s">
        <v>51</v>
      </c>
      <c r="H474" t="s">
        <v>19</v>
      </c>
      <c r="I474">
        <v>21.66</v>
      </c>
      <c r="J474">
        <v>3.9</v>
      </c>
      <c r="K474">
        <v>8.3000000000000007</v>
      </c>
      <c r="L474">
        <v>38.51</v>
      </c>
      <c r="M474">
        <v>834.13</v>
      </c>
      <c r="N474" t="s">
        <v>22</v>
      </c>
    </row>
    <row r="475" spans="1:14" x14ac:dyDescent="0.25">
      <c r="A475" t="s">
        <v>166</v>
      </c>
      <c r="B475" t="s">
        <v>168</v>
      </c>
      <c r="C475" t="s">
        <v>169</v>
      </c>
      <c r="D475">
        <v>20090006</v>
      </c>
      <c r="E475" t="s">
        <v>179</v>
      </c>
      <c r="F475" s="1">
        <v>46113</v>
      </c>
      <c r="G475" t="s">
        <v>51</v>
      </c>
      <c r="H475" t="s">
        <v>19</v>
      </c>
      <c r="I475">
        <v>23.49</v>
      </c>
      <c r="J475">
        <v>3.9</v>
      </c>
      <c r="K475">
        <v>8.3000000000000007</v>
      </c>
      <c r="L475">
        <v>38.51</v>
      </c>
      <c r="M475">
        <v>904.6</v>
      </c>
      <c r="N475" t="s">
        <v>22</v>
      </c>
    </row>
    <row r="476" spans="1:14" x14ac:dyDescent="0.25">
      <c r="A476" t="s">
        <v>166</v>
      </c>
      <c r="B476" t="s">
        <v>168</v>
      </c>
      <c r="C476" t="s">
        <v>169</v>
      </c>
      <c r="D476">
        <v>20090019</v>
      </c>
      <c r="E476" t="s">
        <v>182</v>
      </c>
      <c r="F476" s="1">
        <v>46113</v>
      </c>
      <c r="G476" t="s">
        <v>51</v>
      </c>
      <c r="H476" t="s">
        <v>19</v>
      </c>
      <c r="I476">
        <v>2.2999999999999998</v>
      </c>
      <c r="J476">
        <v>3.8</v>
      </c>
      <c r="K476">
        <v>7.9</v>
      </c>
      <c r="L476">
        <v>35.159999999999997</v>
      </c>
      <c r="M476">
        <v>80.87</v>
      </c>
      <c r="N476" t="s">
        <v>22</v>
      </c>
    </row>
    <row r="477" spans="1:14" x14ac:dyDescent="0.25">
      <c r="A477" t="s">
        <v>166</v>
      </c>
      <c r="B477" t="s">
        <v>168</v>
      </c>
      <c r="C477" t="s">
        <v>169</v>
      </c>
      <c r="D477">
        <v>20090018</v>
      </c>
      <c r="E477" t="s">
        <v>183</v>
      </c>
      <c r="F477" s="1">
        <v>46113</v>
      </c>
      <c r="G477" t="s">
        <v>51</v>
      </c>
      <c r="H477" t="s">
        <v>19</v>
      </c>
      <c r="I477">
        <v>10.07</v>
      </c>
      <c r="J477">
        <v>3.8</v>
      </c>
      <c r="K477">
        <v>7.9</v>
      </c>
      <c r="L477">
        <v>35.159999999999997</v>
      </c>
      <c r="M477">
        <v>354.06</v>
      </c>
      <c r="N477" t="s">
        <v>22</v>
      </c>
    </row>
    <row r="478" spans="1:14" x14ac:dyDescent="0.25">
      <c r="A478" t="s">
        <v>166</v>
      </c>
      <c r="B478" t="s">
        <v>168</v>
      </c>
      <c r="C478" t="s">
        <v>169</v>
      </c>
      <c r="D478">
        <v>20090021</v>
      </c>
      <c r="E478" t="s">
        <v>181</v>
      </c>
      <c r="F478" s="1">
        <v>46113</v>
      </c>
      <c r="G478" t="s">
        <v>51</v>
      </c>
      <c r="H478" t="s">
        <v>19</v>
      </c>
      <c r="I478">
        <v>7.86</v>
      </c>
      <c r="J478">
        <v>4.3</v>
      </c>
      <c r="K478">
        <v>8.5</v>
      </c>
      <c r="L478">
        <v>40.880000000000003</v>
      </c>
      <c r="M478">
        <v>321.32</v>
      </c>
      <c r="N478" t="s">
        <v>22</v>
      </c>
    </row>
    <row r="479" spans="1:14" x14ac:dyDescent="0.25">
      <c r="A479" t="s">
        <v>166</v>
      </c>
      <c r="B479" t="s">
        <v>184</v>
      </c>
      <c r="C479" t="s">
        <v>167</v>
      </c>
      <c r="D479">
        <v>20090001</v>
      </c>
      <c r="E479" t="s">
        <v>167</v>
      </c>
      <c r="F479" s="1">
        <v>46113</v>
      </c>
      <c r="G479" t="s">
        <v>51</v>
      </c>
      <c r="H479" t="s">
        <v>19</v>
      </c>
      <c r="I479">
        <v>39.29</v>
      </c>
      <c r="J479">
        <v>4.3</v>
      </c>
      <c r="K479">
        <v>8.6</v>
      </c>
      <c r="L479">
        <v>41.08</v>
      </c>
      <c r="M479">
        <v>1613.95</v>
      </c>
      <c r="N479" t="s">
        <v>22</v>
      </c>
    </row>
    <row r="480" spans="1:14" x14ac:dyDescent="0.25">
      <c r="A480" t="s">
        <v>166</v>
      </c>
      <c r="B480" t="s">
        <v>168</v>
      </c>
      <c r="C480" t="s">
        <v>169</v>
      </c>
      <c r="D480">
        <v>20090015</v>
      </c>
      <c r="E480" t="s">
        <v>171</v>
      </c>
      <c r="F480" s="1">
        <v>46114</v>
      </c>
      <c r="G480" t="s">
        <v>18</v>
      </c>
      <c r="H480" t="s">
        <v>19</v>
      </c>
      <c r="I480">
        <v>54.79</v>
      </c>
      <c r="J480">
        <v>4.3</v>
      </c>
      <c r="K480">
        <v>8.4</v>
      </c>
      <c r="L480">
        <v>40.24</v>
      </c>
      <c r="M480">
        <v>2204.75</v>
      </c>
      <c r="N480" t="s">
        <v>22</v>
      </c>
    </row>
    <row r="481" spans="1:14" x14ac:dyDescent="0.25">
      <c r="A481" t="s">
        <v>166</v>
      </c>
      <c r="B481" t="s">
        <v>168</v>
      </c>
      <c r="C481" t="s">
        <v>169</v>
      </c>
      <c r="D481">
        <v>20090020</v>
      </c>
      <c r="E481" t="s">
        <v>172</v>
      </c>
      <c r="F481" s="1">
        <v>46114</v>
      </c>
      <c r="G481" t="s">
        <v>18</v>
      </c>
      <c r="H481" t="s">
        <v>19</v>
      </c>
      <c r="I481">
        <v>61.02</v>
      </c>
      <c r="J481">
        <v>3.7</v>
      </c>
      <c r="K481">
        <v>8.4</v>
      </c>
      <c r="L481">
        <v>38.020000000000003</v>
      </c>
      <c r="M481">
        <v>2319.98</v>
      </c>
      <c r="N481" t="s">
        <v>22</v>
      </c>
    </row>
    <row r="482" spans="1:14" x14ac:dyDescent="0.25">
      <c r="A482" t="s">
        <v>166</v>
      </c>
      <c r="B482" t="s">
        <v>168</v>
      </c>
      <c r="C482" t="s">
        <v>169</v>
      </c>
      <c r="D482">
        <v>20090022</v>
      </c>
      <c r="E482" t="s">
        <v>174</v>
      </c>
      <c r="F482" s="1">
        <v>46114</v>
      </c>
      <c r="G482" t="s">
        <v>18</v>
      </c>
      <c r="H482" t="s">
        <v>19</v>
      </c>
      <c r="I482">
        <v>31.76</v>
      </c>
      <c r="J482">
        <v>3.5</v>
      </c>
      <c r="K482">
        <v>8.1</v>
      </c>
      <c r="L482">
        <v>36.119999999999997</v>
      </c>
      <c r="M482">
        <v>1147.17</v>
      </c>
      <c r="N482" t="s">
        <v>22</v>
      </c>
    </row>
    <row r="483" spans="1:14" x14ac:dyDescent="0.25">
      <c r="A483" t="s">
        <v>166</v>
      </c>
      <c r="B483" t="s">
        <v>168</v>
      </c>
      <c r="C483" t="s">
        <v>169</v>
      </c>
      <c r="D483">
        <v>20090014</v>
      </c>
      <c r="E483" t="s">
        <v>170</v>
      </c>
      <c r="F483" s="1">
        <v>46114</v>
      </c>
      <c r="G483" t="s">
        <v>18</v>
      </c>
      <c r="H483" t="s">
        <v>19</v>
      </c>
      <c r="I483">
        <v>109.26</v>
      </c>
      <c r="J483">
        <v>4</v>
      </c>
      <c r="K483">
        <v>8.4</v>
      </c>
      <c r="L483">
        <v>39.130000000000003</v>
      </c>
      <c r="M483">
        <v>4275.34</v>
      </c>
      <c r="N483" t="s">
        <v>22</v>
      </c>
    </row>
    <row r="484" spans="1:14" x14ac:dyDescent="0.25">
      <c r="A484" t="s">
        <v>166</v>
      </c>
      <c r="B484" t="s">
        <v>168</v>
      </c>
      <c r="C484" t="s">
        <v>169</v>
      </c>
      <c r="D484">
        <v>20090013</v>
      </c>
      <c r="E484" t="s">
        <v>175</v>
      </c>
      <c r="F484" s="1">
        <v>46114</v>
      </c>
      <c r="G484" t="s">
        <v>18</v>
      </c>
      <c r="H484" t="s">
        <v>19</v>
      </c>
      <c r="I484">
        <v>59.53</v>
      </c>
      <c r="J484">
        <v>3.9</v>
      </c>
      <c r="K484">
        <v>8.3000000000000007</v>
      </c>
      <c r="L484">
        <v>38.51</v>
      </c>
      <c r="M484">
        <v>2292.5</v>
      </c>
      <c r="N484" t="s">
        <v>22</v>
      </c>
    </row>
    <row r="485" spans="1:14" x14ac:dyDescent="0.25">
      <c r="A485" t="s">
        <v>166</v>
      </c>
      <c r="B485" t="s">
        <v>168</v>
      </c>
      <c r="C485" t="s">
        <v>169</v>
      </c>
      <c r="D485">
        <v>20090011</v>
      </c>
      <c r="E485" t="s">
        <v>173</v>
      </c>
      <c r="F485" s="1">
        <v>46114</v>
      </c>
      <c r="G485" t="s">
        <v>18</v>
      </c>
      <c r="H485" t="s">
        <v>19</v>
      </c>
      <c r="I485">
        <v>55.46</v>
      </c>
      <c r="J485">
        <v>3.8</v>
      </c>
      <c r="K485">
        <v>8.3000000000000007</v>
      </c>
      <c r="L485">
        <v>38.14</v>
      </c>
      <c r="M485">
        <v>2115.2399999999998</v>
      </c>
      <c r="N485" t="s">
        <v>22</v>
      </c>
    </row>
    <row r="486" spans="1:14" x14ac:dyDescent="0.25">
      <c r="A486" t="s">
        <v>166</v>
      </c>
      <c r="B486" t="s">
        <v>168</v>
      </c>
      <c r="C486" t="s">
        <v>169</v>
      </c>
      <c r="D486">
        <v>20090017</v>
      </c>
      <c r="E486" t="s">
        <v>177</v>
      </c>
      <c r="F486" s="1">
        <v>46114</v>
      </c>
      <c r="G486" t="s">
        <v>18</v>
      </c>
      <c r="H486" t="s">
        <v>19</v>
      </c>
      <c r="I486">
        <v>50.68</v>
      </c>
      <c r="J486">
        <v>4.2</v>
      </c>
      <c r="K486">
        <v>8.3000000000000007</v>
      </c>
      <c r="L486">
        <v>39.619999999999997</v>
      </c>
      <c r="M486">
        <v>2007.94</v>
      </c>
      <c r="N486" t="s">
        <v>22</v>
      </c>
    </row>
    <row r="487" spans="1:14" x14ac:dyDescent="0.25">
      <c r="A487" t="s">
        <v>166</v>
      </c>
      <c r="B487" t="s">
        <v>168</v>
      </c>
      <c r="C487" t="s">
        <v>169</v>
      </c>
      <c r="D487">
        <v>20090023</v>
      </c>
      <c r="E487" t="s">
        <v>176</v>
      </c>
      <c r="F487" s="1">
        <v>46114</v>
      </c>
      <c r="G487" t="s">
        <v>18</v>
      </c>
      <c r="H487" t="s">
        <v>19</v>
      </c>
      <c r="I487">
        <v>98.11</v>
      </c>
      <c r="J487">
        <v>4.2</v>
      </c>
      <c r="K487">
        <v>8.6999999999999993</v>
      </c>
      <c r="L487">
        <v>41</v>
      </c>
      <c r="M487">
        <v>4022.51</v>
      </c>
      <c r="N487" t="s">
        <v>22</v>
      </c>
    </row>
    <row r="488" spans="1:14" x14ac:dyDescent="0.25">
      <c r="A488" t="s">
        <v>166</v>
      </c>
      <c r="B488" t="s">
        <v>168</v>
      </c>
      <c r="C488" t="s">
        <v>169</v>
      </c>
      <c r="D488">
        <v>20090012</v>
      </c>
      <c r="E488" t="s">
        <v>180</v>
      </c>
      <c r="F488" s="1">
        <v>46114</v>
      </c>
      <c r="G488" t="s">
        <v>18</v>
      </c>
      <c r="H488" t="s">
        <v>19</v>
      </c>
      <c r="I488">
        <v>17.55</v>
      </c>
      <c r="J488">
        <v>4.2</v>
      </c>
      <c r="K488">
        <v>8.6999999999999993</v>
      </c>
      <c r="L488">
        <v>41</v>
      </c>
      <c r="M488">
        <v>719.55</v>
      </c>
      <c r="N488" t="s">
        <v>22</v>
      </c>
    </row>
    <row r="489" spans="1:14" x14ac:dyDescent="0.25">
      <c r="A489" t="s">
        <v>166</v>
      </c>
      <c r="B489" t="s">
        <v>168</v>
      </c>
      <c r="C489" t="s">
        <v>169</v>
      </c>
      <c r="D489">
        <v>20090010</v>
      </c>
      <c r="E489" t="s">
        <v>178</v>
      </c>
      <c r="F489" s="1">
        <v>46114</v>
      </c>
      <c r="G489" t="s">
        <v>18</v>
      </c>
      <c r="H489" t="s">
        <v>19</v>
      </c>
      <c r="I489">
        <v>39.19</v>
      </c>
      <c r="J489">
        <v>4.0999999999999996</v>
      </c>
      <c r="K489">
        <v>8.5</v>
      </c>
      <c r="L489">
        <v>40.130000000000003</v>
      </c>
      <c r="M489">
        <v>1572.69</v>
      </c>
      <c r="N489" t="s">
        <v>22</v>
      </c>
    </row>
    <row r="490" spans="1:14" x14ac:dyDescent="0.25">
      <c r="A490" t="s">
        <v>166</v>
      </c>
      <c r="B490" t="s">
        <v>168</v>
      </c>
      <c r="C490" t="s">
        <v>169</v>
      </c>
      <c r="D490">
        <v>20090006</v>
      </c>
      <c r="E490" t="s">
        <v>179</v>
      </c>
      <c r="F490" s="1">
        <v>46114</v>
      </c>
      <c r="G490" t="s">
        <v>18</v>
      </c>
      <c r="H490" t="s">
        <v>19</v>
      </c>
      <c r="I490">
        <v>26.14</v>
      </c>
      <c r="J490">
        <v>3.9</v>
      </c>
      <c r="K490">
        <v>8.1</v>
      </c>
      <c r="L490">
        <v>37.58</v>
      </c>
      <c r="M490">
        <v>982.34</v>
      </c>
      <c r="N490" t="s">
        <v>22</v>
      </c>
    </row>
    <row r="491" spans="1:14" x14ac:dyDescent="0.25">
      <c r="A491" t="s">
        <v>166</v>
      </c>
      <c r="B491" t="s">
        <v>168</v>
      </c>
      <c r="C491" t="s">
        <v>169</v>
      </c>
      <c r="D491">
        <v>20090021</v>
      </c>
      <c r="E491" t="s">
        <v>181</v>
      </c>
      <c r="F491" s="1">
        <v>46114</v>
      </c>
      <c r="G491" t="s">
        <v>18</v>
      </c>
      <c r="H491" t="s">
        <v>19</v>
      </c>
      <c r="I491">
        <v>11.01</v>
      </c>
      <c r="J491">
        <v>3.9</v>
      </c>
      <c r="K491">
        <v>8.4</v>
      </c>
      <c r="L491">
        <v>38.76</v>
      </c>
      <c r="M491">
        <v>426.75</v>
      </c>
      <c r="N491" t="s">
        <v>22</v>
      </c>
    </row>
    <row r="492" spans="1:14" x14ac:dyDescent="0.25">
      <c r="A492" t="s">
        <v>166</v>
      </c>
      <c r="B492" t="s">
        <v>168</v>
      </c>
      <c r="C492" t="s">
        <v>169</v>
      </c>
      <c r="D492">
        <v>20090018</v>
      </c>
      <c r="E492" t="s">
        <v>183</v>
      </c>
      <c r="F492" s="1">
        <v>46114</v>
      </c>
      <c r="G492" t="s">
        <v>18</v>
      </c>
      <c r="H492" t="s">
        <v>19</v>
      </c>
      <c r="I492">
        <v>14.13</v>
      </c>
      <c r="J492">
        <v>3.1</v>
      </c>
      <c r="K492">
        <v>8.1999999999999993</v>
      </c>
      <c r="L492">
        <v>34.909999999999997</v>
      </c>
      <c r="M492">
        <v>493.28</v>
      </c>
      <c r="N492" t="s">
        <v>22</v>
      </c>
    </row>
    <row r="493" spans="1:14" x14ac:dyDescent="0.25">
      <c r="A493" t="s">
        <v>166</v>
      </c>
      <c r="B493" t="s">
        <v>168</v>
      </c>
      <c r="C493" t="s">
        <v>169</v>
      </c>
      <c r="D493">
        <v>20090019</v>
      </c>
      <c r="E493" t="s">
        <v>182</v>
      </c>
      <c r="F493" s="1">
        <v>46114</v>
      </c>
      <c r="G493" t="s">
        <v>18</v>
      </c>
      <c r="H493" t="s">
        <v>19</v>
      </c>
      <c r="I493">
        <v>8.19</v>
      </c>
      <c r="J493">
        <v>3.1</v>
      </c>
      <c r="K493">
        <v>8.1999999999999993</v>
      </c>
      <c r="L493">
        <v>34.909999999999997</v>
      </c>
      <c r="M493">
        <v>285.91000000000003</v>
      </c>
      <c r="N493" t="s">
        <v>22</v>
      </c>
    </row>
    <row r="494" spans="1:14" x14ac:dyDescent="0.25">
      <c r="A494" t="s">
        <v>166</v>
      </c>
      <c r="B494" t="s">
        <v>184</v>
      </c>
      <c r="C494" t="s">
        <v>167</v>
      </c>
      <c r="D494">
        <v>20090008</v>
      </c>
      <c r="E494" t="s">
        <v>187</v>
      </c>
      <c r="F494" s="1">
        <v>46114</v>
      </c>
      <c r="G494" t="s">
        <v>18</v>
      </c>
      <c r="H494" t="s">
        <v>19</v>
      </c>
      <c r="I494">
        <v>156.84</v>
      </c>
      <c r="J494">
        <v>4.5</v>
      </c>
      <c r="K494">
        <v>8.5</v>
      </c>
      <c r="L494">
        <v>41.63</v>
      </c>
      <c r="M494">
        <v>6529.25</v>
      </c>
      <c r="N494" t="s">
        <v>22</v>
      </c>
    </row>
    <row r="495" spans="1:14" x14ac:dyDescent="0.25">
      <c r="A495" t="s">
        <v>166</v>
      </c>
      <c r="B495" t="s">
        <v>184</v>
      </c>
      <c r="C495" t="s">
        <v>167</v>
      </c>
      <c r="D495">
        <v>20090025</v>
      </c>
      <c r="E495" t="s">
        <v>186</v>
      </c>
      <c r="F495" s="1">
        <v>46114</v>
      </c>
      <c r="G495" t="s">
        <v>18</v>
      </c>
      <c r="H495" t="s">
        <v>19</v>
      </c>
      <c r="I495">
        <v>44.26</v>
      </c>
      <c r="J495">
        <v>4.2</v>
      </c>
      <c r="K495">
        <v>8.4</v>
      </c>
      <c r="L495">
        <v>39.869999999999997</v>
      </c>
      <c r="M495">
        <v>1764.65</v>
      </c>
      <c r="N495" t="s">
        <v>22</v>
      </c>
    </row>
    <row r="496" spans="1:14" x14ac:dyDescent="0.25">
      <c r="A496" t="s">
        <v>166</v>
      </c>
      <c r="B496" t="s">
        <v>184</v>
      </c>
      <c r="C496" t="s">
        <v>167</v>
      </c>
      <c r="D496">
        <v>20090004</v>
      </c>
      <c r="E496" t="s">
        <v>189</v>
      </c>
      <c r="F496" s="1">
        <v>46114</v>
      </c>
      <c r="G496" t="s">
        <v>18</v>
      </c>
      <c r="H496" t="s">
        <v>19</v>
      </c>
      <c r="I496">
        <v>64.37</v>
      </c>
      <c r="J496">
        <v>4.0999999999999996</v>
      </c>
      <c r="K496">
        <v>8.6999999999999993</v>
      </c>
      <c r="L496">
        <v>40.630000000000003</v>
      </c>
      <c r="M496">
        <v>2615.35</v>
      </c>
      <c r="N496" t="s">
        <v>22</v>
      </c>
    </row>
    <row r="497" spans="1:14" x14ac:dyDescent="0.25">
      <c r="A497" t="s">
        <v>166</v>
      </c>
      <c r="B497" t="s">
        <v>184</v>
      </c>
      <c r="C497" t="s">
        <v>167</v>
      </c>
      <c r="D497">
        <v>20090002</v>
      </c>
      <c r="E497" t="s">
        <v>185</v>
      </c>
      <c r="F497" s="1">
        <v>46114</v>
      </c>
      <c r="G497" t="s">
        <v>18</v>
      </c>
      <c r="H497" t="s">
        <v>19</v>
      </c>
      <c r="I497">
        <v>32.07</v>
      </c>
      <c r="J497">
        <v>4</v>
      </c>
      <c r="K497">
        <v>8.4</v>
      </c>
      <c r="L497">
        <v>39.130000000000003</v>
      </c>
      <c r="M497">
        <v>1254.9000000000001</v>
      </c>
      <c r="N497" t="s">
        <v>22</v>
      </c>
    </row>
    <row r="498" spans="1:14" x14ac:dyDescent="0.25">
      <c r="A498" t="s">
        <v>166</v>
      </c>
      <c r="B498" t="s">
        <v>184</v>
      </c>
      <c r="C498" t="s">
        <v>167</v>
      </c>
      <c r="D498">
        <v>20010053</v>
      </c>
      <c r="E498" t="s">
        <v>188</v>
      </c>
      <c r="F498" s="1">
        <v>46114</v>
      </c>
      <c r="G498" t="s">
        <v>18</v>
      </c>
      <c r="H498" t="s">
        <v>19</v>
      </c>
      <c r="I498">
        <v>123.84</v>
      </c>
      <c r="J498">
        <v>4</v>
      </c>
      <c r="K498">
        <v>8.4</v>
      </c>
      <c r="L498">
        <v>39.130000000000003</v>
      </c>
      <c r="M498">
        <v>4845.8599999999997</v>
      </c>
      <c r="N498" t="s">
        <v>22</v>
      </c>
    </row>
    <row r="499" spans="1:14" x14ac:dyDescent="0.25">
      <c r="A499" t="s">
        <v>166</v>
      </c>
      <c r="B499" t="s">
        <v>184</v>
      </c>
      <c r="C499" t="s">
        <v>167</v>
      </c>
      <c r="D499">
        <v>20010054</v>
      </c>
      <c r="E499" t="s">
        <v>190</v>
      </c>
      <c r="F499" s="1">
        <v>46114</v>
      </c>
      <c r="G499" t="s">
        <v>18</v>
      </c>
      <c r="H499" t="s">
        <v>19</v>
      </c>
      <c r="I499">
        <v>89.57</v>
      </c>
      <c r="J499">
        <v>4.2</v>
      </c>
      <c r="K499">
        <v>8.3000000000000007</v>
      </c>
      <c r="L499">
        <v>39.619999999999997</v>
      </c>
      <c r="M499">
        <v>3548.76</v>
      </c>
      <c r="N499" t="s">
        <v>22</v>
      </c>
    </row>
    <row r="500" spans="1:14" x14ac:dyDescent="0.25">
      <c r="A500" t="s">
        <v>166</v>
      </c>
      <c r="B500" t="s">
        <v>184</v>
      </c>
      <c r="C500" t="s">
        <v>167</v>
      </c>
      <c r="D500">
        <v>20090026</v>
      </c>
      <c r="E500" t="s">
        <v>191</v>
      </c>
      <c r="F500" s="1">
        <v>46114</v>
      </c>
      <c r="G500" t="s">
        <v>18</v>
      </c>
      <c r="H500" t="s">
        <v>19</v>
      </c>
      <c r="I500">
        <v>35.770000000000003</v>
      </c>
      <c r="J500">
        <v>4.2</v>
      </c>
      <c r="K500">
        <v>8.4</v>
      </c>
      <c r="L500">
        <v>39.869999999999997</v>
      </c>
      <c r="M500">
        <v>1426.15</v>
      </c>
      <c r="N500" t="s">
        <v>22</v>
      </c>
    </row>
    <row r="501" spans="1:14" x14ac:dyDescent="0.25">
      <c r="A501" t="s">
        <v>166</v>
      </c>
      <c r="B501" t="s">
        <v>184</v>
      </c>
      <c r="C501" t="s">
        <v>167</v>
      </c>
      <c r="D501">
        <v>20090003</v>
      </c>
      <c r="E501" t="s">
        <v>192</v>
      </c>
      <c r="F501" s="1">
        <v>46114</v>
      </c>
      <c r="G501" t="s">
        <v>18</v>
      </c>
      <c r="H501" t="s">
        <v>19</v>
      </c>
      <c r="I501">
        <v>1.46</v>
      </c>
      <c r="J501">
        <v>4.2</v>
      </c>
      <c r="K501">
        <v>8.4</v>
      </c>
      <c r="L501">
        <v>39.869999999999997</v>
      </c>
      <c r="M501">
        <v>58.21</v>
      </c>
      <c r="N501" t="s">
        <v>22</v>
      </c>
    </row>
    <row r="502" spans="1:14" x14ac:dyDescent="0.25">
      <c r="A502" t="s">
        <v>166</v>
      </c>
      <c r="B502" t="s">
        <v>184</v>
      </c>
      <c r="C502" t="s">
        <v>167</v>
      </c>
      <c r="D502">
        <v>20090001</v>
      </c>
      <c r="E502" t="s">
        <v>167</v>
      </c>
      <c r="F502" s="1">
        <v>46114</v>
      </c>
      <c r="G502" t="s">
        <v>18</v>
      </c>
      <c r="H502" t="s">
        <v>19</v>
      </c>
      <c r="I502">
        <v>63.92</v>
      </c>
      <c r="J502">
        <v>4.0999999999999996</v>
      </c>
      <c r="K502">
        <v>8.6999999999999993</v>
      </c>
      <c r="L502">
        <v>40.630000000000003</v>
      </c>
      <c r="M502">
        <v>2597.31</v>
      </c>
      <c r="N502" t="s">
        <v>22</v>
      </c>
    </row>
    <row r="503" spans="1:14" x14ac:dyDescent="0.25">
      <c r="A503" t="s">
        <v>166</v>
      </c>
      <c r="B503" t="s">
        <v>184</v>
      </c>
      <c r="C503" t="s">
        <v>167</v>
      </c>
      <c r="D503">
        <v>20090001</v>
      </c>
      <c r="E503" t="s">
        <v>167</v>
      </c>
      <c r="F503" s="1">
        <v>46114</v>
      </c>
      <c r="G503" t="s">
        <v>18</v>
      </c>
      <c r="H503" t="s">
        <v>29</v>
      </c>
      <c r="I503">
        <v>2.33</v>
      </c>
      <c r="J503">
        <v>6.5</v>
      </c>
      <c r="K503">
        <v>8.6</v>
      </c>
      <c r="L503">
        <v>49.91</v>
      </c>
      <c r="M503">
        <v>116.29</v>
      </c>
      <c r="N503" t="s">
        <v>22</v>
      </c>
    </row>
    <row r="504" spans="1:14" x14ac:dyDescent="0.25">
      <c r="A504" t="s">
        <v>166</v>
      </c>
      <c r="B504" t="s">
        <v>168</v>
      </c>
      <c r="C504" t="s">
        <v>169</v>
      </c>
      <c r="D504">
        <v>20090015</v>
      </c>
      <c r="E504" t="s">
        <v>171</v>
      </c>
      <c r="F504" s="1">
        <v>46114</v>
      </c>
      <c r="G504" t="s">
        <v>51</v>
      </c>
      <c r="H504" t="s">
        <v>29</v>
      </c>
      <c r="I504">
        <v>23.49</v>
      </c>
      <c r="J504">
        <v>4.9000000000000004</v>
      </c>
      <c r="K504">
        <v>8.5</v>
      </c>
      <c r="L504">
        <v>43.13</v>
      </c>
      <c r="M504">
        <v>1013.12</v>
      </c>
      <c r="N504" t="s">
        <v>22</v>
      </c>
    </row>
    <row r="505" spans="1:14" x14ac:dyDescent="0.25">
      <c r="A505" t="s">
        <v>166</v>
      </c>
      <c r="B505" t="s">
        <v>184</v>
      </c>
      <c r="C505" t="s">
        <v>167</v>
      </c>
      <c r="D505">
        <v>20090002</v>
      </c>
      <c r="E505" t="s">
        <v>185</v>
      </c>
      <c r="F505" s="1">
        <v>46114</v>
      </c>
      <c r="G505" t="s">
        <v>51</v>
      </c>
      <c r="H505" t="s">
        <v>19</v>
      </c>
      <c r="I505">
        <v>18.11</v>
      </c>
      <c r="J505">
        <v>3.9</v>
      </c>
      <c r="K505">
        <v>8</v>
      </c>
      <c r="L505">
        <v>37.340000000000003</v>
      </c>
      <c r="M505">
        <v>676.23</v>
      </c>
      <c r="N505" t="s">
        <v>22</v>
      </c>
    </row>
    <row r="506" spans="1:14" x14ac:dyDescent="0.25">
      <c r="A506" t="s">
        <v>166</v>
      </c>
      <c r="B506" t="s">
        <v>184</v>
      </c>
      <c r="C506" t="s">
        <v>167</v>
      </c>
      <c r="D506">
        <v>20090008</v>
      </c>
      <c r="E506" t="s">
        <v>187</v>
      </c>
      <c r="F506" s="1">
        <v>46114</v>
      </c>
      <c r="G506" t="s">
        <v>51</v>
      </c>
      <c r="H506" t="s">
        <v>19</v>
      </c>
      <c r="I506">
        <v>86.15</v>
      </c>
      <c r="J506">
        <v>3.9</v>
      </c>
      <c r="K506">
        <v>8.1999999999999993</v>
      </c>
      <c r="L506">
        <v>37.83</v>
      </c>
      <c r="M506">
        <v>3259.05</v>
      </c>
      <c r="N506" t="s">
        <v>22</v>
      </c>
    </row>
    <row r="507" spans="1:14" x14ac:dyDescent="0.25">
      <c r="A507" t="s">
        <v>166</v>
      </c>
      <c r="B507" t="s">
        <v>184</v>
      </c>
      <c r="C507" t="s">
        <v>167</v>
      </c>
      <c r="D507">
        <v>20090004</v>
      </c>
      <c r="E507" t="s">
        <v>189</v>
      </c>
      <c r="F507" s="1">
        <v>46114</v>
      </c>
      <c r="G507" t="s">
        <v>51</v>
      </c>
      <c r="H507" t="s">
        <v>19</v>
      </c>
      <c r="I507">
        <v>16.73</v>
      </c>
      <c r="J507">
        <v>4.3</v>
      </c>
      <c r="K507">
        <v>8.6</v>
      </c>
      <c r="L507">
        <v>41.13</v>
      </c>
      <c r="M507">
        <v>688.1</v>
      </c>
      <c r="N507" t="s">
        <v>22</v>
      </c>
    </row>
    <row r="508" spans="1:14" x14ac:dyDescent="0.25">
      <c r="A508" t="s">
        <v>166</v>
      </c>
      <c r="B508" t="s">
        <v>184</v>
      </c>
      <c r="C508" t="s">
        <v>167</v>
      </c>
      <c r="D508">
        <v>20090026</v>
      </c>
      <c r="E508" t="s">
        <v>191</v>
      </c>
      <c r="F508" s="1">
        <v>46114</v>
      </c>
      <c r="G508" t="s">
        <v>51</v>
      </c>
      <c r="H508" t="s">
        <v>19</v>
      </c>
      <c r="I508">
        <v>16.010000000000002</v>
      </c>
      <c r="J508">
        <v>4.2</v>
      </c>
      <c r="K508">
        <v>8.5</v>
      </c>
      <c r="L508">
        <v>40.5</v>
      </c>
      <c r="M508">
        <v>648.41</v>
      </c>
      <c r="N508" t="s">
        <v>22</v>
      </c>
    </row>
    <row r="509" spans="1:14" x14ac:dyDescent="0.25">
      <c r="A509" t="s">
        <v>166</v>
      </c>
      <c r="B509" t="s">
        <v>184</v>
      </c>
      <c r="C509" t="s">
        <v>167</v>
      </c>
      <c r="D509">
        <v>20010053</v>
      </c>
      <c r="E509" t="s">
        <v>188</v>
      </c>
      <c r="F509" s="1">
        <v>46114</v>
      </c>
      <c r="G509" t="s">
        <v>51</v>
      </c>
      <c r="H509" t="s">
        <v>19</v>
      </c>
      <c r="I509">
        <v>72.05</v>
      </c>
      <c r="J509">
        <v>3.5</v>
      </c>
      <c r="K509">
        <v>8.3000000000000007</v>
      </c>
      <c r="L509">
        <v>37.03</v>
      </c>
      <c r="M509">
        <v>2668.01</v>
      </c>
      <c r="N509" t="s">
        <v>22</v>
      </c>
    </row>
    <row r="510" spans="1:14" x14ac:dyDescent="0.25">
      <c r="A510" t="s">
        <v>166</v>
      </c>
      <c r="B510" t="s">
        <v>184</v>
      </c>
      <c r="C510" t="s">
        <v>167</v>
      </c>
      <c r="D510">
        <v>20010054</v>
      </c>
      <c r="E510" t="s">
        <v>190</v>
      </c>
      <c r="F510" s="1">
        <v>46114</v>
      </c>
      <c r="G510" t="s">
        <v>51</v>
      </c>
      <c r="H510" t="s">
        <v>19</v>
      </c>
      <c r="I510">
        <v>49.82</v>
      </c>
      <c r="J510">
        <v>3.5</v>
      </c>
      <c r="K510">
        <v>8.1999999999999993</v>
      </c>
      <c r="L510">
        <v>36.369999999999997</v>
      </c>
      <c r="M510">
        <v>1811.95</v>
      </c>
      <c r="N510" t="s">
        <v>22</v>
      </c>
    </row>
    <row r="511" spans="1:14" x14ac:dyDescent="0.25">
      <c r="A511" t="s">
        <v>166</v>
      </c>
      <c r="B511" t="s">
        <v>168</v>
      </c>
      <c r="C511" t="s">
        <v>169</v>
      </c>
      <c r="D511">
        <v>20090014</v>
      </c>
      <c r="E511" t="s">
        <v>170</v>
      </c>
      <c r="F511" s="1">
        <v>46114</v>
      </c>
      <c r="G511" t="s">
        <v>51</v>
      </c>
      <c r="H511" t="s">
        <v>19</v>
      </c>
      <c r="I511">
        <v>110.78</v>
      </c>
      <c r="J511">
        <v>3.9</v>
      </c>
      <c r="K511">
        <v>8</v>
      </c>
      <c r="L511">
        <v>37.340000000000003</v>
      </c>
      <c r="M511">
        <v>4136.53</v>
      </c>
      <c r="N511" t="s">
        <v>22</v>
      </c>
    </row>
    <row r="512" spans="1:14" x14ac:dyDescent="0.25">
      <c r="A512" t="s">
        <v>166</v>
      </c>
      <c r="B512" t="s">
        <v>168</v>
      </c>
      <c r="C512" t="s">
        <v>169</v>
      </c>
      <c r="D512">
        <v>20090013</v>
      </c>
      <c r="E512" t="s">
        <v>175</v>
      </c>
      <c r="F512" s="1">
        <v>46114</v>
      </c>
      <c r="G512" t="s">
        <v>51</v>
      </c>
      <c r="H512" t="s">
        <v>19</v>
      </c>
      <c r="I512">
        <v>29.3</v>
      </c>
      <c r="J512">
        <v>4</v>
      </c>
      <c r="K512">
        <v>8.1</v>
      </c>
      <c r="L512">
        <v>37.950000000000003</v>
      </c>
      <c r="M512">
        <v>1111.94</v>
      </c>
      <c r="N512" t="s">
        <v>22</v>
      </c>
    </row>
    <row r="513" spans="1:14" x14ac:dyDescent="0.25">
      <c r="A513" t="s">
        <v>166</v>
      </c>
      <c r="B513" t="s">
        <v>168</v>
      </c>
      <c r="C513" t="s">
        <v>169</v>
      </c>
      <c r="D513">
        <v>20090022</v>
      </c>
      <c r="E513" t="s">
        <v>174</v>
      </c>
      <c r="F513" s="1">
        <v>46114</v>
      </c>
      <c r="G513" t="s">
        <v>51</v>
      </c>
      <c r="H513" t="s">
        <v>19</v>
      </c>
      <c r="I513">
        <v>25.87</v>
      </c>
      <c r="J513">
        <v>3.5</v>
      </c>
      <c r="K513">
        <v>8</v>
      </c>
      <c r="L513">
        <v>35.880000000000003</v>
      </c>
      <c r="M513">
        <v>928.22</v>
      </c>
      <c r="N513" t="s">
        <v>22</v>
      </c>
    </row>
    <row r="514" spans="1:14" x14ac:dyDescent="0.25">
      <c r="A514" t="s">
        <v>166</v>
      </c>
      <c r="B514" t="s">
        <v>168</v>
      </c>
      <c r="C514" t="s">
        <v>169</v>
      </c>
      <c r="D514">
        <v>20090011</v>
      </c>
      <c r="E514" t="s">
        <v>173</v>
      </c>
      <c r="F514" s="1">
        <v>46114</v>
      </c>
      <c r="G514" t="s">
        <v>51</v>
      </c>
      <c r="H514" t="s">
        <v>19</v>
      </c>
      <c r="I514">
        <v>35.299999999999997</v>
      </c>
      <c r="J514">
        <v>3.6</v>
      </c>
      <c r="K514">
        <v>8</v>
      </c>
      <c r="L514">
        <v>36.24</v>
      </c>
      <c r="M514">
        <v>1279.27</v>
      </c>
      <c r="N514" t="s">
        <v>22</v>
      </c>
    </row>
    <row r="515" spans="1:14" x14ac:dyDescent="0.25">
      <c r="A515" t="s">
        <v>166</v>
      </c>
      <c r="B515" t="s">
        <v>168</v>
      </c>
      <c r="C515" t="s">
        <v>169</v>
      </c>
      <c r="D515">
        <v>20090023</v>
      </c>
      <c r="E515" t="s">
        <v>176</v>
      </c>
      <c r="F515" s="1">
        <v>46114</v>
      </c>
      <c r="G515" t="s">
        <v>51</v>
      </c>
      <c r="H515" t="s">
        <v>19</v>
      </c>
      <c r="I515">
        <v>61.03</v>
      </c>
      <c r="J515">
        <v>4.2</v>
      </c>
      <c r="K515">
        <v>8.4</v>
      </c>
      <c r="L515">
        <v>39.869999999999997</v>
      </c>
      <c r="M515">
        <v>2433.27</v>
      </c>
      <c r="N515" t="s">
        <v>22</v>
      </c>
    </row>
    <row r="516" spans="1:14" x14ac:dyDescent="0.25">
      <c r="A516" t="s">
        <v>166</v>
      </c>
      <c r="B516" t="s">
        <v>168</v>
      </c>
      <c r="C516" t="s">
        <v>169</v>
      </c>
      <c r="D516">
        <v>20090006</v>
      </c>
      <c r="E516" t="s">
        <v>179</v>
      </c>
      <c r="F516" s="1">
        <v>46114</v>
      </c>
      <c r="G516" t="s">
        <v>51</v>
      </c>
      <c r="H516" t="s">
        <v>19</v>
      </c>
      <c r="I516">
        <v>12</v>
      </c>
      <c r="J516">
        <v>3.7</v>
      </c>
      <c r="K516">
        <v>8.3000000000000007</v>
      </c>
      <c r="L516">
        <v>37.770000000000003</v>
      </c>
      <c r="M516">
        <v>453.24</v>
      </c>
      <c r="N516" t="s">
        <v>22</v>
      </c>
    </row>
    <row r="517" spans="1:14" x14ac:dyDescent="0.25">
      <c r="A517" t="s">
        <v>166</v>
      </c>
      <c r="B517" t="s">
        <v>168</v>
      </c>
      <c r="C517" t="s">
        <v>169</v>
      </c>
      <c r="D517">
        <v>20090020</v>
      </c>
      <c r="E517" t="s">
        <v>172</v>
      </c>
      <c r="F517" s="1">
        <v>46114</v>
      </c>
      <c r="G517" t="s">
        <v>51</v>
      </c>
      <c r="H517" t="s">
        <v>19</v>
      </c>
      <c r="I517">
        <v>52.11</v>
      </c>
      <c r="J517">
        <v>3.8</v>
      </c>
      <c r="K517">
        <v>8.3000000000000007</v>
      </c>
      <c r="L517">
        <v>38.14</v>
      </c>
      <c r="M517">
        <v>1987.48</v>
      </c>
      <c r="N517" t="s">
        <v>22</v>
      </c>
    </row>
    <row r="518" spans="1:14" x14ac:dyDescent="0.25">
      <c r="A518" t="s">
        <v>166</v>
      </c>
      <c r="B518" t="s">
        <v>168</v>
      </c>
      <c r="C518" t="s">
        <v>169</v>
      </c>
      <c r="D518">
        <v>20090010</v>
      </c>
      <c r="E518" t="s">
        <v>178</v>
      </c>
      <c r="F518" s="1">
        <v>46114</v>
      </c>
      <c r="G518" t="s">
        <v>51</v>
      </c>
      <c r="H518" t="s">
        <v>19</v>
      </c>
      <c r="I518">
        <v>16.47</v>
      </c>
      <c r="J518">
        <v>3.8</v>
      </c>
      <c r="K518">
        <v>8.1999999999999993</v>
      </c>
      <c r="L518">
        <v>37.46</v>
      </c>
      <c r="M518">
        <v>616.97</v>
      </c>
      <c r="N518" t="s">
        <v>22</v>
      </c>
    </row>
    <row r="519" spans="1:14" x14ac:dyDescent="0.25">
      <c r="A519" t="s">
        <v>166</v>
      </c>
      <c r="B519" t="s">
        <v>168</v>
      </c>
      <c r="C519" t="s">
        <v>169</v>
      </c>
      <c r="D519">
        <v>20090012</v>
      </c>
      <c r="E519" t="s">
        <v>180</v>
      </c>
      <c r="F519" s="1">
        <v>46114</v>
      </c>
      <c r="G519" t="s">
        <v>51</v>
      </c>
      <c r="H519" t="s">
        <v>19</v>
      </c>
      <c r="I519">
        <v>16.2</v>
      </c>
      <c r="J519">
        <v>4.7</v>
      </c>
      <c r="K519">
        <v>8.5</v>
      </c>
      <c r="L519">
        <v>42.38</v>
      </c>
      <c r="M519">
        <v>686.56</v>
      </c>
      <c r="N519" t="s">
        <v>22</v>
      </c>
    </row>
    <row r="520" spans="1:14" x14ac:dyDescent="0.25">
      <c r="A520" t="s">
        <v>166</v>
      </c>
      <c r="B520" t="s">
        <v>168</v>
      </c>
      <c r="C520" t="s">
        <v>169</v>
      </c>
      <c r="D520">
        <v>20090021</v>
      </c>
      <c r="E520" t="s">
        <v>181</v>
      </c>
      <c r="F520" s="1">
        <v>46114</v>
      </c>
      <c r="G520" t="s">
        <v>51</v>
      </c>
      <c r="H520" t="s">
        <v>19</v>
      </c>
      <c r="I520">
        <v>8.11</v>
      </c>
      <c r="J520">
        <v>4.4000000000000004</v>
      </c>
      <c r="K520">
        <v>8.4</v>
      </c>
      <c r="L520">
        <v>40.61</v>
      </c>
      <c r="M520">
        <v>329.35</v>
      </c>
      <c r="N520" t="s">
        <v>22</v>
      </c>
    </row>
    <row r="521" spans="1:14" x14ac:dyDescent="0.25">
      <c r="A521" t="s">
        <v>166</v>
      </c>
      <c r="B521" t="s">
        <v>168</v>
      </c>
      <c r="C521" t="s">
        <v>169</v>
      </c>
      <c r="D521">
        <v>20090019</v>
      </c>
      <c r="E521" t="s">
        <v>182</v>
      </c>
      <c r="F521" s="1">
        <v>46114</v>
      </c>
      <c r="G521" t="s">
        <v>51</v>
      </c>
      <c r="H521" t="s">
        <v>19</v>
      </c>
      <c r="I521">
        <v>6.05</v>
      </c>
      <c r="J521">
        <v>3.8</v>
      </c>
      <c r="K521">
        <v>8.3000000000000007</v>
      </c>
      <c r="L521">
        <v>38.14</v>
      </c>
      <c r="M521">
        <v>230.75</v>
      </c>
      <c r="N521" t="s">
        <v>22</v>
      </c>
    </row>
    <row r="522" spans="1:14" x14ac:dyDescent="0.25">
      <c r="A522" t="s">
        <v>166</v>
      </c>
      <c r="B522" t="s">
        <v>168</v>
      </c>
      <c r="C522" t="s">
        <v>169</v>
      </c>
      <c r="D522">
        <v>20090018</v>
      </c>
      <c r="E522" t="s">
        <v>183</v>
      </c>
      <c r="F522" s="1">
        <v>46114</v>
      </c>
      <c r="G522" t="s">
        <v>51</v>
      </c>
      <c r="H522" t="s">
        <v>19</v>
      </c>
      <c r="I522">
        <v>10.79</v>
      </c>
      <c r="J522">
        <v>3.9</v>
      </c>
      <c r="K522">
        <v>7.8</v>
      </c>
      <c r="L522">
        <v>35.29</v>
      </c>
      <c r="M522">
        <v>380.78</v>
      </c>
      <c r="N522" t="s">
        <v>22</v>
      </c>
    </row>
    <row r="523" spans="1:14" x14ac:dyDescent="0.25">
      <c r="A523" t="s">
        <v>166</v>
      </c>
      <c r="B523" t="s">
        <v>168</v>
      </c>
      <c r="C523" t="s">
        <v>169</v>
      </c>
      <c r="D523">
        <v>20090017</v>
      </c>
      <c r="E523" t="s">
        <v>177</v>
      </c>
      <c r="F523" s="1">
        <v>46114</v>
      </c>
      <c r="G523" t="s">
        <v>51</v>
      </c>
      <c r="H523" t="s">
        <v>19</v>
      </c>
      <c r="I523">
        <v>26</v>
      </c>
      <c r="J523">
        <v>4.0999999999999996</v>
      </c>
      <c r="K523">
        <v>8.1</v>
      </c>
      <c r="L523">
        <v>38.31</v>
      </c>
      <c r="M523">
        <v>996.06</v>
      </c>
      <c r="N523" t="s">
        <v>22</v>
      </c>
    </row>
    <row r="524" spans="1:14" x14ac:dyDescent="0.25">
      <c r="A524" t="s">
        <v>166</v>
      </c>
      <c r="B524" t="s">
        <v>184</v>
      </c>
      <c r="C524" t="s">
        <v>167</v>
      </c>
      <c r="D524">
        <v>20090001</v>
      </c>
      <c r="E524" t="s">
        <v>167</v>
      </c>
      <c r="F524" s="1">
        <v>46114</v>
      </c>
      <c r="G524" t="s">
        <v>51</v>
      </c>
      <c r="H524" t="s">
        <v>19</v>
      </c>
      <c r="I524">
        <v>100.03</v>
      </c>
      <c r="J524">
        <v>4.7</v>
      </c>
      <c r="K524">
        <v>8.5</v>
      </c>
      <c r="L524">
        <v>42.38</v>
      </c>
      <c r="M524">
        <v>4239.2700000000004</v>
      </c>
      <c r="N5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2026-04-07T09:17:15Z</dcterms:created>
  <dcterms:modified xsi:type="dcterms:W3CDTF">2026-04-07T10:43:55Z</dcterms:modified>
  <cp:category/>
</cp:coreProperties>
</file>