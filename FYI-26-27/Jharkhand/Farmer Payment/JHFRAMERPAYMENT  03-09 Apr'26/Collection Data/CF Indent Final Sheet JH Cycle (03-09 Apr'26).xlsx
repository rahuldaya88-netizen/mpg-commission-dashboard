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3-09 Apr'26\Collection Data\"/>
    </mc:Choice>
  </mc:AlternateContent>
  <xr:revisionPtr revIDLastSave="0" documentId="13_ncr:1_{DD3870F2-FB17-4926-9D07-2E64BE73ED0B}" xr6:coauthVersionLast="47" xr6:coauthVersionMax="47" xr10:uidLastSave="{00000000-0000-0000-0000-000000000000}"/>
  <bookViews>
    <workbookView xWindow="-120" yWindow="-120" windowWidth="29040" windowHeight="15720" xr2:uid="{91735002-6466-4EEC-9CDD-D165A20C4A8B}"/>
  </bookViews>
  <sheets>
    <sheet name="Sheet1" sheetId="2" r:id="rId1"/>
    <sheet name="CF indent 27-31th Mar-26" sheetId="1" r:id="rId2"/>
  </sheets>
  <externalReferences>
    <externalReference r:id="rId3"/>
  </externalReferences>
  <definedNames>
    <definedName name="_xlnm._FilterDatabase" localSheetId="1" hidden="1">'CF indent 27-31th Mar-26'!$A$3:$P$7</definedName>
  </definedNames>
  <calcPr calcId="191029"/>
  <pivotCaches>
    <pivotCache cacheId="8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2" l="1"/>
  <c r="F32" i="2" l="1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O20" i="1"/>
  <c r="O21" i="1"/>
  <c r="O22" i="1"/>
  <c r="O23" i="1"/>
  <c r="O24" i="1"/>
  <c r="O25" i="1"/>
  <c r="O26" i="1"/>
  <c r="O27" i="1"/>
  <c r="O28" i="1"/>
  <c r="Q28" i="1" s="1"/>
  <c r="O29" i="1"/>
  <c r="O30" i="1"/>
  <c r="Q30" i="1" s="1"/>
  <c r="O8" i="1"/>
  <c r="O9" i="1"/>
  <c r="O10" i="1"/>
  <c r="M25" i="1"/>
  <c r="M24" i="1"/>
  <c r="M23" i="1"/>
  <c r="M20" i="1"/>
  <c r="M21" i="1"/>
  <c r="M22" i="1"/>
  <c r="M7" i="1"/>
  <c r="M8" i="1"/>
  <c r="M9" i="1"/>
  <c r="M10" i="1"/>
  <c r="M11" i="1"/>
  <c r="M12" i="1"/>
  <c r="M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M30" i="1"/>
  <c r="N30" i="1"/>
  <c r="M31" i="1"/>
  <c r="N31" i="1"/>
  <c r="O31" i="1"/>
  <c r="Q31" i="1"/>
  <c r="K1" i="1"/>
  <c r="N20" i="1"/>
  <c r="Q20" i="1"/>
  <c r="N21" i="1"/>
  <c r="Q21" i="1" s="1"/>
  <c r="N22" i="1"/>
  <c r="N23" i="1"/>
  <c r="Q23" i="1"/>
  <c r="N24" i="1"/>
  <c r="Q24" i="1" s="1"/>
  <c r="N25" i="1"/>
  <c r="M26" i="1"/>
  <c r="N26" i="1"/>
  <c r="Q26" i="1"/>
  <c r="M27" i="1"/>
  <c r="N27" i="1"/>
  <c r="Q27" i="1" s="1"/>
  <c r="M28" i="1"/>
  <c r="N28" i="1"/>
  <c r="M29" i="1"/>
  <c r="N29" i="1"/>
  <c r="Q25" i="1" l="1"/>
  <c r="Q29" i="1"/>
  <c r="Q22" i="1"/>
  <c r="N11" i="1"/>
  <c r="N12" i="1"/>
  <c r="O12" i="1" s="1"/>
  <c r="Q12" i="1" s="1"/>
  <c r="N13" i="1"/>
  <c r="O13" i="1" s="1"/>
  <c r="Q13" i="1" s="1"/>
  <c r="N14" i="1"/>
  <c r="Q14" i="1" s="1"/>
  <c r="N15" i="1"/>
  <c r="N16" i="1"/>
  <c r="Q16" i="1" s="1"/>
  <c r="N17" i="1"/>
  <c r="N18" i="1"/>
  <c r="O18" i="1" s="1"/>
  <c r="Q18" i="1" s="1"/>
  <c r="N19" i="1"/>
  <c r="N10" i="1"/>
  <c r="Q15" i="1"/>
  <c r="Q17" i="1"/>
  <c r="M18" i="1"/>
  <c r="M19" i="1"/>
  <c r="O19" i="1"/>
  <c r="Q19" i="1" s="1"/>
  <c r="N9" i="1"/>
  <c r="Q9" i="1" s="1"/>
  <c r="Q8" i="1"/>
  <c r="N8" i="1"/>
  <c r="O11" i="1"/>
  <c r="Q11" i="1" s="1"/>
  <c r="Q10" i="1"/>
  <c r="D8" i="1"/>
  <c r="D9" i="1"/>
  <c r="D10" i="1"/>
  <c r="D11" i="1"/>
  <c r="D12" i="1"/>
  <c r="D13" i="1"/>
  <c r="M5" i="1" l="1"/>
  <c r="M6" i="1"/>
  <c r="M4" i="1" l="1"/>
  <c r="M1" i="1" s="1"/>
  <c r="N5" i="1" l="1"/>
  <c r="O5" i="1" s="1"/>
  <c r="N6" i="1"/>
  <c r="O6" i="1" s="1"/>
  <c r="N7" i="1"/>
  <c r="O7" i="1" s="1"/>
  <c r="N4" i="1"/>
  <c r="O4" i="1" s="1"/>
  <c r="D5" i="1" l="1"/>
  <c r="D6" i="1"/>
  <c r="D7" i="1"/>
  <c r="Q7" i="1" l="1"/>
  <c r="Q6" i="1"/>
  <c r="Q5" i="1"/>
  <c r="D4" i="1"/>
  <c r="Q4" i="1" l="1"/>
  <c r="J5" i="2" l="1"/>
  <c r="J21" i="2" l="1"/>
  <c r="J6" i="2"/>
  <c r="J29" i="2"/>
  <c r="J20" i="2"/>
  <c r="J30" i="2"/>
  <c r="J9" i="2" l="1"/>
  <c r="J11" i="2"/>
  <c r="J10" i="2"/>
  <c r="J8" i="2"/>
  <c r="J7" i="2"/>
  <c r="J13" i="2"/>
  <c r="J16" i="2"/>
  <c r="J12" i="2"/>
  <c r="J18" i="2"/>
  <c r="J15" i="2"/>
  <c r="J17" i="2"/>
  <c r="J14" i="2"/>
  <c r="J19" i="2"/>
  <c r="J32" i="2"/>
  <c r="J31" i="2"/>
  <c r="J25" i="2"/>
  <c r="J28" i="2"/>
  <c r="J24" i="2"/>
  <c r="J27" i="2"/>
  <c r="J23" i="2"/>
  <c r="J22" i="2"/>
  <c r="J26" i="2"/>
</calcChain>
</file>

<file path=xl/sharedStrings.xml><?xml version="1.0" encoding="utf-8"?>
<sst xmlns="http://schemas.openxmlformats.org/spreadsheetml/2006/main" count="255" uniqueCount="60">
  <si>
    <t>Proposed</t>
  </si>
  <si>
    <t xml:space="preserve">
Order Date </t>
  </si>
  <si>
    <t>Deduction Cycle</t>
  </si>
  <si>
    <t xml:space="preserve">
Item Name </t>
  </si>
  <si>
    <t>ID</t>
  </si>
  <si>
    <t xml:space="preserve">
MPG Code  </t>
  </si>
  <si>
    <t xml:space="preserve">
MPG Name </t>
  </si>
  <si>
    <t xml:space="preserve">
Farmer code  </t>
  </si>
  <si>
    <t xml:space="preserve">
Farmer name  </t>
  </si>
  <si>
    <t xml:space="preserve">
BMC Name  </t>
  </si>
  <si>
    <t xml:space="preserve">
CSP  </t>
  </si>
  <si>
    <t xml:space="preserve">
Qty  </t>
  </si>
  <si>
    <t xml:space="preserve">
Rate </t>
  </si>
  <si>
    <t>Total Amount</t>
  </si>
  <si>
    <t>Final Qty</t>
  </si>
  <si>
    <t>Final Amount</t>
  </si>
  <si>
    <t>Milk Amonnt</t>
  </si>
  <si>
    <t>Gomukh Gold 50KG</t>
  </si>
  <si>
    <t>Daya Society</t>
  </si>
  <si>
    <t>Deduction</t>
  </si>
  <si>
    <t>R</t>
  </si>
  <si>
    <t>Bero</t>
  </si>
  <si>
    <t>0025</t>
  </si>
  <si>
    <t>0005</t>
  </si>
  <si>
    <t>0002</t>
  </si>
  <si>
    <t>Ranikhatanga</t>
  </si>
  <si>
    <t>Bijuliya</t>
  </si>
  <si>
    <t>0033</t>
  </si>
  <si>
    <t>0042</t>
  </si>
  <si>
    <t>0023</t>
  </si>
  <si>
    <t>0038</t>
  </si>
  <si>
    <t>0041</t>
  </si>
  <si>
    <t>Saram</t>
  </si>
  <si>
    <t>Piragutu</t>
  </si>
  <si>
    <t>0003</t>
  </si>
  <si>
    <t>03-04-2026- 09-04-2026</t>
  </si>
  <si>
    <t>Paali</t>
  </si>
  <si>
    <t>0160</t>
  </si>
  <si>
    <t>0083</t>
  </si>
  <si>
    <t>0121</t>
  </si>
  <si>
    <t>Tiko Toli</t>
  </si>
  <si>
    <t>Agru</t>
  </si>
  <si>
    <t>0012</t>
  </si>
  <si>
    <t>0044</t>
  </si>
  <si>
    <t>Itki</t>
  </si>
  <si>
    <t>Ormanjhi</t>
  </si>
  <si>
    <t>Dumardaga</t>
  </si>
  <si>
    <t>0010</t>
  </si>
  <si>
    <t>0014</t>
  </si>
  <si>
    <t>0037</t>
  </si>
  <si>
    <t>0059</t>
  </si>
  <si>
    <t>0060</t>
  </si>
  <si>
    <t>Erchoro</t>
  </si>
  <si>
    <t>0019</t>
  </si>
  <si>
    <t>Kuchu</t>
  </si>
  <si>
    <t>Grand Total</t>
  </si>
  <si>
    <t>Sum of Final Amount</t>
  </si>
  <si>
    <t>Total</t>
  </si>
  <si>
    <t>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</si>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</sst>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0" borderId="1" xfId="0" applyFont="1" applyBorder="1"/>
    <xf numFmtId="0" fontId="3" fillId="0" borderId="0" xfId="0" applyFont="1"/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pivotButton="1"/>
    <xf numFmtId="0" fontId="8" fillId="5" borderId="5" xfId="0" applyFont="1" applyFill="1" applyBorder="1"/>
    <xf numFmtId="0" fontId="8" fillId="5" borderId="6" xfId="0" applyFont="1" applyFill="1" applyBorder="1"/>
    <xf numFmtId="0" fontId="8" fillId="0" borderId="5" xfId="0" applyFont="1" applyBorder="1"/>
    <xf numFmtId="0" fontId="8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.%20JH%20Farmer%20Payment-03-09%20Apr.xlsx" TargetMode="External"/><Relationship Id="rId2" Type="http://schemas.openxmlformats.org/officeDocument/2006/relationships/externalLinkPath" Target="file:///C:\Users\rahul\Desktop\Rahul%20Backup\Farmer%20Payment\FYI-26-27\Jharkhand\JHFRAMERPAYMENT%20%2003-09%20Apr'26\01.%20JH%20Farmer%20Payment-03-09%20Apr.xlsx" TargetMode="External"/><Relationship Id="rId1" Type="http://schemas.openxmlformats.org/officeDocument/2006/relationships/externalLinkPath" Target="/Users/rahul/Desktop/Rahul%20Backup/Farmer%20Payment/FYI-26-27/Jharkhand/JHFRAMERPAYMENT%20%2003-09%20Apr'26/01.%20JH%20Farmer%20Payment-03-09%20A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20010003</v>
          </cell>
          <cell r="C5" t="str">
            <v>Bero</v>
          </cell>
          <cell r="D5" t="str">
            <v>MPG</v>
          </cell>
          <cell r="E5" t="str">
            <v>Direct</v>
          </cell>
        </row>
        <row r="6">
          <cell r="B6">
            <v>20010005</v>
          </cell>
          <cell r="C6" t="str">
            <v>Basila</v>
          </cell>
          <cell r="D6" t="str">
            <v>MPG</v>
          </cell>
          <cell r="E6" t="str">
            <v>Direct</v>
          </cell>
        </row>
        <row r="7">
          <cell r="B7">
            <v>20010008</v>
          </cell>
          <cell r="C7" t="str">
            <v>Erchoro</v>
          </cell>
          <cell r="D7" t="str">
            <v>MPG</v>
          </cell>
          <cell r="E7" t="str">
            <v>Direct</v>
          </cell>
        </row>
        <row r="8">
          <cell r="B8">
            <v>20010009</v>
          </cell>
          <cell r="C8" t="str">
            <v>Makunda</v>
          </cell>
          <cell r="D8" t="str">
            <v>MPG</v>
          </cell>
          <cell r="E8" t="str">
            <v>Direct</v>
          </cell>
        </row>
        <row r="9">
          <cell r="B9">
            <v>20010012</v>
          </cell>
          <cell r="C9" t="str">
            <v>NAGRI</v>
          </cell>
          <cell r="D9" t="str">
            <v>VLC</v>
          </cell>
          <cell r="E9" t="str">
            <v>Indirect</v>
          </cell>
        </row>
        <row r="10">
          <cell r="B10">
            <v>20010015</v>
          </cell>
          <cell r="C10" t="str">
            <v>BOREYA</v>
          </cell>
          <cell r="D10" t="str">
            <v>MPG</v>
          </cell>
          <cell r="E10" t="str">
            <v>Direct</v>
          </cell>
        </row>
        <row r="11">
          <cell r="B11">
            <v>20010016</v>
          </cell>
          <cell r="C11" t="str">
            <v>ITA CHILDRI</v>
          </cell>
          <cell r="D11" t="str">
            <v>MPG</v>
          </cell>
          <cell r="E11" t="str">
            <v>Direct</v>
          </cell>
        </row>
        <row r="12">
          <cell r="B12">
            <v>20010017</v>
          </cell>
          <cell r="C12" t="str">
            <v>DIGHIYA</v>
          </cell>
          <cell r="D12" t="str">
            <v>MPG</v>
          </cell>
          <cell r="E12" t="str">
            <v>Direct</v>
          </cell>
        </row>
        <row r="13">
          <cell r="B13">
            <v>20010023</v>
          </cell>
          <cell r="C13" t="str">
            <v>KATARPA</v>
          </cell>
          <cell r="D13" t="str">
            <v>MPG</v>
          </cell>
          <cell r="E13" t="str">
            <v>Direct</v>
          </cell>
        </row>
        <row r="14">
          <cell r="B14">
            <v>20010027</v>
          </cell>
          <cell r="C14" t="str">
            <v>MURTO</v>
          </cell>
          <cell r="D14" t="str">
            <v>MPG</v>
          </cell>
          <cell r="E14" t="str">
            <v>Direct</v>
          </cell>
        </row>
        <row r="15">
          <cell r="B15">
            <v>20010033</v>
          </cell>
          <cell r="C15" t="str">
            <v>KHATRIKHATANGA</v>
          </cell>
          <cell r="D15" t="str">
            <v>MPG</v>
          </cell>
          <cell r="E15" t="str">
            <v>Direct</v>
          </cell>
        </row>
        <row r="16">
          <cell r="B16">
            <v>20010034</v>
          </cell>
          <cell r="C16" t="str">
            <v>GARGAON</v>
          </cell>
          <cell r="D16" t="str">
            <v>MPG</v>
          </cell>
          <cell r="E16" t="str">
            <v>Direct</v>
          </cell>
        </row>
        <row r="17">
          <cell r="B17">
            <v>20010036</v>
          </cell>
          <cell r="C17" t="str">
            <v>GHAGHRA</v>
          </cell>
          <cell r="D17" t="str">
            <v>MPG</v>
          </cell>
          <cell r="E17" t="str">
            <v>Direct</v>
          </cell>
        </row>
        <row r="18">
          <cell r="B18">
            <v>20010037</v>
          </cell>
          <cell r="C18" t="str">
            <v>CHACHGURA</v>
          </cell>
          <cell r="D18" t="str">
            <v>MPG</v>
          </cell>
          <cell r="E18" t="str">
            <v>Indirect</v>
          </cell>
        </row>
        <row r="19">
          <cell r="B19">
            <v>20010038</v>
          </cell>
          <cell r="C19" t="str">
            <v>TIKRA TOLI</v>
          </cell>
          <cell r="D19" t="str">
            <v>MPG</v>
          </cell>
          <cell r="E19" t="str">
            <v>Direct</v>
          </cell>
        </row>
        <row r="20">
          <cell r="B20">
            <v>20010040</v>
          </cell>
          <cell r="C20" t="str">
            <v>Gargaon2</v>
          </cell>
          <cell r="D20" t="str">
            <v>MPG</v>
          </cell>
          <cell r="E20" t="str">
            <v>Direct</v>
          </cell>
        </row>
        <row r="21">
          <cell r="B21">
            <v>20010041</v>
          </cell>
          <cell r="C21" t="str">
            <v>TERO</v>
          </cell>
          <cell r="D21" t="str">
            <v>MPG</v>
          </cell>
          <cell r="E21" t="str">
            <v>Direct</v>
          </cell>
        </row>
        <row r="22">
          <cell r="B22">
            <v>20010042</v>
          </cell>
          <cell r="C22" t="str">
            <v>RONHE</v>
          </cell>
          <cell r="D22" t="str">
            <v>MPG</v>
          </cell>
          <cell r="E22" t="str">
            <v>Direct</v>
          </cell>
        </row>
        <row r="23">
          <cell r="B23">
            <v>20010043</v>
          </cell>
          <cell r="C23" t="str">
            <v>DARKHANDREY</v>
          </cell>
          <cell r="D23" t="str">
            <v>MPG</v>
          </cell>
          <cell r="E23" t="str">
            <v>Direct</v>
          </cell>
        </row>
        <row r="24">
          <cell r="B24">
            <v>20010052</v>
          </cell>
          <cell r="C24" t="str">
            <v>Kumbatoli</v>
          </cell>
          <cell r="D24" t="str">
            <v>MPG</v>
          </cell>
          <cell r="E24" t="str">
            <v>Direct</v>
          </cell>
        </row>
        <row r="25">
          <cell r="B25">
            <v>20010053</v>
          </cell>
          <cell r="C25" t="str">
            <v>TUTLO</v>
          </cell>
          <cell r="D25" t="str">
            <v>MPG</v>
          </cell>
          <cell r="E25" t="str">
            <v>Direct</v>
          </cell>
        </row>
        <row r="26">
          <cell r="B26">
            <v>20010054</v>
          </cell>
          <cell r="C26" t="str">
            <v>NARKOPI</v>
          </cell>
          <cell r="D26" t="str">
            <v>MPG</v>
          </cell>
          <cell r="E26" t="str">
            <v>Direct</v>
          </cell>
        </row>
        <row r="27">
          <cell r="B27">
            <v>20010055</v>
          </cell>
          <cell r="C27" t="str">
            <v>MASU</v>
          </cell>
          <cell r="D27" t="str">
            <v>MPG</v>
          </cell>
          <cell r="E27" t="str">
            <v>Direct</v>
          </cell>
        </row>
        <row r="28">
          <cell r="B28">
            <v>20010057</v>
          </cell>
          <cell r="C28" t="str">
            <v>PANDEPARA</v>
          </cell>
          <cell r="D28" t="str">
            <v>VLC</v>
          </cell>
          <cell r="E28" t="str">
            <v>Indirect</v>
          </cell>
        </row>
        <row r="29">
          <cell r="B29">
            <v>20010059</v>
          </cell>
          <cell r="C29" t="str">
            <v>KARANJI 2</v>
          </cell>
          <cell r="D29" t="str">
            <v>MPG</v>
          </cell>
          <cell r="E29" t="str">
            <v>Direct</v>
          </cell>
        </row>
        <row r="30">
          <cell r="B30">
            <v>20010060</v>
          </cell>
          <cell r="C30" t="str">
            <v>ITKI 2</v>
          </cell>
          <cell r="D30" t="str">
            <v>VLC</v>
          </cell>
          <cell r="E30" t="str">
            <v>Indirect</v>
          </cell>
        </row>
        <row r="31">
          <cell r="B31">
            <v>20010061</v>
          </cell>
          <cell r="C31" t="str">
            <v>SEMRA</v>
          </cell>
          <cell r="D31" t="str">
            <v>MPG</v>
          </cell>
          <cell r="E31" t="str">
            <v>Direct</v>
          </cell>
        </row>
        <row r="32">
          <cell r="B32">
            <v>20010062</v>
          </cell>
          <cell r="C32" t="str">
            <v>PISKA</v>
          </cell>
          <cell r="D32" t="str">
            <v>MPG</v>
          </cell>
          <cell r="E32" t="str">
            <v>Direct</v>
          </cell>
        </row>
        <row r="33">
          <cell r="B33">
            <v>20020001</v>
          </cell>
          <cell r="C33" t="str">
            <v>Paali</v>
          </cell>
          <cell r="D33" t="str">
            <v>RMC</v>
          </cell>
          <cell r="E33" t="str">
            <v>Direct</v>
          </cell>
        </row>
        <row r="34">
          <cell r="B34">
            <v>20020002</v>
          </cell>
          <cell r="C34" t="str">
            <v>Jari</v>
          </cell>
          <cell r="D34" t="str">
            <v>MPG</v>
          </cell>
          <cell r="E34" t="str">
            <v>Direct</v>
          </cell>
        </row>
        <row r="35">
          <cell r="B35">
            <v>20020003</v>
          </cell>
          <cell r="C35" t="str">
            <v>Bijuliya</v>
          </cell>
          <cell r="D35" t="str">
            <v>MPG</v>
          </cell>
          <cell r="E35" t="str">
            <v>Direct</v>
          </cell>
        </row>
        <row r="36">
          <cell r="B36">
            <v>20020004</v>
          </cell>
          <cell r="C36" t="str">
            <v>Pandra</v>
          </cell>
          <cell r="D36" t="str">
            <v>MPG</v>
          </cell>
          <cell r="E36" t="str">
            <v>Direct</v>
          </cell>
        </row>
        <row r="37">
          <cell r="B37">
            <v>20020005</v>
          </cell>
          <cell r="C37" t="str">
            <v>BASKI</v>
          </cell>
          <cell r="D37" t="str">
            <v>MPG</v>
          </cell>
          <cell r="E37" t="str">
            <v>Direct</v>
          </cell>
        </row>
        <row r="38">
          <cell r="B38">
            <v>20020006</v>
          </cell>
          <cell r="C38" t="str">
            <v>RANIKHATANGA</v>
          </cell>
          <cell r="D38" t="str">
            <v>MPG</v>
          </cell>
          <cell r="E38" t="str">
            <v>Direct</v>
          </cell>
        </row>
        <row r="39">
          <cell r="B39">
            <v>20020007</v>
          </cell>
          <cell r="C39" t="str">
            <v>SURSA</v>
          </cell>
          <cell r="D39" t="str">
            <v>MPG</v>
          </cell>
          <cell r="E39" t="str">
            <v>Direct</v>
          </cell>
        </row>
        <row r="40">
          <cell r="B40">
            <v>20020010</v>
          </cell>
          <cell r="C40" t="str">
            <v>CHIPRA</v>
          </cell>
          <cell r="D40" t="str">
            <v>MPG</v>
          </cell>
          <cell r="E40" t="str">
            <v>Direct</v>
          </cell>
        </row>
        <row r="41">
          <cell r="B41">
            <v>20020011</v>
          </cell>
          <cell r="C41" t="str">
            <v>DHONTHA TOLI</v>
          </cell>
          <cell r="D41" t="str">
            <v>MPG</v>
          </cell>
          <cell r="E41" t="str">
            <v>Direct</v>
          </cell>
        </row>
        <row r="42">
          <cell r="B42">
            <v>20020013</v>
          </cell>
          <cell r="C42" t="str">
            <v>BAJPUR</v>
          </cell>
          <cell r="D42" t="str">
            <v>VLC</v>
          </cell>
          <cell r="E42" t="str">
            <v>Indirect</v>
          </cell>
        </row>
        <row r="43">
          <cell r="B43">
            <v>20020014</v>
          </cell>
          <cell r="C43" t="str">
            <v>BARGARI</v>
          </cell>
          <cell r="D43" t="str">
            <v>MPG</v>
          </cell>
          <cell r="E43" t="str">
            <v>Direct</v>
          </cell>
        </row>
        <row r="44">
          <cell r="B44">
            <v>20020015</v>
          </cell>
          <cell r="C44" t="str">
            <v>PATRATOLI</v>
          </cell>
          <cell r="D44" t="str">
            <v>MPG</v>
          </cell>
          <cell r="E44" t="str">
            <v>Direct</v>
          </cell>
        </row>
        <row r="45">
          <cell r="B45">
            <v>20020016</v>
          </cell>
          <cell r="C45" t="str">
            <v>BANAPIRI</v>
          </cell>
          <cell r="D45" t="str">
            <v>MPG</v>
          </cell>
          <cell r="E45" t="str">
            <v>Indirect</v>
          </cell>
        </row>
        <row r="46">
          <cell r="B46">
            <v>20020017</v>
          </cell>
          <cell r="C46" t="str">
            <v>SAPAROM</v>
          </cell>
          <cell r="D46" t="str">
            <v>VLC</v>
          </cell>
          <cell r="E46" t="str">
            <v>Indirect</v>
          </cell>
        </row>
        <row r="47">
          <cell r="B47">
            <v>20020020</v>
          </cell>
          <cell r="C47" t="str">
            <v>TIKO TOLI</v>
          </cell>
          <cell r="D47" t="str">
            <v>MPG</v>
          </cell>
          <cell r="E47" t="str">
            <v>Direct</v>
          </cell>
        </row>
        <row r="48">
          <cell r="B48">
            <v>20020021</v>
          </cell>
          <cell r="C48" t="str">
            <v>PUNGI</v>
          </cell>
          <cell r="D48" t="str">
            <v>MPG</v>
          </cell>
          <cell r="E48" t="str">
            <v>Direct</v>
          </cell>
        </row>
        <row r="49">
          <cell r="B49">
            <v>20020023</v>
          </cell>
          <cell r="C49" t="str">
            <v>BARTOLI</v>
          </cell>
          <cell r="D49" t="str">
            <v>MPG</v>
          </cell>
          <cell r="E49" t="str">
            <v>Direct</v>
          </cell>
        </row>
        <row r="50">
          <cell r="B50">
            <v>20020025</v>
          </cell>
          <cell r="C50" t="str">
            <v>AGRU</v>
          </cell>
          <cell r="D50" t="str">
            <v>VLC</v>
          </cell>
          <cell r="E50" t="str">
            <v>Direct</v>
          </cell>
        </row>
        <row r="51">
          <cell r="B51">
            <v>20030001</v>
          </cell>
          <cell r="C51" t="str">
            <v>Hisri Thakurgaon</v>
          </cell>
          <cell r="D51" t="str">
            <v>RMC</v>
          </cell>
          <cell r="E51" t="str">
            <v>Direct</v>
          </cell>
        </row>
        <row r="52">
          <cell r="B52">
            <v>20030002</v>
          </cell>
          <cell r="C52" t="str">
            <v>UMEDANDA</v>
          </cell>
          <cell r="D52" t="str">
            <v>MPG</v>
          </cell>
          <cell r="E52" t="str">
            <v>Direct</v>
          </cell>
        </row>
        <row r="53">
          <cell r="B53">
            <v>20030005</v>
          </cell>
          <cell r="C53" t="str">
            <v>THAKURGAON</v>
          </cell>
          <cell r="D53" t="str">
            <v>VLC</v>
          </cell>
          <cell r="E53" t="str">
            <v>Indirect</v>
          </cell>
        </row>
        <row r="54">
          <cell r="B54">
            <v>20030009</v>
          </cell>
          <cell r="C54" t="str">
            <v>SURID</v>
          </cell>
          <cell r="D54" t="str">
            <v>MPG</v>
          </cell>
          <cell r="E54" t="str">
            <v>Direct</v>
          </cell>
        </row>
        <row r="55">
          <cell r="B55">
            <v>20030012</v>
          </cell>
          <cell r="C55" t="str">
            <v>URUGUTU</v>
          </cell>
          <cell r="D55" t="str">
            <v>VLC</v>
          </cell>
          <cell r="E55" t="str">
            <v>Indirect</v>
          </cell>
        </row>
        <row r="56">
          <cell r="B56">
            <v>20040001</v>
          </cell>
          <cell r="C56" t="str">
            <v>CHOREYA</v>
          </cell>
          <cell r="D56" t="str">
            <v>RMC</v>
          </cell>
          <cell r="E56" t="str">
            <v>Direct</v>
          </cell>
        </row>
        <row r="57">
          <cell r="B57">
            <v>20040006</v>
          </cell>
          <cell r="C57" t="str">
            <v>KADAM TOLI</v>
          </cell>
          <cell r="D57" t="str">
            <v>MPG</v>
          </cell>
          <cell r="E57" t="str">
            <v>Direct</v>
          </cell>
        </row>
        <row r="58">
          <cell r="B58">
            <v>20040007</v>
          </cell>
          <cell r="C58" t="str">
            <v>MADHUKAM</v>
          </cell>
          <cell r="D58" t="str">
            <v>MPG</v>
          </cell>
          <cell r="E58" t="str">
            <v>Direct</v>
          </cell>
        </row>
        <row r="59">
          <cell r="B59">
            <v>20050001</v>
          </cell>
          <cell r="C59" t="str">
            <v>Baski 2</v>
          </cell>
          <cell r="D59" t="str">
            <v>RMC</v>
          </cell>
          <cell r="E59" t="str">
            <v>Direct</v>
          </cell>
        </row>
        <row r="60">
          <cell r="B60">
            <v>20050002</v>
          </cell>
          <cell r="C60" t="str">
            <v>KANBHITHA</v>
          </cell>
          <cell r="D60" t="str">
            <v>MPG</v>
          </cell>
          <cell r="E60" t="str">
            <v>Direct</v>
          </cell>
        </row>
        <row r="61">
          <cell r="B61">
            <v>20050003</v>
          </cell>
          <cell r="C61" t="str">
            <v>UCHARI</v>
          </cell>
          <cell r="D61" t="str">
            <v>MPG</v>
          </cell>
          <cell r="E61" t="str">
            <v>Direct</v>
          </cell>
        </row>
        <row r="62">
          <cell r="B62">
            <v>20060001</v>
          </cell>
          <cell r="C62" t="str">
            <v>ORMANJHI</v>
          </cell>
          <cell r="D62" t="str">
            <v>RMC</v>
          </cell>
          <cell r="E62" t="str">
            <v>Direct</v>
          </cell>
        </row>
        <row r="63">
          <cell r="B63">
            <v>20060002</v>
          </cell>
          <cell r="C63" t="str">
            <v>MANDRO</v>
          </cell>
          <cell r="D63" t="str">
            <v>MPG</v>
          </cell>
          <cell r="E63" t="str">
            <v>Direct</v>
          </cell>
        </row>
        <row r="64">
          <cell r="B64">
            <v>20060003</v>
          </cell>
          <cell r="C64" t="str">
            <v>DUMARDAGA</v>
          </cell>
          <cell r="D64" t="str">
            <v>MPG</v>
          </cell>
          <cell r="E64" t="str">
            <v>Direct</v>
          </cell>
        </row>
        <row r="65">
          <cell r="B65">
            <v>20060004</v>
          </cell>
          <cell r="C65" t="str">
            <v>CHUTTU</v>
          </cell>
          <cell r="D65" t="str">
            <v>MPG</v>
          </cell>
          <cell r="E65" t="str">
            <v>Direct</v>
          </cell>
        </row>
        <row r="66">
          <cell r="B66">
            <v>20060005</v>
          </cell>
          <cell r="C66" t="str">
            <v>JIRABAR</v>
          </cell>
          <cell r="D66" t="str">
            <v>MPG</v>
          </cell>
          <cell r="E66" t="str">
            <v>Direct</v>
          </cell>
        </row>
        <row r="67">
          <cell r="B67">
            <v>20060007</v>
          </cell>
          <cell r="C67" t="str">
            <v>HOCHAR</v>
          </cell>
          <cell r="D67" t="str">
            <v>MPG</v>
          </cell>
          <cell r="E67" t="str">
            <v>Direct</v>
          </cell>
        </row>
        <row r="68">
          <cell r="B68">
            <v>20060008</v>
          </cell>
          <cell r="C68" t="str">
            <v>ADELHATU</v>
          </cell>
          <cell r="D68" t="str">
            <v>VLC</v>
          </cell>
          <cell r="E68" t="str">
            <v>Direct</v>
          </cell>
        </row>
        <row r="69">
          <cell r="B69">
            <v>20060009</v>
          </cell>
          <cell r="C69" t="str">
            <v>KUCHU</v>
          </cell>
          <cell r="D69" t="str">
            <v>MPG</v>
          </cell>
          <cell r="E69" t="str">
            <v>Direct</v>
          </cell>
        </row>
        <row r="70">
          <cell r="B70">
            <v>20060013</v>
          </cell>
          <cell r="C70" t="str">
            <v>CHATAKPUR</v>
          </cell>
          <cell r="D70" t="str">
            <v>VLC</v>
          </cell>
          <cell r="E70" t="str">
            <v>Indirect</v>
          </cell>
        </row>
        <row r="71">
          <cell r="B71">
            <v>20060015</v>
          </cell>
          <cell r="C71" t="str">
            <v>IRBA</v>
          </cell>
          <cell r="D71" t="str">
            <v>VLC</v>
          </cell>
          <cell r="E71" t="str">
            <v>Indirect</v>
          </cell>
        </row>
        <row r="72">
          <cell r="B72">
            <v>20060017</v>
          </cell>
          <cell r="C72" t="str">
            <v>KUKUI</v>
          </cell>
          <cell r="D72" t="str">
            <v>MPG</v>
          </cell>
          <cell r="E72" t="str">
            <v>Direct</v>
          </cell>
        </row>
        <row r="73">
          <cell r="B73">
            <v>20060018</v>
          </cell>
          <cell r="C73" t="str">
            <v>PANCHOLI</v>
          </cell>
          <cell r="D73" t="str">
            <v>MPG</v>
          </cell>
          <cell r="E73" t="str">
            <v>Direct</v>
          </cell>
        </row>
        <row r="74">
          <cell r="B74">
            <v>20060019</v>
          </cell>
          <cell r="C74" t="str">
            <v>HOCHAR 2</v>
          </cell>
          <cell r="D74" t="str">
            <v>MPG</v>
          </cell>
          <cell r="E74" t="str">
            <v>Direct</v>
          </cell>
        </row>
        <row r="75">
          <cell r="B75">
            <v>20060020</v>
          </cell>
          <cell r="C75" t="str">
            <v>BARAGAIN</v>
          </cell>
          <cell r="D75" t="str">
            <v>VLC</v>
          </cell>
          <cell r="E75" t="str">
            <v>Indirect</v>
          </cell>
        </row>
        <row r="76">
          <cell r="B76">
            <v>20060022</v>
          </cell>
          <cell r="C76" t="str">
            <v>MAHESHPUR</v>
          </cell>
          <cell r="D76" t="str">
            <v>MPG</v>
          </cell>
          <cell r="E76" t="str">
            <v>Direct</v>
          </cell>
        </row>
        <row r="77">
          <cell r="B77">
            <v>20060025</v>
          </cell>
          <cell r="C77" t="str">
            <v>RAMGARH</v>
          </cell>
          <cell r="D77" t="str">
            <v>VLC</v>
          </cell>
          <cell r="E77" t="str">
            <v>Indirect</v>
          </cell>
        </row>
        <row r="78">
          <cell r="B78">
            <v>20070001</v>
          </cell>
          <cell r="C78" t="str">
            <v>PIRAGUTU</v>
          </cell>
          <cell r="D78" t="str">
            <v>RMC</v>
          </cell>
          <cell r="E78" t="str">
            <v>Direct</v>
          </cell>
        </row>
        <row r="79">
          <cell r="B79">
            <v>20070002</v>
          </cell>
          <cell r="C79" t="str">
            <v>SARAM</v>
          </cell>
          <cell r="D79" t="str">
            <v>MPG</v>
          </cell>
          <cell r="E79" t="str">
            <v>Direct</v>
          </cell>
        </row>
        <row r="80">
          <cell r="B80">
            <v>20070003</v>
          </cell>
          <cell r="C80" t="str">
            <v>MURUPIRI</v>
          </cell>
          <cell r="D80" t="str">
            <v>MPG</v>
          </cell>
          <cell r="E80" t="str">
            <v>Direct</v>
          </cell>
        </row>
        <row r="81">
          <cell r="B81">
            <v>20070004</v>
          </cell>
          <cell r="C81" t="str">
            <v>KEDAL</v>
          </cell>
          <cell r="D81" t="str">
            <v>MPG</v>
          </cell>
          <cell r="E81" t="str">
            <v>Direct</v>
          </cell>
        </row>
        <row r="82">
          <cell r="B82">
            <v>20070006</v>
          </cell>
          <cell r="C82" t="str">
            <v>SAHEDA</v>
          </cell>
          <cell r="D82" t="str">
            <v>MPG</v>
          </cell>
          <cell r="E82" t="str">
            <v>Direct</v>
          </cell>
        </row>
        <row r="83">
          <cell r="B83">
            <v>20070007</v>
          </cell>
          <cell r="C83" t="str">
            <v>NABATOLI</v>
          </cell>
          <cell r="D83" t="str">
            <v>MPG</v>
          </cell>
          <cell r="E83" t="str">
            <v>Direct</v>
          </cell>
        </row>
        <row r="84">
          <cell r="B84">
            <v>20070009</v>
          </cell>
          <cell r="C84" t="str">
            <v>KARAMBA</v>
          </cell>
          <cell r="D84" t="str">
            <v>MPG</v>
          </cell>
          <cell r="E84" t="str">
            <v>Indirect</v>
          </cell>
        </row>
        <row r="85">
          <cell r="B85">
            <v>20070010</v>
          </cell>
          <cell r="C85" t="str">
            <v>KURALU</v>
          </cell>
          <cell r="D85" t="str">
            <v>MPG</v>
          </cell>
          <cell r="E85" t="str">
            <v>Direct</v>
          </cell>
        </row>
        <row r="86">
          <cell r="B86">
            <v>20070016</v>
          </cell>
          <cell r="C86" t="str">
            <v>MAYAPUR</v>
          </cell>
          <cell r="D86" t="str">
            <v>MPG</v>
          </cell>
          <cell r="E86" t="str">
            <v>Direct</v>
          </cell>
        </row>
        <row r="87">
          <cell r="B87">
            <v>20070018</v>
          </cell>
          <cell r="C87" t="str">
            <v>MAKKA</v>
          </cell>
          <cell r="D87" t="str">
            <v>MPG</v>
          </cell>
          <cell r="E87" t="str">
            <v>Direct</v>
          </cell>
        </row>
        <row r="88">
          <cell r="B88">
            <v>20070019</v>
          </cell>
          <cell r="C88" t="str">
            <v>CHORA</v>
          </cell>
          <cell r="D88" t="str">
            <v>MPG</v>
          </cell>
          <cell r="E88" t="str">
            <v>Direct</v>
          </cell>
        </row>
        <row r="89">
          <cell r="B89">
            <v>20070020</v>
          </cell>
          <cell r="C89" t="str">
            <v>ULATU</v>
          </cell>
          <cell r="D89" t="str">
            <v>MPG</v>
          </cell>
          <cell r="E89" t="str">
            <v>Direct</v>
          </cell>
        </row>
        <row r="90">
          <cell r="B90">
            <v>20070021</v>
          </cell>
          <cell r="C90" t="str">
            <v>USKU</v>
          </cell>
          <cell r="D90" t="str">
            <v>MPG</v>
          </cell>
          <cell r="E90" t="str">
            <v>Indirect</v>
          </cell>
        </row>
        <row r="91">
          <cell r="B91">
            <v>20070023</v>
          </cell>
          <cell r="C91" t="str">
            <v>ICHAPIRI</v>
          </cell>
          <cell r="D91" t="str">
            <v>MPG</v>
          </cell>
          <cell r="E91" t="str">
            <v>Direct</v>
          </cell>
        </row>
        <row r="92">
          <cell r="B92">
            <v>20070024</v>
          </cell>
          <cell r="C92" t="str">
            <v>MURPA</v>
          </cell>
          <cell r="D92" t="str">
            <v>MPG</v>
          </cell>
          <cell r="E92" t="str">
            <v>Direct</v>
          </cell>
        </row>
        <row r="93">
          <cell r="B93">
            <v>20070025</v>
          </cell>
          <cell r="C93" t="str">
            <v>SUBHASH NAGAR</v>
          </cell>
          <cell r="D93" t="str">
            <v>MPG</v>
          </cell>
          <cell r="E93" t="str">
            <v>Direct</v>
          </cell>
        </row>
        <row r="94">
          <cell r="B94">
            <v>20070026</v>
          </cell>
          <cell r="C94" t="str">
            <v>NINDRA</v>
          </cell>
          <cell r="D94" t="str">
            <v>MPG</v>
          </cell>
          <cell r="E94" t="str">
            <v>Direct</v>
          </cell>
        </row>
        <row r="95">
          <cell r="B95">
            <v>20080001</v>
          </cell>
          <cell r="C95" t="str">
            <v>CHATTI BHANDRA</v>
          </cell>
          <cell r="D95" t="str">
            <v>RMC</v>
          </cell>
          <cell r="E95" t="str">
            <v>Direct</v>
          </cell>
        </row>
        <row r="96">
          <cell r="B96">
            <v>20080002</v>
          </cell>
          <cell r="C96" t="str">
            <v>BHITTA</v>
          </cell>
          <cell r="D96" t="str">
            <v>MPG</v>
          </cell>
          <cell r="E96" t="str">
            <v>Direct</v>
          </cell>
        </row>
        <row r="97">
          <cell r="B97">
            <v>20080004</v>
          </cell>
          <cell r="C97" t="str">
            <v>Guri</v>
          </cell>
          <cell r="D97" t="str">
            <v>MPG</v>
          </cell>
          <cell r="E97" t="str">
            <v>Direct</v>
          </cell>
        </row>
        <row r="98">
          <cell r="B98">
            <v>20080005</v>
          </cell>
          <cell r="C98" t="str">
            <v>Bhaiyagaon</v>
          </cell>
          <cell r="D98" t="str">
            <v>MPG</v>
          </cell>
          <cell r="E98" t="str">
            <v>Direct</v>
          </cell>
        </row>
        <row r="99">
          <cell r="B99">
            <v>20080006</v>
          </cell>
          <cell r="C99" t="str">
            <v>Chitri Ambatoli</v>
          </cell>
          <cell r="D99" t="str">
            <v>MPG</v>
          </cell>
          <cell r="E99" t="str">
            <v>Direct</v>
          </cell>
        </row>
        <row r="100">
          <cell r="B100">
            <v>20080007</v>
          </cell>
          <cell r="C100" t="str">
            <v>Rampur</v>
          </cell>
          <cell r="D100" t="str">
            <v>MPG</v>
          </cell>
          <cell r="E100" t="str">
            <v>Direct</v>
          </cell>
        </row>
        <row r="101">
          <cell r="B101">
            <v>20080008</v>
          </cell>
          <cell r="C101" t="str">
            <v>Ningni</v>
          </cell>
          <cell r="D101" t="str">
            <v>MPG</v>
          </cell>
          <cell r="E101" t="str">
            <v>Direct</v>
          </cell>
        </row>
        <row r="102">
          <cell r="B102">
            <v>20080009</v>
          </cell>
          <cell r="C102" t="str">
            <v>MASHMANO</v>
          </cell>
          <cell r="D102" t="str">
            <v>MPG</v>
          </cell>
          <cell r="E102" t="str">
            <v>Direct</v>
          </cell>
        </row>
        <row r="103">
          <cell r="B103">
            <v>20080010</v>
          </cell>
          <cell r="C103" t="str">
            <v>PAHARKESA</v>
          </cell>
          <cell r="D103" t="str">
            <v>MPG</v>
          </cell>
          <cell r="E103" t="str">
            <v>Direct</v>
          </cell>
        </row>
        <row r="104">
          <cell r="B104">
            <v>20080014</v>
          </cell>
          <cell r="C104" t="str">
            <v>BHUJANIYA</v>
          </cell>
          <cell r="D104" t="str">
            <v>MPG</v>
          </cell>
          <cell r="E104" t="str">
            <v>Indirect</v>
          </cell>
        </row>
        <row r="105">
          <cell r="B105">
            <v>20080025</v>
          </cell>
          <cell r="C105" t="str">
            <v>DAARU</v>
          </cell>
          <cell r="D105" t="str">
            <v>MPG</v>
          </cell>
          <cell r="E105" t="str">
            <v>Direct</v>
          </cell>
        </row>
        <row r="106">
          <cell r="B106">
            <v>20080026</v>
          </cell>
          <cell r="C106" t="str">
            <v>CHHARDA</v>
          </cell>
          <cell r="D106" t="str">
            <v>MPG</v>
          </cell>
          <cell r="E106" t="str">
            <v>Direct</v>
          </cell>
        </row>
        <row r="107">
          <cell r="B107">
            <v>20080027</v>
          </cell>
          <cell r="C107" t="str">
            <v>NADI NAGRA 2</v>
          </cell>
          <cell r="D107" t="str">
            <v>MPG</v>
          </cell>
          <cell r="E107" t="str">
            <v>Direct</v>
          </cell>
        </row>
        <row r="108">
          <cell r="B108">
            <v>20080028</v>
          </cell>
          <cell r="C108" t="str">
            <v>BASRI NAGRA</v>
          </cell>
          <cell r="D108" t="str">
            <v>MPG</v>
          </cell>
          <cell r="E108" t="str">
            <v>Direct</v>
          </cell>
        </row>
        <row r="109">
          <cell r="B109">
            <v>20080030</v>
          </cell>
          <cell r="C109" t="str">
            <v>SORANDA</v>
          </cell>
          <cell r="D109" t="str">
            <v>MPG</v>
          </cell>
          <cell r="E109" t="str">
            <v>Direct</v>
          </cell>
        </row>
        <row r="110">
          <cell r="B110">
            <v>20080034</v>
          </cell>
          <cell r="C110" t="str">
            <v>ITTA BARHI CHOWK</v>
          </cell>
          <cell r="D110" t="str">
            <v>MPG</v>
          </cell>
          <cell r="E110" t="str">
            <v>Direct</v>
          </cell>
        </row>
        <row r="111">
          <cell r="B111">
            <v>20080036</v>
          </cell>
          <cell r="C111" t="str">
            <v>MUNDO 2</v>
          </cell>
          <cell r="D111" t="str">
            <v>VLC</v>
          </cell>
          <cell r="E111" t="str">
            <v>Indirect</v>
          </cell>
        </row>
        <row r="112">
          <cell r="B112">
            <v>20080039</v>
          </cell>
          <cell r="C112" t="str">
            <v>LONGA</v>
          </cell>
          <cell r="D112" t="str">
            <v>MPG</v>
          </cell>
          <cell r="E112" t="str">
            <v>Direct</v>
          </cell>
        </row>
        <row r="113">
          <cell r="B113">
            <v>20080041</v>
          </cell>
          <cell r="C113" t="str">
            <v>KACHMACHI</v>
          </cell>
          <cell r="D113" t="str">
            <v>MPG</v>
          </cell>
          <cell r="E113" t="str">
            <v>Direct</v>
          </cell>
        </row>
        <row r="114">
          <cell r="B114">
            <v>20080043</v>
          </cell>
          <cell r="C114" t="str">
            <v>JATARGARI</v>
          </cell>
          <cell r="D114" t="str">
            <v>MPG</v>
          </cell>
          <cell r="E114" t="str">
            <v>Indirect</v>
          </cell>
        </row>
        <row r="115">
          <cell r="B115">
            <v>20080046</v>
          </cell>
          <cell r="C115" t="str">
            <v>KUNDO AMBATOLI</v>
          </cell>
          <cell r="D115" t="str">
            <v>MPG</v>
          </cell>
          <cell r="E115" t="str">
            <v>Direct</v>
          </cell>
        </row>
        <row r="116">
          <cell r="B116">
            <v>20080047</v>
          </cell>
          <cell r="C116" t="str">
            <v>PAHARKESHA 2</v>
          </cell>
          <cell r="D116" t="str">
            <v>VLC</v>
          </cell>
          <cell r="E116" t="str">
            <v>Indirect</v>
          </cell>
        </row>
        <row r="117">
          <cell r="B117">
            <v>20080049</v>
          </cell>
          <cell r="C117" t="str">
            <v>MALANG TOLI</v>
          </cell>
          <cell r="D117" t="str">
            <v>VLC</v>
          </cell>
          <cell r="E117" t="str">
            <v>Indirect</v>
          </cell>
        </row>
        <row r="118">
          <cell r="B118">
            <v>20080050</v>
          </cell>
          <cell r="C118" t="str">
            <v>KACHMACHI 2</v>
          </cell>
          <cell r="D118" t="str">
            <v>MPG</v>
          </cell>
          <cell r="E118" t="str">
            <v>Direct</v>
          </cell>
        </row>
        <row r="119">
          <cell r="B119">
            <v>20090001</v>
          </cell>
          <cell r="C119" t="str">
            <v>Chanho</v>
          </cell>
          <cell r="D119" t="str">
            <v>RMC</v>
          </cell>
          <cell r="E119" t="str">
            <v>Direct</v>
          </cell>
        </row>
        <row r="120">
          <cell r="B120">
            <v>20090002</v>
          </cell>
          <cell r="C120" t="str">
            <v>Bajra</v>
          </cell>
          <cell r="D120" t="str">
            <v>MPG</v>
          </cell>
          <cell r="E120" t="str">
            <v>Direct</v>
          </cell>
        </row>
        <row r="121">
          <cell r="B121">
            <v>20090003</v>
          </cell>
          <cell r="C121" t="str">
            <v>Naudi</v>
          </cell>
          <cell r="D121" t="str">
            <v>MPG</v>
          </cell>
          <cell r="E121" t="str">
            <v>Indirect</v>
          </cell>
        </row>
        <row r="122">
          <cell r="B122">
            <v>20090004</v>
          </cell>
          <cell r="C122" t="str">
            <v>DUMRI</v>
          </cell>
          <cell r="D122" t="str">
            <v>MPG</v>
          </cell>
          <cell r="E122" t="str">
            <v>Direct</v>
          </cell>
        </row>
        <row r="123">
          <cell r="B123">
            <v>20090006</v>
          </cell>
          <cell r="C123" t="str">
            <v>KATAIYA</v>
          </cell>
          <cell r="D123" t="str">
            <v>VLC</v>
          </cell>
          <cell r="E123" t="str">
            <v>Indirect</v>
          </cell>
        </row>
        <row r="124">
          <cell r="B124">
            <v>20090008</v>
          </cell>
          <cell r="C124" t="str">
            <v>GANESHPUR</v>
          </cell>
          <cell r="D124" t="str">
            <v>MPG</v>
          </cell>
          <cell r="E124" t="str">
            <v>Direct</v>
          </cell>
        </row>
        <row r="125">
          <cell r="B125">
            <v>20090010</v>
          </cell>
          <cell r="C125" t="str">
            <v>CHATWAL</v>
          </cell>
          <cell r="D125" t="str">
            <v>VLC</v>
          </cell>
          <cell r="E125" t="str">
            <v>Indirect</v>
          </cell>
        </row>
        <row r="126">
          <cell r="B126">
            <v>20090011</v>
          </cell>
          <cell r="C126" t="str">
            <v>BARHE</v>
          </cell>
          <cell r="D126" t="str">
            <v>MPG</v>
          </cell>
          <cell r="E126" t="str">
            <v>Direct</v>
          </cell>
        </row>
        <row r="127">
          <cell r="B127">
            <v>20090012</v>
          </cell>
          <cell r="C127" t="str">
            <v>LUNDRI 2</v>
          </cell>
          <cell r="D127" t="str">
            <v>MPG</v>
          </cell>
          <cell r="E127" t="str">
            <v>Direct</v>
          </cell>
        </row>
        <row r="128">
          <cell r="B128">
            <v>20090013</v>
          </cell>
          <cell r="C128" t="str">
            <v>LUNDRI 1</v>
          </cell>
          <cell r="D128" t="str">
            <v>MPG</v>
          </cell>
          <cell r="E128" t="str">
            <v>Direct</v>
          </cell>
        </row>
        <row r="129">
          <cell r="B129">
            <v>20090014</v>
          </cell>
          <cell r="C129" t="str">
            <v>HUTAR</v>
          </cell>
          <cell r="D129" t="str">
            <v>MPG</v>
          </cell>
          <cell r="E129" t="str">
            <v>Direct</v>
          </cell>
        </row>
        <row r="130">
          <cell r="B130">
            <v>20090015</v>
          </cell>
          <cell r="C130" t="str">
            <v>PAKARIYO</v>
          </cell>
          <cell r="D130" t="str">
            <v>MPG</v>
          </cell>
          <cell r="E130" t="str">
            <v>Direct</v>
          </cell>
        </row>
        <row r="131">
          <cell r="B131">
            <v>20090017</v>
          </cell>
          <cell r="C131" t="str">
            <v>NAWATAND</v>
          </cell>
          <cell r="D131" t="str">
            <v>MPG</v>
          </cell>
          <cell r="E131" t="str">
            <v>Direct</v>
          </cell>
        </row>
        <row r="132">
          <cell r="B132">
            <v>20090018</v>
          </cell>
          <cell r="C132" t="str">
            <v>KOTHI TOLA</v>
          </cell>
          <cell r="D132" t="str">
            <v>MPG</v>
          </cell>
          <cell r="E132" t="str">
            <v>Indirect</v>
          </cell>
        </row>
        <row r="133">
          <cell r="B133">
            <v>20090019</v>
          </cell>
          <cell r="C133" t="str">
            <v>MADINA NAGAR</v>
          </cell>
          <cell r="D133" t="str">
            <v>VLC</v>
          </cell>
          <cell r="E133" t="str">
            <v>Indirect</v>
          </cell>
        </row>
        <row r="134">
          <cell r="B134">
            <v>20090020</v>
          </cell>
          <cell r="C134" t="str">
            <v>PAKARIYO 2</v>
          </cell>
          <cell r="D134" t="str">
            <v>MPG</v>
          </cell>
          <cell r="E134" t="str">
            <v>Direct</v>
          </cell>
        </row>
        <row r="135">
          <cell r="B135">
            <v>20090021</v>
          </cell>
          <cell r="C135" t="str">
            <v>PATRA TOLI</v>
          </cell>
          <cell r="D135" t="str">
            <v>MPG</v>
          </cell>
          <cell r="E135" t="str">
            <v>Direct</v>
          </cell>
        </row>
        <row r="136">
          <cell r="B136">
            <v>20090022</v>
          </cell>
          <cell r="C136" t="str">
            <v>KATAIYA 2</v>
          </cell>
          <cell r="D136" t="str">
            <v>MPG</v>
          </cell>
          <cell r="E136" t="str">
            <v>Direct</v>
          </cell>
        </row>
        <row r="137">
          <cell r="B137">
            <v>20090023</v>
          </cell>
          <cell r="C137" t="str">
            <v>KOKAR</v>
          </cell>
          <cell r="D137" t="str">
            <v>MPG</v>
          </cell>
          <cell r="E137" t="str">
            <v>Direct</v>
          </cell>
        </row>
        <row r="138">
          <cell r="B138">
            <v>20090025</v>
          </cell>
          <cell r="C138" t="str">
            <v>KULLU</v>
          </cell>
          <cell r="D138" t="str">
            <v>VLC</v>
          </cell>
          <cell r="E138" t="str">
            <v>Indirect</v>
          </cell>
        </row>
        <row r="139">
          <cell r="B139">
            <v>20090026</v>
          </cell>
          <cell r="C139" t="str">
            <v>BHOGLA TOLI</v>
          </cell>
          <cell r="D139" t="str">
            <v>MPG</v>
          </cell>
          <cell r="E139" t="str">
            <v>Direct</v>
          </cell>
        </row>
        <row r="140">
          <cell r="C140" t="str">
            <v>Total:</v>
          </cell>
          <cell r="E140">
            <v>136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25.49109560185" createdVersion="8" refreshedVersion="8" minRefreshableVersion="3" recordCount="28" xr:uid="{BECC5FCF-5D2D-478C-831C-B1DB5EC98649}">
  <cacheSource type="worksheet">
    <worksheetSource ref="A3:P31" sheet="CF indent 27-31th Mar-26"/>
  </cacheSource>
  <cacheFields count="16">
    <cacheField name="_x000a_Order Date " numFmtId="14">
      <sharedItems containsSemiMixedTypes="0" containsNonDate="0" containsDate="1" containsString="0" minDate="2026-04-10T00:00:00" maxDate="2026-04-12T00:00:00"/>
    </cacheField>
    <cacheField name="Deduction Cycle" numFmtId="0">
      <sharedItems/>
    </cacheField>
    <cacheField name="_x000a_Item Name " numFmtId="0">
      <sharedItems/>
    </cacheField>
    <cacheField name="ID" numFmtId="0">
      <sharedItems/>
    </cacheField>
    <cacheField name="_x000a__x000a_MPG Code  " numFmtId="0">
      <sharedItems containsSemiMixedTypes="0" containsString="0" containsNumber="1" containsInteger="1" minValue="20010001" maxValue="20070002" count="11">
        <n v="20020003"/>
        <n v="20020001"/>
        <n v="20020006"/>
        <n v="20020020"/>
        <n v="20070002"/>
        <n v="20020025"/>
        <n v="20010001"/>
        <n v="20060003"/>
        <n v="20010008"/>
        <n v="20010003"/>
        <n v="20060009"/>
      </sharedItems>
    </cacheField>
    <cacheField name="_x000a_MPG Name " numFmtId="0">
      <sharedItems/>
    </cacheField>
    <cacheField name="_x000a__x000a_Farmer code  " numFmtId="0">
      <sharedItems count="20">
        <s v="0002"/>
        <s v="0160"/>
        <s v="0083"/>
        <s v="0033"/>
        <s v="0005"/>
        <s v="0041"/>
        <s v="0025"/>
        <s v="0003"/>
        <s v="0121"/>
        <s v="0042"/>
        <s v="0038"/>
        <s v="0023"/>
        <s v="0012"/>
        <s v="0044"/>
        <s v="0010"/>
        <s v="0014"/>
        <s v="0037"/>
        <s v="0059"/>
        <s v="0060"/>
        <s v="0019"/>
      </sharedItems>
    </cacheField>
    <cacheField name="_x000a__x000a_Farmer name  " numFmtId="0">
      <sharedItems containsNonDate="0" containsString="0" containsBlank="1"/>
    </cacheField>
    <cacheField name="_x000a__x000a_BMC Name  " numFmtId="0">
      <sharedItems/>
    </cacheField>
    <cacheField name="_x000a__x000a_CSP  " numFmtId="0">
      <sharedItems/>
    </cacheField>
    <cacheField name="_x000a__x000a_Qty  " numFmtId="0">
      <sharedItems containsSemiMixedTypes="0" containsString="0" containsNumber="1" containsInteger="1" minValue="0" maxValue="85"/>
    </cacheField>
    <cacheField name="_x000a_Rate " numFmtId="0">
      <sharedItems containsSemiMixedTypes="0" containsString="0" containsNumber="1" containsInteger="1" minValue="1200" maxValue="1250"/>
    </cacheField>
    <cacheField name="Total Amount" numFmtId="0">
      <sharedItems containsSemiMixedTypes="0" containsString="0" containsNumber="1" containsInteger="1" minValue="162" maxValue="102000"/>
    </cacheField>
    <cacheField name="Final Qty" numFmtId="0">
      <sharedItems containsSemiMixedTypes="0" containsString="0" containsNumber="1" containsInteger="1" minValue="0" maxValue="85"/>
    </cacheField>
    <cacheField name="Final Amount" numFmtId="0">
      <sharedItems containsSemiMixedTypes="0" containsString="0" containsNumber="1" containsInteger="1" minValue="162" maxValue="10200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6-04-10T00:00:00"/>
    <s v="03-04-2026- 09-04-2026"/>
    <s v="Gomukh Gold 50KG"/>
    <s v="200200030002"/>
    <x v="0"/>
    <s v="Bijuliya"/>
    <x v="0"/>
    <m/>
    <s v="Paali"/>
    <s v="Daya Society"/>
    <n v="10"/>
    <n v="1250"/>
    <n v="12500"/>
    <n v="10"/>
    <n v="12500"/>
    <m/>
  </r>
  <r>
    <d v="2026-04-10T00:00:00"/>
    <s v="03-04-2026- 09-04-2026"/>
    <s v="Gomukh Gold 50KG"/>
    <s v="200200010160"/>
    <x v="1"/>
    <s v="Paali"/>
    <x v="1"/>
    <m/>
    <s v="Paali"/>
    <s v="Daya Society"/>
    <n v="1"/>
    <n v="1250"/>
    <n v="1250"/>
    <n v="1"/>
    <n v="1250"/>
    <m/>
  </r>
  <r>
    <d v="2026-04-10T00:00:00"/>
    <s v="03-04-2026- 09-04-2026"/>
    <s v="Gomukh Gold 50KG"/>
    <s v="200200010083"/>
    <x v="1"/>
    <s v="Paali"/>
    <x v="2"/>
    <m/>
    <s v="Paali"/>
    <s v="Daya Society"/>
    <n v="1"/>
    <n v="1250"/>
    <n v="1250"/>
    <n v="1"/>
    <n v="1250"/>
    <m/>
  </r>
  <r>
    <d v="2026-04-10T00:00:00"/>
    <s v="03-04-2026- 09-04-2026"/>
    <s v="Gomukh Gold 50KG"/>
    <s v="200200010033"/>
    <x v="1"/>
    <s v="Paali"/>
    <x v="3"/>
    <m/>
    <s v="Paali"/>
    <s v="Daya Society"/>
    <n v="1"/>
    <n v="1250"/>
    <n v="1250"/>
    <n v="1"/>
    <n v="1250"/>
    <m/>
  </r>
  <r>
    <d v="2026-04-10T00:00:00"/>
    <s v="03-04-2026- 09-04-2026"/>
    <s v="Gomukh Gold 50KG"/>
    <s v="200200010005"/>
    <x v="1"/>
    <s v="Paali"/>
    <x v="4"/>
    <m/>
    <s v="Paali"/>
    <s v="Daya Society"/>
    <n v="1"/>
    <n v="1250"/>
    <n v="1250"/>
    <n v="1"/>
    <n v="1250"/>
    <m/>
  </r>
  <r>
    <d v="2026-04-10T00:00:00"/>
    <s v="03-04-2026- 09-04-2026"/>
    <s v="Gomukh Gold 50KG"/>
    <s v="200200010041"/>
    <x v="1"/>
    <s v="Paali"/>
    <x v="5"/>
    <m/>
    <s v="Paali"/>
    <s v="Daya Society"/>
    <n v="1"/>
    <n v="1250"/>
    <n v="1250"/>
    <n v="1"/>
    <n v="1250"/>
    <m/>
  </r>
  <r>
    <d v="2026-04-10T00:00:00"/>
    <s v="03-04-2026- 09-04-2026"/>
    <s v="Gomukh Gold 50KG"/>
    <s v="200200010025"/>
    <x v="1"/>
    <s v="Paali"/>
    <x v="6"/>
    <m/>
    <s v="Paali"/>
    <s v="Daya Society"/>
    <n v="1"/>
    <n v="1250"/>
    <n v="1250"/>
    <n v="1"/>
    <n v="1250"/>
    <m/>
  </r>
  <r>
    <d v="2026-04-10T00:00:00"/>
    <s v="03-04-2026- 09-04-2026"/>
    <s v="Gomukh Gold 50KG"/>
    <s v="200200010003"/>
    <x v="1"/>
    <s v="Paali"/>
    <x v="7"/>
    <m/>
    <s v="Paali"/>
    <s v="Daya Society"/>
    <n v="1"/>
    <n v="1250"/>
    <n v="1250"/>
    <n v="1"/>
    <n v="1250"/>
    <m/>
  </r>
  <r>
    <d v="2026-04-10T00:00:00"/>
    <s v="03-04-2026- 09-04-2026"/>
    <s v="Gomukh Gold 50KG"/>
    <s v="200200010121"/>
    <x v="1"/>
    <s v="Paali"/>
    <x v="8"/>
    <m/>
    <s v="Paali"/>
    <s v="Daya Society"/>
    <n v="1"/>
    <n v="1250"/>
    <n v="1250"/>
    <n v="1"/>
    <n v="1250"/>
    <m/>
  </r>
  <r>
    <d v="2026-04-10T00:00:00"/>
    <s v="03-04-2026- 09-04-2026"/>
    <s v="Gomukh Gold 50KG"/>
    <s v="200200060002"/>
    <x v="2"/>
    <s v="Ranikhatanga"/>
    <x v="0"/>
    <m/>
    <s v="Paali"/>
    <s v="Daya Society"/>
    <n v="5"/>
    <n v="1250"/>
    <n v="6250"/>
    <n v="5"/>
    <n v="6250"/>
    <m/>
  </r>
  <r>
    <d v="2026-04-10T00:00:00"/>
    <s v="03-04-2026- 09-04-2026"/>
    <s v="Gomukh Gold 50KG"/>
    <s v="200200200033"/>
    <x v="3"/>
    <s v="Tiko Toli"/>
    <x v="3"/>
    <m/>
    <s v="Paali"/>
    <s v="Daya Society"/>
    <n v="0"/>
    <n v="1250"/>
    <n v="560"/>
    <n v="0"/>
    <n v="560"/>
    <m/>
  </r>
  <r>
    <d v="2026-04-10T00:00:00"/>
    <s v="03-04-2026- 09-04-2026"/>
    <s v="Gomukh Gold 50KG"/>
    <s v="200200200042"/>
    <x v="3"/>
    <s v="Tiko Toli"/>
    <x v="9"/>
    <m/>
    <s v="Paali"/>
    <s v="Daya Society"/>
    <n v="0"/>
    <n v="1250"/>
    <n v="785"/>
    <n v="0"/>
    <n v="785"/>
    <m/>
  </r>
  <r>
    <d v="2026-04-10T00:00:00"/>
    <s v="03-04-2026- 09-04-2026"/>
    <s v="Gomukh Gold 50KG"/>
    <s v="200200200038"/>
    <x v="3"/>
    <s v="Tiko Toli"/>
    <x v="10"/>
    <m/>
    <s v="Paali"/>
    <s v="Daya Society"/>
    <n v="0"/>
    <n v="1250"/>
    <n v="640"/>
    <n v="0"/>
    <n v="640"/>
    <m/>
  </r>
  <r>
    <d v="2026-04-10T00:00:00"/>
    <s v="03-04-2026- 09-04-2026"/>
    <s v="Gomukh Gold 50KG"/>
    <s v="200700020002"/>
    <x v="4"/>
    <s v="Saram"/>
    <x v="0"/>
    <m/>
    <s v="Piragutu"/>
    <s v="Daya Society"/>
    <n v="0"/>
    <n v="1250"/>
    <n v="162"/>
    <n v="0"/>
    <n v="162"/>
    <m/>
  </r>
  <r>
    <d v="2026-04-10T00:00:00"/>
    <s v="03-04-2026- 09-04-2026"/>
    <s v="Gomukh Gold 50KG"/>
    <s v="200200250002"/>
    <x v="5"/>
    <s v="Agru"/>
    <x v="0"/>
    <m/>
    <s v="Paali"/>
    <s v="Daya Society"/>
    <n v="5"/>
    <n v="1250"/>
    <n v="6250"/>
    <n v="5"/>
    <n v="6250"/>
    <m/>
  </r>
  <r>
    <d v="2026-04-10T00:00:00"/>
    <s v="03-04-2026- 09-04-2026"/>
    <s v="Gomukh Gold 50KG"/>
    <s v="200200200025"/>
    <x v="3"/>
    <s v="Tiko Toli"/>
    <x v="6"/>
    <m/>
    <s v="Paali"/>
    <s v="Daya Society"/>
    <n v="1"/>
    <n v="1250"/>
    <n v="1250"/>
    <n v="1"/>
    <n v="1250"/>
    <m/>
  </r>
  <r>
    <d v="2026-04-10T00:00:00"/>
    <s v="03-04-2026- 09-04-2026"/>
    <s v="Gomukh Gold 50KG"/>
    <s v="200200200023"/>
    <x v="3"/>
    <s v="Tiko Toli"/>
    <x v="11"/>
    <m/>
    <s v="Paali"/>
    <s v="Daya Society"/>
    <n v="1"/>
    <n v="1250"/>
    <n v="1250"/>
    <n v="1"/>
    <n v="1250"/>
    <m/>
  </r>
  <r>
    <d v="2026-04-10T00:00:00"/>
    <s v="03-04-2026- 09-04-2026"/>
    <s v="Gomukh Gold 50KG"/>
    <s v="200200200012"/>
    <x v="3"/>
    <s v="Tiko Toli"/>
    <x v="12"/>
    <m/>
    <s v="Paali"/>
    <s v="Daya Society"/>
    <n v="1"/>
    <n v="1250"/>
    <n v="1250"/>
    <n v="1"/>
    <n v="1250"/>
    <m/>
  </r>
  <r>
    <d v="2026-04-10T00:00:00"/>
    <s v="03-04-2026- 09-04-2026"/>
    <s v="Gomukh Gold 50KG"/>
    <s v="200200200044"/>
    <x v="3"/>
    <s v="Tiko Toli"/>
    <x v="13"/>
    <m/>
    <s v="Paali"/>
    <s v="Daya Society"/>
    <n v="1"/>
    <n v="1250"/>
    <n v="1250"/>
    <n v="1"/>
    <n v="1250"/>
    <m/>
  </r>
  <r>
    <d v="2026-04-11T00:00:00"/>
    <s v="03-04-2026- 09-04-2026"/>
    <s v="Gomukh Gold 50KG"/>
    <s v="200100010002"/>
    <x v="6"/>
    <s v="Itki"/>
    <x v="0"/>
    <m/>
    <s v="Itki"/>
    <s v="Daya Society"/>
    <n v="85"/>
    <n v="1200"/>
    <n v="102000"/>
    <n v="85"/>
    <n v="102000"/>
    <m/>
  </r>
  <r>
    <d v="2026-04-11T00:00:00"/>
    <s v="03-04-2026- 09-04-2026"/>
    <s v="Gomukh Gold 50KG"/>
    <s v="200600030002"/>
    <x v="7"/>
    <s v="Dumardaga"/>
    <x v="0"/>
    <m/>
    <s v="Ormanjhi"/>
    <s v="Daya Society"/>
    <n v="20"/>
    <n v="1250"/>
    <n v="25000"/>
    <n v="20"/>
    <n v="25000"/>
    <m/>
  </r>
  <r>
    <d v="2026-04-11T00:00:00"/>
    <s v="03-04-2026- 09-04-2026"/>
    <s v="Gomukh Gold 50KG"/>
    <s v="200100080010"/>
    <x v="8"/>
    <s v="Erchoro"/>
    <x v="14"/>
    <m/>
    <s v="Itki"/>
    <s v="Daya Society"/>
    <n v="1"/>
    <n v="1250"/>
    <n v="1250"/>
    <n v="1"/>
    <n v="1250"/>
    <m/>
  </r>
  <r>
    <d v="2026-04-11T00:00:00"/>
    <s v="03-04-2026- 09-04-2026"/>
    <s v="Gomukh Gold 50KG"/>
    <s v="200100080014"/>
    <x v="8"/>
    <s v="Erchoro"/>
    <x v="15"/>
    <m/>
    <s v="Itki"/>
    <s v="Daya Society"/>
    <n v="1"/>
    <n v="1250"/>
    <n v="1250"/>
    <n v="1"/>
    <n v="1250"/>
    <m/>
  </r>
  <r>
    <d v="2026-04-11T00:00:00"/>
    <s v="03-04-2026- 09-04-2026"/>
    <s v="Gomukh Gold 50KG"/>
    <s v="200100080037"/>
    <x v="8"/>
    <s v="Erchoro"/>
    <x v="16"/>
    <m/>
    <s v="Itki"/>
    <s v="Daya Society"/>
    <n v="1"/>
    <n v="1250"/>
    <n v="1250"/>
    <n v="1"/>
    <n v="1250"/>
    <m/>
  </r>
  <r>
    <d v="2026-04-11T00:00:00"/>
    <s v="03-04-2026- 09-04-2026"/>
    <s v="Gomukh Gold 50KG"/>
    <s v="200100080059"/>
    <x v="8"/>
    <s v="Erchoro"/>
    <x v="17"/>
    <m/>
    <s v="Itki"/>
    <s v="Daya Society"/>
    <n v="1"/>
    <n v="1250"/>
    <n v="1250"/>
    <n v="1"/>
    <n v="1250"/>
    <m/>
  </r>
  <r>
    <d v="2026-04-11T00:00:00"/>
    <s v="03-04-2026- 09-04-2026"/>
    <s v="Gomukh Gold 50KG"/>
    <s v="200100080060"/>
    <x v="8"/>
    <s v="Erchoro"/>
    <x v="18"/>
    <m/>
    <s v="Itki"/>
    <s v="Daya Society"/>
    <n v="1"/>
    <n v="1250"/>
    <n v="1250"/>
    <n v="1"/>
    <n v="1250"/>
    <m/>
  </r>
  <r>
    <d v="2026-04-11T00:00:00"/>
    <s v="03-04-2026- 09-04-2026"/>
    <s v="Gomukh Gold 50KG"/>
    <s v="200100030003"/>
    <x v="9"/>
    <s v="Bero"/>
    <x v="7"/>
    <m/>
    <s v="Itki"/>
    <s v="Daya Society"/>
    <n v="8"/>
    <n v="1250"/>
    <n v="10000"/>
    <n v="8"/>
    <n v="10000"/>
    <m/>
  </r>
  <r>
    <d v="2026-04-11T00:00:00"/>
    <s v="03-04-2026- 09-04-2026"/>
    <s v="Gomukh Gold 50KG"/>
    <s v="200600090019"/>
    <x v="10"/>
    <s v="Kuchu"/>
    <x v="19"/>
    <m/>
    <s v="Ormanjhi"/>
    <s v="Daya Society"/>
    <n v="19"/>
    <n v="1250"/>
    <n v="23750"/>
    <n v="19"/>
    <n v="2375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C9BE4-666F-408E-B1A2-D5907E6C440F}" name="PivotTable4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33" firstHeaderRow="2" firstDataRow="2" firstDataCol="2"/>
  <pivotFields count="16"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6"/>
        <item x="9"/>
        <item x="8"/>
        <item x="1"/>
        <item x="0"/>
        <item x="2"/>
        <item x="3"/>
        <item x="5"/>
        <item x="7"/>
        <item x="1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1">
        <item x="0"/>
        <item x="7"/>
        <item x="4"/>
        <item x="14"/>
        <item x="12"/>
        <item x="15"/>
        <item x="19"/>
        <item x="11"/>
        <item x="6"/>
        <item x="3"/>
        <item x="16"/>
        <item x="10"/>
        <item x="5"/>
        <item x="9"/>
        <item x="13"/>
        <item x="17"/>
        <item x="18"/>
        <item x="2"/>
        <item x="8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6"/>
  </rowFields>
  <rowItems count="29">
    <i>
      <x/>
      <x/>
    </i>
    <i>
      <x v="1"/>
      <x v="1"/>
    </i>
    <i>
      <x v="2"/>
      <x v="3"/>
    </i>
    <i r="1">
      <x v="5"/>
    </i>
    <i r="1">
      <x v="10"/>
    </i>
    <i r="1">
      <x v="15"/>
    </i>
    <i r="1">
      <x v="16"/>
    </i>
    <i>
      <x v="3"/>
      <x v="1"/>
    </i>
    <i r="1">
      <x v="2"/>
    </i>
    <i r="1">
      <x v="8"/>
    </i>
    <i r="1">
      <x v="9"/>
    </i>
    <i r="1">
      <x v="12"/>
    </i>
    <i r="1">
      <x v="17"/>
    </i>
    <i r="1">
      <x v="18"/>
    </i>
    <i r="1">
      <x v="19"/>
    </i>
    <i>
      <x v="4"/>
      <x/>
    </i>
    <i>
      <x v="5"/>
      <x/>
    </i>
    <i>
      <x v="6"/>
      <x v="4"/>
    </i>
    <i r="1">
      <x v="7"/>
    </i>
    <i r="1">
      <x v="8"/>
    </i>
    <i r="1">
      <x v="9"/>
    </i>
    <i r="1">
      <x v="11"/>
    </i>
    <i r="1">
      <x v="13"/>
    </i>
    <i r="1">
      <x v="14"/>
    </i>
    <i>
      <x v="7"/>
      <x/>
    </i>
    <i>
      <x v="8"/>
      <x/>
    </i>
    <i>
      <x v="9"/>
      <x v="6"/>
    </i>
    <i>
      <x v="10"/>
      <x/>
    </i>
    <i t="grand">
      <x/>
    </i>
  </rowItems>
  <colItems count="1">
    <i/>
  </colItems>
  <dataFields count="1">
    <dataField name="Sum of Final Amoun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F949-4393-4B31-8FDB-EE17C722E5B0}">
  <dimension ref="A3:K33"/>
  <sheetViews>
    <sheetView tabSelected="1" workbookViewId="0">
      <selection activeCell="M26" sqref="M26"/>
    </sheetView>
  </sheetViews>
  <sheetFormatPr defaultRowHeight="15" x14ac:dyDescent="0.25"/>
  <cols>
    <col min="1" max="1" width="16" bestFit="1" customWidth="1"/>
    <col min="2" max="2" width="17.5703125" bestFit="1" customWidth="1"/>
    <col min="3" max="3" width="7" bestFit="1" customWidth="1"/>
  </cols>
  <sheetData>
    <row r="3" spans="1:11" x14ac:dyDescent="0.25">
      <c r="A3" s="13" t="s">
        <v>56</v>
      </c>
    </row>
    <row r="4" spans="1:11" x14ac:dyDescent="0.25">
      <c r="A4" s="13" t="s">
        <v>5</v>
      </c>
      <c r="B4" s="13" t="s">
        <v>7</v>
      </c>
      <c r="C4" t="s">
        <v>57</v>
      </c>
      <c r="F4" s="14" t="s">
        <v>58</v>
      </c>
      <c r="G4" s="14" t="s">
        <v>5</v>
      </c>
      <c r="H4" s="14" t="s">
        <v>7</v>
      </c>
      <c r="I4" s="14" t="s">
        <v>57</v>
      </c>
      <c r="J4" s="14" t="s">
        <v>59</v>
      </c>
      <c r="K4" s="14" t="s">
        <v>19</v>
      </c>
    </row>
    <row r="5" spans="1:11" x14ac:dyDescent="0.25">
      <c r="A5">
        <v>20010001</v>
      </c>
      <c r="B5" t="s">
        <v>24</v>
      </c>
      <c r="C5">
        <v>102000</v>
      </c>
      <c r="F5" t="str">
        <f>CONCATENATE(G5,H5)</f>
        <v>200100010002</v>
      </c>
      <c r="G5" s="16">
        <v>20010001</v>
      </c>
      <c r="H5" t="s">
        <v>24</v>
      </c>
      <c r="I5">
        <v>102000</v>
      </c>
      <c r="J5" t="str">
        <f>VLOOKUP(G5,'[1]MPG Payment'!$B$3:$E$140,4,0)</f>
        <v>Direct</v>
      </c>
      <c r="K5">
        <v>102000</v>
      </c>
    </row>
    <row r="6" spans="1:11" x14ac:dyDescent="0.25">
      <c r="A6">
        <v>20010003</v>
      </c>
      <c r="B6" t="s">
        <v>34</v>
      </c>
      <c r="C6">
        <v>10000</v>
      </c>
      <c r="F6" t="str">
        <f t="shared" ref="F6:F32" si="0">CONCATENATE(G6,H6)</f>
        <v>200100030003</v>
      </c>
      <c r="G6" s="16">
        <v>20010003</v>
      </c>
      <c r="H6" t="s">
        <v>34</v>
      </c>
      <c r="I6">
        <v>10000</v>
      </c>
      <c r="J6" t="str">
        <f>VLOOKUP(G6,'[1]MPG Payment'!$B$3:$E$140,4,0)</f>
        <v>Direct</v>
      </c>
      <c r="K6">
        <v>10000</v>
      </c>
    </row>
    <row r="7" spans="1:11" x14ac:dyDescent="0.25">
      <c r="A7">
        <v>20010008</v>
      </c>
      <c r="B7" t="s">
        <v>47</v>
      </c>
      <c r="C7">
        <v>1250</v>
      </c>
      <c r="F7" t="str">
        <f t="shared" si="0"/>
        <v>200100080010</v>
      </c>
      <c r="G7" s="17">
        <v>20010008</v>
      </c>
      <c r="H7" t="s">
        <v>47</v>
      </c>
      <c r="I7">
        <v>1250</v>
      </c>
      <c r="J7" t="str">
        <f>VLOOKUP(G7,'[1]MPG Payment'!$B$3:$E$140,4,0)</f>
        <v>Direct</v>
      </c>
      <c r="K7">
        <v>1250</v>
      </c>
    </row>
    <row r="8" spans="1:11" x14ac:dyDescent="0.25">
      <c r="A8">
        <v>20010008</v>
      </c>
      <c r="B8" t="s">
        <v>48</v>
      </c>
      <c r="C8">
        <v>1250</v>
      </c>
      <c r="F8" t="str">
        <f t="shared" si="0"/>
        <v>200100080014</v>
      </c>
      <c r="G8" s="17">
        <v>20010008</v>
      </c>
      <c r="H8" t="s">
        <v>48</v>
      </c>
      <c r="I8">
        <v>1250</v>
      </c>
      <c r="J8" t="str">
        <f>VLOOKUP(G8,'[1]MPG Payment'!$B$3:$E$140,4,0)</f>
        <v>Direct</v>
      </c>
      <c r="K8">
        <v>1250</v>
      </c>
    </row>
    <row r="9" spans="1:11" x14ac:dyDescent="0.25">
      <c r="A9">
        <v>20010008</v>
      </c>
      <c r="B9" t="s">
        <v>49</v>
      </c>
      <c r="C9">
        <v>1250</v>
      </c>
      <c r="F9" t="str">
        <f t="shared" si="0"/>
        <v>200100080037</v>
      </c>
      <c r="G9" s="17">
        <v>20010008</v>
      </c>
      <c r="H9" t="s">
        <v>49</v>
      </c>
      <c r="I9">
        <v>1250</v>
      </c>
      <c r="J9" t="str">
        <f>VLOOKUP(G9,'[1]MPG Payment'!$B$3:$E$140,4,0)</f>
        <v>Direct</v>
      </c>
      <c r="K9">
        <v>1250</v>
      </c>
    </row>
    <row r="10" spans="1:11" x14ac:dyDescent="0.25">
      <c r="A10">
        <v>20010008</v>
      </c>
      <c r="B10" t="s">
        <v>50</v>
      </c>
      <c r="C10">
        <v>1250</v>
      </c>
      <c r="F10" t="str">
        <f t="shared" si="0"/>
        <v>200100080059</v>
      </c>
      <c r="G10" s="17">
        <v>20010008</v>
      </c>
      <c r="H10" t="s">
        <v>50</v>
      </c>
      <c r="I10">
        <v>1250</v>
      </c>
      <c r="J10" t="str">
        <f>VLOOKUP(G10,'[1]MPG Payment'!$B$3:$E$140,4,0)</f>
        <v>Direct</v>
      </c>
      <c r="K10">
        <v>1250</v>
      </c>
    </row>
    <row r="11" spans="1:11" x14ac:dyDescent="0.25">
      <c r="A11">
        <v>20010008</v>
      </c>
      <c r="B11" t="s">
        <v>51</v>
      </c>
      <c r="C11">
        <v>1250</v>
      </c>
      <c r="F11" t="str">
        <f t="shared" si="0"/>
        <v>200100080060</v>
      </c>
      <c r="G11" s="16">
        <v>20010008</v>
      </c>
      <c r="H11" t="s">
        <v>51</v>
      </c>
      <c r="I11">
        <v>1250</v>
      </c>
      <c r="J11" t="str">
        <f>VLOOKUP(G11,'[1]MPG Payment'!$B$3:$E$140,4,0)</f>
        <v>Direct</v>
      </c>
      <c r="K11">
        <v>1250</v>
      </c>
    </row>
    <row r="12" spans="1:11" x14ac:dyDescent="0.25">
      <c r="A12">
        <v>20020001</v>
      </c>
      <c r="B12" t="s">
        <v>34</v>
      </c>
      <c r="C12">
        <v>1250</v>
      </c>
      <c r="F12" t="str">
        <f t="shared" si="0"/>
        <v>200200010003</v>
      </c>
      <c r="G12" s="17">
        <v>20020001</v>
      </c>
      <c r="H12" t="s">
        <v>34</v>
      </c>
      <c r="I12">
        <v>1250</v>
      </c>
      <c r="J12" t="str">
        <f>VLOOKUP(G12,'[1]MPG Payment'!$B$3:$E$140,4,0)</f>
        <v>Direct</v>
      </c>
      <c r="K12">
        <v>1250</v>
      </c>
    </row>
    <row r="13" spans="1:11" x14ac:dyDescent="0.25">
      <c r="A13">
        <v>20020001</v>
      </c>
      <c r="B13" t="s">
        <v>23</v>
      </c>
      <c r="C13">
        <v>1250</v>
      </c>
      <c r="F13" t="str">
        <f t="shared" si="0"/>
        <v>200200010005</v>
      </c>
      <c r="G13" s="17">
        <v>20020001</v>
      </c>
      <c r="H13" t="s">
        <v>23</v>
      </c>
      <c r="I13">
        <v>1250</v>
      </c>
      <c r="J13" t="str">
        <f>VLOOKUP(G13,'[1]MPG Payment'!$B$3:$E$140,4,0)</f>
        <v>Direct</v>
      </c>
      <c r="K13">
        <v>1250</v>
      </c>
    </row>
    <row r="14" spans="1:11" x14ac:dyDescent="0.25">
      <c r="A14">
        <v>20020001</v>
      </c>
      <c r="B14" t="s">
        <v>22</v>
      </c>
      <c r="C14">
        <v>1250</v>
      </c>
      <c r="F14" t="str">
        <f t="shared" si="0"/>
        <v>200200010025</v>
      </c>
      <c r="G14" s="17">
        <v>20020001</v>
      </c>
      <c r="H14" t="s">
        <v>22</v>
      </c>
      <c r="I14">
        <v>1250</v>
      </c>
      <c r="J14" t="str">
        <f>VLOOKUP(G14,'[1]MPG Payment'!$B$3:$E$140,4,0)</f>
        <v>Direct</v>
      </c>
      <c r="K14">
        <v>1119</v>
      </c>
    </row>
    <row r="15" spans="1:11" x14ac:dyDescent="0.25">
      <c r="A15">
        <v>20020001</v>
      </c>
      <c r="B15" t="s">
        <v>27</v>
      </c>
      <c r="C15">
        <v>1250</v>
      </c>
      <c r="F15" t="str">
        <f t="shared" si="0"/>
        <v>200200010033</v>
      </c>
      <c r="G15" s="17">
        <v>20020001</v>
      </c>
      <c r="H15" t="s">
        <v>27</v>
      </c>
      <c r="I15">
        <v>1250</v>
      </c>
      <c r="J15" t="str">
        <f>VLOOKUP(G15,'[1]MPG Payment'!$B$3:$E$140,4,0)</f>
        <v>Direct</v>
      </c>
      <c r="K15">
        <v>1250</v>
      </c>
    </row>
    <row r="16" spans="1:11" x14ac:dyDescent="0.25">
      <c r="A16">
        <v>20020001</v>
      </c>
      <c r="B16" t="s">
        <v>31</v>
      </c>
      <c r="C16">
        <v>1250</v>
      </c>
      <c r="F16" t="str">
        <f t="shared" si="0"/>
        <v>200200010041</v>
      </c>
      <c r="G16" s="17">
        <v>20020001</v>
      </c>
      <c r="H16" t="s">
        <v>31</v>
      </c>
      <c r="I16">
        <v>1250</v>
      </c>
      <c r="J16" t="str">
        <f>VLOOKUP(G16,'[1]MPG Payment'!$B$3:$E$140,4,0)</f>
        <v>Direct</v>
      </c>
      <c r="K16">
        <v>1250</v>
      </c>
    </row>
    <row r="17" spans="1:11" x14ac:dyDescent="0.25">
      <c r="A17">
        <v>20020001</v>
      </c>
      <c r="B17" t="s">
        <v>38</v>
      </c>
      <c r="C17">
        <v>1250</v>
      </c>
      <c r="F17" t="str">
        <f t="shared" si="0"/>
        <v>200200010083</v>
      </c>
      <c r="G17" s="17">
        <v>20020001</v>
      </c>
      <c r="H17" t="s">
        <v>38</v>
      </c>
      <c r="I17">
        <v>1250</v>
      </c>
      <c r="J17" t="str">
        <f>VLOOKUP(G17,'[1]MPG Payment'!$B$3:$E$140,4,0)</f>
        <v>Direct</v>
      </c>
      <c r="K17">
        <v>1250</v>
      </c>
    </row>
    <row r="18" spans="1:11" x14ac:dyDescent="0.25">
      <c r="A18">
        <v>20020001</v>
      </c>
      <c r="B18" t="s">
        <v>39</v>
      </c>
      <c r="C18">
        <v>1250</v>
      </c>
      <c r="F18" t="str">
        <f t="shared" si="0"/>
        <v>200200010121</v>
      </c>
      <c r="G18" s="17">
        <v>20020001</v>
      </c>
      <c r="H18" t="s">
        <v>39</v>
      </c>
      <c r="I18">
        <v>1250</v>
      </c>
      <c r="J18" t="str">
        <f>VLOOKUP(G18,'[1]MPG Payment'!$B$3:$E$140,4,0)</f>
        <v>Direct</v>
      </c>
      <c r="K18">
        <v>1250</v>
      </c>
    </row>
    <row r="19" spans="1:11" x14ac:dyDescent="0.25">
      <c r="A19">
        <v>20020001</v>
      </c>
      <c r="B19" t="s">
        <v>37</v>
      </c>
      <c r="C19">
        <v>1250</v>
      </c>
      <c r="F19" t="str">
        <f t="shared" si="0"/>
        <v>200200010160</v>
      </c>
      <c r="G19" s="16">
        <v>20020001</v>
      </c>
      <c r="H19" t="s">
        <v>37</v>
      </c>
      <c r="I19">
        <v>1250</v>
      </c>
      <c r="J19" t="str">
        <f>VLOOKUP(G19,'[1]MPG Payment'!$B$3:$E$140,4,0)</f>
        <v>Direct</v>
      </c>
      <c r="K19">
        <v>724</v>
      </c>
    </row>
    <row r="20" spans="1:11" x14ac:dyDescent="0.25">
      <c r="A20">
        <v>20020003</v>
      </c>
      <c r="B20" t="s">
        <v>24</v>
      </c>
      <c r="C20">
        <v>12500</v>
      </c>
      <c r="F20" t="str">
        <f t="shared" si="0"/>
        <v>200200030002</v>
      </c>
      <c r="G20" s="16">
        <v>20020003</v>
      </c>
      <c r="H20" t="s">
        <v>24</v>
      </c>
      <c r="I20">
        <v>12500</v>
      </c>
      <c r="J20" t="str">
        <f>VLOOKUP(G20,'[1]MPG Payment'!$B$3:$E$140,4,0)</f>
        <v>Direct</v>
      </c>
      <c r="K20">
        <v>12500</v>
      </c>
    </row>
    <row r="21" spans="1:11" x14ac:dyDescent="0.25">
      <c r="A21">
        <v>20020006</v>
      </c>
      <c r="B21" t="s">
        <v>24</v>
      </c>
      <c r="C21">
        <v>6250</v>
      </c>
      <c r="F21" t="str">
        <f t="shared" si="0"/>
        <v>200200060002</v>
      </c>
      <c r="G21" s="16">
        <v>20020006</v>
      </c>
      <c r="H21" t="s">
        <v>24</v>
      </c>
      <c r="I21">
        <v>6250</v>
      </c>
      <c r="J21" t="str">
        <f>VLOOKUP(G21,'[1]MPG Payment'!$B$3:$E$140,4,0)</f>
        <v>Direct</v>
      </c>
      <c r="K21">
        <v>6250</v>
      </c>
    </row>
    <row r="22" spans="1:11" x14ac:dyDescent="0.25">
      <c r="A22">
        <v>20020020</v>
      </c>
      <c r="B22" t="s">
        <v>42</v>
      </c>
      <c r="C22">
        <v>1250</v>
      </c>
      <c r="F22" t="str">
        <f t="shared" si="0"/>
        <v>200200200012</v>
      </c>
      <c r="G22" s="17">
        <v>20020020</v>
      </c>
      <c r="H22" t="s">
        <v>42</v>
      </c>
      <c r="I22">
        <v>1250</v>
      </c>
      <c r="J22" t="str">
        <f>VLOOKUP(G22,'[1]MPG Payment'!$B$3:$E$140,4,0)</f>
        <v>Direct</v>
      </c>
      <c r="K22">
        <v>1250</v>
      </c>
    </row>
    <row r="23" spans="1:11" x14ac:dyDescent="0.25">
      <c r="A23">
        <v>20020020</v>
      </c>
      <c r="B23" t="s">
        <v>29</v>
      </c>
      <c r="C23">
        <v>1250</v>
      </c>
      <c r="F23" t="str">
        <f t="shared" si="0"/>
        <v>200200200023</v>
      </c>
      <c r="G23" s="17">
        <v>20020020</v>
      </c>
      <c r="H23" t="s">
        <v>29</v>
      </c>
      <c r="I23">
        <v>1250</v>
      </c>
      <c r="J23" t="str">
        <f>VLOOKUP(G23,'[1]MPG Payment'!$B$3:$E$140,4,0)</f>
        <v>Direct</v>
      </c>
      <c r="K23">
        <v>1250</v>
      </c>
    </row>
    <row r="24" spans="1:11" x14ac:dyDescent="0.25">
      <c r="A24">
        <v>20020020</v>
      </c>
      <c r="B24" t="s">
        <v>22</v>
      </c>
      <c r="C24">
        <v>1250</v>
      </c>
      <c r="F24" t="str">
        <f t="shared" si="0"/>
        <v>200200200025</v>
      </c>
      <c r="G24" s="17">
        <v>20020020</v>
      </c>
      <c r="H24" t="s">
        <v>22</v>
      </c>
      <c r="I24">
        <v>1250</v>
      </c>
      <c r="J24" t="str">
        <f>VLOOKUP(G24,'[1]MPG Payment'!$B$3:$E$140,4,0)</f>
        <v>Direct</v>
      </c>
      <c r="K24">
        <v>1250</v>
      </c>
    </row>
    <row r="25" spans="1:11" x14ac:dyDescent="0.25">
      <c r="A25">
        <v>20020020</v>
      </c>
      <c r="B25" t="s">
        <v>27</v>
      </c>
      <c r="C25">
        <v>560</v>
      </c>
      <c r="F25" t="str">
        <f t="shared" si="0"/>
        <v>200200200033</v>
      </c>
      <c r="G25" s="17">
        <v>20020020</v>
      </c>
      <c r="H25" t="s">
        <v>27</v>
      </c>
      <c r="I25">
        <v>560</v>
      </c>
      <c r="J25" t="str">
        <f>VLOOKUP(G25,'[1]MPG Payment'!$B$3:$E$140,4,0)</f>
        <v>Direct</v>
      </c>
      <c r="K25">
        <v>560</v>
      </c>
    </row>
    <row r="26" spans="1:11" x14ac:dyDescent="0.25">
      <c r="A26">
        <v>20020020</v>
      </c>
      <c r="B26" t="s">
        <v>30</v>
      </c>
      <c r="C26">
        <v>640</v>
      </c>
      <c r="F26" t="str">
        <f t="shared" si="0"/>
        <v>200200200038</v>
      </c>
      <c r="G26" s="17">
        <v>20020020</v>
      </c>
      <c r="H26" t="s">
        <v>30</v>
      </c>
      <c r="I26">
        <v>640</v>
      </c>
      <c r="J26" t="str">
        <f>VLOOKUP(G26,'[1]MPG Payment'!$B$3:$E$140,4,0)</f>
        <v>Direct</v>
      </c>
      <c r="K26">
        <v>640</v>
      </c>
    </row>
    <row r="27" spans="1:11" x14ac:dyDescent="0.25">
      <c r="A27">
        <v>20020020</v>
      </c>
      <c r="B27" t="s">
        <v>28</v>
      </c>
      <c r="C27">
        <v>785</v>
      </c>
      <c r="F27" t="str">
        <f t="shared" si="0"/>
        <v>200200200042</v>
      </c>
      <c r="G27" s="17">
        <v>20020020</v>
      </c>
      <c r="H27" t="s">
        <v>28</v>
      </c>
      <c r="I27">
        <v>785</v>
      </c>
      <c r="J27" t="str">
        <f>VLOOKUP(G27,'[1]MPG Payment'!$B$3:$E$140,4,0)</f>
        <v>Direct</v>
      </c>
      <c r="K27">
        <v>785</v>
      </c>
    </row>
    <row r="28" spans="1:11" x14ac:dyDescent="0.25">
      <c r="A28">
        <v>20020020</v>
      </c>
      <c r="B28" t="s">
        <v>43</v>
      </c>
      <c r="C28">
        <v>1250</v>
      </c>
      <c r="F28" t="str">
        <f t="shared" si="0"/>
        <v>200200200044</v>
      </c>
      <c r="G28" s="16">
        <v>20020020</v>
      </c>
      <c r="H28" t="s">
        <v>43</v>
      </c>
      <c r="I28">
        <v>1250</v>
      </c>
      <c r="J28" t="str">
        <f>VLOOKUP(G28,'[1]MPG Payment'!$B$3:$E$140,4,0)</f>
        <v>Direct</v>
      </c>
      <c r="K28">
        <v>1250</v>
      </c>
    </row>
    <row r="29" spans="1:11" x14ac:dyDescent="0.25">
      <c r="A29">
        <v>20020025</v>
      </c>
      <c r="B29" t="s">
        <v>24</v>
      </c>
      <c r="C29">
        <v>6250</v>
      </c>
      <c r="F29" t="str">
        <f t="shared" si="0"/>
        <v>200200250002</v>
      </c>
      <c r="G29" s="16">
        <v>20020025</v>
      </c>
      <c r="H29" t="s">
        <v>24</v>
      </c>
      <c r="I29">
        <v>6250</v>
      </c>
      <c r="J29" t="str">
        <f>VLOOKUP(G29,'[1]MPG Payment'!$B$3:$E$140,4,0)</f>
        <v>Direct</v>
      </c>
      <c r="K29">
        <v>6250</v>
      </c>
    </row>
    <row r="30" spans="1:11" x14ac:dyDescent="0.25">
      <c r="A30">
        <v>20060003</v>
      </c>
      <c r="B30" t="s">
        <v>24</v>
      </c>
      <c r="C30">
        <v>25000</v>
      </c>
      <c r="F30" t="str">
        <f t="shared" si="0"/>
        <v>200600030002</v>
      </c>
      <c r="G30" s="16">
        <v>20060003</v>
      </c>
      <c r="H30" t="s">
        <v>24</v>
      </c>
      <c r="I30">
        <v>25000</v>
      </c>
      <c r="J30" t="str">
        <f>VLOOKUP(G30,'[1]MPG Payment'!$B$3:$E$140,4,0)</f>
        <v>Direct</v>
      </c>
      <c r="K30">
        <v>25000</v>
      </c>
    </row>
    <row r="31" spans="1:11" x14ac:dyDescent="0.25">
      <c r="A31">
        <v>20060009</v>
      </c>
      <c r="B31" t="s">
        <v>53</v>
      </c>
      <c r="C31">
        <v>23750</v>
      </c>
      <c r="F31" t="str">
        <f t="shared" si="0"/>
        <v>200600090019</v>
      </c>
      <c r="G31" s="16">
        <v>20060009</v>
      </c>
      <c r="H31" t="s">
        <v>53</v>
      </c>
      <c r="I31">
        <v>23750</v>
      </c>
      <c r="J31" t="str">
        <f>VLOOKUP(G31,'[1]MPG Payment'!$B$3:$E$140,4,0)</f>
        <v>Direct</v>
      </c>
      <c r="K31">
        <v>3465</v>
      </c>
    </row>
    <row r="32" spans="1:11" x14ac:dyDescent="0.25">
      <c r="A32">
        <v>20070002</v>
      </c>
      <c r="B32" t="s">
        <v>24</v>
      </c>
      <c r="C32">
        <v>162</v>
      </c>
      <c r="F32" t="str">
        <f t="shared" si="0"/>
        <v>200700020002</v>
      </c>
      <c r="G32" s="16">
        <v>20070002</v>
      </c>
      <c r="H32" t="s">
        <v>24</v>
      </c>
      <c r="I32">
        <v>162</v>
      </c>
      <c r="J32" t="str">
        <f>VLOOKUP(G32,'[1]MPG Payment'!$B$3:$E$140,4,0)</f>
        <v>Direct</v>
      </c>
      <c r="K32">
        <v>162</v>
      </c>
    </row>
    <row r="33" spans="1:11" x14ac:dyDescent="0.25">
      <c r="A33" t="s">
        <v>55</v>
      </c>
      <c r="C33">
        <v>209147</v>
      </c>
      <c r="F33" s="15" t="s">
        <v>55</v>
      </c>
      <c r="G33" s="15"/>
      <c r="H33" s="15"/>
      <c r="I33" s="15">
        <v>209147</v>
      </c>
      <c r="J33" s="15"/>
      <c r="K33" s="15">
        <f>SUM(K5:K32)</f>
        <v>188205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7301-EE49-407F-9A80-E403DCB4FC82}">
  <dimension ref="A1:R74"/>
  <sheetViews>
    <sheetView zoomScaleNormal="100" workbookViewId="0">
      <pane xSplit="4" ySplit="3" topLeftCell="E12" activePane="bottomRight" state="frozen"/>
      <selection pane="topRight" activeCell="E1" sqref="E1"/>
      <selection pane="bottomLeft" activeCell="A4" sqref="A4"/>
      <selection pane="bottomRight" activeCell="A3" sqref="A3:P31"/>
    </sheetView>
  </sheetViews>
  <sheetFormatPr defaultColWidth="12.5703125" defaultRowHeight="15" x14ac:dyDescent="0.25"/>
  <cols>
    <col min="1" max="1" width="13.42578125" customWidth="1"/>
    <col min="2" max="2" width="23.140625" customWidth="1"/>
    <col min="3" max="3" width="18.85546875" customWidth="1"/>
    <col min="4" max="4" width="14.5703125" customWidth="1"/>
    <col min="5" max="5" width="12.42578125" customWidth="1"/>
    <col min="6" max="6" width="16.140625" customWidth="1"/>
    <col min="7" max="7" width="13" customWidth="1"/>
    <col min="8" max="8" width="18.85546875" customWidth="1"/>
    <col min="9" max="9" width="16" customWidth="1"/>
    <col min="10" max="10" width="16.140625" customWidth="1"/>
    <col min="11" max="11" width="7.85546875" customWidth="1"/>
    <col min="12" max="12" width="12.42578125" customWidth="1"/>
    <col min="13" max="14" width="13.140625" customWidth="1"/>
    <col min="15" max="15" width="16" customWidth="1"/>
    <col min="16" max="20" width="18.85546875" customWidth="1"/>
  </cols>
  <sheetData>
    <row r="1" spans="1:18" ht="15.75" customHeight="1" x14ac:dyDescent="0.25">
      <c r="K1">
        <f>SUBTOTAL(9,K4:K29)</f>
        <v>142</v>
      </c>
      <c r="M1">
        <f>SUBTOTAL(9,M4:M29)</f>
        <v>175397</v>
      </c>
    </row>
    <row r="2" spans="1:18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8" t="s">
        <v>0</v>
      </c>
      <c r="L2" s="19"/>
      <c r="M2" s="19"/>
      <c r="N2" s="20" t="s">
        <v>19</v>
      </c>
      <c r="O2" s="21"/>
      <c r="P2" s="22"/>
      <c r="Q2" s="1"/>
    </row>
    <row r="3" spans="1:18" s="7" customFormat="1" ht="12.75" x14ac:dyDescent="0.2">
      <c r="A3" s="2" t="s">
        <v>1</v>
      </c>
      <c r="B3" s="2" t="s">
        <v>2</v>
      </c>
      <c r="C3" s="3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2" t="s">
        <v>8</v>
      </c>
      <c r="I3" s="2" t="s">
        <v>9</v>
      </c>
      <c r="J3" s="2" t="s">
        <v>10</v>
      </c>
      <c r="K3" s="3" t="s">
        <v>11</v>
      </c>
      <c r="L3" s="2" t="s">
        <v>12</v>
      </c>
      <c r="M3" s="2" t="s">
        <v>13</v>
      </c>
      <c r="N3" s="5" t="s">
        <v>14</v>
      </c>
      <c r="O3" s="5" t="s">
        <v>15</v>
      </c>
      <c r="P3" s="5" t="s">
        <v>16</v>
      </c>
      <c r="Q3" s="6"/>
      <c r="R3" s="7" t="s">
        <v>20</v>
      </c>
    </row>
    <row r="4" spans="1:18" x14ac:dyDescent="0.25">
      <c r="A4" s="8">
        <v>46122</v>
      </c>
      <c r="B4" s="9" t="s">
        <v>35</v>
      </c>
      <c r="C4" s="9" t="s">
        <v>17</v>
      </c>
      <c r="D4" s="9" t="str">
        <f t="shared" ref="D4" si="0">CONCATENATE(E4,G4)</f>
        <v>200200030002</v>
      </c>
      <c r="E4" s="9">
        <v>20020003</v>
      </c>
      <c r="F4" s="10" t="s">
        <v>26</v>
      </c>
      <c r="G4" s="10" t="s">
        <v>24</v>
      </c>
      <c r="H4" s="9"/>
      <c r="I4" s="9" t="s">
        <v>36</v>
      </c>
      <c r="J4" s="9" t="s">
        <v>18</v>
      </c>
      <c r="K4" s="9">
        <v>10</v>
      </c>
      <c r="L4" s="9">
        <v>1250</v>
      </c>
      <c r="M4" s="9">
        <f t="shared" ref="M4:M13" si="1">K4*L4</f>
        <v>12500</v>
      </c>
      <c r="N4" s="9">
        <f>K4</f>
        <v>10</v>
      </c>
      <c r="O4" s="9">
        <f t="shared" ref="O4:O13" si="2">N4*L4</f>
        <v>12500</v>
      </c>
      <c r="P4" s="1"/>
      <c r="Q4" s="1">
        <f>O4-P4</f>
        <v>12500</v>
      </c>
    </row>
    <row r="5" spans="1:18" x14ac:dyDescent="0.25">
      <c r="A5" s="8">
        <v>46122</v>
      </c>
      <c r="B5" s="9" t="s">
        <v>35</v>
      </c>
      <c r="C5" s="9" t="s">
        <v>17</v>
      </c>
      <c r="D5" s="9" t="str">
        <f t="shared" ref="D5:D7" si="3">CONCATENATE(E5,G5)</f>
        <v>200200010160</v>
      </c>
      <c r="E5" s="9">
        <v>20020001</v>
      </c>
      <c r="F5" s="10" t="s">
        <v>36</v>
      </c>
      <c r="G5" s="10" t="s">
        <v>37</v>
      </c>
      <c r="H5" s="9"/>
      <c r="I5" s="9" t="s">
        <v>36</v>
      </c>
      <c r="J5" s="9" t="s">
        <v>18</v>
      </c>
      <c r="K5" s="9">
        <v>1</v>
      </c>
      <c r="L5" s="9">
        <v>1250</v>
      </c>
      <c r="M5" s="9">
        <f t="shared" si="1"/>
        <v>1250</v>
      </c>
      <c r="N5" s="9">
        <f t="shared" ref="N5:N19" si="4">K5</f>
        <v>1</v>
      </c>
      <c r="O5" s="9">
        <f t="shared" si="2"/>
        <v>1250</v>
      </c>
      <c r="P5" s="1"/>
      <c r="Q5" s="1">
        <f t="shared" ref="Q5:Q13" si="5">O5-P5</f>
        <v>1250</v>
      </c>
    </row>
    <row r="6" spans="1:18" x14ac:dyDescent="0.25">
      <c r="A6" s="8">
        <v>46122</v>
      </c>
      <c r="B6" s="9" t="s">
        <v>35</v>
      </c>
      <c r="C6" s="9" t="s">
        <v>17</v>
      </c>
      <c r="D6" s="9" t="str">
        <f t="shared" si="3"/>
        <v>200200010083</v>
      </c>
      <c r="E6" s="9">
        <v>20020001</v>
      </c>
      <c r="F6" s="10" t="s">
        <v>36</v>
      </c>
      <c r="G6" s="10" t="s">
        <v>38</v>
      </c>
      <c r="H6" s="9"/>
      <c r="I6" s="9" t="s">
        <v>36</v>
      </c>
      <c r="J6" s="9" t="s">
        <v>18</v>
      </c>
      <c r="K6" s="9">
        <v>1</v>
      </c>
      <c r="L6" s="9">
        <v>1250</v>
      </c>
      <c r="M6" s="9">
        <f t="shared" si="1"/>
        <v>1250</v>
      </c>
      <c r="N6" s="9">
        <f t="shared" si="4"/>
        <v>1</v>
      </c>
      <c r="O6" s="9">
        <f t="shared" si="2"/>
        <v>1250</v>
      </c>
      <c r="P6" s="1"/>
      <c r="Q6" s="1">
        <f t="shared" si="5"/>
        <v>1250</v>
      </c>
    </row>
    <row r="7" spans="1:18" x14ac:dyDescent="0.25">
      <c r="A7" s="8">
        <v>46122</v>
      </c>
      <c r="B7" s="9" t="s">
        <v>35</v>
      </c>
      <c r="C7" s="9" t="s">
        <v>17</v>
      </c>
      <c r="D7" s="9" t="str">
        <f t="shared" si="3"/>
        <v>200200010033</v>
      </c>
      <c r="E7" s="9">
        <v>20020001</v>
      </c>
      <c r="F7" s="10" t="s">
        <v>36</v>
      </c>
      <c r="G7" s="10" t="s">
        <v>27</v>
      </c>
      <c r="H7" s="9"/>
      <c r="I7" s="9" t="s">
        <v>36</v>
      </c>
      <c r="J7" s="9" t="s">
        <v>18</v>
      </c>
      <c r="K7" s="9">
        <v>1</v>
      </c>
      <c r="L7" s="9">
        <v>1250</v>
      </c>
      <c r="M7" s="9">
        <f t="shared" si="1"/>
        <v>1250</v>
      </c>
      <c r="N7" s="9">
        <f t="shared" si="4"/>
        <v>1</v>
      </c>
      <c r="O7" s="9">
        <f t="shared" si="2"/>
        <v>1250</v>
      </c>
      <c r="P7" s="1"/>
      <c r="Q7" s="1">
        <f t="shared" si="5"/>
        <v>1250</v>
      </c>
    </row>
    <row r="8" spans="1:18" x14ac:dyDescent="0.25">
      <c r="A8" s="8">
        <v>46122</v>
      </c>
      <c r="B8" s="9" t="s">
        <v>35</v>
      </c>
      <c r="C8" s="9" t="s">
        <v>17</v>
      </c>
      <c r="D8" s="9" t="str">
        <f t="shared" ref="D8:D31" si="6">CONCATENATE(E8,G8)</f>
        <v>200200010005</v>
      </c>
      <c r="E8" s="9">
        <v>20020001</v>
      </c>
      <c r="F8" s="10" t="s">
        <v>36</v>
      </c>
      <c r="G8" s="10" t="s">
        <v>23</v>
      </c>
      <c r="H8" s="11"/>
      <c r="I8" s="9" t="s">
        <v>36</v>
      </c>
      <c r="J8" s="9" t="s">
        <v>18</v>
      </c>
      <c r="K8" s="9">
        <v>1</v>
      </c>
      <c r="L8" s="9">
        <v>1250</v>
      </c>
      <c r="M8" s="9">
        <f t="shared" si="1"/>
        <v>1250</v>
      </c>
      <c r="N8" s="11">
        <f t="shared" si="4"/>
        <v>1</v>
      </c>
      <c r="O8" s="9">
        <f t="shared" si="2"/>
        <v>1250</v>
      </c>
      <c r="P8" s="11"/>
      <c r="Q8" s="1">
        <f t="shared" si="5"/>
        <v>1250</v>
      </c>
    </row>
    <row r="9" spans="1:18" x14ac:dyDescent="0.25">
      <c r="A9" s="8">
        <v>46122</v>
      </c>
      <c r="B9" s="9" t="s">
        <v>35</v>
      </c>
      <c r="C9" s="9" t="s">
        <v>17</v>
      </c>
      <c r="D9" s="9" t="str">
        <f t="shared" si="6"/>
        <v>200200010041</v>
      </c>
      <c r="E9" s="9">
        <v>20020001</v>
      </c>
      <c r="F9" s="10" t="s">
        <v>36</v>
      </c>
      <c r="G9" s="12" t="s">
        <v>31</v>
      </c>
      <c r="H9" s="11"/>
      <c r="I9" s="9" t="s">
        <v>36</v>
      </c>
      <c r="J9" s="9" t="s">
        <v>18</v>
      </c>
      <c r="K9" s="9">
        <v>1</v>
      </c>
      <c r="L9" s="9">
        <v>1250</v>
      </c>
      <c r="M9" s="9">
        <f t="shared" si="1"/>
        <v>1250</v>
      </c>
      <c r="N9" s="11">
        <f t="shared" si="4"/>
        <v>1</v>
      </c>
      <c r="O9" s="9">
        <f t="shared" si="2"/>
        <v>1250</v>
      </c>
      <c r="P9" s="11"/>
      <c r="Q9" s="1">
        <f t="shared" si="5"/>
        <v>1250</v>
      </c>
    </row>
    <row r="10" spans="1:18" x14ac:dyDescent="0.25">
      <c r="A10" s="8">
        <v>46122</v>
      </c>
      <c r="B10" s="9" t="s">
        <v>35</v>
      </c>
      <c r="C10" s="9" t="s">
        <v>17</v>
      </c>
      <c r="D10" s="9" t="str">
        <f t="shared" si="6"/>
        <v>200200010025</v>
      </c>
      <c r="E10" s="9">
        <v>20020001</v>
      </c>
      <c r="F10" s="10" t="s">
        <v>36</v>
      </c>
      <c r="G10" s="12" t="s">
        <v>22</v>
      </c>
      <c r="H10" s="11"/>
      <c r="I10" s="9" t="s">
        <v>36</v>
      </c>
      <c r="J10" s="9" t="s">
        <v>18</v>
      </c>
      <c r="K10" s="9">
        <v>1</v>
      </c>
      <c r="L10" s="9">
        <v>1250</v>
      </c>
      <c r="M10" s="9">
        <f t="shared" si="1"/>
        <v>1250</v>
      </c>
      <c r="N10" s="11">
        <f t="shared" si="4"/>
        <v>1</v>
      </c>
      <c r="O10" s="9">
        <f t="shared" si="2"/>
        <v>1250</v>
      </c>
      <c r="P10" s="11"/>
      <c r="Q10" s="1">
        <f t="shared" si="5"/>
        <v>1250</v>
      </c>
    </row>
    <row r="11" spans="1:18" x14ac:dyDescent="0.25">
      <c r="A11" s="8">
        <v>46122</v>
      </c>
      <c r="B11" s="9" t="s">
        <v>35</v>
      </c>
      <c r="C11" s="9" t="s">
        <v>17</v>
      </c>
      <c r="D11" s="9" t="str">
        <f t="shared" si="6"/>
        <v>200200010003</v>
      </c>
      <c r="E11" s="9">
        <v>20020001</v>
      </c>
      <c r="F11" s="10" t="s">
        <v>36</v>
      </c>
      <c r="G11" s="12" t="s">
        <v>34</v>
      </c>
      <c r="H11" s="11"/>
      <c r="I11" s="9" t="s">
        <v>36</v>
      </c>
      <c r="J11" s="9" t="s">
        <v>18</v>
      </c>
      <c r="K11" s="9">
        <v>1</v>
      </c>
      <c r="L11" s="9">
        <v>1250</v>
      </c>
      <c r="M11" s="9">
        <f t="shared" si="1"/>
        <v>1250</v>
      </c>
      <c r="N11" s="11">
        <f t="shared" si="4"/>
        <v>1</v>
      </c>
      <c r="O11" s="9">
        <f t="shared" si="2"/>
        <v>1250</v>
      </c>
      <c r="P11" s="11"/>
      <c r="Q11" s="1">
        <f t="shared" si="5"/>
        <v>1250</v>
      </c>
    </row>
    <row r="12" spans="1:18" x14ac:dyDescent="0.25">
      <c r="A12" s="8">
        <v>46122</v>
      </c>
      <c r="B12" s="9" t="s">
        <v>35</v>
      </c>
      <c r="C12" s="9" t="s">
        <v>17</v>
      </c>
      <c r="D12" s="9" t="str">
        <f t="shared" si="6"/>
        <v>200200010121</v>
      </c>
      <c r="E12" s="9">
        <v>20020001</v>
      </c>
      <c r="F12" s="10" t="s">
        <v>36</v>
      </c>
      <c r="G12" s="12" t="s">
        <v>39</v>
      </c>
      <c r="H12" s="11"/>
      <c r="I12" s="9" t="s">
        <v>36</v>
      </c>
      <c r="J12" s="9" t="s">
        <v>18</v>
      </c>
      <c r="K12" s="9">
        <v>1</v>
      </c>
      <c r="L12" s="9">
        <v>1250</v>
      </c>
      <c r="M12" s="9">
        <f t="shared" si="1"/>
        <v>1250</v>
      </c>
      <c r="N12" s="11">
        <f t="shared" si="4"/>
        <v>1</v>
      </c>
      <c r="O12" s="9">
        <f t="shared" si="2"/>
        <v>1250</v>
      </c>
      <c r="P12" s="11"/>
      <c r="Q12" s="1">
        <f t="shared" si="5"/>
        <v>1250</v>
      </c>
    </row>
    <row r="13" spans="1:18" x14ac:dyDescent="0.25">
      <c r="A13" s="8">
        <v>46122</v>
      </c>
      <c r="B13" s="9" t="s">
        <v>35</v>
      </c>
      <c r="C13" s="9" t="s">
        <v>17</v>
      </c>
      <c r="D13" s="9" t="str">
        <f t="shared" si="6"/>
        <v>200200060002</v>
      </c>
      <c r="E13" s="9">
        <v>20020006</v>
      </c>
      <c r="F13" s="11" t="s">
        <v>25</v>
      </c>
      <c r="G13" s="12" t="s">
        <v>24</v>
      </c>
      <c r="H13" s="11"/>
      <c r="I13" s="9" t="s">
        <v>36</v>
      </c>
      <c r="J13" s="9" t="s">
        <v>18</v>
      </c>
      <c r="K13" s="11">
        <v>5</v>
      </c>
      <c r="L13" s="9">
        <v>1250</v>
      </c>
      <c r="M13" s="9">
        <f t="shared" si="1"/>
        <v>6250</v>
      </c>
      <c r="N13" s="11">
        <f t="shared" si="4"/>
        <v>5</v>
      </c>
      <c r="O13" s="9">
        <f t="shared" si="2"/>
        <v>6250</v>
      </c>
      <c r="P13" s="11"/>
      <c r="Q13" s="1">
        <f t="shared" si="5"/>
        <v>6250</v>
      </c>
    </row>
    <row r="14" spans="1:18" x14ac:dyDescent="0.25">
      <c r="A14" s="8">
        <v>46122</v>
      </c>
      <c r="B14" s="9" t="s">
        <v>35</v>
      </c>
      <c r="C14" s="9" t="s">
        <v>17</v>
      </c>
      <c r="D14" s="9" t="str">
        <f t="shared" si="6"/>
        <v>200200200033</v>
      </c>
      <c r="E14" s="9">
        <v>20020020</v>
      </c>
      <c r="F14" s="11" t="s">
        <v>40</v>
      </c>
      <c r="G14" s="12" t="s">
        <v>27</v>
      </c>
      <c r="H14" s="11"/>
      <c r="I14" s="9" t="s">
        <v>36</v>
      </c>
      <c r="J14" s="9" t="s">
        <v>18</v>
      </c>
      <c r="K14" s="11">
        <v>0</v>
      </c>
      <c r="L14" s="9">
        <v>1250</v>
      </c>
      <c r="M14" s="9">
        <v>560</v>
      </c>
      <c r="N14" s="11">
        <f t="shared" si="4"/>
        <v>0</v>
      </c>
      <c r="O14" s="9">
        <v>560</v>
      </c>
      <c r="P14" s="11"/>
      <c r="Q14" s="1">
        <f t="shared" ref="Q14:Q19" si="7">O14-P14</f>
        <v>560</v>
      </c>
    </row>
    <row r="15" spans="1:18" x14ac:dyDescent="0.25">
      <c r="A15" s="8">
        <v>46122</v>
      </c>
      <c r="B15" s="9" t="s">
        <v>35</v>
      </c>
      <c r="C15" s="9" t="s">
        <v>17</v>
      </c>
      <c r="D15" s="9" t="str">
        <f t="shared" si="6"/>
        <v>200200200042</v>
      </c>
      <c r="E15" s="9">
        <v>20020020</v>
      </c>
      <c r="F15" s="11" t="s">
        <v>40</v>
      </c>
      <c r="G15" s="12" t="s">
        <v>28</v>
      </c>
      <c r="H15" s="11"/>
      <c r="I15" s="9" t="s">
        <v>36</v>
      </c>
      <c r="J15" s="9" t="s">
        <v>18</v>
      </c>
      <c r="K15" s="11">
        <v>0</v>
      </c>
      <c r="L15" s="9">
        <v>1250</v>
      </c>
      <c r="M15" s="9">
        <v>785</v>
      </c>
      <c r="N15" s="11">
        <f t="shared" si="4"/>
        <v>0</v>
      </c>
      <c r="O15" s="9">
        <v>785</v>
      </c>
      <c r="P15" s="11"/>
      <c r="Q15" s="1">
        <f t="shared" si="7"/>
        <v>785</v>
      </c>
    </row>
    <row r="16" spans="1:18" x14ac:dyDescent="0.25">
      <c r="A16" s="8">
        <v>46122</v>
      </c>
      <c r="B16" s="9" t="s">
        <v>35</v>
      </c>
      <c r="C16" s="9" t="s">
        <v>17</v>
      </c>
      <c r="D16" s="9" t="str">
        <f t="shared" si="6"/>
        <v>200200200038</v>
      </c>
      <c r="E16" s="9">
        <v>20020020</v>
      </c>
      <c r="F16" s="11" t="s">
        <v>40</v>
      </c>
      <c r="G16" s="12" t="s">
        <v>30</v>
      </c>
      <c r="H16" s="11"/>
      <c r="I16" s="9" t="s">
        <v>36</v>
      </c>
      <c r="J16" s="9" t="s">
        <v>18</v>
      </c>
      <c r="K16" s="11">
        <v>0</v>
      </c>
      <c r="L16" s="9">
        <v>1250</v>
      </c>
      <c r="M16" s="9">
        <v>640</v>
      </c>
      <c r="N16" s="11">
        <f t="shared" si="4"/>
        <v>0</v>
      </c>
      <c r="O16" s="9">
        <v>640</v>
      </c>
      <c r="P16" s="11"/>
      <c r="Q16" s="1">
        <f t="shared" si="7"/>
        <v>640</v>
      </c>
    </row>
    <row r="17" spans="1:17" x14ac:dyDescent="0.25">
      <c r="A17" s="8">
        <v>46122</v>
      </c>
      <c r="B17" s="9" t="s">
        <v>35</v>
      </c>
      <c r="C17" s="9" t="s">
        <v>17</v>
      </c>
      <c r="D17" s="9" t="str">
        <f t="shared" si="6"/>
        <v>200700020002</v>
      </c>
      <c r="E17" s="9">
        <v>20070002</v>
      </c>
      <c r="F17" s="11" t="s">
        <v>32</v>
      </c>
      <c r="G17" s="12" t="s">
        <v>24</v>
      </c>
      <c r="H17" s="11"/>
      <c r="I17" s="11" t="s">
        <v>33</v>
      </c>
      <c r="J17" s="9" t="s">
        <v>18</v>
      </c>
      <c r="K17" s="11">
        <v>0</v>
      </c>
      <c r="L17" s="9">
        <v>1250</v>
      </c>
      <c r="M17" s="9">
        <v>162</v>
      </c>
      <c r="N17" s="11">
        <f t="shared" si="4"/>
        <v>0</v>
      </c>
      <c r="O17" s="9">
        <v>162</v>
      </c>
      <c r="P17" s="11"/>
      <c r="Q17" s="1">
        <f t="shared" si="7"/>
        <v>162</v>
      </c>
    </row>
    <row r="18" spans="1:17" x14ac:dyDescent="0.25">
      <c r="A18" s="8">
        <v>46122</v>
      </c>
      <c r="B18" s="9" t="s">
        <v>35</v>
      </c>
      <c r="C18" s="9" t="s">
        <v>17</v>
      </c>
      <c r="D18" s="9" t="str">
        <f t="shared" si="6"/>
        <v>200200250002</v>
      </c>
      <c r="E18" s="9">
        <v>20020025</v>
      </c>
      <c r="F18" s="11" t="s">
        <v>41</v>
      </c>
      <c r="G18" s="12" t="s">
        <v>24</v>
      </c>
      <c r="H18" s="11"/>
      <c r="I18" s="11" t="s">
        <v>36</v>
      </c>
      <c r="J18" s="9" t="s">
        <v>18</v>
      </c>
      <c r="K18" s="11">
        <v>5</v>
      </c>
      <c r="L18" s="9">
        <v>1250</v>
      </c>
      <c r="M18" s="9">
        <f t="shared" ref="M18:M25" si="8">K18*L18</f>
        <v>6250</v>
      </c>
      <c r="N18" s="11">
        <f t="shared" si="4"/>
        <v>5</v>
      </c>
      <c r="O18" s="9">
        <f t="shared" ref="O18:O30" si="9">N18*L18</f>
        <v>6250</v>
      </c>
      <c r="P18" s="11"/>
      <c r="Q18" s="1">
        <f t="shared" si="7"/>
        <v>6250</v>
      </c>
    </row>
    <row r="19" spans="1:17" x14ac:dyDescent="0.25">
      <c r="A19" s="8">
        <v>46122</v>
      </c>
      <c r="B19" s="9" t="s">
        <v>35</v>
      </c>
      <c r="C19" s="9" t="s">
        <v>17</v>
      </c>
      <c r="D19" s="9" t="str">
        <f t="shared" si="6"/>
        <v>200200200025</v>
      </c>
      <c r="E19" s="9">
        <v>20020020</v>
      </c>
      <c r="F19" s="11" t="s">
        <v>40</v>
      </c>
      <c r="G19" s="12" t="s">
        <v>22</v>
      </c>
      <c r="H19" s="11"/>
      <c r="I19" s="11" t="s">
        <v>36</v>
      </c>
      <c r="J19" s="9" t="s">
        <v>18</v>
      </c>
      <c r="K19" s="11">
        <v>1</v>
      </c>
      <c r="L19" s="9">
        <v>1250</v>
      </c>
      <c r="M19" s="9">
        <f t="shared" si="8"/>
        <v>1250</v>
      </c>
      <c r="N19" s="11">
        <f t="shared" si="4"/>
        <v>1</v>
      </c>
      <c r="O19" s="9">
        <f t="shared" si="9"/>
        <v>1250</v>
      </c>
      <c r="P19" s="11"/>
      <c r="Q19" s="1">
        <f t="shared" si="7"/>
        <v>1250</v>
      </c>
    </row>
    <row r="20" spans="1:17" x14ac:dyDescent="0.25">
      <c r="A20" s="8">
        <v>46122</v>
      </c>
      <c r="B20" s="9" t="s">
        <v>35</v>
      </c>
      <c r="C20" s="9" t="s">
        <v>17</v>
      </c>
      <c r="D20" s="9" t="str">
        <f t="shared" si="6"/>
        <v>200200200023</v>
      </c>
      <c r="E20" s="9">
        <v>20020020</v>
      </c>
      <c r="F20" s="11" t="s">
        <v>40</v>
      </c>
      <c r="G20" s="12" t="s">
        <v>29</v>
      </c>
      <c r="H20" s="11"/>
      <c r="I20" s="11" t="s">
        <v>36</v>
      </c>
      <c r="J20" s="9" t="s">
        <v>18</v>
      </c>
      <c r="K20" s="11">
        <v>1</v>
      </c>
      <c r="L20" s="9">
        <v>1250</v>
      </c>
      <c r="M20" s="9">
        <f t="shared" si="8"/>
        <v>1250</v>
      </c>
      <c r="N20" s="11">
        <f t="shared" ref="N20:N29" si="10">K20</f>
        <v>1</v>
      </c>
      <c r="O20" s="9">
        <f t="shared" si="9"/>
        <v>1250</v>
      </c>
      <c r="P20" s="11"/>
      <c r="Q20" s="1">
        <f t="shared" ref="Q20:Q29" si="11">O20-P20</f>
        <v>1250</v>
      </c>
    </row>
    <row r="21" spans="1:17" x14ac:dyDescent="0.25">
      <c r="A21" s="8">
        <v>46122</v>
      </c>
      <c r="B21" s="9" t="s">
        <v>35</v>
      </c>
      <c r="C21" s="9" t="s">
        <v>17</v>
      </c>
      <c r="D21" s="9" t="str">
        <f t="shared" si="6"/>
        <v>200200200012</v>
      </c>
      <c r="E21" s="9">
        <v>20020020</v>
      </c>
      <c r="F21" s="11" t="s">
        <v>40</v>
      </c>
      <c r="G21" s="12" t="s">
        <v>42</v>
      </c>
      <c r="H21" s="11"/>
      <c r="I21" s="11" t="s">
        <v>36</v>
      </c>
      <c r="J21" s="9" t="s">
        <v>18</v>
      </c>
      <c r="K21" s="11">
        <v>1</v>
      </c>
      <c r="L21" s="9">
        <v>1250</v>
      </c>
      <c r="M21" s="9">
        <f t="shared" si="8"/>
        <v>1250</v>
      </c>
      <c r="N21" s="11">
        <f t="shared" si="10"/>
        <v>1</v>
      </c>
      <c r="O21" s="9">
        <f t="shared" si="9"/>
        <v>1250</v>
      </c>
      <c r="P21" s="11"/>
      <c r="Q21" s="1">
        <f t="shared" si="11"/>
        <v>1250</v>
      </c>
    </row>
    <row r="22" spans="1:17" x14ac:dyDescent="0.25">
      <c r="A22" s="8">
        <v>46122</v>
      </c>
      <c r="B22" s="9" t="s">
        <v>35</v>
      </c>
      <c r="C22" s="9" t="s">
        <v>17</v>
      </c>
      <c r="D22" s="9" t="str">
        <f t="shared" si="6"/>
        <v>200200200044</v>
      </c>
      <c r="E22" s="9">
        <v>20020020</v>
      </c>
      <c r="F22" s="11" t="s">
        <v>40</v>
      </c>
      <c r="G22" s="12" t="s">
        <v>43</v>
      </c>
      <c r="H22" s="11"/>
      <c r="I22" s="11" t="s">
        <v>36</v>
      </c>
      <c r="J22" s="9" t="s">
        <v>18</v>
      </c>
      <c r="K22" s="11">
        <v>1</v>
      </c>
      <c r="L22" s="9">
        <v>1250</v>
      </c>
      <c r="M22" s="9">
        <f t="shared" si="8"/>
        <v>1250</v>
      </c>
      <c r="N22" s="11">
        <f t="shared" si="10"/>
        <v>1</v>
      </c>
      <c r="O22" s="9">
        <f t="shared" si="9"/>
        <v>1250</v>
      </c>
      <c r="P22" s="11"/>
      <c r="Q22" s="1">
        <f t="shared" si="11"/>
        <v>1250</v>
      </c>
    </row>
    <row r="23" spans="1:17" x14ac:dyDescent="0.25">
      <c r="A23" s="8">
        <v>46123</v>
      </c>
      <c r="B23" s="9" t="s">
        <v>35</v>
      </c>
      <c r="C23" s="9" t="s">
        <v>17</v>
      </c>
      <c r="D23" s="9" t="str">
        <f t="shared" si="6"/>
        <v>200100010002</v>
      </c>
      <c r="E23" s="11">
        <v>20010001</v>
      </c>
      <c r="F23" s="11" t="s">
        <v>44</v>
      </c>
      <c r="G23" s="12" t="s">
        <v>24</v>
      </c>
      <c r="H23" s="11"/>
      <c r="I23" s="11" t="s">
        <v>44</v>
      </c>
      <c r="J23" s="9" t="s">
        <v>18</v>
      </c>
      <c r="K23" s="11">
        <v>85</v>
      </c>
      <c r="L23" s="9">
        <v>1200</v>
      </c>
      <c r="M23" s="9">
        <f t="shared" si="8"/>
        <v>102000</v>
      </c>
      <c r="N23" s="11">
        <f t="shared" si="10"/>
        <v>85</v>
      </c>
      <c r="O23" s="9">
        <f t="shared" si="9"/>
        <v>102000</v>
      </c>
      <c r="P23" s="11"/>
      <c r="Q23" s="1">
        <f t="shared" si="11"/>
        <v>102000</v>
      </c>
    </row>
    <row r="24" spans="1:17" x14ac:dyDescent="0.25">
      <c r="A24" s="8">
        <v>46123</v>
      </c>
      <c r="B24" s="9" t="s">
        <v>35</v>
      </c>
      <c r="C24" s="9" t="s">
        <v>17</v>
      </c>
      <c r="D24" s="9" t="str">
        <f t="shared" si="6"/>
        <v>200600030002</v>
      </c>
      <c r="E24" s="11">
        <v>20060003</v>
      </c>
      <c r="F24" s="11" t="s">
        <v>46</v>
      </c>
      <c r="G24" s="12" t="s">
        <v>24</v>
      </c>
      <c r="H24" s="11"/>
      <c r="I24" s="11" t="s">
        <v>45</v>
      </c>
      <c r="J24" s="9" t="s">
        <v>18</v>
      </c>
      <c r="K24" s="11">
        <v>20</v>
      </c>
      <c r="L24" s="9">
        <v>1250</v>
      </c>
      <c r="M24" s="9">
        <f t="shared" si="8"/>
        <v>25000</v>
      </c>
      <c r="N24" s="11">
        <f t="shared" si="10"/>
        <v>20</v>
      </c>
      <c r="O24" s="9">
        <f t="shared" si="9"/>
        <v>25000</v>
      </c>
      <c r="P24" s="11"/>
      <c r="Q24" s="1">
        <f t="shared" si="11"/>
        <v>25000</v>
      </c>
    </row>
    <row r="25" spans="1:17" x14ac:dyDescent="0.25">
      <c r="A25" s="8">
        <v>46123</v>
      </c>
      <c r="B25" s="9" t="s">
        <v>35</v>
      </c>
      <c r="C25" s="9" t="s">
        <v>17</v>
      </c>
      <c r="D25" s="9" t="str">
        <f t="shared" si="6"/>
        <v>200100080010</v>
      </c>
      <c r="E25" s="11">
        <v>20010008</v>
      </c>
      <c r="F25" s="11" t="s">
        <v>52</v>
      </c>
      <c r="G25" s="12" t="s">
        <v>47</v>
      </c>
      <c r="H25" s="11"/>
      <c r="I25" s="11" t="s">
        <v>44</v>
      </c>
      <c r="J25" s="9" t="s">
        <v>18</v>
      </c>
      <c r="K25" s="11">
        <v>1</v>
      </c>
      <c r="L25" s="9">
        <v>1250</v>
      </c>
      <c r="M25" s="9">
        <f t="shared" si="8"/>
        <v>1250</v>
      </c>
      <c r="N25" s="11">
        <f t="shared" si="10"/>
        <v>1</v>
      </c>
      <c r="O25" s="9">
        <f t="shared" si="9"/>
        <v>1250</v>
      </c>
      <c r="P25" s="11"/>
      <c r="Q25" s="1">
        <f t="shared" si="11"/>
        <v>1250</v>
      </c>
    </row>
    <row r="26" spans="1:17" x14ac:dyDescent="0.25">
      <c r="A26" s="8">
        <v>46123</v>
      </c>
      <c r="B26" s="9" t="s">
        <v>35</v>
      </c>
      <c r="C26" s="9" t="s">
        <v>17</v>
      </c>
      <c r="D26" s="9" t="str">
        <f t="shared" si="6"/>
        <v>200100080014</v>
      </c>
      <c r="E26" s="11">
        <v>20010008</v>
      </c>
      <c r="F26" s="11" t="s">
        <v>52</v>
      </c>
      <c r="G26" s="12" t="s">
        <v>48</v>
      </c>
      <c r="H26" s="11"/>
      <c r="I26" s="11" t="s">
        <v>44</v>
      </c>
      <c r="J26" s="9" t="s">
        <v>18</v>
      </c>
      <c r="K26" s="11">
        <v>1</v>
      </c>
      <c r="L26" s="9">
        <v>1250</v>
      </c>
      <c r="M26" s="9">
        <f t="shared" ref="M26:M29" si="12">K26*L26</f>
        <v>1250</v>
      </c>
      <c r="N26" s="11">
        <f t="shared" si="10"/>
        <v>1</v>
      </c>
      <c r="O26" s="9">
        <f t="shared" si="9"/>
        <v>1250</v>
      </c>
      <c r="P26" s="11"/>
      <c r="Q26" s="1">
        <f t="shared" si="11"/>
        <v>1250</v>
      </c>
    </row>
    <row r="27" spans="1:17" x14ac:dyDescent="0.25">
      <c r="A27" s="8">
        <v>46123</v>
      </c>
      <c r="B27" s="9" t="s">
        <v>35</v>
      </c>
      <c r="C27" s="9" t="s">
        <v>17</v>
      </c>
      <c r="D27" s="9" t="str">
        <f t="shared" si="6"/>
        <v>200100080037</v>
      </c>
      <c r="E27" s="11">
        <v>20010008</v>
      </c>
      <c r="F27" s="11" t="s">
        <v>52</v>
      </c>
      <c r="G27" s="12" t="s">
        <v>49</v>
      </c>
      <c r="H27" s="11"/>
      <c r="I27" s="11" t="s">
        <v>44</v>
      </c>
      <c r="J27" s="9" t="s">
        <v>18</v>
      </c>
      <c r="K27" s="11">
        <v>1</v>
      </c>
      <c r="L27" s="9">
        <v>1250</v>
      </c>
      <c r="M27" s="9">
        <f t="shared" si="12"/>
        <v>1250</v>
      </c>
      <c r="N27" s="11">
        <f t="shared" si="10"/>
        <v>1</v>
      </c>
      <c r="O27" s="9">
        <f t="shared" si="9"/>
        <v>1250</v>
      </c>
      <c r="P27" s="11"/>
      <c r="Q27" s="1">
        <f t="shared" si="11"/>
        <v>1250</v>
      </c>
    </row>
    <row r="28" spans="1:17" x14ac:dyDescent="0.25">
      <c r="A28" s="8">
        <v>46123</v>
      </c>
      <c r="B28" s="9" t="s">
        <v>35</v>
      </c>
      <c r="C28" s="9" t="s">
        <v>17</v>
      </c>
      <c r="D28" s="9" t="str">
        <f t="shared" si="6"/>
        <v>200100080059</v>
      </c>
      <c r="E28" s="11">
        <v>20010008</v>
      </c>
      <c r="F28" s="11" t="s">
        <v>52</v>
      </c>
      <c r="G28" s="12" t="s">
        <v>50</v>
      </c>
      <c r="H28" s="11"/>
      <c r="I28" s="11" t="s">
        <v>44</v>
      </c>
      <c r="J28" s="9" t="s">
        <v>18</v>
      </c>
      <c r="K28" s="11">
        <v>1</v>
      </c>
      <c r="L28" s="9">
        <v>1250</v>
      </c>
      <c r="M28" s="9">
        <f t="shared" si="12"/>
        <v>1250</v>
      </c>
      <c r="N28" s="11">
        <f t="shared" si="10"/>
        <v>1</v>
      </c>
      <c r="O28" s="9">
        <f t="shared" si="9"/>
        <v>1250</v>
      </c>
      <c r="P28" s="11"/>
      <c r="Q28" s="1">
        <f t="shared" si="11"/>
        <v>1250</v>
      </c>
    </row>
    <row r="29" spans="1:17" x14ac:dyDescent="0.25">
      <c r="A29" s="8">
        <v>46123</v>
      </c>
      <c r="B29" s="9" t="s">
        <v>35</v>
      </c>
      <c r="C29" s="9" t="s">
        <v>17</v>
      </c>
      <c r="D29" s="9" t="str">
        <f t="shared" si="6"/>
        <v>200100080060</v>
      </c>
      <c r="E29" s="11">
        <v>20010008</v>
      </c>
      <c r="F29" s="11" t="s">
        <v>52</v>
      </c>
      <c r="G29" s="12" t="s">
        <v>51</v>
      </c>
      <c r="H29" s="11"/>
      <c r="I29" s="11" t="s">
        <v>44</v>
      </c>
      <c r="J29" s="9" t="s">
        <v>18</v>
      </c>
      <c r="K29" s="11">
        <v>1</v>
      </c>
      <c r="L29" s="9">
        <v>1250</v>
      </c>
      <c r="M29" s="9">
        <f t="shared" si="12"/>
        <v>1250</v>
      </c>
      <c r="N29" s="11">
        <f t="shared" si="10"/>
        <v>1</v>
      </c>
      <c r="O29" s="9">
        <f t="shared" si="9"/>
        <v>1250</v>
      </c>
      <c r="P29" s="11"/>
      <c r="Q29" s="1">
        <f t="shared" si="11"/>
        <v>1250</v>
      </c>
    </row>
    <row r="30" spans="1:17" x14ac:dyDescent="0.25">
      <c r="A30" s="8">
        <v>46123</v>
      </c>
      <c r="B30" s="9" t="s">
        <v>35</v>
      </c>
      <c r="C30" s="9" t="s">
        <v>17</v>
      </c>
      <c r="D30" s="9" t="str">
        <f t="shared" si="6"/>
        <v>200100030003</v>
      </c>
      <c r="E30" s="11">
        <v>20010003</v>
      </c>
      <c r="F30" s="11" t="s">
        <v>21</v>
      </c>
      <c r="G30" s="12" t="s">
        <v>34</v>
      </c>
      <c r="H30" s="11"/>
      <c r="I30" s="11" t="s">
        <v>44</v>
      </c>
      <c r="J30" s="9" t="s">
        <v>18</v>
      </c>
      <c r="K30" s="11">
        <v>8</v>
      </c>
      <c r="L30" s="9">
        <v>1250</v>
      </c>
      <c r="M30" s="9">
        <f t="shared" ref="M30:M31" si="13">K30*L30</f>
        <v>10000</v>
      </c>
      <c r="N30" s="11">
        <f t="shared" ref="N30:N31" si="14">K30</f>
        <v>8</v>
      </c>
      <c r="O30" s="9">
        <f t="shared" si="9"/>
        <v>10000</v>
      </c>
      <c r="P30" s="11"/>
      <c r="Q30" s="1">
        <f t="shared" ref="Q30:Q31" si="15">O30-P30</f>
        <v>10000</v>
      </c>
    </row>
    <row r="31" spans="1:17" x14ac:dyDescent="0.25">
      <c r="A31" s="8">
        <v>46123</v>
      </c>
      <c r="B31" s="9" t="s">
        <v>35</v>
      </c>
      <c r="C31" s="9" t="s">
        <v>17</v>
      </c>
      <c r="D31" s="9" t="str">
        <f t="shared" si="6"/>
        <v>200600090019</v>
      </c>
      <c r="E31" s="11">
        <v>20060009</v>
      </c>
      <c r="F31" s="11" t="s">
        <v>54</v>
      </c>
      <c r="G31" s="12" t="s">
        <v>53</v>
      </c>
      <c r="H31" s="11"/>
      <c r="I31" s="11" t="s">
        <v>45</v>
      </c>
      <c r="J31" s="9" t="s">
        <v>18</v>
      </c>
      <c r="K31" s="11">
        <v>19</v>
      </c>
      <c r="L31" s="9">
        <v>1250</v>
      </c>
      <c r="M31" s="9">
        <f t="shared" si="13"/>
        <v>23750</v>
      </c>
      <c r="N31" s="11">
        <f t="shared" si="14"/>
        <v>19</v>
      </c>
      <c r="O31" s="9">
        <f t="shared" ref="O31" si="16">N31*L31</f>
        <v>23750</v>
      </c>
      <c r="P31" s="11"/>
      <c r="Q31" s="1">
        <f t="shared" si="15"/>
        <v>23750</v>
      </c>
    </row>
    <row r="32" spans="1:17" x14ac:dyDescent="0.25">
      <c r="A32" s="8"/>
      <c r="B32" s="9"/>
      <c r="C32" s="9"/>
      <c r="D32" s="9"/>
      <c r="E32" s="11"/>
      <c r="F32" s="11"/>
      <c r="G32" s="12"/>
      <c r="H32" s="11"/>
      <c r="I32" s="11"/>
      <c r="J32" s="9"/>
      <c r="K32" s="11"/>
      <c r="L32" s="9"/>
      <c r="M32" s="9"/>
      <c r="N32" s="11"/>
      <c r="O32" s="9"/>
      <c r="P32" s="11"/>
      <c r="Q32" s="1"/>
    </row>
    <row r="33" spans="1:17" x14ac:dyDescent="0.25">
      <c r="A33" s="8"/>
      <c r="B33" s="9"/>
      <c r="C33" s="9"/>
      <c r="D33" s="9"/>
      <c r="E33" s="11"/>
      <c r="F33" s="11"/>
      <c r="G33" s="12"/>
      <c r="H33" s="11"/>
      <c r="I33" s="11"/>
      <c r="J33" s="9"/>
      <c r="K33" s="11"/>
      <c r="L33" s="9"/>
      <c r="M33" s="9"/>
      <c r="N33" s="11"/>
      <c r="O33" s="9"/>
      <c r="P33" s="11"/>
      <c r="Q33" s="1"/>
    </row>
    <row r="34" spans="1:17" x14ac:dyDescent="0.25">
      <c r="A34" s="8"/>
      <c r="B34" s="9"/>
      <c r="C34" s="9"/>
      <c r="D34" s="9"/>
      <c r="E34" s="11"/>
      <c r="F34" s="11"/>
      <c r="G34" s="12"/>
      <c r="H34" s="11"/>
      <c r="I34" s="11"/>
      <c r="J34" s="9"/>
      <c r="K34" s="11"/>
      <c r="L34" s="9"/>
      <c r="M34" s="9"/>
      <c r="N34" s="11"/>
      <c r="O34" s="9"/>
      <c r="P34" s="11"/>
      <c r="Q34" s="1"/>
    </row>
    <row r="35" spans="1:17" x14ac:dyDescent="0.25">
      <c r="A35" s="8"/>
      <c r="B35" s="9"/>
      <c r="C35" s="9"/>
      <c r="D35" s="9"/>
      <c r="E35" s="11"/>
      <c r="F35" s="11"/>
      <c r="G35" s="12"/>
      <c r="H35" s="11"/>
      <c r="I35" s="11"/>
      <c r="J35" s="9"/>
      <c r="K35" s="11"/>
      <c r="L35" s="9"/>
      <c r="M35" s="9"/>
      <c r="N35" s="11"/>
      <c r="O35" s="9"/>
      <c r="P35" s="11"/>
      <c r="Q35" s="1"/>
    </row>
    <row r="36" spans="1:17" x14ac:dyDescent="0.25">
      <c r="A36" s="8"/>
      <c r="B36" s="9"/>
      <c r="C36" s="9"/>
      <c r="D36" s="9"/>
      <c r="E36" s="11"/>
      <c r="F36" s="11"/>
      <c r="G36" s="12"/>
      <c r="H36" s="11"/>
      <c r="I36" s="11"/>
      <c r="J36" s="9"/>
      <c r="K36" s="11"/>
      <c r="L36" s="9"/>
      <c r="M36" s="9"/>
      <c r="N36" s="11"/>
      <c r="O36" s="9"/>
      <c r="P36" s="11"/>
      <c r="Q36" s="1"/>
    </row>
    <row r="37" spans="1:17" x14ac:dyDescent="0.25">
      <c r="A37" s="8"/>
      <c r="B37" s="9"/>
      <c r="C37" s="9"/>
      <c r="D37" s="9"/>
      <c r="E37" s="11"/>
      <c r="F37" s="11"/>
      <c r="G37" s="12"/>
      <c r="H37" s="11"/>
      <c r="I37" s="11"/>
      <c r="J37" s="9"/>
      <c r="K37" s="11"/>
      <c r="L37" s="9"/>
      <c r="M37" s="9"/>
      <c r="N37" s="11"/>
      <c r="O37" s="9"/>
      <c r="P37" s="11"/>
      <c r="Q37" s="1"/>
    </row>
    <row r="38" spans="1:17" x14ac:dyDescent="0.25">
      <c r="A38" s="8"/>
      <c r="B38" s="9"/>
      <c r="C38" s="9"/>
      <c r="D38" s="9"/>
      <c r="E38" s="11"/>
      <c r="F38" s="11"/>
      <c r="G38" s="12"/>
      <c r="H38" s="11"/>
      <c r="I38" s="11"/>
      <c r="J38" s="9"/>
      <c r="K38" s="11"/>
      <c r="L38" s="9"/>
      <c r="M38" s="9"/>
      <c r="N38" s="11"/>
      <c r="O38" s="9"/>
      <c r="P38" s="11"/>
      <c r="Q38" s="1"/>
    </row>
    <row r="39" spans="1:17" x14ac:dyDescent="0.25">
      <c r="A39" s="8"/>
      <c r="B39" s="9"/>
      <c r="C39" s="9"/>
      <c r="D39" s="9"/>
      <c r="E39" s="11"/>
      <c r="F39" s="11"/>
      <c r="G39" s="12"/>
      <c r="H39" s="11"/>
      <c r="I39" s="11"/>
      <c r="J39" s="9"/>
      <c r="K39" s="11"/>
      <c r="L39" s="9"/>
      <c r="M39" s="9"/>
      <c r="N39" s="11"/>
      <c r="O39" s="9"/>
      <c r="P39" s="11"/>
      <c r="Q39" s="1"/>
    </row>
    <row r="40" spans="1:17" x14ac:dyDescent="0.25">
      <c r="A40" s="8"/>
      <c r="B40" s="9"/>
      <c r="C40" s="9"/>
      <c r="D40" s="9"/>
      <c r="E40" s="11"/>
      <c r="F40" s="11"/>
      <c r="G40" s="12"/>
      <c r="H40" s="11"/>
      <c r="I40" s="11"/>
      <c r="J40" s="9"/>
      <c r="K40" s="11"/>
      <c r="L40" s="9"/>
      <c r="M40" s="9"/>
      <c r="N40" s="11"/>
      <c r="O40" s="9"/>
      <c r="P40" s="11"/>
      <c r="Q40" s="1"/>
    </row>
    <row r="41" spans="1:17" x14ac:dyDescent="0.25">
      <c r="A41" s="8"/>
      <c r="B41" s="9"/>
      <c r="C41" s="9"/>
      <c r="D41" s="9"/>
      <c r="E41" s="11"/>
      <c r="F41" s="11"/>
      <c r="G41" s="12"/>
      <c r="H41" s="11"/>
      <c r="I41" s="11"/>
      <c r="J41" s="9"/>
      <c r="K41" s="11"/>
      <c r="L41" s="9"/>
      <c r="M41" s="9"/>
      <c r="N41" s="11"/>
      <c r="O41" s="9"/>
      <c r="P41" s="11"/>
      <c r="Q41" s="1"/>
    </row>
    <row r="42" spans="1:17" x14ac:dyDescent="0.25">
      <c r="A42" s="8"/>
      <c r="B42" s="9"/>
      <c r="C42" s="9"/>
      <c r="D42" s="9"/>
      <c r="E42" s="11"/>
      <c r="F42" s="11"/>
      <c r="G42" s="12"/>
      <c r="H42" s="11"/>
      <c r="I42" s="11"/>
      <c r="J42" s="9"/>
      <c r="K42" s="11"/>
      <c r="L42" s="9"/>
      <c r="M42" s="9"/>
      <c r="N42" s="11"/>
      <c r="O42" s="9"/>
      <c r="P42" s="11"/>
      <c r="Q42" s="1"/>
    </row>
    <row r="43" spans="1:17" x14ac:dyDescent="0.25">
      <c r="A43" s="8"/>
      <c r="B43" s="9"/>
      <c r="C43" s="9"/>
      <c r="D43" s="9"/>
      <c r="E43" s="11"/>
      <c r="F43" s="11"/>
      <c r="G43" s="12"/>
      <c r="H43" s="11"/>
      <c r="I43" s="11"/>
      <c r="J43" s="9"/>
      <c r="K43" s="11"/>
      <c r="L43" s="9"/>
      <c r="M43" s="9"/>
      <c r="N43" s="11"/>
      <c r="O43" s="9"/>
      <c r="P43" s="11"/>
      <c r="Q43" s="1"/>
    </row>
    <row r="44" spans="1:17" x14ac:dyDescent="0.25">
      <c r="A44" s="8"/>
      <c r="B44" s="9"/>
      <c r="C44" s="9"/>
      <c r="D44" s="9"/>
      <c r="E44" s="11"/>
      <c r="F44" s="11"/>
      <c r="G44" s="12"/>
      <c r="H44" s="11"/>
      <c r="I44" s="11"/>
      <c r="J44" s="9"/>
      <c r="K44" s="11"/>
      <c r="L44" s="9"/>
      <c r="M44" s="9"/>
      <c r="N44" s="11"/>
      <c r="O44" s="9"/>
      <c r="P44" s="11"/>
      <c r="Q44" s="1"/>
    </row>
    <row r="45" spans="1:17" x14ac:dyDescent="0.25">
      <c r="A45" s="8"/>
      <c r="B45" s="9"/>
      <c r="C45" s="9"/>
      <c r="D45" s="9"/>
      <c r="E45" s="11"/>
      <c r="F45" s="11"/>
      <c r="G45" s="12"/>
      <c r="H45" s="11"/>
      <c r="I45" s="11"/>
      <c r="J45" s="9"/>
      <c r="K45" s="11"/>
      <c r="L45" s="9"/>
      <c r="M45" s="9"/>
      <c r="N45" s="11"/>
      <c r="O45" s="9"/>
      <c r="P45" s="11"/>
      <c r="Q45" s="1"/>
    </row>
    <row r="46" spans="1:17" x14ac:dyDescent="0.25">
      <c r="A46" s="8"/>
      <c r="B46" s="9"/>
      <c r="C46" s="9"/>
      <c r="D46" s="9"/>
      <c r="E46" s="11"/>
      <c r="F46" s="11"/>
      <c r="G46" s="12"/>
      <c r="H46" s="11"/>
      <c r="I46" s="11"/>
      <c r="J46" s="9"/>
      <c r="K46" s="11"/>
      <c r="L46" s="9"/>
      <c r="M46" s="9"/>
      <c r="N46" s="11"/>
      <c r="O46" s="9"/>
      <c r="P46" s="11"/>
      <c r="Q46" s="1"/>
    </row>
    <row r="47" spans="1:17" x14ac:dyDescent="0.25">
      <c r="A47" s="8"/>
      <c r="B47" s="9"/>
      <c r="C47" s="9"/>
      <c r="D47" s="9"/>
      <c r="E47" s="11"/>
      <c r="F47" s="11"/>
      <c r="G47" s="12"/>
      <c r="H47" s="11"/>
      <c r="I47" s="11"/>
      <c r="J47" s="9"/>
      <c r="K47" s="11"/>
      <c r="L47" s="9"/>
      <c r="M47" s="9"/>
      <c r="N47" s="11"/>
      <c r="O47" s="9"/>
      <c r="P47" s="11"/>
      <c r="Q47" s="1"/>
    </row>
    <row r="48" spans="1:17" x14ac:dyDescent="0.25">
      <c r="A48" s="8"/>
      <c r="B48" s="9"/>
      <c r="C48" s="9"/>
      <c r="D48" s="9"/>
      <c r="E48" s="11"/>
      <c r="F48" s="11"/>
      <c r="G48" s="12"/>
      <c r="H48" s="11"/>
      <c r="I48" s="11"/>
      <c r="J48" s="9"/>
      <c r="K48" s="11"/>
      <c r="L48" s="9"/>
      <c r="M48" s="9"/>
      <c r="N48" s="11"/>
      <c r="O48" s="9"/>
      <c r="P48" s="11"/>
      <c r="Q48" s="1"/>
    </row>
    <row r="49" spans="1:17" x14ac:dyDescent="0.25">
      <c r="A49" s="8"/>
      <c r="B49" s="9"/>
      <c r="C49" s="9"/>
      <c r="D49" s="9"/>
      <c r="E49" s="11"/>
      <c r="F49" s="11"/>
      <c r="G49" s="12"/>
      <c r="H49" s="11"/>
      <c r="I49" s="11"/>
      <c r="J49" s="9"/>
      <c r="K49" s="11"/>
      <c r="L49" s="9"/>
      <c r="M49" s="9"/>
      <c r="N49" s="11"/>
      <c r="O49" s="9"/>
      <c r="P49" s="11"/>
      <c r="Q49" s="1"/>
    </row>
    <row r="50" spans="1:17" x14ac:dyDescent="0.25">
      <c r="A50" s="8"/>
      <c r="B50" s="9"/>
      <c r="C50" s="9"/>
      <c r="D50" s="9"/>
      <c r="E50" s="11"/>
      <c r="F50" s="11"/>
      <c r="G50" s="12"/>
      <c r="H50" s="11"/>
      <c r="I50" s="11"/>
      <c r="J50" s="9"/>
      <c r="K50" s="11"/>
      <c r="L50" s="9"/>
      <c r="M50" s="9"/>
      <c r="N50" s="11"/>
      <c r="O50" s="9"/>
      <c r="P50" s="11"/>
      <c r="Q50" s="1"/>
    </row>
    <row r="51" spans="1:17" x14ac:dyDescent="0.25">
      <c r="A51" s="8"/>
      <c r="B51" s="9"/>
      <c r="C51" s="9"/>
      <c r="D51" s="9"/>
      <c r="E51" s="11"/>
      <c r="F51" s="11"/>
      <c r="G51" s="12"/>
      <c r="H51" s="11"/>
      <c r="I51" s="11"/>
      <c r="J51" s="9"/>
      <c r="K51" s="11"/>
      <c r="L51" s="9"/>
      <c r="M51" s="9"/>
      <c r="N51" s="11"/>
      <c r="O51" s="9"/>
      <c r="P51" s="11"/>
      <c r="Q51" s="1"/>
    </row>
    <row r="52" spans="1:17" x14ac:dyDescent="0.25">
      <c r="A52" s="8"/>
      <c r="B52" s="9"/>
      <c r="C52" s="9"/>
      <c r="D52" s="9"/>
      <c r="E52" s="11"/>
      <c r="F52" s="11"/>
      <c r="G52" s="12"/>
      <c r="H52" s="11"/>
      <c r="I52" s="11"/>
      <c r="J52" s="9"/>
      <c r="K52" s="11"/>
      <c r="L52" s="9"/>
      <c r="M52" s="9"/>
      <c r="N52" s="11"/>
      <c r="O52" s="9"/>
      <c r="P52" s="11"/>
      <c r="Q52" s="1"/>
    </row>
    <row r="53" spans="1:17" x14ac:dyDescent="0.25">
      <c r="A53" s="8"/>
      <c r="B53" s="9"/>
      <c r="C53" s="9"/>
      <c r="D53" s="9"/>
      <c r="E53" s="11"/>
      <c r="F53" s="11"/>
      <c r="G53" s="12"/>
      <c r="H53" s="11"/>
      <c r="I53" s="11"/>
      <c r="J53" s="9"/>
      <c r="K53" s="11"/>
      <c r="L53" s="9"/>
      <c r="M53" s="9"/>
      <c r="N53" s="11"/>
      <c r="O53" s="9"/>
      <c r="P53" s="11"/>
      <c r="Q53" s="1"/>
    </row>
    <row r="54" spans="1:17" x14ac:dyDescent="0.25">
      <c r="A54" s="8"/>
      <c r="B54" s="9"/>
      <c r="C54" s="9"/>
      <c r="D54" s="9"/>
      <c r="E54" s="11"/>
      <c r="F54" s="11"/>
      <c r="G54" s="12"/>
      <c r="H54" s="11"/>
      <c r="I54" s="11"/>
      <c r="J54" s="9"/>
      <c r="K54" s="11"/>
      <c r="L54" s="9"/>
      <c r="M54" s="9"/>
      <c r="N54" s="11"/>
      <c r="O54" s="9"/>
      <c r="P54" s="11"/>
      <c r="Q54" s="1"/>
    </row>
    <row r="55" spans="1:17" x14ac:dyDescent="0.25">
      <c r="A55" s="8"/>
      <c r="B55" s="9"/>
      <c r="C55" s="9"/>
      <c r="D55" s="9"/>
      <c r="E55" s="11"/>
      <c r="F55" s="11"/>
      <c r="G55" s="12"/>
      <c r="H55" s="11"/>
      <c r="I55" s="11"/>
      <c r="J55" s="9"/>
      <c r="K55" s="11"/>
      <c r="L55" s="9"/>
      <c r="M55" s="9"/>
      <c r="N55" s="11"/>
      <c r="O55" s="9"/>
      <c r="P55" s="11"/>
      <c r="Q55" s="1"/>
    </row>
    <row r="56" spans="1:17" x14ac:dyDescent="0.25">
      <c r="A56" s="8"/>
      <c r="B56" s="9"/>
      <c r="C56" s="9"/>
      <c r="D56" s="9"/>
      <c r="E56" s="11"/>
      <c r="F56" s="11"/>
      <c r="G56" s="12"/>
      <c r="H56" s="11"/>
      <c r="I56" s="11"/>
      <c r="J56" s="9"/>
      <c r="K56" s="11"/>
      <c r="L56" s="9"/>
      <c r="M56" s="9"/>
      <c r="N56" s="11"/>
      <c r="O56" s="9"/>
      <c r="P56" s="11"/>
      <c r="Q56" s="1"/>
    </row>
    <row r="57" spans="1:17" x14ac:dyDescent="0.25">
      <c r="A57" s="8"/>
      <c r="B57" s="9"/>
      <c r="C57" s="9"/>
      <c r="D57" s="9"/>
      <c r="E57" s="11"/>
      <c r="F57" s="11"/>
      <c r="G57" s="12"/>
      <c r="H57" s="11"/>
      <c r="I57" s="11"/>
      <c r="J57" s="9"/>
      <c r="K57" s="11"/>
      <c r="L57" s="9"/>
      <c r="M57" s="9"/>
      <c r="N57" s="11"/>
      <c r="O57" s="9"/>
      <c r="P57" s="11"/>
      <c r="Q57" s="1"/>
    </row>
    <row r="58" spans="1:17" x14ac:dyDescent="0.25">
      <c r="A58" s="8"/>
      <c r="B58" s="9"/>
      <c r="C58" s="9"/>
      <c r="D58" s="9"/>
      <c r="E58" s="11"/>
      <c r="F58" s="11"/>
      <c r="G58" s="12"/>
      <c r="H58" s="11"/>
      <c r="I58" s="11"/>
      <c r="J58" s="9"/>
      <c r="K58" s="11"/>
      <c r="L58" s="9"/>
      <c r="M58" s="9"/>
      <c r="N58" s="11"/>
      <c r="O58" s="9"/>
      <c r="P58" s="11"/>
      <c r="Q58" s="1"/>
    </row>
    <row r="59" spans="1:17" x14ac:dyDescent="0.25">
      <c r="A59" s="8"/>
      <c r="B59" s="9"/>
      <c r="C59" s="9"/>
      <c r="D59" s="9"/>
      <c r="E59" s="11"/>
      <c r="F59" s="11"/>
      <c r="G59" s="12"/>
      <c r="H59" s="11"/>
      <c r="I59" s="11"/>
      <c r="J59" s="9"/>
      <c r="K59" s="11"/>
      <c r="L59" s="9"/>
      <c r="M59" s="9"/>
      <c r="N59" s="11"/>
      <c r="O59" s="9"/>
      <c r="P59" s="11"/>
      <c r="Q59" s="1"/>
    </row>
    <row r="60" spans="1:17" x14ac:dyDescent="0.25">
      <c r="A60" s="8"/>
      <c r="B60" s="9"/>
      <c r="C60" s="9"/>
      <c r="D60" s="9"/>
      <c r="E60" s="11"/>
      <c r="F60" s="11"/>
      <c r="G60" s="12"/>
      <c r="H60" s="11"/>
      <c r="I60" s="11"/>
      <c r="J60" s="9"/>
      <c r="K60" s="11"/>
      <c r="L60" s="9"/>
      <c r="M60" s="9"/>
      <c r="N60" s="11"/>
      <c r="O60" s="9"/>
      <c r="P60" s="11"/>
      <c r="Q60" s="1"/>
    </row>
    <row r="61" spans="1:17" x14ac:dyDescent="0.25">
      <c r="A61" s="8"/>
      <c r="B61" s="9"/>
      <c r="C61" s="9"/>
      <c r="D61" s="9"/>
      <c r="E61" s="11"/>
      <c r="F61" s="11"/>
      <c r="G61" s="12"/>
      <c r="H61" s="11"/>
      <c r="I61" s="11"/>
      <c r="J61" s="9"/>
      <c r="K61" s="11"/>
      <c r="L61" s="9"/>
      <c r="M61" s="9"/>
      <c r="N61" s="11"/>
      <c r="O61" s="9"/>
      <c r="P61" s="11"/>
      <c r="Q61" s="1"/>
    </row>
    <row r="62" spans="1:17" x14ac:dyDescent="0.25">
      <c r="A62" s="8"/>
      <c r="B62" s="9"/>
      <c r="C62" s="9"/>
      <c r="D62" s="9"/>
      <c r="E62" s="11"/>
      <c r="F62" s="11"/>
      <c r="G62" s="12"/>
      <c r="H62" s="11"/>
      <c r="I62" s="11"/>
      <c r="J62" s="9"/>
      <c r="K62" s="11"/>
      <c r="L62" s="9"/>
      <c r="M62" s="9"/>
      <c r="N62" s="11"/>
      <c r="O62" s="9"/>
      <c r="P62" s="11"/>
      <c r="Q62" s="1"/>
    </row>
    <row r="63" spans="1:17" x14ac:dyDescent="0.25">
      <c r="A63" s="8"/>
      <c r="B63" s="9"/>
      <c r="C63" s="9"/>
      <c r="D63" s="9"/>
      <c r="E63" s="11"/>
      <c r="F63" s="11"/>
      <c r="G63" s="12"/>
      <c r="H63" s="11"/>
      <c r="I63" s="11"/>
      <c r="J63" s="9"/>
      <c r="K63" s="11"/>
      <c r="L63" s="9"/>
      <c r="M63" s="9"/>
      <c r="N63" s="11"/>
      <c r="O63" s="9"/>
      <c r="P63" s="11"/>
      <c r="Q63" s="1"/>
    </row>
    <row r="64" spans="1:17" x14ac:dyDescent="0.25">
      <c r="A64" s="8"/>
      <c r="B64" s="9"/>
      <c r="C64" s="9"/>
      <c r="D64" s="9"/>
      <c r="E64" s="11"/>
      <c r="F64" s="11"/>
      <c r="G64" s="12"/>
      <c r="H64" s="11"/>
      <c r="I64" s="11"/>
      <c r="J64" s="9"/>
      <c r="K64" s="11"/>
      <c r="L64" s="9"/>
      <c r="M64" s="9"/>
      <c r="N64" s="11"/>
      <c r="O64" s="9"/>
      <c r="P64" s="11"/>
      <c r="Q64" s="1"/>
    </row>
    <row r="65" spans="1:17" x14ac:dyDescent="0.25">
      <c r="A65" s="8"/>
      <c r="B65" s="9"/>
      <c r="C65" s="9"/>
      <c r="D65" s="9"/>
      <c r="E65" s="11"/>
      <c r="F65" s="11"/>
      <c r="G65" s="12"/>
      <c r="H65" s="11"/>
      <c r="I65" s="11"/>
      <c r="J65" s="9"/>
      <c r="K65" s="11"/>
      <c r="L65" s="9"/>
      <c r="M65" s="9"/>
      <c r="N65" s="11"/>
      <c r="O65" s="9"/>
      <c r="P65" s="11"/>
      <c r="Q65" s="1"/>
    </row>
    <row r="66" spans="1:17" x14ac:dyDescent="0.25">
      <c r="A66" s="8"/>
      <c r="B66" s="9"/>
      <c r="C66" s="9"/>
      <c r="D66" s="9"/>
      <c r="E66" s="11"/>
      <c r="F66" s="11"/>
      <c r="G66" s="12"/>
      <c r="H66" s="11"/>
      <c r="I66" s="11"/>
      <c r="J66" s="9"/>
      <c r="K66" s="11"/>
      <c r="L66" s="9"/>
      <c r="M66" s="9"/>
      <c r="N66" s="11"/>
      <c r="O66" s="9"/>
      <c r="P66" s="11"/>
      <c r="Q66" s="1"/>
    </row>
    <row r="67" spans="1:17" x14ac:dyDescent="0.25">
      <c r="A67" s="8"/>
      <c r="B67" s="9"/>
      <c r="C67" s="9"/>
      <c r="D67" s="9"/>
      <c r="E67" s="11"/>
      <c r="F67" s="11"/>
      <c r="G67" s="12"/>
      <c r="H67" s="11"/>
      <c r="I67" s="11"/>
      <c r="J67" s="9"/>
      <c r="K67" s="11"/>
      <c r="L67" s="9"/>
      <c r="M67" s="9"/>
      <c r="N67" s="11"/>
      <c r="O67" s="9"/>
      <c r="P67" s="11"/>
      <c r="Q67" s="1"/>
    </row>
    <row r="68" spans="1:17" x14ac:dyDescent="0.25">
      <c r="A68" s="8"/>
      <c r="B68" s="9"/>
      <c r="C68" s="9"/>
      <c r="D68" s="9"/>
      <c r="E68" s="11"/>
      <c r="F68" s="11"/>
      <c r="G68" s="12"/>
      <c r="H68" s="11"/>
      <c r="I68" s="11"/>
      <c r="J68" s="9"/>
      <c r="K68" s="11"/>
      <c r="L68" s="9"/>
      <c r="M68" s="9"/>
      <c r="N68" s="11"/>
      <c r="O68" s="9"/>
      <c r="P68" s="11"/>
      <c r="Q68" s="1"/>
    </row>
    <row r="69" spans="1:17" x14ac:dyDescent="0.25">
      <c r="A69" s="8"/>
      <c r="B69" s="9"/>
      <c r="C69" s="9"/>
      <c r="D69" s="9"/>
      <c r="E69" s="11"/>
      <c r="F69" s="11"/>
      <c r="G69" s="12"/>
      <c r="H69" s="11"/>
      <c r="I69" s="11"/>
      <c r="J69" s="9"/>
      <c r="K69" s="11"/>
      <c r="L69" s="9"/>
      <c r="M69" s="9"/>
      <c r="N69" s="11"/>
      <c r="O69" s="9"/>
      <c r="P69" s="11"/>
      <c r="Q69" s="1"/>
    </row>
    <row r="70" spans="1:17" x14ac:dyDescent="0.25">
      <c r="A70" s="8"/>
      <c r="B70" s="9"/>
      <c r="C70" s="9"/>
      <c r="D70" s="9"/>
      <c r="E70" s="11"/>
      <c r="F70" s="11"/>
      <c r="G70" s="12"/>
      <c r="H70" s="11"/>
      <c r="I70" s="11"/>
      <c r="J70" s="9"/>
      <c r="K70" s="11"/>
      <c r="L70" s="9"/>
      <c r="M70" s="9"/>
      <c r="N70" s="11"/>
      <c r="O70" s="9"/>
      <c r="P70" s="11"/>
      <c r="Q70" s="1"/>
    </row>
    <row r="71" spans="1:17" x14ac:dyDescent="0.25">
      <c r="A71" s="8"/>
      <c r="B71" s="9"/>
      <c r="C71" s="9"/>
      <c r="D71" s="9"/>
      <c r="E71" s="11"/>
      <c r="F71" s="11"/>
      <c r="G71" s="12"/>
      <c r="H71" s="11"/>
      <c r="I71" s="11"/>
      <c r="J71" s="9"/>
      <c r="K71" s="11"/>
      <c r="L71" s="9"/>
      <c r="M71" s="9"/>
      <c r="N71" s="11"/>
      <c r="O71" s="9"/>
      <c r="P71" s="11"/>
      <c r="Q71" s="1"/>
    </row>
    <row r="72" spans="1:17" x14ac:dyDescent="0.25">
      <c r="A72" s="8"/>
      <c r="B72" s="9"/>
      <c r="C72" s="9"/>
      <c r="D72" s="9"/>
      <c r="E72" s="11"/>
      <c r="F72" s="11"/>
      <c r="G72" s="12"/>
      <c r="H72" s="11"/>
      <c r="I72" s="11"/>
      <c r="J72" s="9"/>
      <c r="K72" s="11"/>
      <c r="L72" s="9"/>
      <c r="M72" s="9"/>
      <c r="N72" s="11"/>
      <c r="O72" s="9"/>
      <c r="P72" s="11"/>
      <c r="Q72" s="1"/>
    </row>
    <row r="73" spans="1:17" x14ac:dyDescent="0.25">
      <c r="A73" s="8"/>
      <c r="B73" s="9"/>
      <c r="C73" s="9"/>
      <c r="D73" s="9"/>
      <c r="E73" s="11"/>
      <c r="F73" s="11"/>
      <c r="G73" s="12"/>
      <c r="H73" s="11"/>
      <c r="I73" s="11"/>
      <c r="J73" s="9"/>
      <c r="K73" s="11"/>
      <c r="L73" s="9"/>
      <c r="M73" s="9"/>
      <c r="N73" s="11"/>
      <c r="O73" s="9"/>
      <c r="P73" s="11"/>
      <c r="Q73" s="1"/>
    </row>
    <row r="74" spans="1:17" x14ac:dyDescent="0.25">
      <c r="A74" s="8"/>
      <c r="B74" s="9"/>
      <c r="C74" s="9"/>
      <c r="D74" s="9"/>
      <c r="E74" s="11"/>
      <c r="F74" s="11"/>
      <c r="G74" s="12"/>
      <c r="H74" s="11"/>
      <c r="I74" s="11"/>
      <c r="J74" s="9"/>
      <c r="K74" s="11"/>
      <c r="L74" s="9"/>
      <c r="M74" s="9"/>
      <c r="N74" s="11"/>
      <c r="O74" s="9"/>
      <c r="P74" s="11"/>
      <c r="Q74" s="1"/>
    </row>
  </sheetData>
  <autoFilter ref="A3:P7" xr:uid="{18FE7301-EE49-407F-9A80-E403DCB4FC82}"/>
  <mergeCells count="2">
    <mergeCell ref="K2:M2"/>
    <mergeCell ref="N2:P2"/>
  </mergeCells>
  <phoneticPr fontId="6" type="noConversion"/>
  <conditionalFormatting sqref="D1:D2 D4:D1048576">
    <cfRule type="duplicateValues" dxfId="2" priority="2"/>
    <cfRule type="duplicateValues" dxfId="1" priority="3"/>
  </conditionalFormatting>
  <conditionalFormatting sqref="Q4:Q74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CF indent 27-31th Mar-26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 Munger</dc:creator>
  <cp:lastModifiedBy>RAHUL PANDIT</cp:lastModifiedBy>
  <dcterms:created xsi:type="dcterms:W3CDTF">2024-05-20T04:28:58Z</dcterms:created>
  <dcterms:modified xsi:type="dcterms:W3CDTF">2026-04-13T06:33:22Z</dcterms:modified>
</cp:coreProperties>
</file>