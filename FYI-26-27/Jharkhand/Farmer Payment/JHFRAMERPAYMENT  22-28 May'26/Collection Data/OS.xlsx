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2-28 May'26\Collection Data\"/>
    </mc:Choice>
  </mc:AlternateContent>
  <xr:revisionPtr revIDLastSave="0" documentId="13_ncr:1_{790929F4-D321-4D91-9249-92EA276F897D}" xr6:coauthVersionLast="47" xr6:coauthVersionMax="47" xr10:uidLastSave="{00000000-0000-0000-0000-000000000000}"/>
  <bookViews>
    <workbookView xWindow="-120" yWindow="-120" windowWidth="29040" windowHeight="15720" xr2:uid="{4C3CA680-FFF2-4B24-A210-70ADB7AD3B5E}"/>
  </bookViews>
  <sheets>
    <sheet name="Sheet2" sheetId="2" r:id="rId1"/>
    <sheet name="Sheet1" sheetId="1" r:id="rId2"/>
  </sheets>
  <calcPr calcId="191029"/>
  <pivotCaches>
    <pivotCache cacheId="8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<sst xmlns="http://schemas.openxmlformats.org/spreadsheetml/2006/main" count="57" uniqueCount="38">
  <si>
    <t>Date</t>
  </si>
  <si>
    <t>Godown</t>
  </si>
  <si>
    <t>MPG Name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</si>
  <si>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</si>
  <si>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</si>
  <si>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</si>
  <si>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</si>
  <si>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</si>
  <si>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</si>
  <si>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</si>
  <si>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</si>
  <si>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Month</t>
  </si>
  <si>
    <t>Mode</t>
  </si>
  <si>
    <t>Cycle</t>
  </si>
  <si>
    <t>Deduction Date</t>
  </si>
  <si>
    <t>Payment Amt</t>
  </si>
  <si>
    <t>Dues</t>
  </si>
  <si>
    <t>Remarks</t>
  </si>
  <si>
    <t>Ageing</t>
  </si>
  <si>
    <t>Chanho</t>
  </si>
  <si>
    <t>Naudi</t>
  </si>
  <si>
    <t>Gomukh Gold 50 Kgs</t>
  </si>
  <si>
    <t>Deduction from Milk Payment</t>
  </si>
  <si>
    <t>Mar-26</t>
  </si>
  <si>
    <t>Farmer</t>
  </si>
  <si>
    <t>27 Feb - 05 Mar &amp; 06-12 Mar 13-19 Mar 20-26 Mar, 27-31 Mar</t>
  </si>
  <si>
    <t>Dumardagga</t>
  </si>
  <si>
    <t>03 Apr - 09 Apr</t>
  </si>
  <si>
    <t>Pali</t>
  </si>
  <si>
    <t>Bijuliya</t>
  </si>
  <si>
    <t>Apr-26</t>
  </si>
  <si>
    <t>Ranikhatanga</t>
  </si>
  <si>
    <t>Agru</t>
  </si>
  <si>
    <t>May-26</t>
  </si>
  <si>
    <t>08-14 may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</si>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</sst>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7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2" xfId="0" applyFont="1" applyFill="1" applyBorder="1"/>
    <xf numFmtId="16" fontId="3" fillId="3" borderId="2" xfId="0" applyNumberFormat="1" applyFont="1" applyFill="1" applyBorder="1"/>
    <xf numFmtId="0" fontId="2" fillId="3" borderId="3" xfId="0" applyFont="1" applyFill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0" fillId="0" borderId="0" xfId="0" pivotButton="1"/>
    <xf numFmtId="0" fontId="4" fillId="4" borderId="4" xfId="0" applyFont="1" applyFill="1" applyBorder="1"/>
    <xf numFmtId="0" fontId="4" fillId="4" borderId="5" xfId="0" applyFont="1" applyFill="1" applyBorder="1"/>
    <xf numFmtId="0" fontId="0" fillId="0" borderId="0" xfId="0" applyNumberFormat="1"/>
    <xf numFmtId="0" fontId="4" fillId="4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5.44610011574" createdVersion="8" refreshedVersion="8" minRefreshableVersion="3" recordCount="5" xr:uid="{7712D023-DFD3-4814-A784-14F5477767C8}">
  <cacheSource type="worksheet">
    <worksheetSource ref="A1:S6" sheet="Sheet1"/>
  </cacheSource>
  <cacheFields count="19">
    <cacheField name="Date" numFmtId="14">
      <sharedItems containsSemiMixedTypes="0" containsNonDate="0" containsDate="1" containsString="0" minDate="2026-03-06T00:00:00" maxDate="2026-05-16T00:00:00"/>
    </cacheField>
    <cacheField name="Godown" numFmtId="0">
      <sharedItems/>
    </cacheField>
    <cacheField name="MPG Name" numFmtId="0">
      <sharedItems/>
    </cacheField>
    <cacheField name="New Code" numFmtId="0">
      <sharedItems containsSemiMixedTypes="0" containsString="0" containsNumber="1" containsInteger="1" minValue="20020003" maxValue="20090003" count="5">
        <n v="20090003"/>
        <n v="20060003"/>
        <n v="20020003"/>
        <n v="20020006"/>
        <n v="20020025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4" maxValue="20"/>
    </cacheField>
    <cacheField name="Rate" numFmtId="0">
      <sharedItems containsSemiMixedTypes="0" containsString="0" containsNumber="1" containsInteger="1" minValue="1250" maxValue="1250"/>
    </cacheField>
    <cacheField name="Sales Amount" numFmtId="0">
      <sharedItems containsSemiMixedTypes="0" containsString="0" containsNumber="1" containsInteger="1" minValue="5000" maxValue="25000"/>
    </cacheField>
    <cacheField name="Sale Type" numFmtId="0">
      <sharedItems/>
    </cacheField>
    <cacheField name="Salesman Name" numFmtId="0">
      <sharedItems containsNonDate="0" containsString="0" containsBlank="1"/>
    </cacheField>
    <cacheField name="Challan Number" numFmtId="0">
      <sharedItems containsNonDate="0" containsString="0" containsBlank="1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Deduction Date" numFmtId="16">
      <sharedItems containsNonDate="0" containsDate="1" containsString="0" containsBlank="1" minDate="2026-03-05T00:00:00" maxDate="2026-05-15T00:00:00"/>
    </cacheField>
    <cacheField name="Payment Amt" numFmtId="0">
      <sharedItems containsString="0" containsBlank="1" containsNumber="1" containsInteger="1" minValue="2500" maxValue="12500"/>
    </cacheField>
    <cacheField name="Dues" numFmtId="0">
      <sharedItems containsSemiMixedTypes="0" containsString="0" containsNumber="1" containsInteger="1" minValue="2544" maxValue="12500"/>
    </cacheField>
    <cacheField name="Remarks" numFmtId="0">
      <sharedItems containsNonDate="0" containsString="0" containsBlank="1"/>
    </cacheField>
    <cacheField name="Ageing" numFmtId="0">
      <sharedItems containsSemiMixedTypes="0" containsString="0" containsNumber="1" containsInteger="1" minValue="17" maxValue="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6-03-06T00:00:00"/>
    <s v="Chanho"/>
    <s v="Naudi"/>
    <x v="0"/>
    <s v="Gomukh Gold 50 Kgs"/>
    <n v="10"/>
    <n v="1250"/>
    <n v="12500"/>
    <s v="Deduction from Milk Payment"/>
    <m/>
    <m/>
    <s v="Mar-26"/>
    <s v="Farmer"/>
    <s v="27 Feb - 05 Mar &amp; 06-12 Mar 13-19 Mar 20-26 Mar, 27-31 Mar"/>
    <d v="2026-03-05T00:00:00"/>
    <n v="9956"/>
    <n v="2544"/>
    <m/>
    <n v="87"/>
  </r>
  <r>
    <d v="2026-03-26T00:00:00"/>
    <s v="Dumardagga"/>
    <s v="Dumardagga"/>
    <x v="1"/>
    <s v="Gomukh Gold 50 Kgs"/>
    <n v="20"/>
    <n v="1250"/>
    <n v="25000"/>
    <s v="Deduction from Milk Payment"/>
    <m/>
    <m/>
    <s v="Mar-26"/>
    <s v="Farmer"/>
    <s v="03 Apr - 09 Apr"/>
    <d v="2026-04-09T00:00:00"/>
    <n v="12500"/>
    <n v="12500"/>
    <m/>
    <n v="67"/>
  </r>
  <r>
    <d v="2026-04-30T00:00:00"/>
    <s v="Pali"/>
    <s v="Bijuliya"/>
    <x v="2"/>
    <s v="Gomukh Gold 50 Kgs"/>
    <n v="5"/>
    <n v="1250"/>
    <n v="6250"/>
    <s v="Deduction from Milk Payment"/>
    <m/>
    <m/>
    <s v="Apr-26"/>
    <m/>
    <m/>
    <m/>
    <m/>
    <n v="6250"/>
    <m/>
    <n v="32"/>
  </r>
  <r>
    <d v="2026-04-30T00:00:00"/>
    <s v="Pali"/>
    <s v="Ranikhatanga"/>
    <x v="3"/>
    <s v="Gomukh Gold 50 Kgs"/>
    <n v="4"/>
    <n v="1250"/>
    <n v="5000"/>
    <s v="Deduction from Milk Payment"/>
    <m/>
    <m/>
    <s v="Apr-26"/>
    <m/>
    <m/>
    <m/>
    <m/>
    <n v="5000"/>
    <m/>
    <n v="32"/>
  </r>
  <r>
    <d v="2026-05-15T00:00:00"/>
    <s v="Pali"/>
    <s v="Agru"/>
    <x v="4"/>
    <s v="Gomukh Gold 50 Kgs"/>
    <n v="12"/>
    <n v="1250"/>
    <n v="15000"/>
    <s v="Deduction from Milk Payment"/>
    <m/>
    <m/>
    <s v="May-26"/>
    <s v="Farmer"/>
    <s v="08-14 may"/>
    <d v="2026-05-14T00:00:00"/>
    <n v="2500"/>
    <n v="12500"/>
    <m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5FE64-93D8-4D5D-8718-A1AE3ED95268}" name="PivotTable5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0" firstHeaderRow="2" firstDataRow="2" firstDataCol="1"/>
  <pivotFields count="19">
    <pivotField compact="0" numFmtId="14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4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u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03F1-575F-4ACD-A365-AF3D73F18E80}">
  <dimension ref="A3:H10"/>
  <sheetViews>
    <sheetView tabSelected="1" workbookViewId="0">
      <selection activeCell="K19" sqref="K19"/>
    </sheetView>
  </sheetViews>
  <sheetFormatPr defaultRowHeight="15" x14ac:dyDescent="0.25"/>
  <cols>
    <col min="1" max="1" width="12.42578125" bestFit="1" customWidth="1"/>
    <col min="2" max="2" width="6" bestFit="1" customWidth="1"/>
    <col min="7" max="7" width="11.28515625" bestFit="1" customWidth="1"/>
    <col min="8" max="8" width="6" bestFit="1" customWidth="1"/>
  </cols>
  <sheetData>
    <row r="3" spans="1:8" x14ac:dyDescent="0.25">
      <c r="A3" s="20" t="s">
        <v>36</v>
      </c>
    </row>
    <row r="4" spans="1:8" x14ac:dyDescent="0.25">
      <c r="A4" s="20" t="s">
        <v>3</v>
      </c>
      <c r="B4" t="s">
        <v>37</v>
      </c>
      <c r="G4" s="21" t="s">
        <v>3</v>
      </c>
      <c r="H4" s="21" t="s">
        <v>37</v>
      </c>
    </row>
    <row r="5" spans="1:8" x14ac:dyDescent="0.25">
      <c r="A5">
        <v>20020003</v>
      </c>
      <c r="B5" s="23">
        <v>6250</v>
      </c>
      <c r="G5">
        <v>20020003</v>
      </c>
      <c r="H5" s="23">
        <v>6250</v>
      </c>
    </row>
    <row r="6" spans="1:8" x14ac:dyDescent="0.25">
      <c r="A6">
        <v>20020006</v>
      </c>
      <c r="B6" s="23">
        <v>5000</v>
      </c>
      <c r="G6">
        <v>20020006</v>
      </c>
      <c r="H6" s="23">
        <v>5000</v>
      </c>
    </row>
    <row r="7" spans="1:8" x14ac:dyDescent="0.25">
      <c r="A7">
        <v>20020025</v>
      </c>
      <c r="B7" s="23">
        <v>12500</v>
      </c>
      <c r="G7">
        <v>20020025</v>
      </c>
      <c r="H7" s="23">
        <v>12500</v>
      </c>
    </row>
    <row r="8" spans="1:8" x14ac:dyDescent="0.25">
      <c r="A8">
        <v>20060003</v>
      </c>
      <c r="B8" s="23">
        <v>12500</v>
      </c>
      <c r="G8">
        <v>20060003</v>
      </c>
      <c r="H8" s="23">
        <v>12500</v>
      </c>
    </row>
    <row r="9" spans="1:8" x14ac:dyDescent="0.25">
      <c r="A9">
        <v>20090003</v>
      </c>
      <c r="B9" s="23">
        <v>2544</v>
      </c>
      <c r="G9">
        <v>20090003</v>
      </c>
      <c r="H9" s="23">
        <v>2544</v>
      </c>
    </row>
    <row r="10" spans="1:8" x14ac:dyDescent="0.25">
      <c r="A10" t="s">
        <v>35</v>
      </c>
      <c r="B10" s="23">
        <v>38794</v>
      </c>
      <c r="G10" s="22" t="s">
        <v>35</v>
      </c>
      <c r="H10" s="24">
        <v>38794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D8C2-C8E5-402C-BB37-0BD961C460BA}">
  <dimension ref="A1:S6"/>
  <sheetViews>
    <sheetView workbookViewId="0">
      <selection sqref="A1:S6"/>
    </sheetView>
  </sheetViews>
  <sheetFormatPr defaultRowHeight="15" x14ac:dyDescent="0.25"/>
  <cols>
    <col min="1" max="1" width="10.140625" bestFit="1" customWidth="1"/>
    <col min="2" max="2" width="10.7109375" bestFit="1" customWidth="1"/>
    <col min="3" max="3" width="11.42578125" bestFit="1" customWidth="1"/>
    <col min="5" max="5" width="17.5703125" bestFit="1" customWidth="1"/>
    <col min="9" max="9" width="24.7109375" bestFit="1" customWidth="1"/>
    <col min="14" max="14" width="51.28515625" bestFit="1" customWidth="1"/>
  </cols>
  <sheetData>
    <row r="1" spans="1:19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46087</v>
      </c>
      <c r="B2" s="4" t="s">
        <v>19</v>
      </c>
      <c r="C2" s="4" t="s">
        <v>20</v>
      </c>
      <c r="D2" s="5">
        <v>20090003</v>
      </c>
      <c r="E2" s="6" t="s">
        <v>21</v>
      </c>
      <c r="F2" s="7">
        <v>10</v>
      </c>
      <c r="G2" s="8">
        <v>1250</v>
      </c>
      <c r="H2" s="8">
        <v>12500</v>
      </c>
      <c r="I2" s="8" t="s">
        <v>22</v>
      </c>
      <c r="J2" s="8"/>
      <c r="K2" s="5"/>
      <c r="L2" s="8" t="s">
        <v>23</v>
      </c>
      <c r="M2" s="9" t="s">
        <v>24</v>
      </c>
      <c r="N2" s="8" t="s">
        <v>25</v>
      </c>
      <c r="O2" s="10">
        <v>46086</v>
      </c>
      <c r="P2" s="9">
        <v>9956</v>
      </c>
      <c r="Q2" s="8">
        <v>2544</v>
      </c>
      <c r="R2" s="8"/>
      <c r="S2" s="11">
        <v>87</v>
      </c>
    </row>
    <row r="3" spans="1:19" x14ac:dyDescent="0.25">
      <c r="A3" s="12">
        <v>46107</v>
      </c>
      <c r="B3" s="13" t="s">
        <v>26</v>
      </c>
      <c r="C3" s="13" t="s">
        <v>26</v>
      </c>
      <c r="D3" s="14">
        <v>20060003</v>
      </c>
      <c r="E3" s="6" t="s">
        <v>21</v>
      </c>
      <c r="F3" s="15">
        <v>20</v>
      </c>
      <c r="G3" s="16">
        <v>1250</v>
      </c>
      <c r="H3" s="16">
        <v>25000</v>
      </c>
      <c r="I3" s="16" t="s">
        <v>22</v>
      </c>
      <c r="J3" s="16"/>
      <c r="K3" s="14"/>
      <c r="L3" s="16" t="s">
        <v>23</v>
      </c>
      <c r="M3" s="17" t="s">
        <v>24</v>
      </c>
      <c r="N3" s="16" t="s">
        <v>27</v>
      </c>
      <c r="O3" s="18">
        <v>46121</v>
      </c>
      <c r="P3" s="17">
        <v>12500</v>
      </c>
      <c r="Q3" s="16">
        <v>12500</v>
      </c>
      <c r="R3" s="16"/>
      <c r="S3" s="19">
        <v>67</v>
      </c>
    </row>
    <row r="4" spans="1:19" x14ac:dyDescent="0.25">
      <c r="A4" s="3">
        <v>46142</v>
      </c>
      <c r="B4" s="4" t="s">
        <v>28</v>
      </c>
      <c r="C4" s="4" t="s">
        <v>29</v>
      </c>
      <c r="D4" s="5">
        <v>20020003</v>
      </c>
      <c r="E4" s="6" t="s">
        <v>21</v>
      </c>
      <c r="F4" s="7">
        <v>5</v>
      </c>
      <c r="G4" s="8">
        <v>1250</v>
      </c>
      <c r="H4" s="8">
        <v>6250</v>
      </c>
      <c r="I4" s="8" t="s">
        <v>22</v>
      </c>
      <c r="J4" s="8"/>
      <c r="K4" s="5"/>
      <c r="L4" s="8" t="s">
        <v>30</v>
      </c>
      <c r="M4" s="9"/>
      <c r="N4" s="9"/>
      <c r="O4" s="10"/>
      <c r="P4" s="9"/>
      <c r="Q4" s="8">
        <v>6250</v>
      </c>
      <c r="R4" s="8"/>
      <c r="S4" s="11">
        <v>32</v>
      </c>
    </row>
    <row r="5" spans="1:19" x14ac:dyDescent="0.25">
      <c r="A5" s="12">
        <v>46142</v>
      </c>
      <c r="B5" s="13" t="s">
        <v>28</v>
      </c>
      <c r="C5" s="13" t="s">
        <v>31</v>
      </c>
      <c r="D5" s="14">
        <v>20020006</v>
      </c>
      <c r="E5" s="6" t="s">
        <v>21</v>
      </c>
      <c r="F5" s="15">
        <v>4</v>
      </c>
      <c r="G5" s="16">
        <v>1250</v>
      </c>
      <c r="H5" s="16">
        <v>5000</v>
      </c>
      <c r="I5" s="16" t="s">
        <v>22</v>
      </c>
      <c r="J5" s="16"/>
      <c r="K5" s="14"/>
      <c r="L5" s="16" t="s">
        <v>30</v>
      </c>
      <c r="M5" s="17"/>
      <c r="N5" s="17"/>
      <c r="O5" s="18"/>
      <c r="P5" s="17"/>
      <c r="Q5" s="16">
        <v>5000</v>
      </c>
      <c r="R5" s="16"/>
      <c r="S5" s="19">
        <v>32</v>
      </c>
    </row>
    <row r="6" spans="1:19" x14ac:dyDescent="0.25">
      <c r="A6" s="3">
        <v>46157</v>
      </c>
      <c r="B6" s="4" t="s">
        <v>28</v>
      </c>
      <c r="C6" s="4" t="s">
        <v>32</v>
      </c>
      <c r="D6" s="5">
        <v>20020025</v>
      </c>
      <c r="E6" s="6" t="s">
        <v>21</v>
      </c>
      <c r="F6" s="7">
        <v>12</v>
      </c>
      <c r="G6" s="8">
        <v>1250</v>
      </c>
      <c r="H6" s="8">
        <v>15000</v>
      </c>
      <c r="I6" s="8" t="s">
        <v>22</v>
      </c>
      <c r="J6" s="8"/>
      <c r="K6" s="5"/>
      <c r="L6" s="8" t="s">
        <v>33</v>
      </c>
      <c r="M6" s="9" t="s">
        <v>24</v>
      </c>
      <c r="N6" s="9" t="s">
        <v>34</v>
      </c>
      <c r="O6" s="10">
        <v>46156</v>
      </c>
      <c r="P6" s="9">
        <v>2500</v>
      </c>
      <c r="Q6" s="8">
        <v>12500</v>
      </c>
      <c r="R6" s="8"/>
      <c r="S6" s="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2026-06-01T04:20:43Z</dcterms:created>
  <dcterms:modified xsi:type="dcterms:W3CDTF">2026-06-02T05:15:57Z</dcterms:modified>
</cp:coreProperties>
</file>