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2-28 May'26\Collection Data\"/>
    </mc:Choice>
  </mc:AlternateContent>
  <xr:revisionPtr revIDLastSave="0" documentId="13_ncr:1_{911CF78E-8847-4F76-8FEC-725BFACB66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4" r:id="rId1"/>
    <sheet name="Indent" sheetId="1" r:id="rId2"/>
    <sheet name="MPG Master" sheetId="2" r:id="rId3"/>
    <sheet name="Item Master" sheetId="3" r:id="rId4"/>
  </sheets>
  <externalReferences>
    <externalReference r:id="rId5"/>
  </externalReferences>
  <calcPr calcId="191029"/>
  <pivotCaches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4" l="1"/>
  <c r="M35" i="4"/>
  <c r="N33" i="4"/>
  <c r="M33" i="4"/>
  <c r="M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T20" i="1" l="1"/>
  <c r="T3" i="1"/>
  <c r="T24" i="1"/>
  <c r="T8" i="1"/>
  <c r="T14" i="1"/>
  <c r="T12" i="1"/>
  <c r="T6" i="1"/>
  <c r="T9" i="1"/>
  <c r="T10" i="1"/>
  <c r="T17" i="1"/>
  <c r="T21" i="1"/>
  <c r="T18" i="1"/>
  <c r="T22" i="1"/>
  <c r="T19" i="1"/>
  <c r="T5" i="1"/>
  <c r="T4" i="1"/>
  <c r="T13" i="1"/>
  <c r="T2" i="1"/>
  <c r="T11" i="1"/>
  <c r="T16" i="1"/>
  <c r="T23" i="1"/>
  <c r="T15" i="1"/>
  <c r="T7" i="1"/>
  <c r="N28" i="4" l="1"/>
  <c r="T25" i="1"/>
  <c r="K3" i="1" l="1"/>
  <c r="K2" i="1" l="1"/>
  <c r="K7" i="1"/>
  <c r="K13" i="1"/>
  <c r="K4" i="1"/>
  <c r="K22" i="1" l="1"/>
  <c r="K23" i="1"/>
  <c r="K24" i="1"/>
  <c r="K5" i="1"/>
  <c r="K6" i="1"/>
  <c r="K20" i="1"/>
  <c r="K12" i="1"/>
  <c r="K18" i="1"/>
  <c r="K17" i="1"/>
  <c r="K16" i="1"/>
  <c r="K15" i="1"/>
  <c r="K19" i="1"/>
  <c r="K21" i="1"/>
  <c r="K14" i="1"/>
  <c r="K9" i="1"/>
  <c r="K10" i="1"/>
  <c r="K8" i="1"/>
  <c r="K11" i="1"/>
</calcChain>
</file>

<file path=xl/sharedStrings.xml><?xml version="1.0" encoding="utf-8"?>
<sst xmlns="http://schemas.openxmlformats.org/spreadsheetml/2006/main" count="605" uniqueCount="221">
  <si>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</si>
  <si>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</si>
  <si>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</si>
  <si>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</si>
  <si>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</si>
  <si>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</si>
  <si>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</si>
  <si>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</si>
  <si>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</si>
  <si>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</si>
  <si>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</si>
  <si>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</si>
  <si>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</si>
  <si>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</si>
  <si>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</si>
  <si>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</si>
  <si>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</si>
  <si>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</si>
  <si>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</si>
  <si>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Gomukh Gold 50KG</t>
  </si>
  <si>
    <t>ORMANJHI</t>
  </si>
  <si>
    <t>Daya Society</t>
  </si>
  <si>
    <t>DUMARDAGA</t>
  </si>
  <si>
    <t>0002</t>
  </si>
  <si>
    <t>CHUTTU</t>
  </si>
  <si>
    <t>KUCHU</t>
  </si>
  <si>
    <t>MASU</t>
  </si>
  <si>
    <t>Itki</t>
  </si>
  <si>
    <t>Vikash</t>
  </si>
  <si>
    <t>200200030002</t>
  </si>
  <si>
    <t>Bijuliya</t>
  </si>
  <si>
    <t>Paali</t>
  </si>
  <si>
    <t>200200010033</t>
  </si>
  <si>
    <t>0033</t>
  </si>
  <si>
    <t>200200010005</t>
  </si>
  <si>
    <t>0005</t>
  </si>
  <si>
    <t>200200010041</t>
  </si>
  <si>
    <t>0041</t>
  </si>
  <si>
    <t>200200010121</t>
  </si>
  <si>
    <t>0121</t>
  </si>
  <si>
    <t>0023</t>
  </si>
  <si>
    <t>Amar kumar sahu</t>
  </si>
  <si>
    <t>PAKARIYO</t>
  </si>
  <si>
    <t>0022</t>
  </si>
  <si>
    <t>Chanho</t>
  </si>
  <si>
    <t>0004</t>
  </si>
  <si>
    <t>NAWATAND</t>
  </si>
  <si>
    <t>200200200023</t>
  </si>
  <si>
    <t>TIKO TOLI</t>
  </si>
  <si>
    <t>200900080005</t>
  </si>
  <si>
    <t>GANESHPUR</t>
  </si>
  <si>
    <t>200900200005</t>
  </si>
  <si>
    <t>PAKARIYO 2</t>
  </si>
  <si>
    <t>200100540012</t>
  </si>
  <si>
    <t>NARKOPI</t>
  </si>
  <si>
    <t>0012</t>
  </si>
  <si>
    <t>200500010030</t>
  </si>
  <si>
    <t>Baski 2</t>
  </si>
  <si>
    <t>0030</t>
  </si>
  <si>
    <t>200500010049</t>
  </si>
  <si>
    <t>0049</t>
  </si>
  <si>
    <t>200200060002</t>
  </si>
  <si>
    <t>RANIKHATANGA</t>
  </si>
  <si>
    <t>200200200042</t>
  </si>
  <si>
    <t>0042</t>
  </si>
  <si>
    <t>200200200039</t>
  </si>
  <si>
    <t>0039</t>
  </si>
  <si>
    <t>200200200038</t>
  </si>
  <si>
    <t>0038</t>
  </si>
  <si>
    <t>200200010083</t>
  </si>
  <si>
    <t>0083</t>
  </si>
  <si>
    <t>200200010002</t>
  </si>
  <si>
    <t>200200010110</t>
  </si>
  <si>
    <t>0110</t>
  </si>
  <si>
    <t>200200010067</t>
  </si>
  <si>
    <t>0067</t>
  </si>
  <si>
    <t>200200010150</t>
  </si>
  <si>
    <t>0150</t>
  </si>
  <si>
    <t>200200250022</t>
  </si>
  <si>
    <t>AGRU</t>
  </si>
  <si>
    <t>200200250004</t>
  </si>
  <si>
    <t>200200250008</t>
  </si>
  <si>
    <t>0008</t>
  </si>
  <si>
    <t>MPG NAME</t>
  </si>
  <si>
    <t>ITKI 2</t>
  </si>
  <si>
    <t>BOREYA</t>
  </si>
  <si>
    <t>Makunda</t>
  </si>
  <si>
    <t>SEMRA</t>
  </si>
  <si>
    <t>Kumbatoli</t>
  </si>
  <si>
    <t>Erchoro</t>
  </si>
  <si>
    <t>Basila</t>
  </si>
  <si>
    <t>RONHE</t>
  </si>
  <si>
    <t>KATARPA</t>
  </si>
  <si>
    <t>NAGRI</t>
  </si>
  <si>
    <t>PISKA</t>
  </si>
  <si>
    <t>TUKO</t>
  </si>
  <si>
    <t>DIGHIYA</t>
  </si>
  <si>
    <t>Bero</t>
  </si>
  <si>
    <t>TIKRA TOLI</t>
  </si>
  <si>
    <t>Gargaon2</t>
  </si>
  <si>
    <t>CHACHGURA</t>
  </si>
  <si>
    <t>GARGAON</t>
  </si>
  <si>
    <t>TERO</t>
  </si>
  <si>
    <t>PANDEPARA</t>
  </si>
  <si>
    <t>ITA CHILDRI</t>
  </si>
  <si>
    <t>KHATRIKHATANGA</t>
  </si>
  <si>
    <t>KARANJI 2</t>
  </si>
  <si>
    <t>GHAGHRA</t>
  </si>
  <si>
    <t>DARKHANDREY</t>
  </si>
  <si>
    <t>MURTO</t>
  </si>
  <si>
    <t>DHONTHA TOLI</t>
  </si>
  <si>
    <t>BARGARI</t>
  </si>
  <si>
    <t>PATRATOLI</t>
  </si>
  <si>
    <t>Jari</t>
  </si>
  <si>
    <t>BANAPIRI</t>
  </si>
  <si>
    <t>SAPAROM</t>
  </si>
  <si>
    <t>BAJPUR</t>
  </si>
  <si>
    <t>Pandra</t>
  </si>
  <si>
    <t>CHIPRA</t>
  </si>
  <si>
    <t>SURSA</t>
  </si>
  <si>
    <t>BASKI</t>
  </si>
  <si>
    <t>KANBHITHA</t>
  </si>
  <si>
    <t>BARTOLI</t>
  </si>
  <si>
    <t>UCHARI</t>
  </si>
  <si>
    <t>PUNGI</t>
  </si>
  <si>
    <t>Hisri Thakurgaon</t>
  </si>
  <si>
    <t>THAKURGAON</t>
  </si>
  <si>
    <t>SURID</t>
  </si>
  <si>
    <t>UMEDANDA</t>
  </si>
  <si>
    <t>URUGUTU</t>
  </si>
  <si>
    <t>CHOREYA</t>
  </si>
  <si>
    <t>MADHUKAM</t>
  </si>
  <si>
    <t>KADAM TOLI</t>
  </si>
  <si>
    <t>MAHESHPUR</t>
  </si>
  <si>
    <t>IRBA</t>
  </si>
  <si>
    <t>DEV DARSHAN</t>
  </si>
  <si>
    <t>HOCHAR 2</t>
  </si>
  <si>
    <t>HOCHAR</t>
  </si>
  <si>
    <t>JIRABAR</t>
  </si>
  <si>
    <t>KUKUI</t>
  </si>
  <si>
    <t>MANDRO</t>
  </si>
  <si>
    <t>PANCHOLI</t>
  </si>
  <si>
    <t>BARAGAIN</t>
  </si>
  <si>
    <t>CHATAKPUR</t>
  </si>
  <si>
    <t>ADELHATU</t>
  </si>
  <si>
    <t>RAMGARH</t>
  </si>
  <si>
    <t>PIRAGUTU</t>
  </si>
  <si>
    <t>KARAMBA</t>
  </si>
  <si>
    <t>KEDAL</t>
  </si>
  <si>
    <t>NABATOLI</t>
  </si>
  <si>
    <t>MURUPIRI</t>
  </si>
  <si>
    <t>CHORA</t>
  </si>
  <si>
    <t>USKU</t>
  </si>
  <si>
    <t>SAHEDA</t>
  </si>
  <si>
    <t>SARAM</t>
  </si>
  <si>
    <t>MURPA</t>
  </si>
  <si>
    <t>NINDRA</t>
  </si>
  <si>
    <t>ULATU</t>
  </si>
  <si>
    <t>ICHAPIRI</t>
  </si>
  <si>
    <t>KURALU</t>
  </si>
  <si>
    <t>MAKKA</t>
  </si>
  <si>
    <t>SUBHASH NAGAR</t>
  </si>
  <si>
    <t>MAYAPUR</t>
  </si>
  <si>
    <t>CHATTI BHANDRA</t>
  </si>
  <si>
    <t>ITTA BARHI CHOWK</t>
  </si>
  <si>
    <t>Ningni</t>
  </si>
  <si>
    <t>Chitri Ambatoli</t>
  </si>
  <si>
    <t>DAARU</t>
  </si>
  <si>
    <t>PAHARKESHA 2</t>
  </si>
  <si>
    <t>JATARGARI</t>
  </si>
  <si>
    <t>CHHARDA</t>
  </si>
  <si>
    <t>MALANG TOLI</t>
  </si>
  <si>
    <t>SORANDA</t>
  </si>
  <si>
    <t>MASHMANO</t>
  </si>
  <si>
    <t>LONGA</t>
  </si>
  <si>
    <t>BHITTA</t>
  </si>
  <si>
    <t>PAHARKESA</t>
  </si>
  <si>
    <t>KACHMACHI 2</t>
  </si>
  <si>
    <t>KACHMACHI</t>
  </si>
  <si>
    <t>KUNDO AMBATOLI</t>
  </si>
  <si>
    <t>Rampur</t>
  </si>
  <si>
    <t>Guri</t>
  </si>
  <si>
    <t>MUNDO 2</t>
  </si>
  <si>
    <t>NADI NAGRA 2</t>
  </si>
  <si>
    <t>BASRI NAGRA</t>
  </si>
  <si>
    <t>Bhaiyagaon</t>
  </si>
  <si>
    <t>BHUJANIYA</t>
  </si>
  <si>
    <t>Bajra</t>
  </si>
  <si>
    <t>KULLU</t>
  </si>
  <si>
    <t>TUTLO</t>
  </si>
  <si>
    <t>DUMRI</t>
  </si>
  <si>
    <t>BHOGLA TOLI</t>
  </si>
  <si>
    <t>Naudi</t>
  </si>
  <si>
    <t>FULDIH 2</t>
  </si>
  <si>
    <t>HUTAR</t>
  </si>
  <si>
    <t>BARHE</t>
  </si>
  <si>
    <t>KATAIYA 2</t>
  </si>
  <si>
    <t>LUNDRI 1</t>
  </si>
  <si>
    <t>KOKAR</t>
  </si>
  <si>
    <t>CHATWAL</t>
  </si>
  <si>
    <t>KATAIYA</t>
  </si>
  <si>
    <t>LUNDRI 2</t>
  </si>
  <si>
    <t>PATRA TOLI</t>
  </si>
  <si>
    <t>MADINA NAGAR</t>
  </si>
  <si>
    <t>KOTHI TOLA</t>
  </si>
  <si>
    <t>Dhiraj Kumar</t>
  </si>
  <si>
    <t>VLC</t>
  </si>
  <si>
    <t>Name of Item</t>
  </si>
  <si>
    <t>UoM</t>
  </si>
  <si>
    <t>Base Rate</t>
  </si>
  <si>
    <t>Bags</t>
  </si>
  <si>
    <t>Buff Spl 50 Kg</t>
  </si>
  <si>
    <t>22-5-2026 to 28-5-2026</t>
  </si>
  <si>
    <t>FS Deduction</t>
  </si>
  <si>
    <t>Total</t>
  </si>
  <si>
    <t>Grand Total</t>
  </si>
  <si>
    <t>Farmer Payment</t>
  </si>
  <si>
    <t>Direct</t>
  </si>
  <si>
    <t>Sum of Final Amount</t>
  </si>
  <si>
    <t>Deduction</t>
  </si>
  <si>
    <t>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</si>
</sst>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m/d/yyyy\ h:mm:ss"/>
    <numFmt numFmtId="165" formatCode="yyyy\-mm\-dd"/>
  </numFmts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Roboto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Roboto"/>
    </font>
    <font>
      <sz val="10"/>
      <color rgb="FF434343"/>
      <name val="Roboto"/>
    </font>
    <font>
      <sz val="10"/>
      <color rgb="FF434343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/>
      <right/>
      <top/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2" xfId="0" applyFont="1" applyFill="1" applyBorder="1"/>
    <xf numFmtId="0" fontId="6" fillId="0" borderId="0" xfId="0" applyFont="1" applyAlignment="1">
      <alignment horizontal="left" vertical="center"/>
    </xf>
    <xf numFmtId="0" fontId="7" fillId="3" borderId="3" xfId="0" applyFont="1" applyFill="1" applyBorder="1" applyAlignment="1">
      <alignment vertical="center"/>
    </xf>
    <xf numFmtId="0" fontId="8" fillId="2" borderId="4" xfId="0" applyFont="1" applyFill="1" applyBorder="1"/>
    <xf numFmtId="0" fontId="8" fillId="2" borderId="5" xfId="0" applyFont="1" applyFill="1" applyBorder="1" applyAlignment="1">
      <alignment horizontal="right"/>
    </xf>
    <xf numFmtId="0" fontId="8" fillId="3" borderId="6" xfId="0" applyFont="1" applyFill="1" applyBorder="1"/>
    <xf numFmtId="0" fontId="8" fillId="3" borderId="7" xfId="0" applyFont="1" applyFill="1" applyBorder="1" applyAlignment="1">
      <alignment horizontal="right"/>
    </xf>
    <xf numFmtId="0" fontId="7" fillId="2" borderId="8" xfId="0" applyFont="1" applyFill="1" applyBorder="1" applyAlignment="1">
      <alignment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7" fillId="2" borderId="0" xfId="0" applyFont="1" applyFill="1" applyAlignment="1">
      <alignment vertical="center"/>
    </xf>
    <xf numFmtId="0" fontId="9" fillId="2" borderId="0" xfId="0" applyFont="1" applyFill="1"/>
    <xf numFmtId="164" fontId="3" fillId="0" borderId="11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11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0" fontId="3" fillId="0" borderId="11" xfId="0" quotePrefix="1" applyFont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2" xfId="0" pivotButton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0" fillId="0" borderId="21" xfId="0" applyFont="1" applyBorder="1"/>
    <xf numFmtId="0" fontId="0" fillId="4" borderId="21" xfId="0" applyFill="1" applyBorder="1"/>
  </cellXfs>
  <cellStyles count="2">
    <cellStyle name="Comma 2" xfId="1" xr:uid="{C9CA4A5A-8409-45F2-9A1F-68645EA1DBF8}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name="Indent-style" pivot="0" count="4" xr9:uid="{00000000-0011-0000-FFFF-FFFF00000000}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MPG Master-style" pivot="0" count="4" xr9:uid="{00000000-0011-0000-FFFF-FFFF01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Item Master-style" pivot="0" count="4" xr9:uid="{00000000-0011-0000-FFFF-FFFF02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9.%20JH%20Farmer%20Payment-22-28%20May.xlsx" TargetMode="External"/><Relationship Id="rId2" Type="http://schemas.openxmlformats.org/officeDocument/2006/relationships/externalLinkPath" Target="file:///C:\Users\rahul\Desktop\Rahul%20Backup\Farmer%20Payment\FYI-26-27\Jharkhand\Farmer%20Payment\JHFRAMERPAYMENT%20%2022-28%20May'26\09.%20JH%20Farmer%20Payment-22-28%20May.xlsx" TargetMode="External"/><Relationship Id="rId1" Type="http://schemas.openxmlformats.org/officeDocument/2006/relationships/externalLinkPath" Target="/Users/rahul/Desktop/Rahul%20Backup/Farmer%20Payment/FYI-26-27/Jharkhand/Farmer%20Payment/JHFRAMERPAYMENT%20%2022-28%20May'26/09.%20JH%20Farmer%20Payment-22-28%20M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20010003</v>
          </cell>
          <cell r="C5" t="str">
            <v>Bero</v>
          </cell>
          <cell r="D5" t="str">
            <v>MPG</v>
          </cell>
          <cell r="E5" t="str">
            <v>Direct</v>
          </cell>
        </row>
        <row r="6">
          <cell r="B6">
            <v>20010005</v>
          </cell>
          <cell r="C6" t="str">
            <v>Basila</v>
          </cell>
          <cell r="D6" t="str">
            <v>MPG</v>
          </cell>
          <cell r="E6" t="str">
            <v>Direct</v>
          </cell>
        </row>
        <row r="7">
          <cell r="B7">
            <v>20010008</v>
          </cell>
          <cell r="C7" t="str">
            <v>Erchoro</v>
          </cell>
          <cell r="D7" t="str">
            <v>MPG</v>
          </cell>
          <cell r="E7" t="str">
            <v>Direct</v>
          </cell>
        </row>
        <row r="8">
          <cell r="B8">
            <v>20010009</v>
          </cell>
          <cell r="C8" t="str">
            <v>Makunda</v>
          </cell>
          <cell r="D8" t="str">
            <v>MPG</v>
          </cell>
          <cell r="E8" t="str">
            <v>Direct</v>
          </cell>
        </row>
        <row r="9">
          <cell r="B9">
            <v>20010012</v>
          </cell>
          <cell r="C9" t="str">
            <v>NAGRI</v>
          </cell>
          <cell r="D9" t="str">
            <v>VLC</v>
          </cell>
          <cell r="E9" t="str">
            <v>Indirect</v>
          </cell>
        </row>
        <row r="10">
          <cell r="B10">
            <v>20010015</v>
          </cell>
          <cell r="C10" t="str">
            <v>BOREYA</v>
          </cell>
          <cell r="D10" t="str">
            <v>MPG</v>
          </cell>
          <cell r="E10" t="str">
            <v>Direct</v>
          </cell>
        </row>
        <row r="11">
          <cell r="B11">
            <v>20010016</v>
          </cell>
          <cell r="C11" t="str">
            <v>ITA CHILDRI</v>
          </cell>
          <cell r="D11" t="str">
            <v>MPG</v>
          </cell>
          <cell r="E11" t="str">
            <v>Direct</v>
          </cell>
        </row>
        <row r="12">
          <cell r="B12">
            <v>20010017</v>
          </cell>
          <cell r="C12" t="str">
            <v>DIGHIYA</v>
          </cell>
          <cell r="D12" t="str">
            <v>MPG</v>
          </cell>
          <cell r="E12" t="str">
            <v>Direct</v>
          </cell>
        </row>
        <row r="13">
          <cell r="B13">
            <v>20010023</v>
          </cell>
          <cell r="C13" t="str">
            <v>KATARPA</v>
          </cell>
          <cell r="D13" t="str">
            <v>MPG</v>
          </cell>
          <cell r="E13" t="str">
            <v>Direct</v>
          </cell>
        </row>
        <row r="14">
          <cell r="B14">
            <v>20010027</v>
          </cell>
          <cell r="C14" t="str">
            <v>MURTO</v>
          </cell>
          <cell r="D14" t="str">
            <v>MPG</v>
          </cell>
          <cell r="E14" t="str">
            <v>Direct</v>
          </cell>
        </row>
        <row r="15">
          <cell r="B15">
            <v>20010033</v>
          </cell>
          <cell r="C15" t="str">
            <v>KHATRIKHATANGA</v>
          </cell>
          <cell r="D15" t="str">
            <v>MPG</v>
          </cell>
          <cell r="E15" t="str">
            <v>Direct</v>
          </cell>
        </row>
        <row r="16">
          <cell r="B16">
            <v>20010034</v>
          </cell>
          <cell r="C16" t="str">
            <v>GARGAON</v>
          </cell>
          <cell r="D16" t="str">
            <v>MPG</v>
          </cell>
          <cell r="E16" t="str">
            <v>Direct</v>
          </cell>
        </row>
        <row r="17">
          <cell r="B17">
            <v>20010036</v>
          </cell>
          <cell r="C17" t="str">
            <v>GHAGHRA</v>
          </cell>
          <cell r="D17" t="str">
            <v>MPG</v>
          </cell>
          <cell r="E17" t="str">
            <v>Direct</v>
          </cell>
        </row>
        <row r="18">
          <cell r="B18">
            <v>20010037</v>
          </cell>
          <cell r="C18" t="str">
            <v>CHACHGURA</v>
          </cell>
          <cell r="D18" t="str">
            <v>MPG</v>
          </cell>
          <cell r="E18" t="str">
            <v>Indirect</v>
          </cell>
        </row>
        <row r="19">
          <cell r="B19">
            <v>20010038</v>
          </cell>
          <cell r="C19" t="str">
            <v>TIKRA TOLI</v>
          </cell>
          <cell r="D19" t="str">
            <v>MPG</v>
          </cell>
          <cell r="E19" t="str">
            <v>Direct</v>
          </cell>
        </row>
        <row r="20">
          <cell r="B20">
            <v>20010040</v>
          </cell>
          <cell r="C20" t="str">
            <v>Gargaon2</v>
          </cell>
          <cell r="D20" t="str">
            <v>MPG</v>
          </cell>
          <cell r="E20" t="str">
            <v>Direct</v>
          </cell>
        </row>
        <row r="21">
          <cell r="B21">
            <v>20010041</v>
          </cell>
          <cell r="C21" t="str">
            <v>TERO</v>
          </cell>
          <cell r="D21" t="str">
            <v>MPG</v>
          </cell>
          <cell r="E21" t="str">
            <v>Direct</v>
          </cell>
        </row>
        <row r="22">
          <cell r="B22">
            <v>20010042</v>
          </cell>
          <cell r="C22" t="str">
            <v>RONHE</v>
          </cell>
          <cell r="D22" t="str">
            <v>MPG</v>
          </cell>
          <cell r="E22" t="str">
            <v>Direct</v>
          </cell>
        </row>
        <row r="23">
          <cell r="B23">
            <v>20010043</v>
          </cell>
          <cell r="C23" t="str">
            <v>DARKHANDREY</v>
          </cell>
          <cell r="D23" t="str">
            <v>MPG</v>
          </cell>
          <cell r="E23" t="str">
            <v>Direct</v>
          </cell>
        </row>
        <row r="24">
          <cell r="B24">
            <v>20010052</v>
          </cell>
          <cell r="C24" t="str">
            <v>Kumbatoli</v>
          </cell>
          <cell r="D24" t="str">
            <v>MPG</v>
          </cell>
          <cell r="E24" t="str">
            <v>Direct</v>
          </cell>
        </row>
        <row r="25">
          <cell r="B25">
            <v>20010053</v>
          </cell>
          <cell r="C25" t="str">
            <v>TUTLO</v>
          </cell>
          <cell r="D25" t="str">
            <v>MPG</v>
          </cell>
          <cell r="E25" t="str">
            <v>Direct</v>
          </cell>
        </row>
        <row r="26">
          <cell r="B26">
            <v>20010054</v>
          </cell>
          <cell r="C26" t="str">
            <v>NARKOPI</v>
          </cell>
          <cell r="D26" t="str">
            <v>MPG</v>
          </cell>
          <cell r="E26" t="str">
            <v>Direct</v>
          </cell>
        </row>
        <row r="27">
          <cell r="B27">
            <v>20010055</v>
          </cell>
          <cell r="C27" t="str">
            <v>MASU</v>
          </cell>
          <cell r="D27" t="str">
            <v>MPG</v>
          </cell>
          <cell r="E27" t="str">
            <v>Direct</v>
          </cell>
        </row>
        <row r="28">
          <cell r="B28">
            <v>20010057</v>
          </cell>
          <cell r="C28" t="str">
            <v>PANDEPARA</v>
          </cell>
          <cell r="D28" t="str">
            <v>VLC</v>
          </cell>
          <cell r="E28" t="str">
            <v>Indirect</v>
          </cell>
        </row>
        <row r="29">
          <cell r="B29">
            <v>20010059</v>
          </cell>
          <cell r="C29" t="str">
            <v>KARANJI 2</v>
          </cell>
          <cell r="D29" t="str">
            <v>MPG</v>
          </cell>
          <cell r="E29" t="str">
            <v>Direct</v>
          </cell>
        </row>
        <row r="30">
          <cell r="B30">
            <v>20010060</v>
          </cell>
          <cell r="C30" t="str">
            <v>ITKI 2</v>
          </cell>
          <cell r="D30" t="str">
            <v>VLC</v>
          </cell>
          <cell r="E30" t="str">
            <v>Indirect</v>
          </cell>
        </row>
        <row r="31">
          <cell r="B31">
            <v>20010061</v>
          </cell>
          <cell r="C31" t="str">
            <v>SEMRA</v>
          </cell>
          <cell r="D31" t="str">
            <v>MPG</v>
          </cell>
          <cell r="E31" t="str">
            <v>Direct</v>
          </cell>
        </row>
        <row r="32">
          <cell r="B32">
            <v>20010062</v>
          </cell>
          <cell r="C32" t="str">
            <v>PISKA</v>
          </cell>
          <cell r="D32" t="str">
            <v>MPG</v>
          </cell>
          <cell r="E32" t="str">
            <v>Direct</v>
          </cell>
        </row>
        <row r="33">
          <cell r="B33">
            <v>20020001</v>
          </cell>
          <cell r="C33" t="str">
            <v>Paali</v>
          </cell>
          <cell r="D33" t="str">
            <v>RMC</v>
          </cell>
          <cell r="E33" t="str">
            <v>Direct</v>
          </cell>
        </row>
        <row r="34">
          <cell r="B34">
            <v>20020002</v>
          </cell>
          <cell r="C34" t="str">
            <v>Jari</v>
          </cell>
          <cell r="D34" t="str">
            <v>MPG</v>
          </cell>
          <cell r="E34" t="str">
            <v>Direct</v>
          </cell>
        </row>
        <row r="35">
          <cell r="B35">
            <v>20020003</v>
          </cell>
          <cell r="C35" t="str">
            <v>Bijuliya</v>
          </cell>
          <cell r="D35" t="str">
            <v>MPG</v>
          </cell>
          <cell r="E35" t="str">
            <v>Direct</v>
          </cell>
        </row>
        <row r="36">
          <cell r="B36">
            <v>20020004</v>
          </cell>
          <cell r="C36" t="str">
            <v>Pandra</v>
          </cell>
          <cell r="D36" t="str">
            <v>MPG</v>
          </cell>
          <cell r="E36" t="str">
            <v>Direct</v>
          </cell>
        </row>
        <row r="37">
          <cell r="B37">
            <v>20020005</v>
          </cell>
          <cell r="C37" t="str">
            <v>BASKI</v>
          </cell>
          <cell r="D37" t="str">
            <v>MPG</v>
          </cell>
          <cell r="E37" t="str">
            <v>Direct</v>
          </cell>
        </row>
        <row r="38">
          <cell r="B38">
            <v>20020006</v>
          </cell>
          <cell r="C38" t="str">
            <v>RANIKHATANGA</v>
          </cell>
          <cell r="D38" t="str">
            <v>MPG</v>
          </cell>
          <cell r="E38" t="str">
            <v>Direct</v>
          </cell>
        </row>
        <row r="39">
          <cell r="B39">
            <v>20020007</v>
          </cell>
          <cell r="C39" t="str">
            <v>SURSA</v>
          </cell>
          <cell r="D39" t="str">
            <v>MPG</v>
          </cell>
          <cell r="E39" t="str">
            <v>Direct</v>
          </cell>
        </row>
        <row r="40">
          <cell r="B40">
            <v>20020009</v>
          </cell>
          <cell r="C40" t="str">
            <v>KOTA</v>
          </cell>
          <cell r="D40" t="str">
            <v>VLC</v>
          </cell>
          <cell r="E40" t="str">
            <v>Indirect</v>
          </cell>
        </row>
        <row r="41">
          <cell r="B41">
            <v>20020010</v>
          </cell>
          <cell r="C41" t="str">
            <v>CHIPRA</v>
          </cell>
          <cell r="D41" t="str">
            <v>MPG</v>
          </cell>
          <cell r="E41" t="str">
            <v>Direct</v>
          </cell>
        </row>
        <row r="42">
          <cell r="B42">
            <v>20020011</v>
          </cell>
          <cell r="C42" t="str">
            <v>DHONTHA TOLI</v>
          </cell>
          <cell r="D42" t="str">
            <v>MPG</v>
          </cell>
          <cell r="E42" t="str">
            <v>Direct</v>
          </cell>
        </row>
        <row r="43">
          <cell r="B43">
            <v>20020013</v>
          </cell>
          <cell r="C43" t="str">
            <v>BAJPUR</v>
          </cell>
          <cell r="D43" t="str">
            <v>VLC</v>
          </cell>
          <cell r="E43" t="str">
            <v>Indirect</v>
          </cell>
        </row>
        <row r="44">
          <cell r="B44">
            <v>20020014</v>
          </cell>
          <cell r="C44" t="str">
            <v>BARGARI</v>
          </cell>
          <cell r="D44" t="str">
            <v>MPG</v>
          </cell>
          <cell r="E44" t="str">
            <v>Direct</v>
          </cell>
        </row>
        <row r="45">
          <cell r="B45">
            <v>20020015</v>
          </cell>
          <cell r="C45" t="str">
            <v>PATRATOLI</v>
          </cell>
          <cell r="D45" t="str">
            <v>MPG</v>
          </cell>
          <cell r="E45" t="str">
            <v>Direct</v>
          </cell>
        </row>
        <row r="46">
          <cell r="B46">
            <v>20020016</v>
          </cell>
          <cell r="C46" t="str">
            <v>BANAPIRI</v>
          </cell>
          <cell r="D46" t="str">
            <v>MPG</v>
          </cell>
          <cell r="E46" t="str">
            <v>Indirect</v>
          </cell>
        </row>
        <row r="47">
          <cell r="B47">
            <v>20020020</v>
          </cell>
          <cell r="C47" t="str">
            <v>TIKO TOLI</v>
          </cell>
          <cell r="D47" t="str">
            <v>MPG</v>
          </cell>
          <cell r="E47" t="str">
            <v>Direct</v>
          </cell>
        </row>
        <row r="48">
          <cell r="B48">
            <v>20020021</v>
          </cell>
          <cell r="C48" t="str">
            <v>PUNGI</v>
          </cell>
          <cell r="D48" t="str">
            <v>MPG</v>
          </cell>
          <cell r="E48" t="str">
            <v>Direct</v>
          </cell>
        </row>
        <row r="49">
          <cell r="B49">
            <v>20020023</v>
          </cell>
          <cell r="C49" t="str">
            <v>BARTOLI</v>
          </cell>
          <cell r="D49" t="str">
            <v>MPG</v>
          </cell>
          <cell r="E49" t="str">
            <v>Direct</v>
          </cell>
        </row>
        <row r="50">
          <cell r="B50">
            <v>20020025</v>
          </cell>
          <cell r="C50" t="str">
            <v>AGRU</v>
          </cell>
          <cell r="D50" t="str">
            <v>VLC</v>
          </cell>
          <cell r="E50" t="str">
            <v>Direct</v>
          </cell>
        </row>
        <row r="51">
          <cell r="B51">
            <v>20020026</v>
          </cell>
          <cell r="C51" t="str">
            <v>TIGRA</v>
          </cell>
          <cell r="D51" t="str">
            <v>MPG</v>
          </cell>
          <cell r="E51" t="str">
            <v>Direct</v>
          </cell>
        </row>
        <row r="52">
          <cell r="B52">
            <v>20030001</v>
          </cell>
          <cell r="C52" t="str">
            <v>Hisri Thakurgaon</v>
          </cell>
          <cell r="D52" t="str">
            <v>RMC</v>
          </cell>
          <cell r="E52" t="str">
            <v>Direct</v>
          </cell>
        </row>
        <row r="53">
          <cell r="B53">
            <v>20030002</v>
          </cell>
          <cell r="C53" t="str">
            <v>UMEDANDA</v>
          </cell>
          <cell r="D53" t="str">
            <v>MPG</v>
          </cell>
          <cell r="E53" t="str">
            <v>Direct</v>
          </cell>
        </row>
        <row r="54">
          <cell r="B54">
            <v>20030005</v>
          </cell>
          <cell r="C54" t="str">
            <v>THAKURGAON</v>
          </cell>
          <cell r="D54" t="str">
            <v>VLC</v>
          </cell>
          <cell r="E54" t="str">
            <v>Indirect</v>
          </cell>
        </row>
        <row r="55">
          <cell r="B55">
            <v>20030009</v>
          </cell>
          <cell r="C55" t="str">
            <v>SURID</v>
          </cell>
          <cell r="D55" t="str">
            <v>MPG</v>
          </cell>
          <cell r="E55" t="str">
            <v>Direct</v>
          </cell>
        </row>
        <row r="56">
          <cell r="B56">
            <v>20030012</v>
          </cell>
          <cell r="C56" t="str">
            <v>URUGUTU</v>
          </cell>
          <cell r="D56" t="str">
            <v>VLC</v>
          </cell>
          <cell r="E56" t="str">
            <v>Indirect</v>
          </cell>
        </row>
        <row r="57">
          <cell r="B57">
            <v>20040001</v>
          </cell>
          <cell r="C57" t="str">
            <v>CHOREYA</v>
          </cell>
          <cell r="D57" t="str">
            <v>RMC</v>
          </cell>
          <cell r="E57" t="str">
            <v>Direct</v>
          </cell>
        </row>
        <row r="58">
          <cell r="B58">
            <v>20040006</v>
          </cell>
          <cell r="C58" t="str">
            <v>KADAM TOLI</v>
          </cell>
          <cell r="D58" t="str">
            <v>MPG</v>
          </cell>
          <cell r="E58" t="str">
            <v>Direct</v>
          </cell>
        </row>
        <row r="59">
          <cell r="B59">
            <v>20040007</v>
          </cell>
          <cell r="C59" t="str">
            <v>MADHUKAM</v>
          </cell>
          <cell r="D59" t="str">
            <v>MPG</v>
          </cell>
          <cell r="E59" t="str">
            <v>Direct</v>
          </cell>
        </row>
        <row r="60">
          <cell r="B60">
            <v>20050001</v>
          </cell>
          <cell r="C60" t="str">
            <v>Baski 2</v>
          </cell>
          <cell r="D60" t="str">
            <v>RMC</v>
          </cell>
          <cell r="E60" t="str">
            <v>Direct</v>
          </cell>
        </row>
        <row r="61">
          <cell r="B61">
            <v>20050002</v>
          </cell>
          <cell r="C61" t="str">
            <v>KANBHITHA</v>
          </cell>
          <cell r="D61" t="str">
            <v>MPG</v>
          </cell>
          <cell r="E61" t="str">
            <v>Direct</v>
          </cell>
        </row>
        <row r="62">
          <cell r="B62">
            <v>20050003</v>
          </cell>
          <cell r="C62" t="str">
            <v>UCHARI</v>
          </cell>
          <cell r="D62" t="str">
            <v>MPG</v>
          </cell>
          <cell r="E62" t="str">
            <v>Direct</v>
          </cell>
        </row>
        <row r="63">
          <cell r="B63">
            <v>20060001</v>
          </cell>
          <cell r="C63" t="str">
            <v>ORMANJHI</v>
          </cell>
          <cell r="D63" t="str">
            <v>RMC</v>
          </cell>
          <cell r="E63" t="str">
            <v>Direct</v>
          </cell>
        </row>
        <row r="64">
          <cell r="B64">
            <v>20060002</v>
          </cell>
          <cell r="C64" t="str">
            <v>MANDRO</v>
          </cell>
          <cell r="D64" t="str">
            <v>MPG</v>
          </cell>
          <cell r="E64" t="str">
            <v>Direct</v>
          </cell>
        </row>
        <row r="65">
          <cell r="B65">
            <v>20060003</v>
          </cell>
          <cell r="C65" t="str">
            <v>DUMARDAGA</v>
          </cell>
          <cell r="D65" t="str">
            <v>MPG</v>
          </cell>
          <cell r="E65" t="str">
            <v>Direct</v>
          </cell>
        </row>
        <row r="66">
          <cell r="B66">
            <v>20060004</v>
          </cell>
          <cell r="C66" t="str">
            <v>CHUTTU</v>
          </cell>
          <cell r="D66" t="str">
            <v>MPG</v>
          </cell>
          <cell r="E66" t="str">
            <v>Direct</v>
          </cell>
        </row>
        <row r="67">
          <cell r="B67">
            <v>20060005</v>
          </cell>
          <cell r="C67" t="str">
            <v>JIRABAR</v>
          </cell>
          <cell r="D67" t="str">
            <v>MPG</v>
          </cell>
          <cell r="E67" t="str">
            <v>Direct</v>
          </cell>
        </row>
        <row r="68">
          <cell r="B68">
            <v>20060007</v>
          </cell>
          <cell r="C68" t="str">
            <v>HOCHAR</v>
          </cell>
          <cell r="D68" t="str">
            <v>MPG</v>
          </cell>
          <cell r="E68" t="str">
            <v>Direct</v>
          </cell>
        </row>
        <row r="69">
          <cell r="B69">
            <v>20060008</v>
          </cell>
          <cell r="C69" t="str">
            <v>ADELHATU</v>
          </cell>
          <cell r="D69" t="str">
            <v>VLC</v>
          </cell>
          <cell r="E69" t="str">
            <v>Direct</v>
          </cell>
        </row>
        <row r="70">
          <cell r="B70">
            <v>20060009</v>
          </cell>
          <cell r="C70" t="str">
            <v>KUCHU</v>
          </cell>
          <cell r="D70" t="str">
            <v>MPG</v>
          </cell>
          <cell r="E70" t="str">
            <v>Direct</v>
          </cell>
        </row>
        <row r="71">
          <cell r="B71">
            <v>20060013</v>
          </cell>
          <cell r="C71" t="str">
            <v>CHATAKPUR</v>
          </cell>
          <cell r="D71" t="str">
            <v>VLC</v>
          </cell>
          <cell r="E71" t="str">
            <v>Indirect</v>
          </cell>
        </row>
        <row r="72">
          <cell r="B72">
            <v>20060015</v>
          </cell>
          <cell r="C72" t="str">
            <v>IRBA</v>
          </cell>
          <cell r="D72" t="str">
            <v>VLC</v>
          </cell>
          <cell r="E72" t="str">
            <v>Indirect</v>
          </cell>
        </row>
        <row r="73">
          <cell r="B73">
            <v>20060017</v>
          </cell>
          <cell r="C73" t="str">
            <v>KUKUI</v>
          </cell>
          <cell r="D73" t="str">
            <v>MPG</v>
          </cell>
          <cell r="E73" t="str">
            <v>Direct</v>
          </cell>
        </row>
        <row r="74">
          <cell r="B74">
            <v>20060018</v>
          </cell>
          <cell r="C74" t="str">
            <v>PANCHOLI</v>
          </cell>
          <cell r="D74" t="str">
            <v>MPG</v>
          </cell>
          <cell r="E74" t="str">
            <v>Direct</v>
          </cell>
        </row>
        <row r="75">
          <cell r="B75">
            <v>20060019</v>
          </cell>
          <cell r="C75" t="str">
            <v>HOCHAR 2</v>
          </cell>
          <cell r="D75" t="str">
            <v>MPG</v>
          </cell>
          <cell r="E75" t="str">
            <v>Direct</v>
          </cell>
        </row>
        <row r="76">
          <cell r="B76">
            <v>20060022</v>
          </cell>
          <cell r="C76" t="str">
            <v>MAHESHPUR</v>
          </cell>
          <cell r="D76" t="str">
            <v>MPG</v>
          </cell>
          <cell r="E76" t="str">
            <v>Direct</v>
          </cell>
        </row>
        <row r="77">
          <cell r="B77">
            <v>20060026</v>
          </cell>
          <cell r="C77" t="str">
            <v>SANGRAMPUR</v>
          </cell>
          <cell r="D77" t="str">
            <v>VLC</v>
          </cell>
          <cell r="E77" t="str">
            <v>Indirect</v>
          </cell>
        </row>
        <row r="78">
          <cell r="B78">
            <v>20070001</v>
          </cell>
          <cell r="C78" t="str">
            <v>PIRAGUTU</v>
          </cell>
          <cell r="D78" t="str">
            <v>RMC</v>
          </cell>
          <cell r="E78" t="str">
            <v>Direct</v>
          </cell>
        </row>
        <row r="79">
          <cell r="B79">
            <v>20070002</v>
          </cell>
          <cell r="C79" t="str">
            <v>SARAM</v>
          </cell>
          <cell r="D79" t="str">
            <v>MPG</v>
          </cell>
          <cell r="E79" t="str">
            <v>Direct</v>
          </cell>
        </row>
        <row r="80">
          <cell r="B80">
            <v>20070003</v>
          </cell>
          <cell r="C80" t="str">
            <v>MURUPIRI</v>
          </cell>
          <cell r="D80" t="str">
            <v>MPG</v>
          </cell>
          <cell r="E80" t="str">
            <v>Direct</v>
          </cell>
        </row>
        <row r="81">
          <cell r="B81">
            <v>20070004</v>
          </cell>
          <cell r="C81" t="str">
            <v>KEDAL</v>
          </cell>
          <cell r="D81" t="str">
            <v>MPG</v>
          </cell>
          <cell r="E81" t="str">
            <v>Direct</v>
          </cell>
        </row>
        <row r="82">
          <cell r="B82">
            <v>20070006</v>
          </cell>
          <cell r="C82" t="str">
            <v>SAHEDA</v>
          </cell>
          <cell r="D82" t="str">
            <v>MPG</v>
          </cell>
          <cell r="E82" t="str">
            <v>Direct</v>
          </cell>
        </row>
        <row r="83">
          <cell r="B83">
            <v>20070007</v>
          </cell>
          <cell r="C83" t="str">
            <v>NABATOLI</v>
          </cell>
          <cell r="D83" t="str">
            <v>MPG</v>
          </cell>
          <cell r="E83" t="str">
            <v>Direct</v>
          </cell>
        </row>
        <row r="84">
          <cell r="B84">
            <v>20070009</v>
          </cell>
          <cell r="C84" t="str">
            <v>KARAMBA</v>
          </cell>
          <cell r="D84" t="str">
            <v>MPG</v>
          </cell>
          <cell r="E84" t="str">
            <v>Direct</v>
          </cell>
        </row>
        <row r="85">
          <cell r="B85">
            <v>20070010</v>
          </cell>
          <cell r="C85" t="str">
            <v>KURALU</v>
          </cell>
          <cell r="D85" t="str">
            <v>MPG</v>
          </cell>
          <cell r="E85" t="str">
            <v>Direct</v>
          </cell>
        </row>
        <row r="86">
          <cell r="B86">
            <v>20070016</v>
          </cell>
          <cell r="C86" t="str">
            <v>MAYAPUR</v>
          </cell>
          <cell r="D86" t="str">
            <v>MPG</v>
          </cell>
          <cell r="E86" t="str">
            <v>Direct</v>
          </cell>
        </row>
        <row r="87">
          <cell r="B87">
            <v>20070018</v>
          </cell>
          <cell r="C87" t="str">
            <v>MAKKA</v>
          </cell>
          <cell r="D87" t="str">
            <v>MPG</v>
          </cell>
          <cell r="E87" t="str">
            <v>Direct</v>
          </cell>
        </row>
        <row r="88">
          <cell r="B88">
            <v>20070019</v>
          </cell>
          <cell r="C88" t="str">
            <v>CHORA</v>
          </cell>
          <cell r="D88" t="str">
            <v>MPG</v>
          </cell>
          <cell r="E88" t="str">
            <v>Direct</v>
          </cell>
        </row>
        <row r="89">
          <cell r="B89">
            <v>20070020</v>
          </cell>
          <cell r="C89" t="str">
            <v>ULATU</v>
          </cell>
          <cell r="D89" t="str">
            <v>MPG</v>
          </cell>
          <cell r="E89" t="str">
            <v>Direct</v>
          </cell>
        </row>
        <row r="90">
          <cell r="B90">
            <v>20070021</v>
          </cell>
          <cell r="C90" t="str">
            <v>USKU</v>
          </cell>
          <cell r="D90" t="str">
            <v>MPG</v>
          </cell>
          <cell r="E90" t="str">
            <v>Indirect</v>
          </cell>
        </row>
        <row r="91">
          <cell r="B91">
            <v>20070023</v>
          </cell>
          <cell r="C91" t="str">
            <v>ICHAPIRI</v>
          </cell>
          <cell r="D91" t="str">
            <v>MPG</v>
          </cell>
          <cell r="E91" t="str">
            <v>Direct</v>
          </cell>
        </row>
        <row r="92">
          <cell r="B92">
            <v>20070024</v>
          </cell>
          <cell r="C92" t="str">
            <v>MURPA</v>
          </cell>
          <cell r="D92" t="str">
            <v>MPG</v>
          </cell>
          <cell r="E92" t="str">
            <v>Direct</v>
          </cell>
        </row>
        <row r="93">
          <cell r="B93">
            <v>20070025</v>
          </cell>
          <cell r="C93" t="str">
            <v>SUBHASH NAGAR</v>
          </cell>
          <cell r="D93" t="str">
            <v>MPG</v>
          </cell>
          <cell r="E93" t="str">
            <v>Direct</v>
          </cell>
        </row>
        <row r="94">
          <cell r="B94">
            <v>20070026</v>
          </cell>
          <cell r="C94" t="str">
            <v>NINDRA</v>
          </cell>
          <cell r="D94" t="str">
            <v>MPG</v>
          </cell>
          <cell r="E94" t="str">
            <v>Direct</v>
          </cell>
        </row>
        <row r="95">
          <cell r="B95">
            <v>20080001</v>
          </cell>
          <cell r="C95" t="str">
            <v>CHATTI BHANDRA</v>
          </cell>
          <cell r="D95" t="str">
            <v>RMC</v>
          </cell>
          <cell r="E95" t="str">
            <v>Direct</v>
          </cell>
        </row>
        <row r="96">
          <cell r="B96">
            <v>20080002</v>
          </cell>
          <cell r="C96" t="str">
            <v>BHITTA</v>
          </cell>
          <cell r="D96" t="str">
            <v>MPG</v>
          </cell>
          <cell r="E96" t="str">
            <v>Direct</v>
          </cell>
        </row>
        <row r="97">
          <cell r="B97">
            <v>20080004</v>
          </cell>
          <cell r="C97" t="str">
            <v>Guri</v>
          </cell>
          <cell r="D97" t="str">
            <v>MPG</v>
          </cell>
          <cell r="E97" t="str">
            <v>Direct</v>
          </cell>
        </row>
        <row r="98">
          <cell r="B98">
            <v>20080006</v>
          </cell>
          <cell r="C98" t="str">
            <v>Chitri Ambatoli</v>
          </cell>
          <cell r="D98" t="str">
            <v>MPG</v>
          </cell>
          <cell r="E98" t="str">
            <v>Direct</v>
          </cell>
        </row>
        <row r="99">
          <cell r="B99">
            <v>20080007</v>
          </cell>
          <cell r="C99" t="str">
            <v>Rampur</v>
          </cell>
          <cell r="D99" t="str">
            <v>MPG</v>
          </cell>
          <cell r="E99" t="str">
            <v>Direct</v>
          </cell>
        </row>
        <row r="100">
          <cell r="B100">
            <v>20080008</v>
          </cell>
          <cell r="C100" t="str">
            <v>Ningni</v>
          </cell>
          <cell r="D100" t="str">
            <v>MPG</v>
          </cell>
          <cell r="E100" t="str">
            <v>Direct</v>
          </cell>
        </row>
        <row r="101">
          <cell r="B101">
            <v>20080009</v>
          </cell>
          <cell r="C101" t="str">
            <v>MASHMANO</v>
          </cell>
          <cell r="D101" t="str">
            <v>MPG</v>
          </cell>
          <cell r="E101" t="str">
            <v>Direct</v>
          </cell>
        </row>
        <row r="102">
          <cell r="B102">
            <v>20080010</v>
          </cell>
          <cell r="C102" t="str">
            <v>PAHARKESA</v>
          </cell>
          <cell r="D102" t="str">
            <v>MPG</v>
          </cell>
          <cell r="E102" t="str">
            <v>Direct</v>
          </cell>
        </row>
        <row r="103">
          <cell r="B103">
            <v>20080014</v>
          </cell>
          <cell r="C103" t="str">
            <v>BHUJANIYA</v>
          </cell>
          <cell r="D103" t="str">
            <v>MPG</v>
          </cell>
          <cell r="E103" t="str">
            <v>Indirect</v>
          </cell>
        </row>
        <row r="104">
          <cell r="B104">
            <v>20080025</v>
          </cell>
          <cell r="C104" t="str">
            <v>DAARU</v>
          </cell>
          <cell r="D104" t="str">
            <v>MPG</v>
          </cell>
          <cell r="E104" t="str">
            <v>Indirect</v>
          </cell>
        </row>
        <row r="105">
          <cell r="B105">
            <v>20080026</v>
          </cell>
          <cell r="C105" t="str">
            <v>CHHARDA</v>
          </cell>
          <cell r="D105" t="str">
            <v>MPG</v>
          </cell>
          <cell r="E105" t="str">
            <v>Direct</v>
          </cell>
        </row>
        <row r="106">
          <cell r="B106">
            <v>20080027</v>
          </cell>
          <cell r="C106" t="str">
            <v>NADI NAGRA 2</v>
          </cell>
          <cell r="D106" t="str">
            <v>MPG</v>
          </cell>
          <cell r="E106" t="str">
            <v>Direct</v>
          </cell>
        </row>
        <row r="107">
          <cell r="B107">
            <v>20080028</v>
          </cell>
          <cell r="C107" t="str">
            <v>BASRI NAGRA</v>
          </cell>
          <cell r="D107" t="str">
            <v>MPG</v>
          </cell>
          <cell r="E107" t="str">
            <v>Direct</v>
          </cell>
        </row>
        <row r="108">
          <cell r="B108">
            <v>20080030</v>
          </cell>
          <cell r="C108" t="str">
            <v>SORANDA</v>
          </cell>
          <cell r="D108" t="str">
            <v>MPG</v>
          </cell>
          <cell r="E108" t="str">
            <v>Direct</v>
          </cell>
        </row>
        <row r="109">
          <cell r="B109">
            <v>20080034</v>
          </cell>
          <cell r="C109" t="str">
            <v>ITTA BARHI CHOWK</v>
          </cell>
          <cell r="D109" t="str">
            <v>MPG</v>
          </cell>
          <cell r="E109" t="str">
            <v>Direct</v>
          </cell>
        </row>
        <row r="110">
          <cell r="B110">
            <v>20080035</v>
          </cell>
          <cell r="C110" t="str">
            <v>KUNDO</v>
          </cell>
          <cell r="D110" t="str">
            <v>VLC</v>
          </cell>
          <cell r="E110" t="str">
            <v>Indirect</v>
          </cell>
        </row>
        <row r="111">
          <cell r="B111">
            <v>20080036</v>
          </cell>
          <cell r="C111" t="str">
            <v>MUNDO 2</v>
          </cell>
          <cell r="D111" t="str">
            <v>VLC</v>
          </cell>
          <cell r="E111" t="str">
            <v>Indirect</v>
          </cell>
        </row>
        <row r="112">
          <cell r="B112">
            <v>20080039</v>
          </cell>
          <cell r="C112" t="str">
            <v>LONGA</v>
          </cell>
          <cell r="D112" t="str">
            <v>MPG</v>
          </cell>
          <cell r="E112" t="str">
            <v>Indirect</v>
          </cell>
        </row>
        <row r="113">
          <cell r="B113">
            <v>20080041</v>
          </cell>
          <cell r="C113" t="str">
            <v>KACHMACHI</v>
          </cell>
          <cell r="D113" t="str">
            <v>MPG</v>
          </cell>
          <cell r="E113" t="str">
            <v>Direct</v>
          </cell>
        </row>
        <row r="114">
          <cell r="B114">
            <v>20080043</v>
          </cell>
          <cell r="C114" t="str">
            <v>JATARGARI</v>
          </cell>
          <cell r="D114" t="str">
            <v>MPG</v>
          </cell>
          <cell r="E114" t="str">
            <v>Direct</v>
          </cell>
        </row>
        <row r="115">
          <cell r="B115">
            <v>20080046</v>
          </cell>
          <cell r="C115" t="str">
            <v>KUNDO AMBATOLI</v>
          </cell>
          <cell r="D115" t="str">
            <v>MPG</v>
          </cell>
          <cell r="E115" t="str">
            <v>Direct</v>
          </cell>
        </row>
        <row r="116">
          <cell r="B116">
            <v>20080047</v>
          </cell>
          <cell r="C116" t="str">
            <v>PAHARKESHA 2</v>
          </cell>
          <cell r="D116" t="str">
            <v>VLC</v>
          </cell>
          <cell r="E116" t="str">
            <v>Indirect</v>
          </cell>
        </row>
        <row r="117">
          <cell r="B117">
            <v>20080049</v>
          </cell>
          <cell r="C117" t="str">
            <v>MALANG TOLI</v>
          </cell>
          <cell r="D117" t="str">
            <v>VLC</v>
          </cell>
          <cell r="E117" t="str">
            <v>Indirect</v>
          </cell>
        </row>
        <row r="118">
          <cell r="B118">
            <v>20080050</v>
          </cell>
          <cell r="C118" t="str">
            <v>KACHMACHI 2</v>
          </cell>
          <cell r="D118" t="str">
            <v>MPG</v>
          </cell>
          <cell r="E118" t="str">
            <v>Direct</v>
          </cell>
        </row>
        <row r="119">
          <cell r="B119">
            <v>20090001</v>
          </cell>
          <cell r="C119" t="str">
            <v>Chanho</v>
          </cell>
          <cell r="D119" t="str">
            <v>RMC</v>
          </cell>
          <cell r="E119" t="str">
            <v>Direct</v>
          </cell>
        </row>
        <row r="120">
          <cell r="B120">
            <v>20090002</v>
          </cell>
          <cell r="C120" t="str">
            <v>Bajra</v>
          </cell>
          <cell r="D120" t="str">
            <v>MPG</v>
          </cell>
          <cell r="E120" t="str">
            <v>Direct</v>
          </cell>
        </row>
        <row r="121">
          <cell r="B121">
            <v>20090004</v>
          </cell>
          <cell r="C121" t="str">
            <v>DUMRI</v>
          </cell>
          <cell r="D121" t="str">
            <v>MPG</v>
          </cell>
          <cell r="E121" t="str">
            <v>Direct</v>
          </cell>
        </row>
        <row r="122">
          <cell r="B122">
            <v>20090006</v>
          </cell>
          <cell r="C122" t="str">
            <v>KATAIYA</v>
          </cell>
          <cell r="D122" t="str">
            <v>VLC</v>
          </cell>
          <cell r="E122" t="str">
            <v>Indirect</v>
          </cell>
        </row>
        <row r="123">
          <cell r="B123">
            <v>20090008</v>
          </cell>
          <cell r="C123" t="str">
            <v>GANESHPUR</v>
          </cell>
          <cell r="D123" t="str">
            <v>MPG</v>
          </cell>
          <cell r="E123" t="str">
            <v>Direct</v>
          </cell>
        </row>
        <row r="124">
          <cell r="B124">
            <v>20090010</v>
          </cell>
          <cell r="C124" t="str">
            <v>CHATWAL</v>
          </cell>
          <cell r="D124" t="str">
            <v>VLC</v>
          </cell>
          <cell r="E124" t="str">
            <v>Indirect</v>
          </cell>
        </row>
        <row r="125">
          <cell r="B125">
            <v>20090011</v>
          </cell>
          <cell r="C125" t="str">
            <v>BARHE</v>
          </cell>
          <cell r="D125" t="str">
            <v>MPG</v>
          </cell>
          <cell r="E125" t="str">
            <v>Indirect</v>
          </cell>
        </row>
        <row r="126">
          <cell r="B126">
            <v>20090012</v>
          </cell>
          <cell r="C126" t="str">
            <v>LUNDRI 2</v>
          </cell>
          <cell r="D126" t="str">
            <v>MPG</v>
          </cell>
          <cell r="E126" t="str">
            <v>Direct</v>
          </cell>
        </row>
        <row r="127">
          <cell r="B127">
            <v>20090013</v>
          </cell>
          <cell r="C127" t="str">
            <v>LUNDRI 1</v>
          </cell>
          <cell r="D127" t="str">
            <v>MPG</v>
          </cell>
          <cell r="E127" t="str">
            <v>Direct</v>
          </cell>
        </row>
        <row r="128">
          <cell r="B128">
            <v>20090014</v>
          </cell>
          <cell r="C128" t="str">
            <v>HUTAR</v>
          </cell>
          <cell r="D128" t="str">
            <v>MPG</v>
          </cell>
          <cell r="E128" t="str">
            <v>Direct</v>
          </cell>
        </row>
        <row r="129">
          <cell r="B129">
            <v>20090015</v>
          </cell>
          <cell r="C129" t="str">
            <v>PAKARIYO</v>
          </cell>
          <cell r="D129" t="str">
            <v>MPG</v>
          </cell>
          <cell r="E129" t="str">
            <v>Direct</v>
          </cell>
        </row>
        <row r="130">
          <cell r="B130">
            <v>20090017</v>
          </cell>
          <cell r="C130" t="str">
            <v>NAWATAND</v>
          </cell>
          <cell r="D130" t="str">
            <v>MPG</v>
          </cell>
          <cell r="E130" t="str">
            <v>Direct</v>
          </cell>
        </row>
        <row r="131">
          <cell r="B131">
            <v>20090018</v>
          </cell>
          <cell r="C131" t="str">
            <v>KOTHI TOLA</v>
          </cell>
          <cell r="D131" t="str">
            <v>MPG</v>
          </cell>
          <cell r="E131" t="str">
            <v>Indirect</v>
          </cell>
        </row>
        <row r="132">
          <cell r="B132">
            <v>20090019</v>
          </cell>
          <cell r="C132" t="str">
            <v>MADINA NAGAR</v>
          </cell>
          <cell r="D132" t="str">
            <v>VLC</v>
          </cell>
          <cell r="E132" t="str">
            <v>Indirect</v>
          </cell>
        </row>
        <row r="133">
          <cell r="B133">
            <v>20090020</v>
          </cell>
          <cell r="C133" t="str">
            <v>PAKARIYO 2</v>
          </cell>
          <cell r="D133" t="str">
            <v>MPG</v>
          </cell>
          <cell r="E133" t="str">
            <v>Direct</v>
          </cell>
        </row>
        <row r="134">
          <cell r="B134">
            <v>20090021</v>
          </cell>
          <cell r="C134" t="str">
            <v>PATRA TOLI</v>
          </cell>
          <cell r="D134" t="str">
            <v>MPG</v>
          </cell>
          <cell r="E134" t="str">
            <v>Direct</v>
          </cell>
        </row>
        <row r="135">
          <cell r="B135">
            <v>20090022</v>
          </cell>
          <cell r="C135" t="str">
            <v>KATAIYA 2</v>
          </cell>
          <cell r="D135" t="str">
            <v>MPG</v>
          </cell>
          <cell r="E135" t="str">
            <v>Direct</v>
          </cell>
        </row>
        <row r="136">
          <cell r="B136">
            <v>20090023</v>
          </cell>
          <cell r="C136" t="str">
            <v>KOKAR</v>
          </cell>
          <cell r="D136" t="str">
            <v>MPG</v>
          </cell>
          <cell r="E136" t="str">
            <v>Direct</v>
          </cell>
        </row>
        <row r="137">
          <cell r="B137">
            <v>20090025</v>
          </cell>
          <cell r="C137" t="str">
            <v>KULLU</v>
          </cell>
          <cell r="D137" t="str">
            <v>VLC</v>
          </cell>
          <cell r="E137" t="str">
            <v>Indirect</v>
          </cell>
        </row>
        <row r="138">
          <cell r="B138">
            <v>20090026</v>
          </cell>
          <cell r="C138" t="str">
            <v>BHOGLA TOLI</v>
          </cell>
          <cell r="D138" t="str">
            <v>MPG</v>
          </cell>
          <cell r="E138" t="str">
            <v>Direct</v>
          </cell>
        </row>
        <row r="139">
          <cell r="B139">
            <v>20090028</v>
          </cell>
          <cell r="C139" t="str">
            <v>FULDIH 2</v>
          </cell>
          <cell r="D139" t="str">
            <v>VLC</v>
          </cell>
          <cell r="E139" t="str">
            <v>Indirect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75.439872916664" createdVersion="8" refreshedVersion="8" minRefreshableVersion="3" recordCount="23" xr:uid="{C3E043B6-480E-4606-AA62-8759518F7C5F}">
  <cacheSource type="worksheet">
    <worksheetSource name="CF_Indent_JH"/>
  </cacheSource>
  <cacheFields count="21">
    <cacheField name="Timestamp" numFmtId="164">
      <sharedItems containsSemiMixedTypes="0" containsNonDate="0" containsDate="1" containsString="0" minDate="2026-05-31T12:33:57" maxDate="2026-06-01T08:52:25"/>
    </cacheField>
    <cacheField name="User Name" numFmtId="0">
      <sharedItems/>
    </cacheField>
    <cacheField name="Order Date" numFmtId="165">
      <sharedItems containsSemiMixedTypes="0" containsNonDate="0" containsDate="1" containsString="0" minDate="2026-05-31T00:00:00" maxDate="2026-06-02T00:00:00"/>
    </cacheField>
    <cacheField name="Deduction Cycle" numFmtId="0">
      <sharedItems/>
    </cacheField>
    <cacheField name="Item Name" numFmtId="0">
      <sharedItems containsBlank="1"/>
    </cacheField>
    <cacheField name="ID" numFmtId="49">
      <sharedItems/>
    </cacheField>
    <cacheField name="MPG Code" numFmtId="0">
      <sharedItems containsSemiMixedTypes="0" containsString="0" containsNumber="1" containsInteger="1" minValue="20010054" maxValue="20090020" count="9">
        <n v="20090008"/>
        <n v="20090020"/>
        <n v="20010054"/>
        <n v="20050001"/>
        <n v="20020006"/>
        <n v="20020020"/>
        <n v="20020001"/>
        <n v="20020003"/>
        <n v="20020025"/>
      </sharedItems>
    </cacheField>
    <cacheField name="MPG Name" numFmtId="0">
      <sharedItems/>
    </cacheField>
    <cacheField name="Farmer code" numFmtId="0">
      <sharedItems count="19">
        <s v="0005"/>
        <s v="0012"/>
        <s v="0030"/>
        <s v="0049"/>
        <s v="0002"/>
        <s v="0042"/>
        <s v="0039"/>
        <s v="0038"/>
        <s v="0023"/>
        <s v="0083"/>
        <s v="0121"/>
        <s v="0110"/>
        <s v="0067"/>
        <s v="0150"/>
        <s v="0041"/>
        <s v="0033"/>
        <s v="0022"/>
        <s v="0004"/>
        <s v="0008"/>
      </sharedItems>
    </cacheField>
    <cacheField name="BMC Name" numFmtId="0">
      <sharedItems/>
    </cacheField>
    <cacheField name="Farmer Payment" numFmtId="0">
      <sharedItems count="1">
        <s v="Direct"/>
      </sharedItems>
    </cacheField>
    <cacheField name="CSP" numFmtId="0">
      <sharedItems/>
    </cacheField>
    <cacheField name="Qty" numFmtId="0">
      <sharedItems containsSemiMixedTypes="0" containsString="0" containsNumber="1" containsInteger="1" minValue="0" maxValue="3"/>
    </cacheField>
    <cacheField name="Rate" numFmtId="0">
      <sharedItems containsSemiMixedTypes="0" containsString="0" containsNumber="1" containsInteger="1" minValue="0" maxValue="1250"/>
    </cacheField>
    <cacheField name="Total Amount" numFmtId="0">
      <sharedItems containsSemiMixedTypes="0" containsString="0" containsNumber="1" containsInteger="1" minValue="0" maxValue="3750"/>
    </cacheField>
    <cacheField name="Other Due Amt" numFmtId="0">
      <sharedItems containsSemiMixedTypes="0" containsString="0" containsNumber="1" containsInteger="1" minValue="0" maxValue="6250"/>
    </cacheField>
    <cacheField name="Total Amount (Proposed)" numFmtId="0">
      <sharedItems containsSemiMixedTypes="0" containsString="0" containsNumber="1" containsInteger="1" minValue="625" maxValue="6250"/>
    </cacheField>
    <cacheField name="Final Qty" numFmtId="0">
      <sharedItems containsSemiMixedTypes="0" containsString="0" containsNumber="1" containsInteger="1" minValue="0" maxValue="3"/>
    </cacheField>
    <cacheField name="Final Amount" numFmtId="0">
      <sharedItems containsSemiMixedTypes="0" containsString="0" containsNumber="1" containsInteger="1" minValue="625" maxValue="6250"/>
    </cacheField>
    <cacheField name="FS Deduction" numFmtId="0">
      <sharedItems containsSemiMixedTypes="0" containsString="0" containsNumber="1" containsInteger="1" minValue="0" maxValue="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d v="2026-05-31T12:33:57"/>
    <s v="Amar kumar sahu"/>
    <d v="2026-05-31T00:00:00"/>
    <s v="22-5-2026 to 28-5-2026"/>
    <m/>
    <s v="200900080005"/>
    <x v="0"/>
    <s v="GANESHPUR"/>
    <x v="0"/>
    <s v="Chanho"/>
    <x v="0"/>
    <s v="Daya Society"/>
    <n v="0"/>
    <n v="0"/>
    <n v="0"/>
    <n v="625"/>
    <n v="625"/>
    <n v="0"/>
    <n v="625"/>
    <n v="0"/>
    <m/>
  </r>
  <r>
    <d v="2026-05-31T12:34:53"/>
    <s v="Amar kumar sahu"/>
    <d v="2026-05-31T00:00:00"/>
    <s v="22-5-2026 to 28-5-2026"/>
    <s v="Gomukh Gold 50KG"/>
    <s v="200900200005"/>
    <x v="1"/>
    <s v="PAKARIYO 2"/>
    <x v="0"/>
    <s v="Chanho"/>
    <x v="0"/>
    <s v="Daya Society"/>
    <n v="0"/>
    <n v="1250"/>
    <n v="0"/>
    <n v="625"/>
    <n v="625"/>
    <n v="0"/>
    <n v="625"/>
    <n v="0"/>
    <m/>
  </r>
  <r>
    <d v="2026-05-31T12:35:33"/>
    <s v="Amar kumar sahu"/>
    <d v="2026-05-31T00:00:00"/>
    <s v="22-5-2026 to 28-5-2026"/>
    <s v="Gomukh Gold 50KG"/>
    <s v="200100540012"/>
    <x v="2"/>
    <s v="NARKOPI"/>
    <x v="1"/>
    <s v="Chanho"/>
    <x v="0"/>
    <s v="Daya Society"/>
    <n v="1"/>
    <n v="1250"/>
    <n v="1250"/>
    <n v="0"/>
    <n v="1250"/>
    <n v="1"/>
    <n v="1250"/>
    <n v="0"/>
    <m/>
  </r>
  <r>
    <d v="2026-05-31T20:34:00"/>
    <s v="Vikash"/>
    <d v="2026-05-31T00:00:00"/>
    <s v="22-5-2026 to 28-5-2026"/>
    <s v="Gomukh Gold 50KG"/>
    <s v="200500010030"/>
    <x v="3"/>
    <s v="Baski 2"/>
    <x v="2"/>
    <s v="Paali"/>
    <x v="0"/>
    <s v="Daya Society"/>
    <n v="1"/>
    <n v="1250"/>
    <n v="1250"/>
    <n v="0"/>
    <n v="1250"/>
    <n v="1"/>
    <n v="1250"/>
    <n v="0"/>
    <m/>
  </r>
  <r>
    <d v="2026-05-31T20:35:23"/>
    <s v="Vikash"/>
    <d v="2026-05-31T00:00:00"/>
    <s v="22-5-2026 to 28-5-2026"/>
    <s v="Gomukh Gold 50KG"/>
    <s v="200500010049"/>
    <x v="3"/>
    <s v="Baski 2"/>
    <x v="3"/>
    <s v="Paali"/>
    <x v="0"/>
    <s v="Daya Society"/>
    <n v="1"/>
    <n v="1250"/>
    <n v="1250"/>
    <n v="0"/>
    <n v="1250"/>
    <n v="1"/>
    <n v="1250"/>
    <n v="0"/>
    <m/>
  </r>
  <r>
    <d v="2026-05-31T20:43:24"/>
    <s v="Vikash"/>
    <d v="2026-05-31T00:00:00"/>
    <s v="22-5-2026 to 28-5-2026"/>
    <s v="Gomukh Gold 50KG"/>
    <s v="200200060002"/>
    <x v="4"/>
    <s v="RANIKHATANGA"/>
    <x v="4"/>
    <s v="Paali"/>
    <x v="0"/>
    <s v="Daya Society"/>
    <n v="2"/>
    <n v="1250"/>
    <n v="2500"/>
    <n v="0"/>
    <n v="2500"/>
    <n v="2"/>
    <n v="2500"/>
    <n v="0"/>
    <m/>
  </r>
  <r>
    <d v="2026-05-31T20:47:05"/>
    <s v="Vikash"/>
    <d v="2026-05-31T00:00:00"/>
    <s v="22-5-2026 to 28-5-2026"/>
    <s v="Gomukh Gold 50KG"/>
    <s v="200200200042"/>
    <x v="5"/>
    <s v="TIKO TOLI"/>
    <x v="5"/>
    <s v="Paali"/>
    <x v="0"/>
    <s v="Daya Society"/>
    <n v="1"/>
    <n v="1250"/>
    <n v="1250"/>
    <n v="0"/>
    <n v="1250"/>
    <n v="1"/>
    <n v="1250"/>
    <n v="0"/>
    <m/>
  </r>
  <r>
    <d v="2026-05-31T20:47:59"/>
    <s v="Vikash"/>
    <d v="2026-05-31T00:00:00"/>
    <s v="22-5-2026 to 28-5-2026"/>
    <s v="Gomukh Gold 50KG"/>
    <s v="200200200039"/>
    <x v="5"/>
    <s v="TIKO TOLI"/>
    <x v="6"/>
    <s v="Paali"/>
    <x v="0"/>
    <s v="Daya Society"/>
    <n v="1"/>
    <n v="1250"/>
    <n v="1250"/>
    <n v="0"/>
    <n v="1250"/>
    <n v="1"/>
    <n v="1250"/>
    <n v="0"/>
    <m/>
  </r>
  <r>
    <d v="2026-05-31T20:48:35"/>
    <s v="Vikash"/>
    <d v="2026-05-31T00:00:00"/>
    <s v="22-5-2026 to 28-5-2026"/>
    <s v="Gomukh Gold 50KG"/>
    <s v="200200200038"/>
    <x v="5"/>
    <s v="TIKO TOLI"/>
    <x v="7"/>
    <s v="Paali"/>
    <x v="0"/>
    <s v="Daya Society"/>
    <n v="1"/>
    <n v="1250"/>
    <n v="1250"/>
    <n v="0"/>
    <n v="1250"/>
    <n v="1"/>
    <n v="1250"/>
    <n v="0"/>
    <m/>
  </r>
  <r>
    <d v="2026-05-31T20:49:22"/>
    <s v="Vikash"/>
    <d v="2026-05-31T00:00:00"/>
    <s v="22-5-2026 to 28-5-2026"/>
    <s v="Gomukh Gold 50KG"/>
    <s v="200200200023"/>
    <x v="5"/>
    <s v="TIKO TOLI"/>
    <x v="8"/>
    <s v="Paali"/>
    <x v="0"/>
    <s v="Daya Society"/>
    <n v="3"/>
    <n v="1250"/>
    <n v="3750"/>
    <n v="0"/>
    <n v="3750"/>
    <n v="3"/>
    <n v="3750"/>
    <n v="0"/>
    <m/>
  </r>
  <r>
    <d v="2026-05-31T21:21:27"/>
    <s v="Vikash"/>
    <d v="2026-05-31T00:00:00"/>
    <s v="22-5-2026 to 28-5-2026"/>
    <s v="Gomukh Gold 50KG"/>
    <s v="200200010083"/>
    <x v="6"/>
    <s v="Paali"/>
    <x v="9"/>
    <s v="Paali"/>
    <x v="0"/>
    <s v="Daya Society"/>
    <n v="0"/>
    <n v="1250"/>
    <n v="0"/>
    <n v="2039"/>
    <n v="2039"/>
    <n v="0"/>
    <n v="2039"/>
    <n v="0"/>
    <m/>
  </r>
  <r>
    <d v="2026-05-31T21:26:52"/>
    <s v="Vikash"/>
    <d v="2026-05-31T00:00:00"/>
    <s v="22-5-2026 to 28-5-2026"/>
    <s v="Gomukh Gold 50KG"/>
    <s v="200200030002"/>
    <x v="7"/>
    <s v="Bijuliya"/>
    <x v="4"/>
    <s v="Paali"/>
    <x v="0"/>
    <s v="Daya Society"/>
    <n v="0"/>
    <n v="1250"/>
    <n v="0"/>
    <n v="6250"/>
    <n v="6250"/>
    <n v="0"/>
    <n v="6250"/>
    <n v="0"/>
    <m/>
  </r>
  <r>
    <d v="2026-05-31T21:28:37"/>
    <s v="Vikash"/>
    <d v="2026-05-31T00:00:00"/>
    <s v="22-5-2026 to 28-5-2026"/>
    <s v="Gomukh Gold 50KG"/>
    <s v="200200010002"/>
    <x v="6"/>
    <s v="Paali"/>
    <x v="4"/>
    <s v="Paali"/>
    <x v="0"/>
    <s v="Daya Society"/>
    <n v="2"/>
    <n v="1250"/>
    <n v="2500"/>
    <n v="0"/>
    <n v="2500"/>
    <n v="2"/>
    <n v="2500"/>
    <n v="0"/>
    <m/>
  </r>
  <r>
    <d v="2026-05-31T21:29:05"/>
    <s v="Vikash"/>
    <d v="2026-05-31T00:00:00"/>
    <s v="22-5-2026 to 28-5-2026"/>
    <s v="Gomukh Gold 50KG"/>
    <s v="200200010005"/>
    <x v="6"/>
    <s v="Paali"/>
    <x v="0"/>
    <s v="Paali"/>
    <x v="0"/>
    <s v="Daya Society"/>
    <n v="2"/>
    <n v="1250"/>
    <n v="2500"/>
    <n v="0"/>
    <n v="2500"/>
    <n v="2"/>
    <n v="2500"/>
    <n v="0"/>
    <m/>
  </r>
  <r>
    <d v="2026-05-31T21:29:52"/>
    <s v="Vikash"/>
    <d v="2026-05-31T00:00:00"/>
    <s v="22-5-2026 to 28-5-2026"/>
    <s v="Gomukh Gold 50KG"/>
    <s v="200200010121"/>
    <x v="6"/>
    <s v="Paali"/>
    <x v="10"/>
    <s v="Paali"/>
    <x v="0"/>
    <s v="Daya Society"/>
    <n v="2"/>
    <n v="1250"/>
    <n v="2500"/>
    <n v="0"/>
    <n v="2500"/>
    <n v="2"/>
    <n v="2500"/>
    <n v="0"/>
    <m/>
  </r>
  <r>
    <d v="2026-05-31T21:30:19"/>
    <s v="Vikash"/>
    <d v="2026-05-31T00:00:00"/>
    <s v="22-5-2026 to 28-5-2026"/>
    <s v="Gomukh Gold 50KG"/>
    <s v="200200010110"/>
    <x v="6"/>
    <s v="Paali"/>
    <x v="11"/>
    <s v="Paali"/>
    <x v="0"/>
    <s v="Daya Society"/>
    <n v="2"/>
    <n v="1250"/>
    <n v="2500"/>
    <n v="0"/>
    <n v="2500"/>
    <n v="2"/>
    <n v="2500"/>
    <n v="0"/>
    <m/>
  </r>
  <r>
    <d v="2026-05-31T21:30:55"/>
    <s v="Vikash"/>
    <d v="2026-05-31T00:00:00"/>
    <s v="22-5-2026 to 28-5-2026"/>
    <s v="Gomukh Gold 50KG"/>
    <s v="200200010067"/>
    <x v="6"/>
    <s v="Paali"/>
    <x v="12"/>
    <s v="Paali"/>
    <x v="0"/>
    <s v="Daya Society"/>
    <n v="1"/>
    <n v="1250"/>
    <n v="1250"/>
    <n v="0"/>
    <n v="1250"/>
    <n v="1"/>
    <n v="1250"/>
    <n v="0"/>
    <m/>
  </r>
  <r>
    <d v="2026-05-31T21:31:19"/>
    <s v="Vikash"/>
    <d v="2026-05-31T00:00:00"/>
    <s v="22-5-2026 to 28-5-2026"/>
    <s v="Gomukh Gold 50KG"/>
    <s v="200200010150"/>
    <x v="6"/>
    <s v="Paali"/>
    <x v="13"/>
    <s v="Paali"/>
    <x v="0"/>
    <s v="Daya Society"/>
    <n v="1"/>
    <n v="1250"/>
    <n v="1250"/>
    <n v="0"/>
    <n v="1250"/>
    <n v="1"/>
    <n v="1250"/>
    <n v="0"/>
    <m/>
  </r>
  <r>
    <d v="2026-05-31T21:31:40"/>
    <s v="Vikash"/>
    <d v="2026-05-31T00:00:00"/>
    <s v="22-5-2026 to 28-5-2026"/>
    <s v="Gomukh Gold 50KG"/>
    <s v="200200010041"/>
    <x v="6"/>
    <s v="Paali"/>
    <x v="14"/>
    <s v="Paali"/>
    <x v="0"/>
    <s v="Daya Society"/>
    <n v="1"/>
    <n v="1250"/>
    <n v="1250"/>
    <n v="0"/>
    <n v="1250"/>
    <n v="1"/>
    <n v="1250"/>
    <n v="0"/>
    <m/>
  </r>
  <r>
    <d v="2026-05-31T21:32:00"/>
    <s v="Vikash"/>
    <d v="2026-05-31T00:00:00"/>
    <s v="22-5-2026 to 28-5-2026"/>
    <s v="Gomukh Gold 50KG"/>
    <s v="200200010033"/>
    <x v="6"/>
    <s v="Paali"/>
    <x v="15"/>
    <s v="Paali"/>
    <x v="0"/>
    <s v="Daya Society"/>
    <n v="1"/>
    <n v="1250"/>
    <n v="1250"/>
    <n v="0"/>
    <n v="1250"/>
    <n v="1"/>
    <n v="1250"/>
    <n v="0"/>
    <m/>
  </r>
  <r>
    <d v="2026-06-01T08:51:31"/>
    <s v="Vikash"/>
    <d v="2026-06-01T00:00:00"/>
    <s v="22-5-2026 to 28-5-2026"/>
    <s v="Gomukh Gold 50KG"/>
    <s v="200200250022"/>
    <x v="8"/>
    <s v="AGRU"/>
    <x v="16"/>
    <s v="Paali"/>
    <x v="0"/>
    <s v="Daya Society"/>
    <n v="2"/>
    <n v="1250"/>
    <n v="2500"/>
    <n v="0"/>
    <n v="2500"/>
    <n v="2"/>
    <n v="2500"/>
    <n v="0"/>
    <m/>
  </r>
  <r>
    <d v="2026-06-01T08:51:57"/>
    <s v="Vikash"/>
    <d v="2026-06-01T00:00:00"/>
    <s v="22-5-2026 to 28-5-2026"/>
    <s v="Gomukh Gold 50KG"/>
    <s v="200200250004"/>
    <x v="8"/>
    <s v="AGRU"/>
    <x v="17"/>
    <s v="Paali"/>
    <x v="0"/>
    <s v="Daya Society"/>
    <n v="2"/>
    <n v="1250"/>
    <n v="2500"/>
    <n v="0"/>
    <n v="2500"/>
    <n v="2"/>
    <n v="2500"/>
    <n v="0"/>
    <m/>
  </r>
  <r>
    <d v="2026-06-01T08:52:25"/>
    <s v="Vikash"/>
    <d v="2026-06-01T00:00:00"/>
    <s v="22-5-2026 to 28-5-2026"/>
    <s v="Gomukh Gold 50KG"/>
    <s v="200200250008"/>
    <x v="8"/>
    <s v="AGRU"/>
    <x v="18"/>
    <s v="Paali"/>
    <x v="0"/>
    <s v="Daya Society"/>
    <n v="1"/>
    <n v="1250"/>
    <n v="1250"/>
    <n v="0"/>
    <n v="1250"/>
    <n v="1"/>
    <n v="125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9220A-99C0-47B6-A802-FD99F4230068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28" firstHeaderRow="2" firstDataRow="2" firstDataCol="3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6"/>
        <item x="7"/>
        <item x="4"/>
        <item x="5"/>
        <item x="8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0">
        <item x="4"/>
        <item x="17"/>
        <item x="0"/>
        <item x="18"/>
        <item x="1"/>
        <item x="16"/>
        <item x="8"/>
        <item x="2"/>
        <item x="15"/>
        <item x="7"/>
        <item x="6"/>
        <item x="14"/>
        <item x="5"/>
        <item x="3"/>
        <item x="12"/>
        <item x="9"/>
        <item x="11"/>
        <item x="10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6"/>
    <field x="8"/>
  </rowFields>
  <rowItems count="24">
    <i>
      <x/>
      <x/>
      <x v="4"/>
    </i>
    <i r="1">
      <x v="1"/>
      <x/>
    </i>
    <i r="2">
      <x v="2"/>
    </i>
    <i r="2">
      <x v="8"/>
    </i>
    <i r="2">
      <x v="11"/>
    </i>
    <i r="2">
      <x v="14"/>
    </i>
    <i r="2">
      <x v="15"/>
    </i>
    <i r="2">
      <x v="16"/>
    </i>
    <i r="2">
      <x v="17"/>
    </i>
    <i r="2">
      <x v="18"/>
    </i>
    <i r="1">
      <x v="2"/>
      <x/>
    </i>
    <i r="1">
      <x v="3"/>
      <x/>
    </i>
    <i r="1">
      <x v="4"/>
      <x v="6"/>
    </i>
    <i r="2">
      <x v="9"/>
    </i>
    <i r="2">
      <x v="10"/>
    </i>
    <i r="2">
      <x v="12"/>
    </i>
    <i r="1">
      <x v="5"/>
      <x v="1"/>
    </i>
    <i r="2">
      <x v="3"/>
    </i>
    <i r="2">
      <x v="5"/>
    </i>
    <i r="1">
      <x v="6"/>
      <x v="7"/>
    </i>
    <i r="2">
      <x v="13"/>
    </i>
    <i r="1">
      <x v="7"/>
      <x v="2"/>
    </i>
    <i r="1">
      <x v="8"/>
      <x v="2"/>
    </i>
    <i t="grand">
      <x/>
    </i>
  </rowItems>
  <colItems count="1">
    <i/>
  </colItems>
  <dataFields count="1">
    <dataField name="Sum of Final Amount" fld="1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F_Indent_JH" displayName="CF_Indent_JH" ref="A1:U25" totalsRowCount="1">
  <tableColumns count="21">
    <tableColumn id="1" xr3:uid="{00000000-0010-0000-0000-000001000000}" name="Timestamp"/>
    <tableColumn id="2" xr3:uid="{00000000-0010-0000-0000-000002000000}" name="User Name"/>
    <tableColumn id="3" xr3:uid="{00000000-0010-0000-0000-000003000000}" name="Order Date"/>
    <tableColumn id="4" xr3:uid="{00000000-0010-0000-0000-000004000000}" name="Deduction Cycle"/>
    <tableColumn id="5" xr3:uid="{00000000-0010-0000-0000-000005000000}" name="Item Name"/>
    <tableColumn id="6" xr3:uid="{00000000-0010-0000-0000-000006000000}" name="ID"/>
    <tableColumn id="7" xr3:uid="{00000000-0010-0000-0000-000007000000}" name="MPG Code"/>
    <tableColumn id="8" xr3:uid="{00000000-0010-0000-0000-000008000000}" name="MPG Name"/>
    <tableColumn id="9" xr3:uid="{00000000-0010-0000-0000-000009000000}" name="Farmer code"/>
    <tableColumn id="10" xr3:uid="{00000000-0010-0000-0000-00000A000000}" name="BMC Name"/>
    <tableColumn id="21" xr3:uid="{D7D5B237-A8A9-47EA-9975-9C706F048263}" name="Farmer Payment" dataDxfId="2">
      <calculatedColumnFormula>VLOOKUP(CF_Indent_JH[[#This Row],[MPG Code]],'[1]MPG Payment'!$B$3:$E$139,4,0)</calculatedColumnFormula>
    </tableColumn>
    <tableColumn id="11" xr3:uid="{00000000-0010-0000-0000-00000B000000}" name="CSP"/>
    <tableColumn id="12" xr3:uid="{00000000-0010-0000-0000-00000C000000}" name="Qty"/>
    <tableColumn id="13" xr3:uid="{00000000-0010-0000-0000-00000D000000}" name="Rate"/>
    <tableColumn id="14" xr3:uid="{00000000-0010-0000-0000-00000E000000}" name="Total Amount"/>
    <tableColumn id="15" xr3:uid="{00000000-0010-0000-0000-00000F000000}" name="Other Due Amt"/>
    <tableColumn id="16" xr3:uid="{00000000-0010-0000-0000-000010000000}" name="Total Amount (Proposed)"/>
    <tableColumn id="17" xr3:uid="{00000000-0010-0000-0000-000011000000}" name="Final Qty"/>
    <tableColumn id="18" xr3:uid="{00000000-0010-0000-0000-000012000000}" name="Final Amount"/>
    <tableColumn id="20" xr3:uid="{60A2F591-1AFF-4DC7-9D92-F5A1B1B482FA}" name="FS Deduction" totalsRowFunction="sum" dataDxfId="1" totalsRowDxfId="0">
      <calculatedColumnFormula>IFERROR(VLOOKUP(CF_Indent_JH[[#This Row],[ID]],[1]!Table2[[#Headers],[#Data],[ID]:[CF Deduction]],12,0),0)</calculatedColumnFormula>
    </tableColumn>
    <tableColumn id="19" xr3:uid="{00000000-0010-0000-0000-000013000000}" name="Milk Amonnt"/>
  </tableColumns>
  <tableStyleInfo name="Inden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PG_Master" displayName="MPG_Master" ref="A1:C141">
  <tableColumns count="3">
    <tableColumn id="1" xr3:uid="{00000000-0010-0000-0100-000001000000}" name="MPG Code"/>
    <tableColumn id="2" xr3:uid="{00000000-0010-0000-0100-000002000000}" name="MPG NAME"/>
    <tableColumn id="3" xr3:uid="{00000000-0010-0000-0100-000003000000}" name="BMC Name"/>
  </tableColumns>
  <tableStyleInfo name="MPG Mast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tem_Master" displayName="Item_Master" ref="A1:C5">
  <tableColumns count="3">
    <tableColumn id="1" xr3:uid="{00000000-0010-0000-0200-000001000000}" name="Name of Item"/>
    <tableColumn id="2" xr3:uid="{00000000-0010-0000-0200-000002000000}" name="UoM"/>
    <tableColumn id="3" xr3:uid="{00000000-0010-0000-0200-000003000000}" name="Base Rate"/>
  </tableColumns>
  <tableStyleInfo name="Item Mast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B19F-27B8-473A-9866-50D2EEBA8F0D}">
  <dimension ref="A3:N35"/>
  <sheetViews>
    <sheetView workbookViewId="0">
      <selection activeCell="K21" sqref="K21"/>
    </sheetView>
  </sheetViews>
  <sheetFormatPr defaultRowHeight="12.75" x14ac:dyDescent="0.2"/>
  <cols>
    <col min="1" max="1" width="12.42578125" bestFit="1" customWidth="1"/>
    <col min="2" max="3" width="13.7109375" bestFit="1" customWidth="1"/>
    <col min="4" max="4" width="6" bestFit="1" customWidth="1"/>
    <col min="9" max="9" width="13.140625" bestFit="1" customWidth="1"/>
  </cols>
  <sheetData>
    <row r="3" spans="1:14" x14ac:dyDescent="0.2">
      <c r="A3" s="33" t="s">
        <v>218</v>
      </c>
      <c r="B3" s="31"/>
      <c r="C3" s="31"/>
      <c r="D3" s="34"/>
    </row>
    <row r="4" spans="1:14" x14ac:dyDescent="0.2">
      <c r="A4" s="33" t="s">
        <v>216</v>
      </c>
      <c r="B4" s="33" t="s">
        <v>6</v>
      </c>
      <c r="C4" s="33" t="s">
        <v>8</v>
      </c>
      <c r="D4" s="34" t="s">
        <v>214</v>
      </c>
      <c r="I4" s="40" t="s">
        <v>5</v>
      </c>
      <c r="J4" s="40" t="s">
        <v>216</v>
      </c>
      <c r="K4" s="40" t="s">
        <v>6</v>
      </c>
      <c r="L4" s="40" t="s">
        <v>8</v>
      </c>
      <c r="M4" s="40" t="s">
        <v>214</v>
      </c>
      <c r="N4" s="40" t="s">
        <v>219</v>
      </c>
    </row>
    <row r="5" spans="1:14" x14ac:dyDescent="0.2">
      <c r="A5" s="30" t="s">
        <v>217</v>
      </c>
      <c r="B5" s="30">
        <v>20010054</v>
      </c>
      <c r="C5" s="30" t="s">
        <v>55</v>
      </c>
      <c r="D5" s="34">
        <v>1250</v>
      </c>
      <c r="I5" s="40" t="str">
        <f>CONCATENATE(K5,L5)</f>
        <v>200100540012</v>
      </c>
      <c r="J5" s="40" t="s">
        <v>217</v>
      </c>
      <c r="K5" s="40">
        <v>20010054</v>
      </c>
      <c r="L5" s="40" t="s">
        <v>55</v>
      </c>
      <c r="M5" s="40">
        <v>1250</v>
      </c>
      <c r="N5" s="40">
        <v>1250</v>
      </c>
    </row>
    <row r="6" spans="1:14" x14ac:dyDescent="0.2">
      <c r="A6" s="32" t="s">
        <v>217</v>
      </c>
      <c r="B6" s="30">
        <v>20020001</v>
      </c>
      <c r="C6" s="30" t="s">
        <v>23</v>
      </c>
      <c r="D6" s="34">
        <v>2500</v>
      </c>
      <c r="I6" s="40" t="str">
        <f t="shared" ref="I6:I27" si="0">CONCATENATE(K6,L6)</f>
        <v>200200010002</v>
      </c>
      <c r="J6" s="40" t="s">
        <v>217</v>
      </c>
      <c r="K6" s="40">
        <v>20020001</v>
      </c>
      <c r="L6" s="40" t="s">
        <v>23</v>
      </c>
      <c r="M6" s="40">
        <v>2500</v>
      </c>
      <c r="N6" s="40">
        <v>0</v>
      </c>
    </row>
    <row r="7" spans="1:14" x14ac:dyDescent="0.2">
      <c r="A7" s="32" t="s">
        <v>217</v>
      </c>
      <c r="B7" s="32">
        <v>20020001</v>
      </c>
      <c r="C7" s="37" t="s">
        <v>35</v>
      </c>
      <c r="D7" s="39">
        <v>2500</v>
      </c>
      <c r="I7" s="40" t="str">
        <f t="shared" si="0"/>
        <v>200200010005</v>
      </c>
      <c r="J7" s="40" t="s">
        <v>217</v>
      </c>
      <c r="K7" s="40">
        <v>20020001</v>
      </c>
      <c r="L7" s="40" t="s">
        <v>35</v>
      </c>
      <c r="M7" s="40">
        <v>2500</v>
      </c>
      <c r="N7" s="40">
        <v>831</v>
      </c>
    </row>
    <row r="8" spans="1:14" x14ac:dyDescent="0.2">
      <c r="A8" s="32" t="s">
        <v>217</v>
      </c>
      <c r="B8" s="32">
        <v>20020001</v>
      </c>
      <c r="C8" s="37" t="s">
        <v>33</v>
      </c>
      <c r="D8" s="39">
        <v>1250</v>
      </c>
      <c r="I8" s="40" t="str">
        <f t="shared" si="0"/>
        <v>200200010033</v>
      </c>
      <c r="J8" s="40" t="s">
        <v>217</v>
      </c>
      <c r="K8" s="40">
        <v>20020001</v>
      </c>
      <c r="L8" s="40" t="s">
        <v>33</v>
      </c>
      <c r="M8" s="40">
        <v>1250</v>
      </c>
      <c r="N8" s="40">
        <v>1250</v>
      </c>
    </row>
    <row r="9" spans="1:14" x14ac:dyDescent="0.2">
      <c r="A9" s="32" t="s">
        <v>217</v>
      </c>
      <c r="B9" s="32">
        <v>20020001</v>
      </c>
      <c r="C9" s="37" t="s">
        <v>37</v>
      </c>
      <c r="D9" s="39">
        <v>1250</v>
      </c>
      <c r="I9" s="40" t="str">
        <f t="shared" si="0"/>
        <v>200200010041</v>
      </c>
      <c r="J9" s="40" t="s">
        <v>217</v>
      </c>
      <c r="K9" s="40">
        <v>20020001</v>
      </c>
      <c r="L9" s="40" t="s">
        <v>37</v>
      </c>
      <c r="M9" s="40">
        <v>1250</v>
      </c>
      <c r="N9" s="40">
        <v>1250</v>
      </c>
    </row>
    <row r="10" spans="1:14" x14ac:dyDescent="0.2">
      <c r="A10" s="32" t="s">
        <v>217</v>
      </c>
      <c r="B10" s="32">
        <v>20020001</v>
      </c>
      <c r="C10" s="37" t="s">
        <v>75</v>
      </c>
      <c r="D10" s="39">
        <v>1250</v>
      </c>
      <c r="I10" s="40" t="str">
        <f t="shared" si="0"/>
        <v>200200010067</v>
      </c>
      <c r="J10" s="40" t="s">
        <v>217</v>
      </c>
      <c r="K10" s="40">
        <v>20020001</v>
      </c>
      <c r="L10" s="40" t="s">
        <v>75</v>
      </c>
      <c r="M10" s="40">
        <v>1250</v>
      </c>
      <c r="N10" s="40">
        <v>1250</v>
      </c>
    </row>
    <row r="11" spans="1:14" x14ac:dyDescent="0.2">
      <c r="A11" s="32" t="s">
        <v>217</v>
      </c>
      <c r="B11" s="32">
        <v>20020001</v>
      </c>
      <c r="C11" s="37" t="s">
        <v>70</v>
      </c>
      <c r="D11" s="39">
        <v>2039</v>
      </c>
      <c r="I11" s="40" t="str">
        <f t="shared" si="0"/>
        <v>200200010083</v>
      </c>
      <c r="J11" s="40" t="s">
        <v>217</v>
      </c>
      <c r="K11" s="40">
        <v>20020001</v>
      </c>
      <c r="L11" s="40" t="s">
        <v>70</v>
      </c>
      <c r="M11" s="40">
        <v>2039</v>
      </c>
      <c r="N11" s="40">
        <v>2039</v>
      </c>
    </row>
    <row r="12" spans="1:14" x14ac:dyDescent="0.2">
      <c r="A12" s="32" t="s">
        <v>217</v>
      </c>
      <c r="B12" s="32">
        <v>20020001</v>
      </c>
      <c r="C12" s="37" t="s">
        <v>73</v>
      </c>
      <c r="D12" s="39">
        <v>2500</v>
      </c>
      <c r="I12" s="40" t="str">
        <f t="shared" si="0"/>
        <v>200200010110</v>
      </c>
      <c r="J12" s="40" t="s">
        <v>217</v>
      </c>
      <c r="K12" s="40">
        <v>20020001</v>
      </c>
      <c r="L12" s="40" t="s">
        <v>73</v>
      </c>
      <c r="M12" s="40">
        <v>2500</v>
      </c>
      <c r="N12" s="40">
        <v>2500</v>
      </c>
    </row>
    <row r="13" spans="1:14" x14ac:dyDescent="0.2">
      <c r="A13" s="32" t="s">
        <v>217</v>
      </c>
      <c r="B13" s="32">
        <v>20020001</v>
      </c>
      <c r="C13" s="37" t="s">
        <v>39</v>
      </c>
      <c r="D13" s="39">
        <v>2500</v>
      </c>
      <c r="I13" s="40" t="str">
        <f t="shared" si="0"/>
        <v>200200010121</v>
      </c>
      <c r="J13" s="40" t="s">
        <v>217</v>
      </c>
      <c r="K13" s="40">
        <v>20020001</v>
      </c>
      <c r="L13" s="40" t="s">
        <v>39</v>
      </c>
      <c r="M13" s="40">
        <v>2500</v>
      </c>
      <c r="N13" s="40">
        <v>2500</v>
      </c>
    </row>
    <row r="14" spans="1:14" x14ac:dyDescent="0.2">
      <c r="A14" s="32" t="s">
        <v>217</v>
      </c>
      <c r="B14" s="32">
        <v>20020001</v>
      </c>
      <c r="C14" s="37" t="s">
        <v>77</v>
      </c>
      <c r="D14" s="39">
        <v>1250</v>
      </c>
      <c r="I14" s="40" t="str">
        <f t="shared" si="0"/>
        <v>200200010150</v>
      </c>
      <c r="J14" s="40" t="s">
        <v>217</v>
      </c>
      <c r="K14" s="40">
        <v>20020001</v>
      </c>
      <c r="L14" s="40" t="s">
        <v>77</v>
      </c>
      <c r="M14" s="40">
        <v>1250</v>
      </c>
      <c r="N14" s="40">
        <v>1250</v>
      </c>
    </row>
    <row r="15" spans="1:14" x14ac:dyDescent="0.2">
      <c r="A15" s="32" t="s">
        <v>217</v>
      </c>
      <c r="B15" s="30">
        <v>20020003</v>
      </c>
      <c r="C15" s="30" t="s">
        <v>23</v>
      </c>
      <c r="D15" s="34">
        <v>6250</v>
      </c>
      <c r="I15" s="40" t="str">
        <f t="shared" si="0"/>
        <v>200200030002</v>
      </c>
      <c r="J15" s="40" t="s">
        <v>217</v>
      </c>
      <c r="K15" s="40">
        <v>20020003</v>
      </c>
      <c r="L15" s="40" t="s">
        <v>23</v>
      </c>
      <c r="M15" s="40">
        <v>6250</v>
      </c>
      <c r="N15" s="40">
        <v>6250</v>
      </c>
    </row>
    <row r="16" spans="1:14" x14ac:dyDescent="0.2">
      <c r="A16" s="32" t="s">
        <v>217</v>
      </c>
      <c r="B16" s="30">
        <v>20020006</v>
      </c>
      <c r="C16" s="30" t="s">
        <v>23</v>
      </c>
      <c r="D16" s="34">
        <v>2500</v>
      </c>
      <c r="I16" s="40" t="str">
        <f t="shared" si="0"/>
        <v>200200060002</v>
      </c>
      <c r="J16" s="40" t="s">
        <v>217</v>
      </c>
      <c r="K16" s="40">
        <v>20020006</v>
      </c>
      <c r="L16" s="40" t="s">
        <v>23</v>
      </c>
      <c r="M16" s="40">
        <v>2500</v>
      </c>
      <c r="N16" s="40">
        <v>2500</v>
      </c>
    </row>
    <row r="17" spans="1:14" x14ac:dyDescent="0.2">
      <c r="A17" s="32" t="s">
        <v>217</v>
      </c>
      <c r="B17" s="30">
        <v>20020020</v>
      </c>
      <c r="C17" s="30" t="s">
        <v>40</v>
      </c>
      <c r="D17" s="34">
        <v>3750</v>
      </c>
      <c r="I17" s="40" t="str">
        <f t="shared" si="0"/>
        <v>200200200023</v>
      </c>
      <c r="J17" s="40" t="s">
        <v>217</v>
      </c>
      <c r="K17" s="40">
        <v>20020020</v>
      </c>
      <c r="L17" s="40" t="s">
        <v>40</v>
      </c>
      <c r="M17" s="40">
        <v>3750</v>
      </c>
      <c r="N17" s="40">
        <v>3750</v>
      </c>
    </row>
    <row r="18" spans="1:14" x14ac:dyDescent="0.2">
      <c r="A18" s="32" t="s">
        <v>217</v>
      </c>
      <c r="B18" s="32">
        <v>20020020</v>
      </c>
      <c r="C18" s="37" t="s">
        <v>68</v>
      </c>
      <c r="D18" s="39">
        <v>1250</v>
      </c>
      <c r="I18" s="40" t="str">
        <f t="shared" si="0"/>
        <v>200200200038</v>
      </c>
      <c r="J18" s="40" t="s">
        <v>217</v>
      </c>
      <c r="K18" s="40">
        <v>20020020</v>
      </c>
      <c r="L18" s="40" t="s">
        <v>68</v>
      </c>
      <c r="M18" s="40">
        <v>1250</v>
      </c>
      <c r="N18" s="40">
        <v>868</v>
      </c>
    </row>
    <row r="19" spans="1:14" x14ac:dyDescent="0.2">
      <c r="A19" s="32" t="s">
        <v>217</v>
      </c>
      <c r="B19" s="32">
        <v>20020020</v>
      </c>
      <c r="C19" s="37" t="s">
        <v>66</v>
      </c>
      <c r="D19" s="39">
        <v>1250</v>
      </c>
      <c r="I19" s="40" t="str">
        <f t="shared" si="0"/>
        <v>200200200039</v>
      </c>
      <c r="J19" s="40" t="s">
        <v>217</v>
      </c>
      <c r="K19" s="40">
        <v>20020020</v>
      </c>
      <c r="L19" s="40" t="s">
        <v>66</v>
      </c>
      <c r="M19" s="40">
        <v>1250</v>
      </c>
      <c r="N19" s="40">
        <v>1250</v>
      </c>
    </row>
    <row r="20" spans="1:14" x14ac:dyDescent="0.2">
      <c r="A20" s="32" t="s">
        <v>217</v>
      </c>
      <c r="B20" s="32">
        <v>20020020</v>
      </c>
      <c r="C20" s="37" t="s">
        <v>64</v>
      </c>
      <c r="D20" s="39">
        <v>1250</v>
      </c>
      <c r="I20" s="40" t="str">
        <f t="shared" si="0"/>
        <v>200200200042</v>
      </c>
      <c r="J20" s="40" t="s">
        <v>217</v>
      </c>
      <c r="K20" s="40">
        <v>20020020</v>
      </c>
      <c r="L20" s="40" t="s">
        <v>64</v>
      </c>
      <c r="M20" s="40">
        <v>1250</v>
      </c>
      <c r="N20" s="40">
        <v>1250</v>
      </c>
    </row>
    <row r="21" spans="1:14" x14ac:dyDescent="0.2">
      <c r="A21" s="32" t="s">
        <v>217</v>
      </c>
      <c r="B21" s="30">
        <v>20020025</v>
      </c>
      <c r="C21" s="30" t="s">
        <v>45</v>
      </c>
      <c r="D21" s="34">
        <v>2500</v>
      </c>
      <c r="I21" s="40" t="str">
        <f t="shared" si="0"/>
        <v>200200250004</v>
      </c>
      <c r="J21" s="40" t="s">
        <v>217</v>
      </c>
      <c r="K21" s="40">
        <v>20020025</v>
      </c>
      <c r="L21" s="40" t="s">
        <v>45</v>
      </c>
      <c r="M21" s="40">
        <v>2500</v>
      </c>
      <c r="N21" s="40">
        <v>2500</v>
      </c>
    </row>
    <row r="22" spans="1:14" x14ac:dyDescent="0.2">
      <c r="A22" s="32" t="s">
        <v>217</v>
      </c>
      <c r="B22" s="32">
        <v>20020025</v>
      </c>
      <c r="C22" s="37" t="s">
        <v>82</v>
      </c>
      <c r="D22" s="39">
        <v>1250</v>
      </c>
      <c r="I22" s="40" t="str">
        <f t="shared" si="0"/>
        <v>200200250008</v>
      </c>
      <c r="J22" s="40" t="s">
        <v>217</v>
      </c>
      <c r="K22" s="40">
        <v>20020025</v>
      </c>
      <c r="L22" s="40" t="s">
        <v>82</v>
      </c>
      <c r="M22" s="40">
        <v>1250</v>
      </c>
      <c r="N22" s="40">
        <v>1250</v>
      </c>
    </row>
    <row r="23" spans="1:14" x14ac:dyDescent="0.2">
      <c r="A23" s="32" t="s">
        <v>217</v>
      </c>
      <c r="B23" s="32">
        <v>20020025</v>
      </c>
      <c r="C23" s="37" t="s">
        <v>43</v>
      </c>
      <c r="D23" s="39">
        <v>2500</v>
      </c>
      <c r="I23" s="40" t="str">
        <f t="shared" si="0"/>
        <v>200200250022</v>
      </c>
      <c r="J23" s="40" t="s">
        <v>217</v>
      </c>
      <c r="K23" s="40">
        <v>20020025</v>
      </c>
      <c r="L23" s="40" t="s">
        <v>43</v>
      </c>
      <c r="M23" s="40">
        <v>2500</v>
      </c>
      <c r="N23" s="40">
        <v>2500</v>
      </c>
    </row>
    <row r="24" spans="1:14" x14ac:dyDescent="0.2">
      <c r="A24" s="32" t="s">
        <v>217</v>
      </c>
      <c r="B24" s="30">
        <v>20050001</v>
      </c>
      <c r="C24" s="30" t="s">
        <v>58</v>
      </c>
      <c r="D24" s="34">
        <v>1250</v>
      </c>
      <c r="I24" s="40" t="str">
        <f t="shared" si="0"/>
        <v>200500010030</v>
      </c>
      <c r="J24" s="40" t="s">
        <v>217</v>
      </c>
      <c r="K24" s="40">
        <v>20050001</v>
      </c>
      <c r="L24" s="40" t="s">
        <v>58</v>
      </c>
      <c r="M24" s="40">
        <v>1250</v>
      </c>
      <c r="N24" s="40">
        <v>1250</v>
      </c>
    </row>
    <row r="25" spans="1:14" x14ac:dyDescent="0.2">
      <c r="A25" s="32" t="s">
        <v>217</v>
      </c>
      <c r="B25" s="32">
        <v>20050001</v>
      </c>
      <c r="C25" s="37" t="s">
        <v>60</v>
      </c>
      <c r="D25" s="39">
        <v>1250</v>
      </c>
      <c r="I25" s="40" t="str">
        <f t="shared" si="0"/>
        <v>200500010049</v>
      </c>
      <c r="J25" s="40" t="s">
        <v>217</v>
      </c>
      <c r="K25" s="40">
        <v>20050001</v>
      </c>
      <c r="L25" s="40" t="s">
        <v>60</v>
      </c>
      <c r="M25" s="40">
        <v>1250</v>
      </c>
      <c r="N25" s="40">
        <v>1250</v>
      </c>
    </row>
    <row r="26" spans="1:14" x14ac:dyDescent="0.2">
      <c r="A26" s="32" t="s">
        <v>217</v>
      </c>
      <c r="B26" s="30">
        <v>20090008</v>
      </c>
      <c r="C26" s="30" t="s">
        <v>35</v>
      </c>
      <c r="D26" s="34">
        <v>625</v>
      </c>
      <c r="I26" s="40" t="str">
        <f t="shared" si="0"/>
        <v>200900080005</v>
      </c>
      <c r="J26" s="40" t="s">
        <v>217</v>
      </c>
      <c r="K26" s="40">
        <v>20090008</v>
      </c>
      <c r="L26" s="40" t="s">
        <v>35</v>
      </c>
      <c r="M26" s="40">
        <v>625</v>
      </c>
      <c r="N26" s="40">
        <v>625</v>
      </c>
    </row>
    <row r="27" spans="1:14" x14ac:dyDescent="0.2">
      <c r="A27" s="32" t="s">
        <v>217</v>
      </c>
      <c r="B27" s="30">
        <v>20090020</v>
      </c>
      <c r="C27" s="30" t="s">
        <v>35</v>
      </c>
      <c r="D27" s="34">
        <v>625</v>
      </c>
      <c r="I27" s="40" t="str">
        <f t="shared" si="0"/>
        <v>200900200005</v>
      </c>
      <c r="J27" s="40" t="s">
        <v>217</v>
      </c>
      <c r="K27" s="40">
        <v>20090020</v>
      </c>
      <c r="L27" s="40" t="s">
        <v>35</v>
      </c>
      <c r="M27" s="40">
        <v>625</v>
      </c>
      <c r="N27" s="40">
        <v>625</v>
      </c>
    </row>
    <row r="28" spans="1:14" x14ac:dyDescent="0.2">
      <c r="A28" s="35" t="s">
        <v>215</v>
      </c>
      <c r="B28" s="38"/>
      <c r="C28" s="38"/>
      <c r="D28" s="36">
        <v>44539</v>
      </c>
      <c r="I28" s="40" t="s">
        <v>215</v>
      </c>
      <c r="J28" s="40"/>
      <c r="K28" s="40"/>
      <c r="L28" s="40"/>
      <c r="M28" s="40">
        <f>SUM(M5:M27)</f>
        <v>44539</v>
      </c>
      <c r="N28" s="40">
        <f>SUM(N5:N27)</f>
        <v>39988</v>
      </c>
    </row>
    <row r="31" spans="1:14" x14ac:dyDescent="0.2">
      <c r="I31" s="41" t="s">
        <v>220</v>
      </c>
      <c r="J31" s="40" t="s">
        <v>217</v>
      </c>
      <c r="K31" s="40">
        <v>20020006</v>
      </c>
      <c r="L31" s="40"/>
      <c r="M31" s="40">
        <v>5000</v>
      </c>
      <c r="N31" s="40">
        <v>5000</v>
      </c>
    </row>
    <row r="32" spans="1:14" x14ac:dyDescent="0.2">
      <c r="I32" s="41" t="s">
        <v>220</v>
      </c>
      <c r="J32" s="40" t="s">
        <v>217</v>
      </c>
      <c r="K32" s="40">
        <v>20060003</v>
      </c>
      <c r="L32" s="40"/>
      <c r="M32" s="42">
        <v>12500</v>
      </c>
      <c r="N32" s="42">
        <v>37500</v>
      </c>
    </row>
    <row r="33" spans="9:14" x14ac:dyDescent="0.2">
      <c r="I33" s="40" t="s">
        <v>215</v>
      </c>
      <c r="J33" s="40"/>
      <c r="K33" s="40"/>
      <c r="L33" s="40"/>
      <c r="M33" s="40">
        <f>SUM(M31:M32)</f>
        <v>17500</v>
      </c>
      <c r="N33" s="40">
        <f>SUM(N31:N32)</f>
        <v>42500</v>
      </c>
    </row>
    <row r="35" spans="9:14" x14ac:dyDescent="0.2">
      <c r="I35" s="40" t="s">
        <v>215</v>
      </c>
      <c r="J35" s="40"/>
      <c r="K35" s="40"/>
      <c r="L35" s="40"/>
      <c r="M35" s="40">
        <f>M33+M28</f>
        <v>62039</v>
      </c>
      <c r="N35" s="40">
        <f>N33+N28</f>
        <v>82488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5"/>
  <sheetViews>
    <sheetView tabSelected="1" zoomScale="92" workbookViewId="0">
      <pane ySplit="1" topLeftCell="A2" activePane="bottomLeft" state="frozen"/>
      <selection pane="bottomLeft" activeCell="G1" sqref="G1"/>
    </sheetView>
  </sheetViews>
  <sheetFormatPr defaultColWidth="12.7109375" defaultRowHeight="15" customHeight="1" x14ac:dyDescent="0.2"/>
  <cols>
    <col min="1" max="1" width="18" bestFit="1" customWidth="1"/>
    <col min="2" max="2" width="16.7109375" customWidth="1"/>
    <col min="3" max="3" width="13.42578125" customWidth="1"/>
    <col min="4" max="4" width="20.42578125" bestFit="1" customWidth="1"/>
    <col min="5" max="5" width="20.85546875" customWidth="1"/>
    <col min="6" max="6" width="14.28515625" bestFit="1" customWidth="1"/>
    <col min="7" max="7" width="13.42578125" customWidth="1"/>
    <col min="8" max="8" width="16.7109375" customWidth="1"/>
    <col min="9" max="9" width="14.85546875" customWidth="1"/>
    <col min="10" max="11" width="16.7109375" customWidth="1"/>
    <col min="12" max="12" width="12.140625" customWidth="1"/>
    <col min="13" max="13" width="8" customWidth="1"/>
    <col min="14" max="14" width="8.85546875" customWidth="1"/>
    <col min="15" max="15" width="15.42578125" customWidth="1"/>
    <col min="16" max="16" width="16.42578125" customWidth="1"/>
    <col min="17" max="17" width="24.28515625" customWidth="1"/>
    <col min="18" max="18" width="12.140625" customWidth="1"/>
    <col min="19" max="20" width="15.42578125" customWidth="1"/>
    <col min="21" max="21" width="15" customWidth="1"/>
  </cols>
  <sheetData>
    <row r="1" spans="1:21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213</v>
      </c>
      <c r="U1" s="1" t="s">
        <v>18</v>
      </c>
    </row>
    <row r="2" spans="1:21" ht="15" customHeight="1" x14ac:dyDescent="0.2">
      <c r="A2" s="2">
        <v>46173.523572604172</v>
      </c>
      <c r="B2" s="3" t="s">
        <v>41</v>
      </c>
      <c r="C2" s="4">
        <v>46173</v>
      </c>
      <c r="D2" s="3" t="s">
        <v>212</v>
      </c>
      <c r="E2" s="3"/>
      <c r="F2" s="5" t="s">
        <v>49</v>
      </c>
      <c r="G2" s="3">
        <v>20090008</v>
      </c>
      <c r="H2" s="3" t="s">
        <v>50</v>
      </c>
      <c r="I2" s="6" t="s">
        <v>35</v>
      </c>
      <c r="J2" s="3" t="s">
        <v>44</v>
      </c>
      <c r="K2" s="3" t="str">
        <f>VLOOKUP(CF_Indent_JH[[#This Row],[MPG Code]],'[1]MPG Payment'!$B$3:$E$139,4,0)</f>
        <v>Direct</v>
      </c>
      <c r="L2" s="3" t="s">
        <v>21</v>
      </c>
      <c r="M2" s="3">
        <v>0</v>
      </c>
      <c r="N2" s="3">
        <v>0</v>
      </c>
      <c r="O2" s="3">
        <v>0</v>
      </c>
      <c r="P2" s="3">
        <v>625</v>
      </c>
      <c r="Q2" s="3">
        <v>625</v>
      </c>
      <c r="R2" s="3">
        <v>0</v>
      </c>
      <c r="S2" s="3">
        <v>625</v>
      </c>
      <c r="T2" s="3">
        <f>IFERROR(VLOOKUP(CF_Indent_JH[[#This Row],[ID]],[1]!Table2[[#Headers],[#Data],[ID]:[CF Deduction]],12,0),0)</f>
        <v>625</v>
      </c>
      <c r="U2" s="3"/>
    </row>
    <row r="3" spans="1:21" ht="15" customHeight="1" x14ac:dyDescent="0.2">
      <c r="A3" s="2">
        <v>46173.524223333334</v>
      </c>
      <c r="B3" s="3" t="s">
        <v>41</v>
      </c>
      <c r="C3" s="4">
        <v>46173</v>
      </c>
      <c r="D3" s="3" t="s">
        <v>212</v>
      </c>
      <c r="E3" s="3" t="s">
        <v>19</v>
      </c>
      <c r="F3" s="5" t="s">
        <v>51</v>
      </c>
      <c r="G3" s="3">
        <v>20090020</v>
      </c>
      <c r="H3" s="3" t="s">
        <v>52</v>
      </c>
      <c r="I3" s="6" t="s">
        <v>35</v>
      </c>
      <c r="J3" s="3" t="s">
        <v>44</v>
      </c>
      <c r="K3" s="3" t="str">
        <f>VLOOKUP(CF_Indent_JH[[#This Row],[MPG Code]],'[1]MPG Payment'!$B$3:$E$139,4,0)</f>
        <v>Direct</v>
      </c>
      <c r="L3" s="3" t="s">
        <v>21</v>
      </c>
      <c r="M3" s="3">
        <v>0</v>
      </c>
      <c r="N3" s="3">
        <v>1250</v>
      </c>
      <c r="O3" s="3">
        <v>0</v>
      </c>
      <c r="P3" s="3">
        <v>625</v>
      </c>
      <c r="Q3" s="3">
        <v>625</v>
      </c>
      <c r="R3" s="3">
        <v>0</v>
      </c>
      <c r="S3" s="3">
        <v>625</v>
      </c>
      <c r="T3" s="3">
        <f>IFERROR(VLOOKUP(CF_Indent_JH[[#This Row],[ID]],[1]!Table2[[#Headers],[#Data],[ID]:[CF Deduction]],12,0),0)</f>
        <v>625</v>
      </c>
      <c r="U3" s="3"/>
    </row>
    <row r="4" spans="1:21" ht="15" customHeight="1" x14ac:dyDescent="0.2">
      <c r="A4" s="2">
        <v>46173.524685810189</v>
      </c>
      <c r="B4" s="3" t="s">
        <v>41</v>
      </c>
      <c r="C4" s="4">
        <v>46173</v>
      </c>
      <c r="D4" s="3" t="s">
        <v>212</v>
      </c>
      <c r="E4" s="3" t="s">
        <v>19</v>
      </c>
      <c r="F4" s="5" t="s">
        <v>53</v>
      </c>
      <c r="G4" s="3">
        <v>20010054</v>
      </c>
      <c r="H4" s="3" t="s">
        <v>54</v>
      </c>
      <c r="I4" s="6" t="s">
        <v>55</v>
      </c>
      <c r="J4" s="3" t="s">
        <v>44</v>
      </c>
      <c r="K4" s="3" t="str">
        <f>VLOOKUP(CF_Indent_JH[[#This Row],[MPG Code]],'[1]MPG Payment'!$B$3:$E$139,4,0)</f>
        <v>Direct</v>
      </c>
      <c r="L4" s="3" t="s">
        <v>21</v>
      </c>
      <c r="M4" s="3">
        <v>1</v>
      </c>
      <c r="N4" s="3">
        <v>1250</v>
      </c>
      <c r="O4" s="3">
        <v>1250</v>
      </c>
      <c r="P4" s="3">
        <v>0</v>
      </c>
      <c r="Q4" s="3">
        <v>1250</v>
      </c>
      <c r="R4" s="3">
        <v>1</v>
      </c>
      <c r="S4" s="3">
        <v>1250</v>
      </c>
      <c r="T4" s="3">
        <f>IFERROR(VLOOKUP(CF_Indent_JH[[#This Row],[ID]],[1]!Table2[[#Headers],[#Data],[ID]:[CF Deduction]],12,0),0)</f>
        <v>1250</v>
      </c>
      <c r="U4" s="3"/>
    </row>
    <row r="5" spans="1:21" ht="15" customHeight="1" x14ac:dyDescent="0.2">
      <c r="A5" s="2">
        <v>46173.856947407403</v>
      </c>
      <c r="B5" s="3" t="s">
        <v>28</v>
      </c>
      <c r="C5" s="4">
        <v>46173</v>
      </c>
      <c r="D5" s="3" t="s">
        <v>212</v>
      </c>
      <c r="E5" s="3" t="s">
        <v>19</v>
      </c>
      <c r="F5" s="5" t="s">
        <v>56</v>
      </c>
      <c r="G5" s="3">
        <v>20050001</v>
      </c>
      <c r="H5" s="3" t="s">
        <v>57</v>
      </c>
      <c r="I5" s="6" t="s">
        <v>58</v>
      </c>
      <c r="J5" s="3" t="s">
        <v>31</v>
      </c>
      <c r="K5" s="3" t="str">
        <f>VLOOKUP(CF_Indent_JH[[#This Row],[MPG Code]],'[1]MPG Payment'!$B$3:$E$139,4,0)</f>
        <v>Direct</v>
      </c>
      <c r="L5" s="3" t="s">
        <v>21</v>
      </c>
      <c r="M5" s="3">
        <v>1</v>
      </c>
      <c r="N5" s="3">
        <v>1250</v>
      </c>
      <c r="O5" s="3">
        <v>1250</v>
      </c>
      <c r="P5" s="3">
        <v>0</v>
      </c>
      <c r="Q5" s="3">
        <v>1250</v>
      </c>
      <c r="R5" s="3">
        <v>1</v>
      </c>
      <c r="S5" s="3">
        <v>1250</v>
      </c>
      <c r="T5" s="3">
        <f>IFERROR(VLOOKUP(CF_Indent_JH[[#This Row],[ID]],[1]!Table2[[#Headers],[#Data],[ID]:[CF Deduction]],12,0),0)</f>
        <v>1250</v>
      </c>
      <c r="U5" s="3"/>
    </row>
    <row r="6" spans="1:21" ht="15" customHeight="1" x14ac:dyDescent="0.2">
      <c r="A6" s="2">
        <v>46173.857904953707</v>
      </c>
      <c r="B6" s="3" t="s">
        <v>28</v>
      </c>
      <c r="C6" s="4">
        <v>46173</v>
      </c>
      <c r="D6" s="3" t="s">
        <v>212</v>
      </c>
      <c r="E6" s="3" t="s">
        <v>19</v>
      </c>
      <c r="F6" s="5" t="s">
        <v>59</v>
      </c>
      <c r="G6" s="3">
        <v>20050001</v>
      </c>
      <c r="H6" s="3" t="s">
        <v>57</v>
      </c>
      <c r="I6" s="6" t="s">
        <v>60</v>
      </c>
      <c r="J6" s="3" t="s">
        <v>31</v>
      </c>
      <c r="K6" s="3" t="str">
        <f>VLOOKUP(CF_Indent_JH[[#This Row],[MPG Code]],'[1]MPG Payment'!$B$3:$E$139,4,0)</f>
        <v>Direct</v>
      </c>
      <c r="L6" s="3" t="s">
        <v>21</v>
      </c>
      <c r="M6" s="3">
        <v>1</v>
      </c>
      <c r="N6" s="3">
        <v>1250</v>
      </c>
      <c r="O6" s="3">
        <v>1250</v>
      </c>
      <c r="P6" s="3">
        <v>0</v>
      </c>
      <c r="Q6" s="3">
        <v>1250</v>
      </c>
      <c r="R6" s="3">
        <v>1</v>
      </c>
      <c r="S6" s="3">
        <v>1250</v>
      </c>
      <c r="T6" s="3">
        <f>IFERROR(VLOOKUP(CF_Indent_JH[[#This Row],[ID]],[1]!Table2[[#Headers],[#Data],[ID]:[CF Deduction]],12,0),0)</f>
        <v>1250</v>
      </c>
      <c r="U6" s="3"/>
    </row>
    <row r="7" spans="1:21" ht="15" customHeight="1" x14ac:dyDescent="0.2">
      <c r="A7" s="2">
        <v>46173.863466631941</v>
      </c>
      <c r="B7" s="3" t="s">
        <v>28</v>
      </c>
      <c r="C7" s="4">
        <v>46173</v>
      </c>
      <c r="D7" s="3" t="s">
        <v>212</v>
      </c>
      <c r="E7" s="3" t="s">
        <v>19</v>
      </c>
      <c r="F7" s="5" t="s">
        <v>61</v>
      </c>
      <c r="G7" s="3">
        <v>20020006</v>
      </c>
      <c r="H7" s="3" t="s">
        <v>62</v>
      </c>
      <c r="I7" s="6" t="s">
        <v>23</v>
      </c>
      <c r="J7" s="3" t="s">
        <v>31</v>
      </c>
      <c r="K7" s="3" t="str">
        <f>VLOOKUP(CF_Indent_JH[[#This Row],[MPG Code]],'[1]MPG Payment'!$B$3:$E$139,4,0)</f>
        <v>Direct</v>
      </c>
      <c r="L7" s="3" t="s">
        <v>21</v>
      </c>
      <c r="M7" s="3">
        <v>2</v>
      </c>
      <c r="N7" s="3">
        <v>1250</v>
      </c>
      <c r="O7" s="3">
        <v>2500</v>
      </c>
      <c r="P7" s="3">
        <v>0</v>
      </c>
      <c r="Q7" s="3">
        <v>2500</v>
      </c>
      <c r="R7" s="3">
        <v>2</v>
      </c>
      <c r="S7" s="3">
        <v>2500</v>
      </c>
      <c r="T7" s="3">
        <f>IFERROR(VLOOKUP(CF_Indent_JH[[#This Row],[ID]],[1]!Table2[[#Headers],[#Data],[ID]:[CF Deduction]],12,0),0)</f>
        <v>2500</v>
      </c>
      <c r="U7" s="3"/>
    </row>
    <row r="8" spans="1:21" ht="15" customHeight="1" x14ac:dyDescent="0.2">
      <c r="A8" s="2">
        <v>46173.86603164352</v>
      </c>
      <c r="B8" s="3" t="s">
        <v>28</v>
      </c>
      <c r="C8" s="4">
        <v>46173</v>
      </c>
      <c r="D8" s="3" t="s">
        <v>212</v>
      </c>
      <c r="E8" s="3" t="s">
        <v>19</v>
      </c>
      <c r="F8" s="5" t="s">
        <v>63</v>
      </c>
      <c r="G8" s="3">
        <v>20020020</v>
      </c>
      <c r="H8" s="3" t="s">
        <v>48</v>
      </c>
      <c r="I8" s="6" t="s">
        <v>64</v>
      </c>
      <c r="J8" s="3" t="s">
        <v>31</v>
      </c>
      <c r="K8" s="3" t="str">
        <f>VLOOKUP(CF_Indent_JH[[#This Row],[MPG Code]],'[1]MPG Payment'!$B$3:$E$139,4,0)</f>
        <v>Direct</v>
      </c>
      <c r="L8" s="3" t="s">
        <v>21</v>
      </c>
      <c r="M8" s="3">
        <v>1</v>
      </c>
      <c r="N8" s="3">
        <v>1250</v>
      </c>
      <c r="O8" s="3">
        <v>1250</v>
      </c>
      <c r="P8" s="3">
        <v>0</v>
      </c>
      <c r="Q8" s="3">
        <v>1250</v>
      </c>
      <c r="R8" s="3">
        <v>1</v>
      </c>
      <c r="S8" s="3">
        <v>1250</v>
      </c>
      <c r="T8" s="3">
        <f>IFERROR(VLOOKUP(CF_Indent_JH[[#This Row],[ID]],[1]!Table2[[#Headers],[#Data],[ID]:[CF Deduction]],12,0),0)</f>
        <v>1250</v>
      </c>
      <c r="U8" s="3"/>
    </row>
    <row r="9" spans="1:21" ht="15" customHeight="1" x14ac:dyDescent="0.2">
      <c r="A9" s="2">
        <v>46173.866651377313</v>
      </c>
      <c r="B9" s="3" t="s">
        <v>28</v>
      </c>
      <c r="C9" s="4">
        <v>46173</v>
      </c>
      <c r="D9" s="3" t="s">
        <v>212</v>
      </c>
      <c r="E9" s="3" t="s">
        <v>19</v>
      </c>
      <c r="F9" s="5" t="s">
        <v>65</v>
      </c>
      <c r="G9" s="3">
        <v>20020020</v>
      </c>
      <c r="H9" s="3" t="s">
        <v>48</v>
      </c>
      <c r="I9" s="6" t="s">
        <v>66</v>
      </c>
      <c r="J9" s="3" t="s">
        <v>31</v>
      </c>
      <c r="K9" s="3" t="str">
        <f>VLOOKUP(CF_Indent_JH[[#This Row],[MPG Code]],'[1]MPG Payment'!$B$3:$E$139,4,0)</f>
        <v>Direct</v>
      </c>
      <c r="L9" s="3" t="s">
        <v>21</v>
      </c>
      <c r="M9" s="3">
        <v>1</v>
      </c>
      <c r="N9" s="3">
        <v>1250</v>
      </c>
      <c r="O9" s="3">
        <v>1250</v>
      </c>
      <c r="P9" s="3">
        <v>0</v>
      </c>
      <c r="Q9" s="3">
        <v>1250</v>
      </c>
      <c r="R9" s="3">
        <v>1</v>
      </c>
      <c r="S9" s="3">
        <v>1250</v>
      </c>
      <c r="T9" s="3">
        <f>IFERROR(VLOOKUP(CF_Indent_JH[[#This Row],[ID]],[1]!Table2[[#Headers],[#Data],[ID]:[CF Deduction]],12,0),0)</f>
        <v>1250</v>
      </c>
      <c r="U9" s="3"/>
    </row>
    <row r="10" spans="1:21" ht="15" customHeight="1" x14ac:dyDescent="0.2">
      <c r="A10" s="2">
        <v>46173.867074502312</v>
      </c>
      <c r="B10" s="3" t="s">
        <v>28</v>
      </c>
      <c r="C10" s="4">
        <v>46173</v>
      </c>
      <c r="D10" s="3" t="s">
        <v>212</v>
      </c>
      <c r="E10" s="3" t="s">
        <v>19</v>
      </c>
      <c r="F10" s="5" t="s">
        <v>67</v>
      </c>
      <c r="G10" s="3">
        <v>20020020</v>
      </c>
      <c r="H10" s="3" t="s">
        <v>48</v>
      </c>
      <c r="I10" s="6" t="s">
        <v>68</v>
      </c>
      <c r="J10" s="3" t="s">
        <v>31</v>
      </c>
      <c r="K10" s="3" t="str">
        <f>VLOOKUP(CF_Indent_JH[[#This Row],[MPG Code]],'[1]MPG Payment'!$B$3:$E$139,4,0)</f>
        <v>Direct</v>
      </c>
      <c r="L10" s="3" t="s">
        <v>21</v>
      </c>
      <c r="M10" s="3">
        <v>1</v>
      </c>
      <c r="N10" s="3">
        <v>1250</v>
      </c>
      <c r="O10" s="3">
        <v>1250</v>
      </c>
      <c r="P10" s="3">
        <v>0</v>
      </c>
      <c r="Q10" s="3">
        <v>1250</v>
      </c>
      <c r="R10" s="3">
        <v>1</v>
      </c>
      <c r="S10" s="3">
        <v>1250</v>
      </c>
      <c r="T10" s="3">
        <f>IFERROR(VLOOKUP(CF_Indent_JH[[#This Row],[ID]],[1]!Table2[[#Headers],[#Data],[ID]:[CF Deduction]],12,0),0)</f>
        <v>868</v>
      </c>
      <c r="U10" s="3"/>
    </row>
    <row r="11" spans="1:21" ht="15" customHeight="1" x14ac:dyDescent="0.2">
      <c r="A11" s="2">
        <v>46173.867617349533</v>
      </c>
      <c r="B11" s="3" t="s">
        <v>28</v>
      </c>
      <c r="C11" s="4">
        <v>46173</v>
      </c>
      <c r="D11" s="3" t="s">
        <v>212</v>
      </c>
      <c r="E11" s="3" t="s">
        <v>19</v>
      </c>
      <c r="F11" s="5" t="s">
        <v>47</v>
      </c>
      <c r="G11" s="3">
        <v>20020020</v>
      </c>
      <c r="H11" s="3" t="s">
        <v>48</v>
      </c>
      <c r="I11" s="6" t="s">
        <v>40</v>
      </c>
      <c r="J11" s="3" t="s">
        <v>31</v>
      </c>
      <c r="K11" s="3" t="str">
        <f>VLOOKUP(CF_Indent_JH[[#This Row],[MPG Code]],'[1]MPG Payment'!$B$3:$E$139,4,0)</f>
        <v>Direct</v>
      </c>
      <c r="L11" s="3" t="s">
        <v>21</v>
      </c>
      <c r="M11" s="3">
        <v>3</v>
      </c>
      <c r="N11" s="3">
        <v>1250</v>
      </c>
      <c r="O11" s="3">
        <v>3750</v>
      </c>
      <c r="P11" s="3">
        <v>0</v>
      </c>
      <c r="Q11" s="3">
        <v>3750</v>
      </c>
      <c r="R11" s="3">
        <v>3</v>
      </c>
      <c r="S11" s="3">
        <v>3750</v>
      </c>
      <c r="T11" s="3">
        <f>IFERROR(VLOOKUP(CF_Indent_JH[[#This Row],[ID]],[1]!Table2[[#Headers],[#Data],[ID]:[CF Deduction]],12,0),0)</f>
        <v>3750</v>
      </c>
      <c r="U11" s="3"/>
    </row>
    <row r="12" spans="1:21" ht="15" customHeight="1" x14ac:dyDescent="0.2">
      <c r="A12" s="2">
        <v>46173.889890185186</v>
      </c>
      <c r="B12" s="3" t="s">
        <v>28</v>
      </c>
      <c r="C12" s="4">
        <v>46173</v>
      </c>
      <c r="D12" s="3" t="s">
        <v>212</v>
      </c>
      <c r="E12" s="3" t="s">
        <v>19</v>
      </c>
      <c r="F12" s="5" t="s">
        <v>69</v>
      </c>
      <c r="G12" s="3">
        <v>20020001</v>
      </c>
      <c r="H12" s="3" t="s">
        <v>31</v>
      </c>
      <c r="I12" s="6" t="s">
        <v>70</v>
      </c>
      <c r="J12" s="3" t="s">
        <v>31</v>
      </c>
      <c r="K12" s="3" t="str">
        <f>VLOOKUP(CF_Indent_JH[[#This Row],[MPG Code]],'[1]MPG Payment'!$B$3:$E$139,4,0)</f>
        <v>Direct</v>
      </c>
      <c r="L12" s="3" t="s">
        <v>21</v>
      </c>
      <c r="M12" s="3">
        <v>0</v>
      </c>
      <c r="N12" s="3">
        <v>1250</v>
      </c>
      <c r="O12" s="3">
        <v>0</v>
      </c>
      <c r="P12" s="3">
        <v>2039</v>
      </c>
      <c r="Q12" s="3">
        <v>2039</v>
      </c>
      <c r="R12" s="3">
        <v>0</v>
      </c>
      <c r="S12" s="3">
        <v>2039</v>
      </c>
      <c r="T12" s="3">
        <f>IFERROR(VLOOKUP(CF_Indent_JH[[#This Row],[ID]],[1]!Table2[[#Headers],[#Data],[ID]:[CF Deduction]],12,0),0)</f>
        <v>2039</v>
      </c>
      <c r="U12" s="3"/>
    </row>
    <row r="13" spans="1:21" ht="15" customHeight="1" x14ac:dyDescent="0.2">
      <c r="A13" s="2">
        <v>46173.893656041662</v>
      </c>
      <c r="B13" s="3" t="s">
        <v>28</v>
      </c>
      <c r="C13" s="4">
        <v>46173</v>
      </c>
      <c r="D13" s="3" t="s">
        <v>212</v>
      </c>
      <c r="E13" s="3" t="s">
        <v>19</v>
      </c>
      <c r="F13" s="5" t="s">
        <v>29</v>
      </c>
      <c r="G13" s="3">
        <v>20020003</v>
      </c>
      <c r="H13" s="3" t="s">
        <v>30</v>
      </c>
      <c r="I13" s="6" t="s">
        <v>23</v>
      </c>
      <c r="J13" s="3" t="s">
        <v>31</v>
      </c>
      <c r="K13" s="3" t="str">
        <f>VLOOKUP(CF_Indent_JH[[#This Row],[MPG Code]],'[1]MPG Payment'!$B$3:$E$139,4,0)</f>
        <v>Direct</v>
      </c>
      <c r="L13" s="3" t="s">
        <v>21</v>
      </c>
      <c r="M13" s="3">
        <v>0</v>
      </c>
      <c r="N13" s="3">
        <v>1250</v>
      </c>
      <c r="O13" s="3">
        <v>0</v>
      </c>
      <c r="P13" s="3">
        <v>6250</v>
      </c>
      <c r="Q13" s="3">
        <v>6250</v>
      </c>
      <c r="R13" s="3">
        <v>0</v>
      </c>
      <c r="S13" s="3">
        <v>6250</v>
      </c>
      <c r="T13" s="3">
        <f>IFERROR(VLOOKUP(CF_Indent_JH[[#This Row],[ID]],[1]!Table2[[#Headers],[#Data],[ID]:[CF Deduction]],12,0),0)</f>
        <v>6250</v>
      </c>
      <c r="U13" s="3"/>
    </row>
    <row r="14" spans="1:21" ht="15" customHeight="1" x14ac:dyDescent="0.2">
      <c r="A14" s="2">
        <v>46173.894876712962</v>
      </c>
      <c r="B14" s="3" t="s">
        <v>28</v>
      </c>
      <c r="C14" s="4">
        <v>46173</v>
      </c>
      <c r="D14" s="3" t="s">
        <v>212</v>
      </c>
      <c r="E14" s="3" t="s">
        <v>19</v>
      </c>
      <c r="F14" s="5" t="s">
        <v>71</v>
      </c>
      <c r="G14" s="3">
        <v>20020001</v>
      </c>
      <c r="H14" s="3" t="s">
        <v>31</v>
      </c>
      <c r="I14" s="6" t="s">
        <v>23</v>
      </c>
      <c r="J14" s="3" t="s">
        <v>31</v>
      </c>
      <c r="K14" s="3" t="str">
        <f>VLOOKUP(CF_Indent_JH[[#This Row],[MPG Code]],'[1]MPG Payment'!$B$3:$E$139,4,0)</f>
        <v>Direct</v>
      </c>
      <c r="L14" s="3" t="s">
        <v>21</v>
      </c>
      <c r="M14" s="3">
        <v>2</v>
      </c>
      <c r="N14" s="3">
        <v>1250</v>
      </c>
      <c r="O14" s="3">
        <v>2500</v>
      </c>
      <c r="P14" s="3">
        <v>0</v>
      </c>
      <c r="Q14" s="3">
        <v>2500</v>
      </c>
      <c r="R14" s="3">
        <v>2</v>
      </c>
      <c r="S14" s="3">
        <v>2500</v>
      </c>
      <c r="T14" s="3">
        <f>IFERROR(VLOOKUP(CF_Indent_JH[[#This Row],[ID]],[1]!Table2[[#Headers],[#Data],[ID]:[CF Deduction]],12,0),0)</f>
        <v>0</v>
      </c>
      <c r="U14" s="3"/>
    </row>
    <row r="15" spans="1:21" ht="15" customHeight="1" x14ac:dyDescent="0.2">
      <c r="A15" s="2">
        <v>46173.895192268523</v>
      </c>
      <c r="B15" s="3" t="s">
        <v>28</v>
      </c>
      <c r="C15" s="4">
        <v>46173</v>
      </c>
      <c r="D15" s="3" t="s">
        <v>212</v>
      </c>
      <c r="E15" s="3" t="s">
        <v>19</v>
      </c>
      <c r="F15" s="5" t="s">
        <v>34</v>
      </c>
      <c r="G15" s="3">
        <v>20020001</v>
      </c>
      <c r="H15" s="3" t="s">
        <v>31</v>
      </c>
      <c r="I15" s="6" t="s">
        <v>35</v>
      </c>
      <c r="J15" s="3" t="s">
        <v>31</v>
      </c>
      <c r="K15" s="3" t="str">
        <f>VLOOKUP(CF_Indent_JH[[#This Row],[MPG Code]],'[1]MPG Payment'!$B$3:$E$139,4,0)</f>
        <v>Direct</v>
      </c>
      <c r="L15" s="3" t="s">
        <v>21</v>
      </c>
      <c r="M15" s="3">
        <v>2</v>
      </c>
      <c r="N15" s="3">
        <v>1250</v>
      </c>
      <c r="O15" s="3">
        <v>2500</v>
      </c>
      <c r="P15" s="3">
        <v>0</v>
      </c>
      <c r="Q15" s="3">
        <v>2500</v>
      </c>
      <c r="R15" s="3">
        <v>2</v>
      </c>
      <c r="S15" s="3">
        <v>2500</v>
      </c>
      <c r="T15" s="3">
        <f>IFERROR(VLOOKUP(CF_Indent_JH[[#This Row],[ID]],[1]!Table2[[#Headers],[#Data],[ID]:[CF Deduction]],12,0),0)</f>
        <v>831</v>
      </c>
      <c r="U15" s="3"/>
    </row>
    <row r="16" spans="1:21" ht="15" customHeight="1" x14ac:dyDescent="0.2">
      <c r="A16" s="2">
        <v>46173.895739768515</v>
      </c>
      <c r="B16" s="3" t="s">
        <v>28</v>
      </c>
      <c r="C16" s="4">
        <v>46173</v>
      </c>
      <c r="D16" s="3" t="s">
        <v>212</v>
      </c>
      <c r="E16" s="3" t="s">
        <v>19</v>
      </c>
      <c r="F16" s="5" t="s">
        <v>38</v>
      </c>
      <c r="G16" s="3">
        <v>20020001</v>
      </c>
      <c r="H16" s="3" t="s">
        <v>31</v>
      </c>
      <c r="I16" s="6" t="s">
        <v>39</v>
      </c>
      <c r="J16" s="3" t="s">
        <v>31</v>
      </c>
      <c r="K16" s="3" t="str">
        <f>VLOOKUP(CF_Indent_JH[[#This Row],[MPG Code]],'[1]MPG Payment'!$B$3:$E$139,4,0)</f>
        <v>Direct</v>
      </c>
      <c r="L16" s="3" t="s">
        <v>21</v>
      </c>
      <c r="M16" s="3">
        <v>2</v>
      </c>
      <c r="N16" s="3">
        <v>1250</v>
      </c>
      <c r="O16" s="3">
        <v>2500</v>
      </c>
      <c r="P16" s="3">
        <v>0</v>
      </c>
      <c r="Q16" s="3">
        <v>2500</v>
      </c>
      <c r="R16" s="3">
        <v>2</v>
      </c>
      <c r="S16" s="3">
        <v>2500</v>
      </c>
      <c r="T16" s="3">
        <f>IFERROR(VLOOKUP(CF_Indent_JH[[#This Row],[ID]],[1]!Table2[[#Headers],[#Data],[ID]:[CF Deduction]],12,0),0)</f>
        <v>2500</v>
      </c>
      <c r="U16" s="3"/>
    </row>
    <row r="17" spans="1:21" ht="15" customHeight="1" x14ac:dyDescent="0.2">
      <c r="A17" s="2">
        <v>46173.896056736106</v>
      </c>
      <c r="B17" s="3" t="s">
        <v>28</v>
      </c>
      <c r="C17" s="4">
        <v>46173</v>
      </c>
      <c r="D17" s="3" t="s">
        <v>212</v>
      </c>
      <c r="E17" s="3" t="s">
        <v>19</v>
      </c>
      <c r="F17" s="5" t="s">
        <v>72</v>
      </c>
      <c r="G17" s="3">
        <v>20020001</v>
      </c>
      <c r="H17" s="3" t="s">
        <v>31</v>
      </c>
      <c r="I17" s="6" t="s">
        <v>73</v>
      </c>
      <c r="J17" s="3" t="s">
        <v>31</v>
      </c>
      <c r="K17" s="3" t="str">
        <f>VLOOKUP(CF_Indent_JH[[#This Row],[MPG Code]],'[1]MPG Payment'!$B$3:$E$139,4,0)</f>
        <v>Direct</v>
      </c>
      <c r="L17" s="3" t="s">
        <v>21</v>
      </c>
      <c r="M17" s="3">
        <v>2</v>
      </c>
      <c r="N17" s="3">
        <v>1250</v>
      </c>
      <c r="O17" s="3">
        <v>2500</v>
      </c>
      <c r="P17" s="3">
        <v>0</v>
      </c>
      <c r="Q17" s="3">
        <v>2500</v>
      </c>
      <c r="R17" s="3">
        <v>2</v>
      </c>
      <c r="S17" s="3">
        <v>2500</v>
      </c>
      <c r="T17" s="3">
        <f>IFERROR(VLOOKUP(CF_Indent_JH[[#This Row],[ID]],[1]!Table2[[#Headers],[#Data],[ID]:[CF Deduction]],12,0),0)</f>
        <v>2500</v>
      </c>
      <c r="U17" s="3"/>
    </row>
    <row r="18" spans="1:21" ht="15" customHeight="1" x14ac:dyDescent="0.2">
      <c r="A18" s="2">
        <v>46173.89647280093</v>
      </c>
      <c r="B18" s="3" t="s">
        <v>28</v>
      </c>
      <c r="C18" s="4">
        <v>46173</v>
      </c>
      <c r="D18" s="3" t="s">
        <v>212</v>
      </c>
      <c r="E18" s="3" t="s">
        <v>19</v>
      </c>
      <c r="F18" s="5" t="s">
        <v>74</v>
      </c>
      <c r="G18" s="3">
        <v>20020001</v>
      </c>
      <c r="H18" s="3" t="s">
        <v>31</v>
      </c>
      <c r="I18" s="6" t="s">
        <v>75</v>
      </c>
      <c r="J18" s="3" t="s">
        <v>31</v>
      </c>
      <c r="K18" s="3" t="str">
        <f>VLOOKUP(CF_Indent_JH[[#This Row],[MPG Code]],'[1]MPG Payment'!$B$3:$E$139,4,0)</f>
        <v>Direct</v>
      </c>
      <c r="L18" s="3" t="s">
        <v>21</v>
      </c>
      <c r="M18" s="3">
        <v>1</v>
      </c>
      <c r="N18" s="3">
        <v>1250</v>
      </c>
      <c r="O18" s="3">
        <v>1250</v>
      </c>
      <c r="P18" s="3">
        <v>0</v>
      </c>
      <c r="Q18" s="3">
        <v>1250</v>
      </c>
      <c r="R18" s="3">
        <v>1</v>
      </c>
      <c r="S18" s="3">
        <v>1250</v>
      </c>
      <c r="T18" s="3">
        <f>IFERROR(VLOOKUP(CF_Indent_JH[[#This Row],[ID]],[1]!Table2[[#Headers],[#Data],[ID]:[CF Deduction]],12,0),0)</f>
        <v>1250</v>
      </c>
      <c r="U18" s="3"/>
    </row>
    <row r="19" spans="1:21" ht="15" customHeight="1" x14ac:dyDescent="0.2">
      <c r="A19" s="2">
        <v>46173.896746493054</v>
      </c>
      <c r="B19" s="3" t="s">
        <v>28</v>
      </c>
      <c r="C19" s="4">
        <v>46173</v>
      </c>
      <c r="D19" s="3" t="s">
        <v>212</v>
      </c>
      <c r="E19" s="3" t="s">
        <v>19</v>
      </c>
      <c r="F19" s="5" t="s">
        <v>76</v>
      </c>
      <c r="G19" s="3">
        <v>20020001</v>
      </c>
      <c r="H19" s="3" t="s">
        <v>31</v>
      </c>
      <c r="I19" s="6" t="s">
        <v>77</v>
      </c>
      <c r="J19" s="3" t="s">
        <v>31</v>
      </c>
      <c r="K19" s="3" t="str">
        <f>VLOOKUP(CF_Indent_JH[[#This Row],[MPG Code]],'[1]MPG Payment'!$B$3:$E$139,4,0)</f>
        <v>Direct</v>
      </c>
      <c r="L19" s="3" t="s">
        <v>21</v>
      </c>
      <c r="M19" s="3">
        <v>1</v>
      </c>
      <c r="N19" s="3">
        <v>1250</v>
      </c>
      <c r="O19" s="3">
        <v>1250</v>
      </c>
      <c r="P19" s="3">
        <v>0</v>
      </c>
      <c r="Q19" s="3">
        <v>1250</v>
      </c>
      <c r="R19" s="3">
        <v>1</v>
      </c>
      <c r="S19" s="3">
        <v>1250</v>
      </c>
      <c r="T19" s="3">
        <f>IFERROR(VLOOKUP(CF_Indent_JH[[#This Row],[ID]],[1]!Table2[[#Headers],[#Data],[ID]:[CF Deduction]],12,0),0)</f>
        <v>1250</v>
      </c>
      <c r="U19" s="3"/>
    </row>
    <row r="20" spans="1:21" ht="15" customHeight="1" x14ac:dyDescent="0.2">
      <c r="A20" s="2">
        <v>46173.896988749999</v>
      </c>
      <c r="B20" s="3" t="s">
        <v>28</v>
      </c>
      <c r="C20" s="4">
        <v>46173</v>
      </c>
      <c r="D20" s="3" t="s">
        <v>212</v>
      </c>
      <c r="E20" s="3" t="s">
        <v>19</v>
      </c>
      <c r="F20" s="5" t="s">
        <v>36</v>
      </c>
      <c r="G20" s="3">
        <v>20020001</v>
      </c>
      <c r="H20" s="3" t="s">
        <v>31</v>
      </c>
      <c r="I20" s="6" t="s">
        <v>37</v>
      </c>
      <c r="J20" s="3" t="s">
        <v>31</v>
      </c>
      <c r="K20" s="3" t="str">
        <f>VLOOKUP(CF_Indent_JH[[#This Row],[MPG Code]],'[1]MPG Payment'!$B$3:$E$139,4,0)</f>
        <v>Direct</v>
      </c>
      <c r="L20" s="3" t="s">
        <v>21</v>
      </c>
      <c r="M20" s="3">
        <v>1</v>
      </c>
      <c r="N20" s="3">
        <v>1250</v>
      </c>
      <c r="O20" s="3">
        <v>1250</v>
      </c>
      <c r="P20" s="3">
        <v>0</v>
      </c>
      <c r="Q20" s="3">
        <v>1250</v>
      </c>
      <c r="R20" s="3">
        <v>1</v>
      </c>
      <c r="S20" s="3">
        <v>1250</v>
      </c>
      <c r="T20" s="3">
        <f>IFERROR(VLOOKUP(CF_Indent_JH[[#This Row],[ID]],[1]!Table2[[#Headers],[#Data],[ID]:[CF Deduction]],12,0),0)</f>
        <v>1250</v>
      </c>
      <c r="U20" s="3"/>
    </row>
    <row r="21" spans="1:21" ht="15" customHeight="1" x14ac:dyDescent="0.2">
      <c r="A21" s="2">
        <v>46173.897225891204</v>
      </c>
      <c r="B21" s="3" t="s">
        <v>28</v>
      </c>
      <c r="C21" s="4">
        <v>46173</v>
      </c>
      <c r="D21" s="3" t="s">
        <v>212</v>
      </c>
      <c r="E21" s="3" t="s">
        <v>19</v>
      </c>
      <c r="F21" s="5" t="s">
        <v>32</v>
      </c>
      <c r="G21" s="3">
        <v>20020001</v>
      </c>
      <c r="H21" s="3" t="s">
        <v>31</v>
      </c>
      <c r="I21" s="6" t="s">
        <v>33</v>
      </c>
      <c r="J21" s="3" t="s">
        <v>31</v>
      </c>
      <c r="K21" s="3" t="str">
        <f>VLOOKUP(CF_Indent_JH[[#This Row],[MPG Code]],'[1]MPG Payment'!$B$3:$E$139,4,0)</f>
        <v>Direct</v>
      </c>
      <c r="L21" s="3" t="s">
        <v>21</v>
      </c>
      <c r="M21" s="3">
        <v>1</v>
      </c>
      <c r="N21" s="3">
        <v>1250</v>
      </c>
      <c r="O21" s="3">
        <v>1250</v>
      </c>
      <c r="P21" s="3">
        <v>0</v>
      </c>
      <c r="Q21" s="3">
        <v>1250</v>
      </c>
      <c r="R21" s="3">
        <v>1</v>
      </c>
      <c r="S21" s="3">
        <v>1250</v>
      </c>
      <c r="T21" s="3">
        <f>IFERROR(VLOOKUP(CF_Indent_JH[[#This Row],[ID]],[1]!Table2[[#Headers],[#Data],[ID]:[CF Deduction]],12,0),0)</f>
        <v>1250</v>
      </c>
      <c r="U21" s="3"/>
    </row>
    <row r="22" spans="1:21" ht="15" customHeight="1" x14ac:dyDescent="0.2">
      <c r="A22" s="2">
        <v>46174.369112314816</v>
      </c>
      <c r="B22" s="3" t="s">
        <v>28</v>
      </c>
      <c r="C22" s="4">
        <v>46174</v>
      </c>
      <c r="D22" s="3" t="s">
        <v>212</v>
      </c>
      <c r="E22" s="3" t="s">
        <v>19</v>
      </c>
      <c r="F22" s="5" t="s">
        <v>78</v>
      </c>
      <c r="G22" s="3">
        <v>20020025</v>
      </c>
      <c r="H22" s="3" t="s">
        <v>79</v>
      </c>
      <c r="I22" s="6" t="s">
        <v>43</v>
      </c>
      <c r="J22" s="3" t="s">
        <v>31</v>
      </c>
      <c r="K22" s="3" t="str">
        <f>VLOOKUP(CF_Indent_JH[[#This Row],[MPG Code]],'[1]MPG Payment'!$B$3:$E$139,4,0)</f>
        <v>Direct</v>
      </c>
      <c r="L22" s="3" t="s">
        <v>21</v>
      </c>
      <c r="M22" s="3">
        <v>2</v>
      </c>
      <c r="N22" s="3">
        <v>1250</v>
      </c>
      <c r="O22" s="3">
        <v>2500</v>
      </c>
      <c r="P22" s="3">
        <v>0</v>
      </c>
      <c r="Q22" s="3">
        <v>2500</v>
      </c>
      <c r="R22" s="3">
        <v>2</v>
      </c>
      <c r="S22" s="3">
        <v>2500</v>
      </c>
      <c r="T22" s="3">
        <f>IFERROR(VLOOKUP(CF_Indent_JH[[#This Row],[ID]],[1]!Table2[[#Headers],[#Data],[ID]:[CF Deduction]],12,0),0)</f>
        <v>2500</v>
      </c>
      <c r="U22" s="3"/>
    </row>
    <row r="23" spans="1:21" ht="15" customHeight="1" x14ac:dyDescent="0.2">
      <c r="A23" s="2">
        <v>46174.369414594912</v>
      </c>
      <c r="B23" s="3" t="s">
        <v>28</v>
      </c>
      <c r="C23" s="4">
        <v>46174</v>
      </c>
      <c r="D23" s="3" t="s">
        <v>212</v>
      </c>
      <c r="E23" s="3" t="s">
        <v>19</v>
      </c>
      <c r="F23" s="5" t="s">
        <v>80</v>
      </c>
      <c r="G23" s="3">
        <v>20020025</v>
      </c>
      <c r="H23" s="3" t="s">
        <v>79</v>
      </c>
      <c r="I23" s="6" t="s">
        <v>45</v>
      </c>
      <c r="J23" s="3" t="s">
        <v>31</v>
      </c>
      <c r="K23" s="3" t="str">
        <f>VLOOKUP(CF_Indent_JH[[#This Row],[MPG Code]],'[1]MPG Payment'!$B$3:$E$139,4,0)</f>
        <v>Direct</v>
      </c>
      <c r="L23" s="3" t="s">
        <v>21</v>
      </c>
      <c r="M23" s="3">
        <v>2</v>
      </c>
      <c r="N23" s="3">
        <v>1250</v>
      </c>
      <c r="O23" s="3">
        <v>2500</v>
      </c>
      <c r="P23" s="3">
        <v>0</v>
      </c>
      <c r="Q23" s="3">
        <v>2500</v>
      </c>
      <c r="R23" s="3">
        <v>2</v>
      </c>
      <c r="S23" s="3">
        <v>2500</v>
      </c>
      <c r="T23" s="3">
        <f>IFERROR(VLOOKUP(CF_Indent_JH[[#This Row],[ID]],[1]!Table2[[#Headers],[#Data],[ID]:[CF Deduction]],12,0),0)</f>
        <v>2500</v>
      </c>
      <c r="U23" s="3"/>
    </row>
    <row r="24" spans="1:21" ht="15" customHeight="1" thickBot="1" x14ac:dyDescent="0.25">
      <c r="A24" s="25">
        <v>46174.369734189815</v>
      </c>
      <c r="B24" s="26" t="s">
        <v>28</v>
      </c>
      <c r="C24" s="27">
        <v>46174</v>
      </c>
      <c r="D24" s="26" t="s">
        <v>212</v>
      </c>
      <c r="E24" s="26" t="s">
        <v>19</v>
      </c>
      <c r="F24" s="28" t="s">
        <v>81</v>
      </c>
      <c r="G24" s="26">
        <v>20020025</v>
      </c>
      <c r="H24" s="26" t="s">
        <v>79</v>
      </c>
      <c r="I24" s="29" t="s">
        <v>82</v>
      </c>
      <c r="J24" s="26" t="s">
        <v>31</v>
      </c>
      <c r="K24" s="26" t="str">
        <f>VLOOKUP(CF_Indent_JH[[#This Row],[MPG Code]],'[1]MPG Payment'!$B$3:$E$139,4,0)</f>
        <v>Direct</v>
      </c>
      <c r="L24" s="26" t="s">
        <v>21</v>
      </c>
      <c r="M24" s="26">
        <v>1</v>
      </c>
      <c r="N24" s="26">
        <v>1250</v>
      </c>
      <c r="O24" s="26">
        <v>1250</v>
      </c>
      <c r="P24" s="26">
        <v>0</v>
      </c>
      <c r="Q24" s="26">
        <v>1250</v>
      </c>
      <c r="R24" s="26">
        <v>1</v>
      </c>
      <c r="S24" s="26">
        <v>1250</v>
      </c>
      <c r="T24" s="26">
        <f>IFERROR(VLOOKUP(CF_Indent_JH[[#This Row],[ID]],[1]!Table2[[#Headers],[#Data],[ID]:[CF Deduction]],12,0),0)</f>
        <v>1250</v>
      </c>
      <c r="U24" s="26"/>
    </row>
    <row r="25" spans="1:21" ht="15" customHeight="1" x14ac:dyDescent="0.2">
      <c r="T25" s="3">
        <f>SUBTOTAL(109,CF_Indent_JH[FS Deduction])</f>
        <v>39988</v>
      </c>
    </row>
  </sheetData>
  <dataValidations count="2">
    <dataValidation allowBlank="1" showDropDown="1" sqref="F2:F24" xr:uid="{00000000-0002-0000-0000-000000000000}"/>
    <dataValidation type="list" allowBlank="1" sqref="E2:E24" xr:uid="{00000000-0002-0000-0000-000001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41"/>
  <sheetViews>
    <sheetView workbookViewId="0">
      <pane ySplit="1" topLeftCell="A2" activePane="bottomLeft" state="frozen"/>
      <selection pane="bottomLeft" activeCell="M22" sqref="M22"/>
    </sheetView>
  </sheetViews>
  <sheetFormatPr defaultColWidth="12.7109375" defaultRowHeight="15" customHeight="1" x14ac:dyDescent="0.2"/>
  <cols>
    <col min="1" max="1" width="13.42578125" customWidth="1"/>
    <col min="3" max="3" width="16.7109375" bestFit="1" customWidth="1"/>
  </cols>
  <sheetData>
    <row r="1" spans="1:3" ht="15" customHeight="1" x14ac:dyDescent="0.25">
      <c r="A1" s="7" t="s">
        <v>6</v>
      </c>
      <c r="B1" s="8" t="s">
        <v>83</v>
      </c>
      <c r="C1" s="7" t="s">
        <v>9</v>
      </c>
    </row>
    <row r="2" spans="1:3" ht="15" customHeight="1" x14ac:dyDescent="0.25">
      <c r="A2" s="9">
        <v>20010001</v>
      </c>
      <c r="B2" s="10" t="s">
        <v>27</v>
      </c>
      <c r="C2" s="10" t="s">
        <v>27</v>
      </c>
    </row>
    <row r="3" spans="1:3" ht="15" customHeight="1" x14ac:dyDescent="0.25">
      <c r="A3" s="11">
        <v>20010060</v>
      </c>
      <c r="B3" s="12" t="s">
        <v>84</v>
      </c>
      <c r="C3" s="12" t="s">
        <v>27</v>
      </c>
    </row>
    <row r="4" spans="1:3" ht="15" customHeight="1" x14ac:dyDescent="0.25">
      <c r="A4" s="9">
        <v>20010015</v>
      </c>
      <c r="B4" s="10" t="s">
        <v>85</v>
      </c>
      <c r="C4" s="10" t="s">
        <v>27</v>
      </c>
    </row>
    <row r="5" spans="1:3" ht="15" customHeight="1" x14ac:dyDescent="0.25">
      <c r="A5" s="11">
        <v>20010009</v>
      </c>
      <c r="B5" s="12" t="s">
        <v>86</v>
      </c>
      <c r="C5" s="12" t="s">
        <v>27</v>
      </c>
    </row>
    <row r="6" spans="1:3" ht="15" customHeight="1" x14ac:dyDescent="0.25">
      <c r="A6" s="9">
        <v>20010061</v>
      </c>
      <c r="B6" s="10" t="s">
        <v>87</v>
      </c>
      <c r="C6" s="10" t="s">
        <v>27</v>
      </c>
    </row>
    <row r="7" spans="1:3" ht="15" customHeight="1" x14ac:dyDescent="0.25">
      <c r="A7" s="11">
        <v>20010052</v>
      </c>
      <c r="B7" s="12" t="s">
        <v>88</v>
      </c>
      <c r="C7" s="12" t="s">
        <v>27</v>
      </c>
    </row>
    <row r="8" spans="1:3" ht="15" customHeight="1" x14ac:dyDescent="0.25">
      <c r="A8" s="9">
        <v>20010008</v>
      </c>
      <c r="B8" s="10" t="s">
        <v>89</v>
      </c>
      <c r="C8" s="10" t="s">
        <v>27</v>
      </c>
    </row>
    <row r="9" spans="1:3" ht="15" customHeight="1" x14ac:dyDescent="0.25">
      <c r="A9" s="11">
        <v>20010005</v>
      </c>
      <c r="B9" s="12" t="s">
        <v>90</v>
      </c>
      <c r="C9" s="12" t="s">
        <v>27</v>
      </c>
    </row>
    <row r="10" spans="1:3" ht="15" customHeight="1" x14ac:dyDescent="0.25">
      <c r="A10" s="9">
        <v>20010042</v>
      </c>
      <c r="B10" s="10" t="s">
        <v>91</v>
      </c>
      <c r="C10" s="10" t="s">
        <v>27</v>
      </c>
    </row>
    <row r="11" spans="1:3" ht="15" customHeight="1" x14ac:dyDescent="0.25">
      <c r="A11" s="11">
        <v>20010023</v>
      </c>
      <c r="B11" s="12" t="s">
        <v>92</v>
      </c>
      <c r="C11" s="12" t="s">
        <v>27</v>
      </c>
    </row>
    <row r="12" spans="1:3" ht="15" customHeight="1" x14ac:dyDescent="0.25">
      <c r="A12" s="9">
        <v>20010012</v>
      </c>
      <c r="B12" s="10" t="s">
        <v>93</v>
      </c>
      <c r="C12" s="10" t="s">
        <v>27</v>
      </c>
    </row>
    <row r="13" spans="1:3" ht="15" customHeight="1" x14ac:dyDescent="0.25">
      <c r="A13" s="11">
        <v>20010062</v>
      </c>
      <c r="B13" s="12" t="s">
        <v>94</v>
      </c>
      <c r="C13" s="12" t="s">
        <v>27</v>
      </c>
    </row>
    <row r="14" spans="1:3" ht="15" customHeight="1" x14ac:dyDescent="0.25">
      <c r="A14" s="9">
        <v>20010048</v>
      </c>
      <c r="B14" s="10" t="s">
        <v>95</v>
      </c>
      <c r="C14" s="10" t="s">
        <v>27</v>
      </c>
    </row>
    <row r="15" spans="1:3" ht="15" customHeight="1" x14ac:dyDescent="0.25">
      <c r="A15" s="11">
        <v>20010017</v>
      </c>
      <c r="B15" s="12" t="s">
        <v>96</v>
      </c>
      <c r="C15" s="12" t="s">
        <v>27</v>
      </c>
    </row>
    <row r="16" spans="1:3" ht="15" customHeight="1" x14ac:dyDescent="0.25">
      <c r="A16" s="9">
        <v>20010003</v>
      </c>
      <c r="B16" s="10" t="s">
        <v>97</v>
      </c>
      <c r="C16" s="10" t="s">
        <v>27</v>
      </c>
    </row>
    <row r="17" spans="1:3" ht="15" customHeight="1" x14ac:dyDescent="0.25">
      <c r="A17" s="11">
        <v>20010055</v>
      </c>
      <c r="B17" s="12" t="s">
        <v>26</v>
      </c>
      <c r="C17" s="12" t="s">
        <v>27</v>
      </c>
    </row>
    <row r="18" spans="1:3" ht="15" customHeight="1" x14ac:dyDescent="0.25">
      <c r="A18" s="9">
        <v>20010038</v>
      </c>
      <c r="B18" s="10" t="s">
        <v>98</v>
      </c>
      <c r="C18" s="10" t="s">
        <v>27</v>
      </c>
    </row>
    <row r="19" spans="1:3" ht="15" customHeight="1" x14ac:dyDescent="0.25">
      <c r="A19" s="11">
        <v>20010040</v>
      </c>
      <c r="B19" s="12" t="s">
        <v>99</v>
      </c>
      <c r="C19" s="12" t="s">
        <v>27</v>
      </c>
    </row>
    <row r="20" spans="1:3" ht="15" customHeight="1" x14ac:dyDescent="0.25">
      <c r="A20" s="9">
        <v>20010037</v>
      </c>
      <c r="B20" s="10" t="s">
        <v>100</v>
      </c>
      <c r="C20" s="10" t="s">
        <v>27</v>
      </c>
    </row>
    <row r="21" spans="1:3" ht="15" customHeight="1" x14ac:dyDescent="0.25">
      <c r="A21" s="11">
        <v>20010034</v>
      </c>
      <c r="B21" s="12" t="s">
        <v>101</v>
      </c>
      <c r="C21" s="12" t="s">
        <v>27</v>
      </c>
    </row>
    <row r="22" spans="1:3" ht="15" customHeight="1" x14ac:dyDescent="0.25">
      <c r="A22" s="9">
        <v>20010041</v>
      </c>
      <c r="B22" s="10" t="s">
        <v>102</v>
      </c>
      <c r="C22" s="10" t="s">
        <v>27</v>
      </c>
    </row>
    <row r="23" spans="1:3" ht="15" customHeight="1" x14ac:dyDescent="0.25">
      <c r="A23" s="11">
        <v>20010057</v>
      </c>
      <c r="B23" s="12" t="s">
        <v>103</v>
      </c>
      <c r="C23" s="12" t="s">
        <v>27</v>
      </c>
    </row>
    <row r="24" spans="1:3" ht="15" customHeight="1" x14ac:dyDescent="0.25">
      <c r="A24" s="9">
        <v>20010016</v>
      </c>
      <c r="B24" s="10" t="s">
        <v>104</v>
      </c>
      <c r="C24" s="10" t="s">
        <v>27</v>
      </c>
    </row>
    <row r="25" spans="1:3" ht="15" customHeight="1" x14ac:dyDescent="0.25">
      <c r="A25" s="11">
        <v>20010033</v>
      </c>
      <c r="B25" s="12" t="s">
        <v>105</v>
      </c>
      <c r="C25" s="12" t="s">
        <v>27</v>
      </c>
    </row>
    <row r="26" spans="1:3" ht="15" customHeight="1" x14ac:dyDescent="0.25">
      <c r="A26" s="9">
        <v>20010059</v>
      </c>
      <c r="B26" s="10" t="s">
        <v>106</v>
      </c>
      <c r="C26" s="10" t="s">
        <v>27</v>
      </c>
    </row>
    <row r="27" spans="1:3" ht="15" customHeight="1" x14ac:dyDescent="0.25">
      <c r="A27" s="11">
        <v>20010036</v>
      </c>
      <c r="B27" s="12" t="s">
        <v>107</v>
      </c>
      <c r="C27" s="12" t="s">
        <v>27</v>
      </c>
    </row>
    <row r="28" spans="1:3" ht="15" customHeight="1" x14ac:dyDescent="0.25">
      <c r="A28" s="9">
        <v>20010043</v>
      </c>
      <c r="B28" s="10" t="s">
        <v>108</v>
      </c>
      <c r="C28" s="10" t="s">
        <v>27</v>
      </c>
    </row>
    <row r="29" spans="1:3" ht="15" customHeight="1" x14ac:dyDescent="0.25">
      <c r="A29" s="11">
        <v>20010027</v>
      </c>
      <c r="B29" s="12" t="s">
        <v>109</v>
      </c>
      <c r="C29" s="12" t="s">
        <v>27</v>
      </c>
    </row>
    <row r="30" spans="1:3" ht="15" customHeight="1" x14ac:dyDescent="0.25">
      <c r="A30" s="9">
        <v>20020001</v>
      </c>
      <c r="B30" s="10" t="s">
        <v>31</v>
      </c>
      <c r="C30" s="10" t="s">
        <v>31</v>
      </c>
    </row>
    <row r="31" spans="1:3" ht="15" customHeight="1" x14ac:dyDescent="0.25">
      <c r="A31" s="11">
        <v>20020011</v>
      </c>
      <c r="B31" s="12" t="s">
        <v>110</v>
      </c>
      <c r="C31" s="12" t="s">
        <v>31</v>
      </c>
    </row>
    <row r="32" spans="1:3" ht="15" customHeight="1" x14ac:dyDescent="0.25">
      <c r="A32" s="9">
        <v>20020014</v>
      </c>
      <c r="B32" s="10" t="s">
        <v>111</v>
      </c>
      <c r="C32" s="10" t="s">
        <v>31</v>
      </c>
    </row>
    <row r="33" spans="1:3" ht="15" customHeight="1" x14ac:dyDescent="0.25">
      <c r="A33" s="11">
        <v>20020020</v>
      </c>
      <c r="B33" s="12" t="s">
        <v>48</v>
      </c>
      <c r="C33" s="12" t="s">
        <v>31</v>
      </c>
    </row>
    <row r="34" spans="1:3" ht="15" customHeight="1" x14ac:dyDescent="0.25">
      <c r="A34" s="9">
        <v>20020015</v>
      </c>
      <c r="B34" s="10" t="s">
        <v>112</v>
      </c>
      <c r="C34" s="10" t="s">
        <v>31</v>
      </c>
    </row>
    <row r="35" spans="1:3" ht="15" customHeight="1" x14ac:dyDescent="0.25">
      <c r="A35" s="11">
        <v>20020002</v>
      </c>
      <c r="B35" s="12" t="s">
        <v>113</v>
      </c>
      <c r="C35" s="12" t="s">
        <v>31</v>
      </c>
    </row>
    <row r="36" spans="1:3" ht="15" customHeight="1" x14ac:dyDescent="0.25">
      <c r="A36" s="9">
        <v>20020016</v>
      </c>
      <c r="B36" s="10" t="s">
        <v>114</v>
      </c>
      <c r="C36" s="10" t="s">
        <v>31</v>
      </c>
    </row>
    <row r="37" spans="1:3" ht="15" customHeight="1" x14ac:dyDescent="0.25">
      <c r="A37" s="11">
        <v>20020017</v>
      </c>
      <c r="B37" s="12" t="s">
        <v>115</v>
      </c>
      <c r="C37" s="12" t="s">
        <v>31</v>
      </c>
    </row>
    <row r="38" spans="1:3" ht="15" customHeight="1" x14ac:dyDescent="0.25">
      <c r="A38" s="9">
        <v>20020006</v>
      </c>
      <c r="B38" s="10" t="s">
        <v>62</v>
      </c>
      <c r="C38" s="10" t="s">
        <v>31</v>
      </c>
    </row>
    <row r="39" spans="1:3" ht="15" customHeight="1" x14ac:dyDescent="0.25">
      <c r="A39" s="11">
        <v>20020013</v>
      </c>
      <c r="B39" s="12" t="s">
        <v>116</v>
      </c>
      <c r="C39" s="12" t="s">
        <v>31</v>
      </c>
    </row>
    <row r="40" spans="1:3" ht="15" customHeight="1" x14ac:dyDescent="0.25">
      <c r="A40" s="9">
        <v>20020004</v>
      </c>
      <c r="B40" s="10" t="s">
        <v>117</v>
      </c>
      <c r="C40" s="10" t="s">
        <v>31</v>
      </c>
    </row>
    <row r="41" spans="1:3" ht="15" customHeight="1" x14ac:dyDescent="0.25">
      <c r="A41" s="11">
        <v>20020010</v>
      </c>
      <c r="B41" s="12" t="s">
        <v>118</v>
      </c>
      <c r="C41" s="12" t="s">
        <v>31</v>
      </c>
    </row>
    <row r="42" spans="1:3" ht="15" customHeight="1" x14ac:dyDescent="0.25">
      <c r="A42" s="9">
        <v>20020003</v>
      </c>
      <c r="B42" s="10" t="s">
        <v>30</v>
      </c>
      <c r="C42" s="10" t="s">
        <v>31</v>
      </c>
    </row>
    <row r="43" spans="1:3" ht="15" customHeight="1" x14ac:dyDescent="0.25">
      <c r="A43" s="11">
        <v>20020025</v>
      </c>
      <c r="B43" s="12" t="s">
        <v>79</v>
      </c>
      <c r="C43" s="12" t="s">
        <v>31</v>
      </c>
    </row>
    <row r="44" spans="1:3" ht="15" customHeight="1" x14ac:dyDescent="0.25">
      <c r="A44" s="9">
        <v>20020007</v>
      </c>
      <c r="B44" s="10" t="s">
        <v>119</v>
      </c>
      <c r="C44" s="10" t="s">
        <v>31</v>
      </c>
    </row>
    <row r="45" spans="1:3" ht="15" customHeight="1" x14ac:dyDescent="0.25">
      <c r="A45" s="11">
        <v>20050001</v>
      </c>
      <c r="B45" s="12" t="s">
        <v>57</v>
      </c>
      <c r="C45" s="12" t="s">
        <v>31</v>
      </c>
    </row>
    <row r="46" spans="1:3" ht="15" customHeight="1" x14ac:dyDescent="0.25">
      <c r="A46" s="9">
        <v>20020005</v>
      </c>
      <c r="B46" s="10" t="s">
        <v>120</v>
      </c>
      <c r="C46" s="10" t="s">
        <v>31</v>
      </c>
    </row>
    <row r="47" spans="1:3" ht="15" customHeight="1" x14ac:dyDescent="0.25">
      <c r="A47" s="11">
        <v>20050002</v>
      </c>
      <c r="B47" s="12" t="s">
        <v>121</v>
      </c>
      <c r="C47" s="12" t="s">
        <v>31</v>
      </c>
    </row>
    <row r="48" spans="1:3" ht="15" customHeight="1" x14ac:dyDescent="0.25">
      <c r="A48" s="9">
        <v>20020023</v>
      </c>
      <c r="B48" s="10" t="s">
        <v>122</v>
      </c>
      <c r="C48" s="10" t="s">
        <v>31</v>
      </c>
    </row>
    <row r="49" spans="1:3" ht="15" customHeight="1" x14ac:dyDescent="0.25">
      <c r="A49" s="11">
        <v>20050003</v>
      </c>
      <c r="B49" s="12" t="s">
        <v>123</v>
      </c>
      <c r="C49" s="12" t="s">
        <v>31</v>
      </c>
    </row>
    <row r="50" spans="1:3" ht="15" customHeight="1" x14ac:dyDescent="0.25">
      <c r="A50" s="9">
        <v>20020021</v>
      </c>
      <c r="B50" s="10" t="s">
        <v>124</v>
      </c>
      <c r="C50" s="10" t="s">
        <v>31</v>
      </c>
    </row>
    <row r="51" spans="1:3" ht="15" customHeight="1" x14ac:dyDescent="0.25">
      <c r="A51" s="11">
        <v>20030001</v>
      </c>
      <c r="B51" s="12" t="s">
        <v>125</v>
      </c>
      <c r="C51" s="12" t="s">
        <v>125</v>
      </c>
    </row>
    <row r="52" spans="1:3" ht="15" customHeight="1" x14ac:dyDescent="0.25">
      <c r="A52" s="9">
        <v>20030005</v>
      </c>
      <c r="B52" s="10" t="s">
        <v>126</v>
      </c>
      <c r="C52" s="10" t="s">
        <v>125</v>
      </c>
    </row>
    <row r="53" spans="1:3" ht="15" customHeight="1" x14ac:dyDescent="0.25">
      <c r="A53" s="11">
        <v>20030009</v>
      </c>
      <c r="B53" s="12" t="s">
        <v>127</v>
      </c>
      <c r="C53" s="12" t="s">
        <v>125</v>
      </c>
    </row>
    <row r="54" spans="1:3" ht="15" customHeight="1" x14ac:dyDescent="0.25">
      <c r="A54" s="9">
        <v>20030002</v>
      </c>
      <c r="B54" s="10" t="s">
        <v>128</v>
      </c>
      <c r="C54" s="10" t="s">
        <v>125</v>
      </c>
    </row>
    <row r="55" spans="1:3" ht="15" customHeight="1" x14ac:dyDescent="0.25">
      <c r="A55" s="11">
        <v>20030012</v>
      </c>
      <c r="B55" s="12" t="s">
        <v>129</v>
      </c>
      <c r="C55" s="12" t="s">
        <v>125</v>
      </c>
    </row>
    <row r="56" spans="1:3" ht="15" customHeight="1" x14ac:dyDescent="0.25">
      <c r="A56" s="9">
        <v>20040001</v>
      </c>
      <c r="B56" s="10" t="s">
        <v>130</v>
      </c>
      <c r="C56" s="10" t="s">
        <v>130</v>
      </c>
    </row>
    <row r="57" spans="1:3" ht="15" customHeight="1" x14ac:dyDescent="0.25">
      <c r="A57" s="11">
        <v>20040007</v>
      </c>
      <c r="B57" s="12" t="s">
        <v>131</v>
      </c>
      <c r="C57" s="12" t="s">
        <v>130</v>
      </c>
    </row>
    <row r="58" spans="1:3" ht="15" customHeight="1" x14ac:dyDescent="0.25">
      <c r="A58" s="9">
        <v>20040006</v>
      </c>
      <c r="B58" s="10" t="s">
        <v>132</v>
      </c>
      <c r="C58" s="10" t="s">
        <v>130</v>
      </c>
    </row>
    <row r="59" spans="1:3" ht="15" customHeight="1" x14ac:dyDescent="0.25">
      <c r="A59" s="11">
        <v>20060022</v>
      </c>
      <c r="B59" s="12" t="s">
        <v>133</v>
      </c>
      <c r="C59" s="12" t="s">
        <v>20</v>
      </c>
    </row>
    <row r="60" spans="1:3" ht="15" customHeight="1" x14ac:dyDescent="0.25">
      <c r="A60" s="9">
        <v>20060001</v>
      </c>
      <c r="B60" s="10" t="s">
        <v>20</v>
      </c>
      <c r="C60" s="10" t="s">
        <v>20</v>
      </c>
    </row>
    <row r="61" spans="1:3" ht="15" customHeight="1" x14ac:dyDescent="0.25">
      <c r="A61" s="11">
        <v>20060015</v>
      </c>
      <c r="B61" s="12" t="s">
        <v>134</v>
      </c>
      <c r="C61" s="12" t="s">
        <v>20</v>
      </c>
    </row>
    <row r="62" spans="1:3" ht="15" customHeight="1" x14ac:dyDescent="0.25">
      <c r="A62" s="9">
        <v>20060023</v>
      </c>
      <c r="B62" s="10" t="s">
        <v>135</v>
      </c>
      <c r="C62" s="10" t="s">
        <v>20</v>
      </c>
    </row>
    <row r="63" spans="1:3" ht="15" customHeight="1" x14ac:dyDescent="0.25">
      <c r="A63" s="11">
        <v>20060019</v>
      </c>
      <c r="B63" s="12" t="s">
        <v>136</v>
      </c>
      <c r="C63" s="12" t="s">
        <v>20</v>
      </c>
    </row>
    <row r="64" spans="1:3" ht="15" customHeight="1" x14ac:dyDescent="0.25">
      <c r="A64" s="9">
        <v>20060007</v>
      </c>
      <c r="B64" s="10" t="s">
        <v>137</v>
      </c>
      <c r="C64" s="10" t="s">
        <v>20</v>
      </c>
    </row>
    <row r="65" spans="1:3" ht="15" customHeight="1" x14ac:dyDescent="0.25">
      <c r="A65" s="11">
        <v>20060005</v>
      </c>
      <c r="B65" s="12" t="s">
        <v>138</v>
      </c>
      <c r="C65" s="12" t="s">
        <v>20</v>
      </c>
    </row>
    <row r="66" spans="1:3" ht="15" customHeight="1" x14ac:dyDescent="0.25">
      <c r="A66" s="9">
        <v>20060017</v>
      </c>
      <c r="B66" s="10" t="s">
        <v>139</v>
      </c>
      <c r="C66" s="10" t="s">
        <v>20</v>
      </c>
    </row>
    <row r="67" spans="1:3" ht="15" customHeight="1" x14ac:dyDescent="0.25">
      <c r="A67" s="11">
        <v>20060009</v>
      </c>
      <c r="B67" s="12" t="s">
        <v>25</v>
      </c>
      <c r="C67" s="12" t="s">
        <v>20</v>
      </c>
    </row>
    <row r="68" spans="1:3" ht="15" customHeight="1" x14ac:dyDescent="0.25">
      <c r="A68" s="9">
        <v>20060002</v>
      </c>
      <c r="B68" s="10" t="s">
        <v>140</v>
      </c>
      <c r="C68" s="10" t="s">
        <v>20</v>
      </c>
    </row>
    <row r="69" spans="1:3" ht="15" customHeight="1" x14ac:dyDescent="0.25">
      <c r="A69" s="11">
        <v>20060004</v>
      </c>
      <c r="B69" s="12" t="s">
        <v>24</v>
      </c>
      <c r="C69" s="12" t="s">
        <v>20</v>
      </c>
    </row>
    <row r="70" spans="1:3" ht="15" customHeight="1" x14ac:dyDescent="0.25">
      <c r="A70" s="9">
        <v>20060018</v>
      </c>
      <c r="B70" s="10" t="s">
        <v>141</v>
      </c>
      <c r="C70" s="10" t="s">
        <v>20</v>
      </c>
    </row>
    <row r="71" spans="1:3" ht="15" customHeight="1" x14ac:dyDescent="0.25">
      <c r="A71" s="11">
        <v>20060020</v>
      </c>
      <c r="B71" s="12" t="s">
        <v>142</v>
      </c>
      <c r="C71" s="12" t="s">
        <v>20</v>
      </c>
    </row>
    <row r="72" spans="1:3" ht="15" customHeight="1" x14ac:dyDescent="0.25">
      <c r="A72" s="9">
        <v>20060013</v>
      </c>
      <c r="B72" s="10" t="s">
        <v>143</v>
      </c>
      <c r="C72" s="10" t="s">
        <v>20</v>
      </c>
    </row>
    <row r="73" spans="1:3" ht="15" customHeight="1" x14ac:dyDescent="0.25">
      <c r="A73" s="11">
        <v>20060008</v>
      </c>
      <c r="B73" s="12" t="s">
        <v>144</v>
      </c>
      <c r="C73" s="12" t="s">
        <v>20</v>
      </c>
    </row>
    <row r="74" spans="1:3" ht="15" customHeight="1" x14ac:dyDescent="0.25">
      <c r="A74" s="9">
        <v>20060003</v>
      </c>
      <c r="B74" s="10" t="s">
        <v>22</v>
      </c>
      <c r="C74" s="10" t="s">
        <v>20</v>
      </c>
    </row>
    <row r="75" spans="1:3" ht="15" customHeight="1" x14ac:dyDescent="0.25">
      <c r="A75" s="11">
        <v>20060025</v>
      </c>
      <c r="B75" s="12" t="s">
        <v>145</v>
      </c>
      <c r="C75" s="12" t="s">
        <v>20</v>
      </c>
    </row>
    <row r="76" spans="1:3" ht="15" customHeight="1" x14ac:dyDescent="0.25">
      <c r="A76" s="9">
        <v>20070001</v>
      </c>
      <c r="B76" s="10" t="s">
        <v>146</v>
      </c>
      <c r="C76" s="10" t="s">
        <v>146</v>
      </c>
    </row>
    <row r="77" spans="1:3" ht="15" customHeight="1" x14ac:dyDescent="0.25">
      <c r="A77" s="11">
        <v>20070009</v>
      </c>
      <c r="B77" s="12" t="s">
        <v>147</v>
      </c>
      <c r="C77" s="12" t="s">
        <v>146</v>
      </c>
    </row>
    <row r="78" spans="1:3" ht="15" customHeight="1" x14ac:dyDescent="0.25">
      <c r="A78" s="9">
        <v>20070004</v>
      </c>
      <c r="B78" s="10" t="s">
        <v>148</v>
      </c>
      <c r="C78" s="10" t="s">
        <v>146</v>
      </c>
    </row>
    <row r="79" spans="1:3" ht="15" customHeight="1" x14ac:dyDescent="0.25">
      <c r="A79" s="11">
        <v>20070007</v>
      </c>
      <c r="B79" s="12" t="s">
        <v>149</v>
      </c>
      <c r="C79" s="12" t="s">
        <v>146</v>
      </c>
    </row>
    <row r="80" spans="1:3" ht="15" customHeight="1" x14ac:dyDescent="0.25">
      <c r="A80" s="9">
        <v>20070003</v>
      </c>
      <c r="B80" s="10" t="s">
        <v>150</v>
      </c>
      <c r="C80" s="10" t="s">
        <v>146</v>
      </c>
    </row>
    <row r="81" spans="1:3" ht="15" customHeight="1" x14ac:dyDescent="0.25">
      <c r="A81" s="11">
        <v>20070019</v>
      </c>
      <c r="B81" s="12" t="s">
        <v>151</v>
      </c>
      <c r="C81" s="12" t="s">
        <v>146</v>
      </c>
    </row>
    <row r="82" spans="1:3" ht="15" customHeight="1" x14ac:dyDescent="0.25">
      <c r="A82" s="9">
        <v>20070021</v>
      </c>
      <c r="B82" s="10" t="s">
        <v>152</v>
      </c>
      <c r="C82" s="10" t="s">
        <v>146</v>
      </c>
    </row>
    <row r="83" spans="1:3" ht="15" customHeight="1" x14ac:dyDescent="0.25">
      <c r="A83" s="11">
        <v>20070006</v>
      </c>
      <c r="B83" s="12" t="s">
        <v>153</v>
      </c>
      <c r="C83" s="12" t="s">
        <v>146</v>
      </c>
    </row>
    <row r="84" spans="1:3" ht="15" customHeight="1" x14ac:dyDescent="0.25">
      <c r="A84" s="9">
        <v>20070002</v>
      </c>
      <c r="B84" s="10" t="s">
        <v>154</v>
      </c>
      <c r="C84" s="10" t="s">
        <v>146</v>
      </c>
    </row>
    <row r="85" spans="1:3" ht="15" customHeight="1" x14ac:dyDescent="0.25">
      <c r="A85" s="11">
        <v>20070024</v>
      </c>
      <c r="B85" s="12" t="s">
        <v>155</v>
      </c>
      <c r="C85" s="12" t="s">
        <v>146</v>
      </c>
    </row>
    <row r="86" spans="1:3" ht="15" customHeight="1" x14ac:dyDescent="0.25">
      <c r="A86" s="9">
        <v>20070026</v>
      </c>
      <c r="B86" s="10" t="s">
        <v>156</v>
      </c>
      <c r="C86" s="10" t="s">
        <v>146</v>
      </c>
    </row>
    <row r="87" spans="1:3" ht="15" customHeight="1" x14ac:dyDescent="0.25">
      <c r="A87" s="11">
        <v>20070020</v>
      </c>
      <c r="B87" s="12" t="s">
        <v>157</v>
      </c>
      <c r="C87" s="12" t="s">
        <v>146</v>
      </c>
    </row>
    <row r="88" spans="1:3" ht="15" customHeight="1" x14ac:dyDescent="0.25">
      <c r="A88" s="9">
        <v>20070023</v>
      </c>
      <c r="B88" s="10" t="s">
        <v>158</v>
      </c>
      <c r="C88" s="10" t="s">
        <v>146</v>
      </c>
    </row>
    <row r="89" spans="1:3" ht="15" customHeight="1" x14ac:dyDescent="0.25">
      <c r="A89" s="11">
        <v>20070010</v>
      </c>
      <c r="B89" s="12" t="s">
        <v>159</v>
      </c>
      <c r="C89" s="12" t="s">
        <v>146</v>
      </c>
    </row>
    <row r="90" spans="1:3" ht="15" customHeight="1" x14ac:dyDescent="0.25">
      <c r="A90" s="9">
        <v>20070018</v>
      </c>
      <c r="B90" s="10" t="s">
        <v>160</v>
      </c>
      <c r="C90" s="10" t="s">
        <v>146</v>
      </c>
    </row>
    <row r="91" spans="1:3" ht="15" customHeight="1" x14ac:dyDescent="0.25">
      <c r="A91" s="11">
        <v>20070025</v>
      </c>
      <c r="B91" s="12" t="s">
        <v>161</v>
      </c>
      <c r="C91" s="12" t="s">
        <v>146</v>
      </c>
    </row>
    <row r="92" spans="1:3" ht="15" customHeight="1" x14ac:dyDescent="0.25">
      <c r="A92" s="9">
        <v>20070016</v>
      </c>
      <c r="B92" s="10" t="s">
        <v>162</v>
      </c>
      <c r="C92" s="10" t="s">
        <v>146</v>
      </c>
    </row>
    <row r="93" spans="1:3" ht="15" customHeight="1" x14ac:dyDescent="0.25">
      <c r="A93" s="11">
        <v>20080001</v>
      </c>
      <c r="B93" s="12" t="s">
        <v>163</v>
      </c>
      <c r="C93" s="12" t="s">
        <v>163</v>
      </c>
    </row>
    <row r="94" spans="1:3" ht="15" customHeight="1" x14ac:dyDescent="0.25">
      <c r="A94" s="9">
        <v>20080034</v>
      </c>
      <c r="B94" s="10" t="s">
        <v>164</v>
      </c>
      <c r="C94" s="10" t="s">
        <v>163</v>
      </c>
    </row>
    <row r="95" spans="1:3" ht="15" customHeight="1" x14ac:dyDescent="0.25">
      <c r="A95" s="11">
        <v>20080008</v>
      </c>
      <c r="B95" s="12" t="s">
        <v>165</v>
      </c>
      <c r="C95" s="12" t="s">
        <v>163</v>
      </c>
    </row>
    <row r="96" spans="1:3" ht="15" customHeight="1" x14ac:dyDescent="0.25">
      <c r="A96" s="9">
        <v>20080006</v>
      </c>
      <c r="B96" s="10" t="s">
        <v>166</v>
      </c>
      <c r="C96" s="10" t="s">
        <v>163</v>
      </c>
    </row>
    <row r="97" spans="1:3" ht="15" customHeight="1" x14ac:dyDescent="0.25">
      <c r="A97" s="11">
        <v>20080025</v>
      </c>
      <c r="B97" s="12" t="s">
        <v>167</v>
      </c>
      <c r="C97" s="12" t="s">
        <v>163</v>
      </c>
    </row>
    <row r="98" spans="1:3" ht="15" customHeight="1" x14ac:dyDescent="0.25">
      <c r="A98" s="9">
        <v>20080047</v>
      </c>
      <c r="B98" s="10" t="s">
        <v>168</v>
      </c>
      <c r="C98" s="10" t="s">
        <v>163</v>
      </c>
    </row>
    <row r="99" spans="1:3" ht="15" customHeight="1" x14ac:dyDescent="0.25">
      <c r="A99" s="11">
        <v>20080043</v>
      </c>
      <c r="B99" s="12" t="s">
        <v>169</v>
      </c>
      <c r="C99" s="12" t="s">
        <v>163</v>
      </c>
    </row>
    <row r="100" spans="1:3" ht="15" customHeight="1" x14ac:dyDescent="0.25">
      <c r="A100" s="9">
        <v>20080026</v>
      </c>
      <c r="B100" s="10" t="s">
        <v>170</v>
      </c>
      <c r="C100" s="10" t="s">
        <v>163</v>
      </c>
    </row>
    <row r="101" spans="1:3" ht="15" customHeight="1" x14ac:dyDescent="0.25">
      <c r="A101" s="11">
        <v>20080049</v>
      </c>
      <c r="B101" s="12" t="s">
        <v>171</v>
      </c>
      <c r="C101" s="12" t="s">
        <v>163</v>
      </c>
    </row>
    <row r="102" spans="1:3" ht="15" customHeight="1" x14ac:dyDescent="0.25">
      <c r="A102" s="9">
        <v>20080030</v>
      </c>
      <c r="B102" s="10" t="s">
        <v>172</v>
      </c>
      <c r="C102" s="10" t="s">
        <v>163</v>
      </c>
    </row>
    <row r="103" spans="1:3" ht="15" customHeight="1" x14ac:dyDescent="0.25">
      <c r="A103" s="11">
        <v>20080009</v>
      </c>
      <c r="B103" s="12" t="s">
        <v>173</v>
      </c>
      <c r="C103" s="12" t="s">
        <v>163</v>
      </c>
    </row>
    <row r="104" spans="1:3" ht="15" customHeight="1" x14ac:dyDescent="0.25">
      <c r="A104" s="9">
        <v>20080039</v>
      </c>
      <c r="B104" s="10" t="s">
        <v>174</v>
      </c>
      <c r="C104" s="10" t="s">
        <v>163</v>
      </c>
    </row>
    <row r="105" spans="1:3" ht="15" customHeight="1" x14ac:dyDescent="0.25">
      <c r="A105" s="11">
        <v>20080002</v>
      </c>
      <c r="B105" s="12" t="s">
        <v>175</v>
      </c>
      <c r="C105" s="12" t="s">
        <v>163</v>
      </c>
    </row>
    <row r="106" spans="1:3" ht="15" customHeight="1" x14ac:dyDescent="0.25">
      <c r="A106" s="9">
        <v>20080010</v>
      </c>
      <c r="B106" s="10" t="s">
        <v>176</v>
      </c>
      <c r="C106" s="10" t="s">
        <v>163</v>
      </c>
    </row>
    <row r="107" spans="1:3" ht="15" customHeight="1" x14ac:dyDescent="0.25">
      <c r="A107" s="11">
        <v>20080050</v>
      </c>
      <c r="B107" s="12" t="s">
        <v>177</v>
      </c>
      <c r="C107" s="12" t="s">
        <v>163</v>
      </c>
    </row>
    <row r="108" spans="1:3" ht="15" customHeight="1" x14ac:dyDescent="0.25">
      <c r="A108" s="9">
        <v>20080041</v>
      </c>
      <c r="B108" s="10" t="s">
        <v>178</v>
      </c>
      <c r="C108" s="10" t="s">
        <v>163</v>
      </c>
    </row>
    <row r="109" spans="1:3" ht="15" customHeight="1" x14ac:dyDescent="0.25">
      <c r="A109" s="11">
        <v>20080046</v>
      </c>
      <c r="B109" s="12" t="s">
        <v>179</v>
      </c>
      <c r="C109" s="12" t="s">
        <v>163</v>
      </c>
    </row>
    <row r="110" spans="1:3" ht="15" customHeight="1" x14ac:dyDescent="0.25">
      <c r="A110" s="9">
        <v>20080007</v>
      </c>
      <c r="B110" s="10" t="s">
        <v>180</v>
      </c>
      <c r="C110" s="10" t="s">
        <v>163</v>
      </c>
    </row>
    <row r="111" spans="1:3" ht="15" customHeight="1" x14ac:dyDescent="0.25">
      <c r="A111" s="11">
        <v>20080004</v>
      </c>
      <c r="B111" s="12" t="s">
        <v>181</v>
      </c>
      <c r="C111" s="12" t="s">
        <v>163</v>
      </c>
    </row>
    <row r="112" spans="1:3" ht="15" customHeight="1" x14ac:dyDescent="0.25">
      <c r="A112" s="9">
        <v>20080036</v>
      </c>
      <c r="B112" s="10" t="s">
        <v>182</v>
      </c>
      <c r="C112" s="10" t="s">
        <v>163</v>
      </c>
    </row>
    <row r="113" spans="1:3" ht="15" customHeight="1" x14ac:dyDescent="0.25">
      <c r="A113" s="11">
        <v>20080027</v>
      </c>
      <c r="B113" s="12" t="s">
        <v>183</v>
      </c>
      <c r="C113" s="12" t="s">
        <v>163</v>
      </c>
    </row>
    <row r="114" spans="1:3" ht="15" customHeight="1" x14ac:dyDescent="0.25">
      <c r="A114" s="9">
        <v>20080028</v>
      </c>
      <c r="B114" s="10" t="s">
        <v>184</v>
      </c>
      <c r="C114" s="10" t="s">
        <v>163</v>
      </c>
    </row>
    <row r="115" spans="1:3" ht="15" customHeight="1" x14ac:dyDescent="0.25">
      <c r="A115" s="11">
        <v>20080005</v>
      </c>
      <c r="B115" s="12" t="s">
        <v>185</v>
      </c>
      <c r="C115" s="12" t="s">
        <v>163</v>
      </c>
    </row>
    <row r="116" spans="1:3" ht="15" customHeight="1" x14ac:dyDescent="0.25">
      <c r="A116" s="9">
        <v>20080014</v>
      </c>
      <c r="B116" s="10" t="s">
        <v>186</v>
      </c>
      <c r="C116" s="10" t="s">
        <v>163</v>
      </c>
    </row>
    <row r="117" spans="1:3" ht="15" customHeight="1" x14ac:dyDescent="0.25">
      <c r="A117" s="11">
        <v>20090002</v>
      </c>
      <c r="B117" s="12" t="s">
        <v>187</v>
      </c>
      <c r="C117" s="12" t="s">
        <v>44</v>
      </c>
    </row>
    <row r="118" spans="1:3" ht="15" customHeight="1" x14ac:dyDescent="0.25">
      <c r="A118" s="9">
        <v>20090025</v>
      </c>
      <c r="B118" s="10" t="s">
        <v>188</v>
      </c>
      <c r="C118" s="10" t="s">
        <v>44</v>
      </c>
    </row>
    <row r="119" spans="1:3" ht="15" customHeight="1" x14ac:dyDescent="0.25">
      <c r="A119" s="11">
        <v>20090008</v>
      </c>
      <c r="B119" s="12" t="s">
        <v>50</v>
      </c>
      <c r="C119" s="12" t="s">
        <v>44</v>
      </c>
    </row>
    <row r="120" spans="1:3" ht="15" customHeight="1" x14ac:dyDescent="0.25">
      <c r="A120" s="9">
        <v>20010053</v>
      </c>
      <c r="B120" s="10" t="s">
        <v>189</v>
      </c>
      <c r="C120" s="10" t="s">
        <v>44</v>
      </c>
    </row>
    <row r="121" spans="1:3" ht="15" customHeight="1" x14ac:dyDescent="0.25">
      <c r="A121" s="11">
        <v>20090004</v>
      </c>
      <c r="B121" s="12" t="s">
        <v>190</v>
      </c>
      <c r="C121" s="12" t="s">
        <v>44</v>
      </c>
    </row>
    <row r="122" spans="1:3" ht="15" customHeight="1" x14ac:dyDescent="0.25">
      <c r="A122" s="9">
        <v>20010054</v>
      </c>
      <c r="B122" s="10" t="s">
        <v>54</v>
      </c>
      <c r="C122" s="10" t="s">
        <v>44</v>
      </c>
    </row>
    <row r="123" spans="1:3" ht="15" customHeight="1" x14ac:dyDescent="0.25">
      <c r="A123" s="11">
        <v>20090026</v>
      </c>
      <c r="B123" s="12" t="s">
        <v>191</v>
      </c>
      <c r="C123" s="12" t="s">
        <v>44</v>
      </c>
    </row>
    <row r="124" spans="1:3" ht="15" customHeight="1" x14ac:dyDescent="0.25">
      <c r="A124" s="9">
        <v>20090001</v>
      </c>
      <c r="B124" s="10" t="s">
        <v>44</v>
      </c>
      <c r="C124" s="10" t="s">
        <v>44</v>
      </c>
    </row>
    <row r="125" spans="1:3" ht="15" customHeight="1" x14ac:dyDescent="0.25">
      <c r="A125" s="11">
        <v>20090003</v>
      </c>
      <c r="B125" s="12" t="s">
        <v>192</v>
      </c>
      <c r="C125" s="12" t="s">
        <v>44</v>
      </c>
    </row>
    <row r="126" spans="1:3" ht="15" customHeight="1" x14ac:dyDescent="0.25">
      <c r="A126" s="9">
        <v>20090028</v>
      </c>
      <c r="B126" s="10" t="s">
        <v>193</v>
      </c>
      <c r="C126" s="10" t="s">
        <v>44</v>
      </c>
    </row>
    <row r="127" spans="1:3" ht="15" customHeight="1" x14ac:dyDescent="0.25">
      <c r="A127" s="11">
        <v>20090014</v>
      </c>
      <c r="B127" s="12" t="s">
        <v>194</v>
      </c>
      <c r="C127" s="12" t="s">
        <v>44</v>
      </c>
    </row>
    <row r="128" spans="1:3" ht="15" customHeight="1" x14ac:dyDescent="0.25">
      <c r="A128" s="9">
        <v>20090015</v>
      </c>
      <c r="B128" s="10" t="s">
        <v>42</v>
      </c>
      <c r="C128" s="10" t="s">
        <v>44</v>
      </c>
    </row>
    <row r="129" spans="1:3" ht="15" customHeight="1" x14ac:dyDescent="0.25">
      <c r="A129" s="11">
        <v>20090020</v>
      </c>
      <c r="B129" s="12" t="s">
        <v>52</v>
      </c>
      <c r="C129" s="12" t="s">
        <v>44</v>
      </c>
    </row>
    <row r="130" spans="1:3" ht="15" customHeight="1" x14ac:dyDescent="0.25">
      <c r="A130" s="9">
        <v>20090011</v>
      </c>
      <c r="B130" s="10" t="s">
        <v>195</v>
      </c>
      <c r="C130" s="10" t="s">
        <v>44</v>
      </c>
    </row>
    <row r="131" spans="1:3" ht="15" customHeight="1" x14ac:dyDescent="0.25">
      <c r="A131" s="11">
        <v>20090022</v>
      </c>
      <c r="B131" s="12" t="s">
        <v>196</v>
      </c>
      <c r="C131" s="12" t="s">
        <v>44</v>
      </c>
    </row>
    <row r="132" spans="1:3" ht="15" customHeight="1" x14ac:dyDescent="0.25">
      <c r="A132" s="9">
        <v>20090013</v>
      </c>
      <c r="B132" s="10" t="s">
        <v>197</v>
      </c>
      <c r="C132" s="10" t="s">
        <v>44</v>
      </c>
    </row>
    <row r="133" spans="1:3" ht="15" customHeight="1" x14ac:dyDescent="0.25">
      <c r="A133" s="11">
        <v>20090023</v>
      </c>
      <c r="B133" s="12" t="s">
        <v>198</v>
      </c>
      <c r="C133" s="12" t="s">
        <v>44</v>
      </c>
    </row>
    <row r="134" spans="1:3" ht="15" customHeight="1" x14ac:dyDescent="0.25">
      <c r="A134" s="9">
        <v>20090017</v>
      </c>
      <c r="B134" s="10" t="s">
        <v>46</v>
      </c>
      <c r="C134" s="10" t="s">
        <v>44</v>
      </c>
    </row>
    <row r="135" spans="1:3" ht="15" customHeight="1" x14ac:dyDescent="0.25">
      <c r="A135" s="11">
        <v>20090010</v>
      </c>
      <c r="B135" s="12" t="s">
        <v>199</v>
      </c>
      <c r="C135" s="12" t="s">
        <v>44</v>
      </c>
    </row>
    <row r="136" spans="1:3" ht="15" customHeight="1" x14ac:dyDescent="0.25">
      <c r="A136" s="9">
        <v>20090006</v>
      </c>
      <c r="B136" s="10" t="s">
        <v>200</v>
      </c>
      <c r="C136" s="10" t="s">
        <v>44</v>
      </c>
    </row>
    <row r="137" spans="1:3" ht="15" customHeight="1" x14ac:dyDescent="0.25">
      <c r="A137" s="11">
        <v>20090012</v>
      </c>
      <c r="B137" s="12" t="s">
        <v>201</v>
      </c>
      <c r="C137" s="12" t="s">
        <v>44</v>
      </c>
    </row>
    <row r="138" spans="1:3" ht="15" customHeight="1" x14ac:dyDescent="0.25">
      <c r="A138" s="9">
        <v>20090021</v>
      </c>
      <c r="B138" s="10" t="s">
        <v>202</v>
      </c>
      <c r="C138" s="10" t="s">
        <v>44</v>
      </c>
    </row>
    <row r="139" spans="1:3" ht="15" customHeight="1" x14ac:dyDescent="0.25">
      <c r="A139" s="11">
        <v>20090019</v>
      </c>
      <c r="B139" s="12" t="s">
        <v>203</v>
      </c>
      <c r="C139" s="12" t="s">
        <v>44</v>
      </c>
    </row>
    <row r="140" spans="1:3" ht="15" customHeight="1" x14ac:dyDescent="0.25">
      <c r="A140" s="9">
        <v>20090018</v>
      </c>
      <c r="B140" s="10" t="s">
        <v>204</v>
      </c>
      <c r="C140" s="10" t="s">
        <v>44</v>
      </c>
    </row>
    <row r="141" spans="1:3" ht="15" customHeight="1" x14ac:dyDescent="0.25">
      <c r="A141" s="11">
        <v>20100001</v>
      </c>
      <c r="B141" s="12" t="s">
        <v>205</v>
      </c>
      <c r="C141" s="13" t="s">
        <v>206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 x14ac:dyDescent="0.2"/>
  <cols>
    <col min="1" max="1" width="18.140625" customWidth="1"/>
  </cols>
  <sheetData>
    <row r="1" spans="1:3" ht="22.5" customHeight="1" x14ac:dyDescent="0.2">
      <c r="A1" s="14" t="s">
        <v>207</v>
      </c>
      <c r="B1" s="14" t="s">
        <v>208</v>
      </c>
      <c r="C1" s="14" t="s">
        <v>209</v>
      </c>
    </row>
    <row r="2" spans="1:3" ht="22.5" customHeight="1" x14ac:dyDescent="0.2">
      <c r="A2" s="15" t="s">
        <v>19</v>
      </c>
      <c r="B2" s="16" t="s">
        <v>210</v>
      </c>
      <c r="C2" s="17">
        <v>1250</v>
      </c>
    </row>
    <row r="3" spans="1:3" ht="22.5" customHeight="1" x14ac:dyDescent="0.2">
      <c r="A3" s="15" t="s">
        <v>211</v>
      </c>
      <c r="B3" s="18" t="s">
        <v>210</v>
      </c>
      <c r="C3" s="19">
        <v>1400</v>
      </c>
    </row>
    <row r="4" spans="1:3" ht="22.5" customHeight="1" x14ac:dyDescent="0.2">
      <c r="A4" s="20"/>
      <c r="B4" s="21"/>
      <c r="C4" s="22"/>
    </row>
    <row r="5" spans="1:3" ht="22.5" customHeight="1" x14ac:dyDescent="0.2">
      <c r="A5" s="23"/>
      <c r="B5" s="24"/>
      <c r="C5" s="2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Indent</vt:lpstr>
      <vt:lpstr>MPG Master</vt:lpstr>
      <vt:lpstr>Item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</dc:creator>
  <cp:lastModifiedBy>RAHUL PANDIT</cp:lastModifiedBy>
  <dcterms:created xsi:type="dcterms:W3CDTF">2026-06-01T11:06:55Z</dcterms:created>
  <dcterms:modified xsi:type="dcterms:W3CDTF">2026-06-09T10:32:06Z</dcterms:modified>
</cp:coreProperties>
</file>