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Collection Data\"/>
    </mc:Choice>
  </mc:AlternateContent>
  <xr:revisionPtr revIDLastSave="0" documentId="13_ncr:1_{294F33B3-A572-4D30-8162-27EADA18D223}" xr6:coauthVersionLast="47" xr6:coauthVersionMax="47" xr10:uidLastSave="{00000000-0000-0000-0000-000000000000}"/>
  <bookViews>
    <workbookView xWindow="-120" yWindow="-120" windowWidth="29040" windowHeight="15720" xr2:uid="{1FBEFC1D-3578-48B0-A762-185FC529F625}"/>
  </bookViews>
  <sheets>
    <sheet name="Sheet2" sheetId="2" r:id="rId1"/>
    <sheet name="Sheet1" sheetId="1" r:id="rId2"/>
  </sheets>
  <calcPr calcId="191029"/>
  <pivotCaches>
    <pivotCache cacheId="5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<sst xmlns="http://schemas.openxmlformats.org/spreadsheetml/2006/main" count="93" uniqueCount="52">
  <si>
    <t>Timestamp</t>
  </si>
  <si>
    <t>User Name</t>
  </si>
  <si>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</si>
  <si>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</si>
  <si>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</si>
  <si>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</si>
  <si>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</si>
  <si>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</si>
  <si>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</si>
  <si>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</si>
  <si>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</si>
  <si>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</si>
  <si>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</si>
  <si>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</si>
  <si>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</si>
  <si>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</si>
  <si>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</si>
  <si>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</si>
  <si>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</si>
  <si>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</si>
  <si>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</si>
  <si>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Self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</si>
  <si>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</si>
  <si>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</si>
  <si>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</si>
  <si>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</si>
  <si>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</si>
  <si>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</si>
  <si>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</si>
  <si>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Satendra kumar</t>
  </si>
  <si>
    <t>Chuttu</t>
  </si>
  <si>
    <t>ADELHATU</t>
  </si>
  <si>
    <t>ORMANJHI</t>
  </si>
  <si>
    <t>12-18 June &amp; 19-25 June</t>
  </si>
  <si>
    <t>18-Jun-2026/25-6-2026</t>
  </si>
  <si>
    <t>Puja Kumari</t>
  </si>
  <si>
    <t>Pali</t>
  </si>
  <si>
    <t>Baski 2</t>
  </si>
  <si>
    <t>Paali</t>
  </si>
  <si>
    <t>19-25 June</t>
  </si>
  <si>
    <t>Jari</t>
  </si>
  <si>
    <t>GARRI</t>
  </si>
  <si>
    <t>BOREYA</t>
  </si>
  <si>
    <t>Itki</t>
  </si>
  <si>
    <t>Ningani</t>
  </si>
  <si>
    <t>SITHIO</t>
  </si>
  <si>
    <t>CHATTI BHANDRA</t>
  </si>
  <si>
    <t>Bero</t>
  </si>
  <si>
    <t>DIGHIYA</t>
  </si>
  <si>
    <t>Row Labels</t>
  </si>
  <si>
    <t>Grand Total</t>
  </si>
  <si>
    <t>Sum of Balance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</si>
</sst>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d&quot;-&quot;mmm&quot;-&quot;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485231481478" createdVersion="8" refreshedVersion="8" minRefreshableVersion="3" recordCount="8" xr:uid="{06AE708A-4881-4B8F-8239-75723C3D8981}">
  <cacheSource type="worksheet">
    <worksheetSource ref="C1:U9" sheet="Sheet1"/>
  </cacheSource>
  <cacheFields count="19">
    <cacheField name="Sales Date" numFmtId="165">
      <sharedItems containsSemiMixedTypes="0" containsNonDate="0" containsDate="1" containsString="0" minDate="2026-03-06T00:00:00" maxDate="2026-06-19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10015" maxValue="20090003" count="8">
        <n v="20090003"/>
        <n v="20060008"/>
        <n v="20050001"/>
        <n v="20020002"/>
        <n v="20020027"/>
        <n v="20010015"/>
        <n v="20080018"/>
        <n v="20010017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4245"/>
    </cacheField>
    <cacheField name="Qty" numFmtId="0">
      <sharedItems containsSemiMixedTypes="0" containsString="0" containsNumber="1" containsInteger="1" minValue="2" maxValue="10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2540" maxValue="127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3-05T00:00:00" maxDate="2026-06-26T00:00:00"/>
    </cacheField>
    <cacheField name="Payment Amount" numFmtId="0">
      <sharedItems containsString="0" containsBlank="1" containsNumber="1" containsInteger="1" minValue="2196" maxValue="9956"/>
    </cacheField>
    <cacheField name="Balance Due" numFmtId="0">
      <sharedItems containsSemiMixedTypes="0" containsString="0" containsNumber="1" containsInteger="1" minValue="1270" maxValue="127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8" maxValue="1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6-03-06T00:00:00"/>
    <s v="Chanho"/>
    <s v="Gomukh Gold 50KG"/>
    <s v="Bag"/>
    <x v="0"/>
    <s v="Naudi"/>
    <s v="Chanho"/>
    <s v="Daya Society"/>
    <m/>
    <n v="10"/>
    <n v="1250"/>
    <n v="12500"/>
    <s v="Farmer Payment"/>
    <s v="27 Feb - 05 Mar &amp; 06-12 Mar 13-19 Mar 20-26 Mar, 27-31 Mar"/>
    <d v="2026-03-05T00:00:00"/>
    <n v="9956"/>
    <n v="2544"/>
    <m/>
    <n v="122"/>
  </r>
  <r>
    <d v="2026-06-13T00:00:00"/>
    <s v="Chuttu"/>
    <s v="Gomukh Gold 50KG"/>
    <s v="Bag"/>
    <x v="1"/>
    <s v="ADELHATU"/>
    <s v="ORMANJHI"/>
    <s v="Daya Society"/>
    <n v="0"/>
    <n v="10"/>
    <n v="1270"/>
    <n v="12700"/>
    <s v="Farmer Payment"/>
    <s v="12-18 June &amp; 19-25 June"/>
    <s v="18-Jun-2026/25-6-2026"/>
    <n v="2196"/>
    <n v="10504"/>
    <m/>
    <n v="23"/>
  </r>
  <r>
    <d v="2026-06-17T00:00:00"/>
    <s v="Pali"/>
    <s v="Gomukh Gold 50KG"/>
    <s v="Bag"/>
    <x v="2"/>
    <s v="Baski 2"/>
    <s v="Paali"/>
    <s v="Daya Society"/>
    <n v="4240"/>
    <n v="5"/>
    <n v="1270"/>
    <n v="6350"/>
    <s v="Farmer Payment"/>
    <s v="19-25 June"/>
    <d v="2026-06-25T00:00:00"/>
    <n v="5080"/>
    <n v="1270"/>
    <m/>
    <n v="19"/>
  </r>
  <r>
    <d v="2026-06-18T00:00:00"/>
    <s v="Pali"/>
    <s v="Gomukh Gold 50KG"/>
    <s v="Bag"/>
    <x v="3"/>
    <s v="Jari"/>
    <s v="Paali"/>
    <s v="Daya Society"/>
    <n v="4242"/>
    <n v="5"/>
    <n v="1270"/>
    <n v="6350"/>
    <s v="Farmer Payment"/>
    <s v="12-18 June &amp; 19-25 June"/>
    <s v="18-Jun-2026/25-6-2026"/>
    <n v="4294"/>
    <n v="2056"/>
    <m/>
    <n v="18"/>
  </r>
  <r>
    <d v="2026-06-18T00:00:00"/>
    <s v="Pali"/>
    <s v="Gomukh Gold 50KG"/>
    <s v="Bag"/>
    <x v="4"/>
    <s v="GARRI"/>
    <s v="Paali"/>
    <s v="Daya Society"/>
    <n v="4244"/>
    <n v="2"/>
    <n v="1270"/>
    <n v="2540"/>
    <m/>
    <m/>
    <m/>
    <m/>
    <n v="2540"/>
    <m/>
    <n v="18"/>
  </r>
  <r>
    <d v="2026-06-18T00:00:00"/>
    <s v="Pali"/>
    <s v="Gomukh Gold 50KG"/>
    <s v="Bag"/>
    <x v="5"/>
    <s v="BOREYA"/>
    <s v="Itki"/>
    <s v="Daya Society"/>
    <n v="4245"/>
    <n v="10"/>
    <n v="1270"/>
    <n v="12700"/>
    <m/>
    <m/>
    <m/>
    <m/>
    <n v="12700"/>
    <m/>
    <n v="18"/>
  </r>
  <r>
    <d v="2026-06-15T00:00:00"/>
    <s v="Ningani"/>
    <s v="Gomukh Gold 50KG"/>
    <s v="Bag"/>
    <x v="6"/>
    <s v="SITHIO"/>
    <s v="CHATTI BHANDRA"/>
    <s v="Daya Society"/>
    <n v="0"/>
    <n v="10"/>
    <n v="1270"/>
    <n v="12700"/>
    <m/>
    <m/>
    <m/>
    <m/>
    <n v="12700"/>
    <m/>
    <n v="21"/>
  </r>
  <r>
    <d v="2026-06-16T00:00:00"/>
    <s v="Bero"/>
    <s v="Gomukh Gold 50KG"/>
    <s v="Bag"/>
    <x v="7"/>
    <s v="DIGHIYA"/>
    <s v="Itki"/>
    <s v="Daya Society"/>
    <n v="0"/>
    <n v="4"/>
    <n v="1270"/>
    <n v="5080"/>
    <m/>
    <m/>
    <m/>
    <m/>
    <n v="5080"/>
    <m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D5C29-39B1-440B-813B-A49EDA872F8E}" name="PivotTable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9">
    <pivotField numFmtId="165" showAll="0"/>
    <pivotField showAll="0"/>
    <pivotField showAll="0"/>
    <pivotField showAll="0"/>
    <pivotField axis="axisRow" showAll="0">
      <items count="9">
        <item x="5"/>
        <item x="7"/>
        <item x="3"/>
        <item x="4"/>
        <item x="2"/>
        <item x="1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0D82-1E64-42C7-9E6D-0720DDE4541E}">
  <dimension ref="A3:G12"/>
  <sheetViews>
    <sheetView tabSelected="1" workbookViewId="0">
      <selection activeCell="O20" sqref="O20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7" x14ac:dyDescent="0.25">
      <c r="A3" s="10" t="s">
        <v>49</v>
      </c>
      <c r="B3" t="s">
        <v>51</v>
      </c>
      <c r="F3" t="s">
        <v>49</v>
      </c>
      <c r="G3" t="s">
        <v>51</v>
      </c>
    </row>
    <row r="4" spans="1:7" x14ac:dyDescent="0.25">
      <c r="A4" s="11">
        <v>20010015</v>
      </c>
      <c r="B4" s="12">
        <v>12700</v>
      </c>
      <c r="F4">
        <v>20010015</v>
      </c>
      <c r="G4">
        <v>12700</v>
      </c>
    </row>
    <row r="5" spans="1:7" x14ac:dyDescent="0.25">
      <c r="A5" s="11">
        <v>20010017</v>
      </c>
      <c r="B5" s="12">
        <v>5080</v>
      </c>
      <c r="F5">
        <v>20010017</v>
      </c>
      <c r="G5">
        <v>5080</v>
      </c>
    </row>
    <row r="6" spans="1:7" x14ac:dyDescent="0.25">
      <c r="A6" s="11">
        <v>20020002</v>
      </c>
      <c r="B6" s="12">
        <v>2056</v>
      </c>
      <c r="F6">
        <v>20020002</v>
      </c>
      <c r="G6">
        <v>2056</v>
      </c>
    </row>
    <row r="7" spans="1:7" x14ac:dyDescent="0.25">
      <c r="A7" s="11">
        <v>20020027</v>
      </c>
      <c r="B7" s="12">
        <v>2540</v>
      </c>
      <c r="F7">
        <v>20020027</v>
      </c>
      <c r="G7">
        <v>2540</v>
      </c>
    </row>
    <row r="8" spans="1:7" x14ac:dyDescent="0.25">
      <c r="A8" s="11">
        <v>20050001</v>
      </c>
      <c r="B8" s="12">
        <v>1270</v>
      </c>
      <c r="F8">
        <v>20050001</v>
      </c>
      <c r="G8">
        <v>1270</v>
      </c>
    </row>
    <row r="9" spans="1:7" x14ac:dyDescent="0.25">
      <c r="A9" s="11">
        <v>20060008</v>
      </c>
      <c r="B9" s="12">
        <v>10504</v>
      </c>
      <c r="F9">
        <v>20060008</v>
      </c>
      <c r="G9">
        <v>10504</v>
      </c>
    </row>
    <row r="10" spans="1:7" x14ac:dyDescent="0.25">
      <c r="A10" s="11">
        <v>20080018</v>
      </c>
      <c r="B10" s="12">
        <v>12700</v>
      </c>
      <c r="F10">
        <v>20080018</v>
      </c>
      <c r="G10">
        <v>12700</v>
      </c>
    </row>
    <row r="11" spans="1:7" x14ac:dyDescent="0.25">
      <c r="A11" s="11">
        <v>20090003</v>
      </c>
      <c r="B11" s="12">
        <v>2544</v>
      </c>
      <c r="F11">
        <v>20090003</v>
      </c>
      <c r="G11">
        <v>2544</v>
      </c>
    </row>
    <row r="12" spans="1:7" x14ac:dyDescent="0.25">
      <c r="A12" s="11" t="s">
        <v>50</v>
      </c>
      <c r="B12" s="12">
        <v>49394</v>
      </c>
      <c r="F12" t="s">
        <v>50</v>
      </c>
      <c r="G12">
        <v>49394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8251-7DE7-4B08-BE42-09135BC9E4A0}">
  <dimension ref="A1:U9"/>
  <sheetViews>
    <sheetView topLeftCell="C1" workbookViewId="0">
      <selection activeCell="G2" sqref="G2:G9"/>
    </sheetView>
  </sheetViews>
  <sheetFormatPr defaultRowHeight="15" x14ac:dyDescent="0.25"/>
  <cols>
    <col min="1" max="1" width="17.28515625" hidden="1" customWidth="1"/>
    <col min="2" max="2" width="14" hidden="1" customWidth="1"/>
    <col min="3" max="3" width="11.28515625" bestFit="1" customWidth="1"/>
    <col min="5" max="5" width="17.28515625" bestFit="1" customWidth="1"/>
    <col min="7" max="7" width="10.140625" bestFit="1" customWidth="1"/>
    <col min="8" max="8" width="10.7109375" bestFit="1" customWidth="1"/>
    <col min="9" max="9" width="16.7109375" bestFit="1" customWidth="1"/>
    <col min="10" max="10" width="12" hidden="1" customWidth="1"/>
    <col min="15" max="17" width="0" hidden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5"/>
      <c r="B2" s="6" t="s">
        <v>21</v>
      </c>
      <c r="C2" s="7">
        <v>46087</v>
      </c>
      <c r="D2" s="6" t="s">
        <v>22</v>
      </c>
      <c r="E2" s="6" t="s">
        <v>23</v>
      </c>
      <c r="F2" s="6" t="s">
        <v>24</v>
      </c>
      <c r="G2" s="6">
        <v>20090003</v>
      </c>
      <c r="H2" s="6" t="s">
        <v>25</v>
      </c>
      <c r="I2" s="6" t="s">
        <v>22</v>
      </c>
      <c r="J2" s="6" t="s">
        <v>26</v>
      </c>
      <c r="K2" s="6"/>
      <c r="L2" s="6">
        <v>10</v>
      </c>
      <c r="M2" s="8">
        <v>1250</v>
      </c>
      <c r="N2" s="6">
        <v>12500</v>
      </c>
      <c r="O2" s="6" t="s">
        <v>27</v>
      </c>
      <c r="P2" s="6" t="s">
        <v>28</v>
      </c>
      <c r="Q2" s="7">
        <v>46086</v>
      </c>
      <c r="R2" s="6">
        <v>9956</v>
      </c>
      <c r="S2" s="6">
        <v>2544</v>
      </c>
      <c r="T2" s="6"/>
      <c r="U2" s="6">
        <v>122</v>
      </c>
    </row>
    <row r="3" spans="1:21" x14ac:dyDescent="0.25">
      <c r="A3" s="5">
        <v>46191.711595601853</v>
      </c>
      <c r="B3" s="6" t="s">
        <v>29</v>
      </c>
      <c r="C3" s="7">
        <v>46186</v>
      </c>
      <c r="D3" s="6" t="s">
        <v>30</v>
      </c>
      <c r="E3" s="6" t="s">
        <v>23</v>
      </c>
      <c r="F3" s="6" t="s">
        <v>24</v>
      </c>
      <c r="G3" s="6">
        <v>20060008</v>
      </c>
      <c r="H3" s="6" t="s">
        <v>31</v>
      </c>
      <c r="I3" s="6" t="s">
        <v>32</v>
      </c>
      <c r="J3" s="6" t="s">
        <v>26</v>
      </c>
      <c r="K3" s="6">
        <v>0</v>
      </c>
      <c r="L3" s="6">
        <v>10</v>
      </c>
      <c r="M3" s="8">
        <v>1270</v>
      </c>
      <c r="N3" s="6">
        <v>12700</v>
      </c>
      <c r="O3" s="6" t="s">
        <v>27</v>
      </c>
      <c r="P3" s="9" t="s">
        <v>33</v>
      </c>
      <c r="Q3" s="6" t="s">
        <v>34</v>
      </c>
      <c r="R3" s="6">
        <v>2196</v>
      </c>
      <c r="S3" s="6">
        <v>10504</v>
      </c>
      <c r="T3" s="6"/>
      <c r="U3" s="6">
        <v>23</v>
      </c>
    </row>
    <row r="4" spans="1:21" x14ac:dyDescent="0.25">
      <c r="A4" s="5">
        <v>46192.417560092596</v>
      </c>
      <c r="B4" s="6" t="s">
        <v>35</v>
      </c>
      <c r="C4" s="7">
        <v>46190</v>
      </c>
      <c r="D4" s="6" t="s">
        <v>36</v>
      </c>
      <c r="E4" s="6" t="s">
        <v>23</v>
      </c>
      <c r="F4" s="6" t="s">
        <v>24</v>
      </c>
      <c r="G4" s="6">
        <v>20050001</v>
      </c>
      <c r="H4" s="6" t="s">
        <v>37</v>
      </c>
      <c r="I4" s="6" t="s">
        <v>38</v>
      </c>
      <c r="J4" s="6" t="s">
        <v>26</v>
      </c>
      <c r="K4" s="6">
        <v>4240</v>
      </c>
      <c r="L4" s="6">
        <v>5</v>
      </c>
      <c r="M4" s="8">
        <v>1270</v>
      </c>
      <c r="N4" s="6">
        <v>6350</v>
      </c>
      <c r="O4" s="6" t="s">
        <v>27</v>
      </c>
      <c r="P4" s="9" t="s">
        <v>39</v>
      </c>
      <c r="Q4" s="7">
        <v>46198</v>
      </c>
      <c r="R4" s="6">
        <v>5080</v>
      </c>
      <c r="S4" s="6">
        <v>1270</v>
      </c>
      <c r="T4" s="6"/>
      <c r="U4" s="6">
        <v>19</v>
      </c>
    </row>
    <row r="5" spans="1:21" x14ac:dyDescent="0.25">
      <c r="A5" s="5">
        <v>46192.428420925928</v>
      </c>
      <c r="B5" s="6" t="s">
        <v>35</v>
      </c>
      <c r="C5" s="7">
        <v>46191</v>
      </c>
      <c r="D5" s="6" t="s">
        <v>36</v>
      </c>
      <c r="E5" s="6" t="s">
        <v>23</v>
      </c>
      <c r="F5" s="6" t="s">
        <v>24</v>
      </c>
      <c r="G5" s="6">
        <v>20020002</v>
      </c>
      <c r="H5" s="6" t="s">
        <v>40</v>
      </c>
      <c r="I5" s="6" t="s">
        <v>38</v>
      </c>
      <c r="J5" s="6" t="s">
        <v>26</v>
      </c>
      <c r="K5" s="6">
        <v>4242</v>
      </c>
      <c r="L5" s="6">
        <v>5</v>
      </c>
      <c r="M5" s="8">
        <v>1270</v>
      </c>
      <c r="N5" s="6">
        <v>6350</v>
      </c>
      <c r="O5" s="6" t="s">
        <v>27</v>
      </c>
      <c r="P5" s="9" t="s">
        <v>33</v>
      </c>
      <c r="Q5" s="6" t="s">
        <v>34</v>
      </c>
      <c r="R5" s="6">
        <v>4294</v>
      </c>
      <c r="S5" s="6">
        <v>2056</v>
      </c>
      <c r="T5" s="6"/>
      <c r="U5" s="6">
        <v>18</v>
      </c>
    </row>
    <row r="6" spans="1:21" x14ac:dyDescent="0.25">
      <c r="A6" s="5">
        <v>46192.433499386578</v>
      </c>
      <c r="B6" s="6" t="s">
        <v>35</v>
      </c>
      <c r="C6" s="7">
        <v>46191</v>
      </c>
      <c r="D6" s="6" t="s">
        <v>36</v>
      </c>
      <c r="E6" s="6" t="s">
        <v>23</v>
      </c>
      <c r="F6" s="6" t="s">
        <v>24</v>
      </c>
      <c r="G6" s="6">
        <v>20020027</v>
      </c>
      <c r="H6" s="6" t="s">
        <v>41</v>
      </c>
      <c r="I6" s="6" t="s">
        <v>38</v>
      </c>
      <c r="J6" s="6" t="s">
        <v>26</v>
      </c>
      <c r="K6" s="6">
        <v>4244</v>
      </c>
      <c r="L6" s="6">
        <v>2</v>
      </c>
      <c r="M6" s="8">
        <v>1270</v>
      </c>
      <c r="N6" s="6">
        <v>2540</v>
      </c>
      <c r="O6" s="6"/>
      <c r="P6" s="9"/>
      <c r="Q6" s="7"/>
      <c r="R6" s="6"/>
      <c r="S6" s="6">
        <v>2540</v>
      </c>
      <c r="T6" s="6"/>
      <c r="U6" s="6">
        <v>18</v>
      </c>
    </row>
    <row r="7" spans="1:21" x14ac:dyDescent="0.25">
      <c r="A7" s="5">
        <v>46192.434443344908</v>
      </c>
      <c r="B7" s="6" t="s">
        <v>35</v>
      </c>
      <c r="C7" s="7">
        <v>46191</v>
      </c>
      <c r="D7" s="6" t="s">
        <v>36</v>
      </c>
      <c r="E7" s="6" t="s">
        <v>23</v>
      </c>
      <c r="F7" s="6" t="s">
        <v>24</v>
      </c>
      <c r="G7" s="6">
        <v>20010015</v>
      </c>
      <c r="H7" s="6" t="s">
        <v>42</v>
      </c>
      <c r="I7" s="6" t="s">
        <v>43</v>
      </c>
      <c r="J7" s="6" t="s">
        <v>26</v>
      </c>
      <c r="K7" s="6">
        <v>4245</v>
      </c>
      <c r="L7" s="6">
        <v>10</v>
      </c>
      <c r="M7" s="8">
        <v>1270</v>
      </c>
      <c r="N7" s="6">
        <v>12700</v>
      </c>
      <c r="O7" s="6"/>
      <c r="P7" s="9"/>
      <c r="Q7" s="7"/>
      <c r="R7" s="6"/>
      <c r="S7" s="6">
        <v>12700</v>
      </c>
      <c r="T7" s="6"/>
      <c r="U7" s="6">
        <v>18</v>
      </c>
    </row>
    <row r="8" spans="1:21" x14ac:dyDescent="0.25">
      <c r="A8" s="5">
        <v>46192.534349733796</v>
      </c>
      <c r="B8" s="6" t="s">
        <v>35</v>
      </c>
      <c r="C8" s="7">
        <v>46188</v>
      </c>
      <c r="D8" s="6" t="s">
        <v>44</v>
      </c>
      <c r="E8" s="6" t="s">
        <v>23</v>
      </c>
      <c r="F8" s="6" t="s">
        <v>24</v>
      </c>
      <c r="G8" s="6">
        <v>20080018</v>
      </c>
      <c r="H8" s="6" t="s">
        <v>45</v>
      </c>
      <c r="I8" s="6" t="s">
        <v>46</v>
      </c>
      <c r="J8" s="6" t="s">
        <v>26</v>
      </c>
      <c r="K8" s="6">
        <v>0</v>
      </c>
      <c r="L8" s="6">
        <v>10</v>
      </c>
      <c r="M8" s="8">
        <v>1270</v>
      </c>
      <c r="N8" s="6">
        <v>12700</v>
      </c>
      <c r="O8" s="6"/>
      <c r="P8" s="9"/>
      <c r="Q8" s="7"/>
      <c r="R8" s="6"/>
      <c r="S8" s="6">
        <v>12700</v>
      </c>
      <c r="T8" s="6"/>
      <c r="U8" s="6">
        <v>21</v>
      </c>
    </row>
    <row r="9" spans="1:21" x14ac:dyDescent="0.25">
      <c r="A9" s="5">
        <v>46205.261591597227</v>
      </c>
      <c r="B9" s="6" t="s">
        <v>29</v>
      </c>
      <c r="C9" s="7">
        <v>46189</v>
      </c>
      <c r="D9" s="6" t="s">
        <v>47</v>
      </c>
      <c r="E9" s="6" t="s">
        <v>23</v>
      </c>
      <c r="F9" s="6" t="s">
        <v>24</v>
      </c>
      <c r="G9" s="6">
        <v>20010017</v>
      </c>
      <c r="H9" s="6" t="s">
        <v>48</v>
      </c>
      <c r="I9" s="6" t="s">
        <v>43</v>
      </c>
      <c r="J9" s="6" t="s">
        <v>26</v>
      </c>
      <c r="K9" s="6">
        <v>0</v>
      </c>
      <c r="L9" s="6">
        <v>4</v>
      </c>
      <c r="M9" s="8">
        <v>1270</v>
      </c>
      <c r="N9" s="6">
        <v>5080</v>
      </c>
      <c r="O9" s="6"/>
      <c r="P9" s="9"/>
      <c r="Q9" s="7"/>
      <c r="R9" s="6"/>
      <c r="S9" s="6">
        <v>5080</v>
      </c>
      <c r="T9" s="6"/>
      <c r="U9" s="6">
        <v>20</v>
      </c>
    </row>
  </sheetData>
  <dataValidations count="2">
    <dataValidation type="custom" allowBlank="1" showDropDown="1" sqref="C2:C9 Q2:Q9" xr:uid="{FE51143D-027B-4FFF-A526-12ADD756E929}">
      <formula1>OR(NOT(ISERROR(DATEVALUE(C2))), AND(ISNUMBER(C2), LEFT(CELL("format", C2))="D"))</formula1>
    </dataValidation>
    <dataValidation type="list" allowBlank="1" sqref="E2:E9 O2:O9" xr:uid="{616E697B-D590-44B6-A579-6ED96293F84D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2026-07-06T05:51:14Z</dcterms:created>
  <dcterms:modified xsi:type="dcterms:W3CDTF">2026-07-06T06:13:33Z</dcterms:modified>
</cp:coreProperties>
</file>