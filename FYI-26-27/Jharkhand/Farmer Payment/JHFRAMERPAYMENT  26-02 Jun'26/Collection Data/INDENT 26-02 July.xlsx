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6-02 Jun'26\Collection Data\"/>
    </mc:Choice>
  </mc:AlternateContent>
  <xr:revisionPtr revIDLastSave="0" documentId="13_ncr:1_{7FF8FA8F-2D66-40C9-9447-49BA85D6FEFD}" xr6:coauthVersionLast="47" xr6:coauthVersionMax="47" xr10:uidLastSave="{00000000-0000-0000-0000-000000000000}"/>
  <bookViews>
    <workbookView xWindow="-120" yWindow="-120" windowWidth="29040" windowHeight="15720" xr2:uid="{A5EBD8B7-7740-4576-B88C-3D64ACDE6660}"/>
  </bookViews>
  <sheets>
    <sheet name="Sheet1" sheetId="2" r:id="rId1"/>
    <sheet name="indent" sheetId="1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2" l="1"/>
  <c r="S10" i="2"/>
  <c r="R10" i="2"/>
  <c r="L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S38" i="1"/>
  <c r="F3" i="1"/>
  <c r="F4" i="1"/>
  <c r="F5" i="1"/>
  <c r="F6" i="1"/>
  <c r="F7" i="1"/>
  <c r="F8" i="1"/>
  <c r="F9" i="1"/>
  <c r="F10" i="1"/>
  <c r="F37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</calcChain>
</file>

<file path=xl/sharedStrings.xml><?xml version="1.0" encoding="utf-8"?>
<sst xmlns="http://schemas.openxmlformats.org/spreadsheetml/2006/main" count="484" uniqueCount="84">
  <si>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</si>
  <si>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</si>
  <si>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</si>
  <si>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</si>
  <si>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</si>
  <si>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</si>
  <si>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</si>
  <si>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</si>
  <si>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</si>
  <si>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</si>
  <si>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</si>
  <si>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</si>
  <si>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</si>
  <si>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</si>
  <si>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</si>
  <si>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</si>
  <si>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</si>
  <si>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</si>
  <si>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</si>
  <si>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Satendra kumar</t>
  </si>
  <si>
    <t>Gomukh Gold 50KG</t>
  </si>
  <si>
    <t>DUMARDAGA</t>
  </si>
  <si>
    <t>0002</t>
  </si>
  <si>
    <t>ORMANJHI</t>
  </si>
  <si>
    <t>Daya Society</t>
  </si>
  <si>
    <t>Chanho</t>
  </si>
  <si>
    <t>PAKARIYO</t>
  </si>
  <si>
    <t>0022</t>
  </si>
  <si>
    <t>0026</t>
  </si>
  <si>
    <t>NARKOPI</t>
  </si>
  <si>
    <t>0012</t>
  </si>
  <si>
    <t>0003</t>
  </si>
  <si>
    <t>KULLU</t>
  </si>
  <si>
    <t>Bero</t>
  </si>
  <si>
    <t>Itki</t>
  </si>
  <si>
    <t>Erchoro</t>
  </si>
  <si>
    <t>0059</t>
  </si>
  <si>
    <t>0035</t>
  </si>
  <si>
    <t>Vikash</t>
  </si>
  <si>
    <t>Bijuliya</t>
  </si>
  <si>
    <t>Paali</t>
  </si>
  <si>
    <t>0005</t>
  </si>
  <si>
    <t>Baski 2</t>
  </si>
  <si>
    <t>Amar sahu</t>
  </si>
  <si>
    <t>GANESHPUR</t>
  </si>
  <si>
    <t>KOKAR</t>
  </si>
  <si>
    <t>PAKARIYO 2</t>
  </si>
  <si>
    <t>RANIKHATANGA</t>
  </si>
  <si>
    <t>AGRU</t>
  </si>
  <si>
    <t>0049</t>
  </si>
  <si>
    <t>0004</t>
  </si>
  <si>
    <t>CHOREYA</t>
  </si>
  <si>
    <t>0021</t>
  </si>
  <si>
    <t>DUMRI</t>
  </si>
  <si>
    <t>Jari</t>
  </si>
  <si>
    <t>0055</t>
  </si>
  <si>
    <t>0008</t>
  </si>
  <si>
    <t>UCHARI</t>
  </si>
  <si>
    <t>0121</t>
  </si>
  <si>
    <t>0015</t>
  </si>
  <si>
    <t>0010</t>
  </si>
  <si>
    <t>26-06-2026 to 02-07-2026</t>
  </si>
  <si>
    <t>HUTAR</t>
  </si>
  <si>
    <t>0103</t>
  </si>
  <si>
    <t>0106</t>
  </si>
  <si>
    <t>0047</t>
  </si>
  <si>
    <t>0171</t>
  </si>
  <si>
    <t>0180</t>
  </si>
  <si>
    <t>0025</t>
  </si>
  <si>
    <t>0123</t>
  </si>
  <si>
    <t>GARRI</t>
  </si>
  <si>
    <t>Type</t>
  </si>
  <si>
    <t>Direct</t>
  </si>
  <si>
    <t>Indirect</t>
  </si>
  <si>
    <t>Grand Total</t>
  </si>
  <si>
    <t>Direct Total</t>
  </si>
  <si>
    <t>Indirect Total</t>
  </si>
  <si>
    <t>Sum of Final Amount</t>
  </si>
  <si>
    <t>Total</t>
  </si>
  <si>
    <t>id</t>
  </si>
  <si>
    <t>Deduction</t>
  </si>
  <si>
    <t>OS</t>
  </si>
  <si>
    <t>OS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</si>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</sst>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6F8F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9" xfId="0" applyBorder="1"/>
    <xf numFmtId="0" fontId="0" fillId="0" borderId="7" xfId="0" applyBorder="1"/>
    <xf numFmtId="22" fontId="2" fillId="4" borderId="5" xfId="0" applyNumberFormat="1" applyFont="1" applyFill="1" applyBorder="1" applyAlignment="1">
      <alignment horizontal="right" vertical="center" wrapText="1"/>
    </xf>
    <xf numFmtId="164" fontId="2" fillId="2" borderId="7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horizontal="right" vertical="center" wrapText="1"/>
    </xf>
    <xf numFmtId="165" fontId="2" fillId="2" borderId="8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/>
    </xf>
    <xf numFmtId="0" fontId="2" fillId="4" borderId="1" xfId="0" quotePrefix="1" applyFont="1" applyFill="1" applyBorder="1" applyAlignment="1">
      <alignment vertical="center" wrapText="1"/>
    </xf>
    <xf numFmtId="0" fontId="2" fillId="2" borderId="8" xfId="0" quotePrefix="1" applyFont="1" applyFill="1" applyBorder="1" applyAlignment="1">
      <alignment vertical="center"/>
    </xf>
    <xf numFmtId="0" fontId="4" fillId="4" borderId="6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/>
    </xf>
    <xf numFmtId="0" fontId="0" fillId="0" borderId="8" xfId="0" applyBorder="1"/>
    <xf numFmtId="0" fontId="0" fillId="0" borderId="0" xfId="0" pivotButton="1"/>
    <xf numFmtId="0" fontId="5" fillId="5" borderId="10" xfId="0" applyFont="1" applyFill="1" applyBorder="1"/>
    <xf numFmtId="0" fontId="5" fillId="0" borderId="0" xfId="0" applyFont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3" xfId="0" applyFont="1" applyBorder="1"/>
  </cellXfs>
  <cellStyles count="1">
    <cellStyle name="Normal" xfId="0" builtinId="0"/>
  </cellStyles>
  <dxfs count="48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B6093C72-0A44-462C-8D44-245C0005676F}">
      <tableStyleElement type="wholeTable" size="0" dxfId="47"/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9.480293749999" createdVersion="8" refreshedVersion="8" minRefreshableVersion="3" recordCount="36" xr:uid="{A33310A1-1973-4D01-8700-0AF8178D02B3}">
  <cacheSource type="worksheet">
    <worksheetSource name="Table7"/>
  </cacheSource>
  <cacheFields count="20">
    <cacheField name="Timestamp" numFmtId="0">
      <sharedItems containsSemiMixedTypes="0" containsNonDate="0" containsDate="1" containsString="0" minDate="2026-07-03T20:40:07" maxDate="2026-07-06T10:02:57"/>
    </cacheField>
    <cacheField name="User Name" numFmtId="0">
      <sharedItems/>
    </cacheField>
    <cacheField name="Order Date" numFmtId="0">
      <sharedItems containsSemiMixedTypes="0" containsNonDate="0" containsDate="1" containsString="0" minDate="2026-07-03T00:00:00" maxDate="2026-07-07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Type" numFmtId="0">
      <sharedItems count="2">
        <s v="Direct"/>
        <s v="Indirect"/>
      </sharedItems>
    </cacheField>
    <cacheField name="MPG Code" numFmtId="0">
      <sharedItems containsSemiMixedTypes="0" containsString="0" containsNumber="1" containsInteger="1" minValue="20010003" maxValue="20090025" count="20">
        <n v="20010054"/>
        <n v="20090004"/>
        <n v="20090008"/>
        <n v="20090014"/>
        <n v="20090015"/>
        <n v="20090020"/>
        <n v="20090023"/>
        <n v="20040001"/>
        <n v="20060003"/>
        <n v="20010003"/>
        <n v="20010008"/>
        <n v="20020001"/>
        <n v="20020003"/>
        <n v="20020025"/>
        <n v="20020006"/>
        <n v="20050001"/>
        <n v="20050003"/>
        <n v="20020027"/>
        <n v="20020002"/>
        <n v="20090025"/>
      </sharedItems>
    </cacheField>
    <cacheField name="MPG Name" numFmtId="0">
      <sharedItems/>
    </cacheField>
    <cacheField name="Farmer code" numFmtId="0">
      <sharedItems count="23">
        <s v="0012"/>
        <s v="0021"/>
        <s v="0005"/>
        <s v="0015"/>
        <s v="0002"/>
        <s v="0010"/>
        <s v="0008"/>
        <s v="0003"/>
        <s v="0035"/>
        <s v="0059"/>
        <s v="0103"/>
        <s v="0106"/>
        <s v="0047"/>
        <s v="0121"/>
        <s v="0171"/>
        <s v="0180"/>
        <s v="0025"/>
        <s v="0123"/>
        <s v="0004"/>
        <s v="0022"/>
        <s v="0049"/>
        <s v="0026"/>
        <s v="0055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25"/>
    </cacheField>
    <cacheField name="Rate" numFmtId="0">
      <sharedItems containsSemiMixedTypes="0" containsString="0" containsNumber="1" containsInteger="1" minValue="1270" maxValue="1270"/>
    </cacheField>
    <cacheField name="Total Amount" numFmtId="0">
      <sharedItems containsSemiMixedTypes="0" containsString="0" containsNumber="1" containsInteger="1" minValue="0" maxValue="31750"/>
    </cacheField>
    <cacheField name="Other Due Amt" numFmtId="0">
      <sharedItems containsSemiMixedTypes="0" containsString="0" containsNumber="1" containsInteger="1" minValue="0" maxValue="786"/>
    </cacheField>
    <cacheField name="Total Amount (Proposed)" numFmtId="0">
      <sharedItems containsSemiMixedTypes="0" containsString="0" containsNumber="1" containsInteger="1" minValue="635" maxValue="31750"/>
    </cacheField>
    <cacheField name="Final Qty" numFmtId="0">
      <sharedItems containsSemiMixedTypes="0" containsString="0" containsNumber="1" containsInteger="1" minValue="0" maxValue="25"/>
    </cacheField>
    <cacheField name="Final Amount" numFmtId="0">
      <sharedItems containsSemiMixedTypes="0" containsString="0" containsNumber="1" containsInteger="1" minValue="635" maxValue="3175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d v="2026-07-03T20:40:07"/>
    <s v="Amar sahu"/>
    <d v="2026-07-03T00:00:00"/>
    <s v="26-06-2026 to 02-07-2026"/>
    <s v="Gomukh Gold 50KG"/>
    <s v="200100540012"/>
    <x v="0"/>
    <x v="0"/>
    <s v="NARKOPI"/>
    <x v="0"/>
    <s v="Chanho"/>
    <s v="Daya Society"/>
    <n v="1"/>
    <n v="1270"/>
    <n v="1270"/>
    <n v="0"/>
    <n v="1270"/>
    <n v="1"/>
    <n v="1270"/>
    <m/>
  </r>
  <r>
    <d v="2026-07-03T20:41:20"/>
    <s v="Amar sahu"/>
    <d v="2026-07-03T00:00:00"/>
    <s v="26-06-2026 to 02-07-2026"/>
    <s v="Gomukh Gold 50KG"/>
    <s v="200900040021"/>
    <x v="0"/>
    <x v="1"/>
    <s v="DUMRI"/>
    <x v="1"/>
    <s v="Chanho"/>
    <s v="Daya Society"/>
    <n v="1"/>
    <n v="1270"/>
    <n v="1270"/>
    <n v="0"/>
    <n v="1270"/>
    <n v="1"/>
    <n v="1270"/>
    <m/>
  </r>
  <r>
    <d v="2026-07-03T20:42:03"/>
    <s v="Amar sahu"/>
    <d v="2026-07-03T00:00:00"/>
    <s v="26-06-2026 to 02-07-2026"/>
    <s v="Gomukh Gold 50KG"/>
    <s v="200900080005"/>
    <x v="0"/>
    <x v="2"/>
    <s v="GANESHPUR"/>
    <x v="2"/>
    <s v="Chanho"/>
    <s v="Daya Society"/>
    <n v="0"/>
    <n v="1270"/>
    <n v="0"/>
    <n v="635"/>
    <n v="635"/>
    <n v="0"/>
    <n v="635"/>
    <m/>
  </r>
  <r>
    <d v="2026-07-03T20:42:56"/>
    <s v="Amar sahu"/>
    <d v="2026-07-03T00:00:00"/>
    <s v="26-06-2026 to 02-07-2026"/>
    <s v="Gomukh Gold 50KG"/>
    <s v="200900140015"/>
    <x v="0"/>
    <x v="3"/>
    <s v="HUTAR"/>
    <x v="3"/>
    <s v="Chanho"/>
    <s v="Daya Society"/>
    <n v="10"/>
    <n v="1270"/>
    <n v="12700"/>
    <n v="0"/>
    <n v="12700"/>
    <n v="10"/>
    <n v="12700"/>
    <m/>
  </r>
  <r>
    <d v="2026-07-03T20:43:19"/>
    <s v="Amar sahu"/>
    <d v="2026-07-03T00:00:00"/>
    <s v="26-06-2026 to 02-07-2026"/>
    <s v="Gomukh Gold 50KG"/>
    <s v="200900150002"/>
    <x v="0"/>
    <x v="4"/>
    <s v="PAKARIYO"/>
    <x v="4"/>
    <s v="Chanho"/>
    <s v="Daya Society"/>
    <n v="1"/>
    <n v="1270"/>
    <n v="1270"/>
    <n v="0"/>
    <n v="1270"/>
    <n v="1"/>
    <n v="1270"/>
    <m/>
  </r>
  <r>
    <d v="2026-07-03T20:43:42"/>
    <s v="Amar sahu"/>
    <d v="2026-07-03T00:00:00"/>
    <s v="26-06-2026 to 02-07-2026"/>
    <s v="Gomukh Gold 50KG"/>
    <s v="200900150010"/>
    <x v="0"/>
    <x v="4"/>
    <s v="PAKARIYO"/>
    <x v="5"/>
    <s v="Chanho"/>
    <s v="Daya Society"/>
    <n v="1"/>
    <n v="1270"/>
    <n v="1270"/>
    <n v="0"/>
    <n v="1270"/>
    <n v="1"/>
    <n v="1270"/>
    <m/>
  </r>
  <r>
    <d v="2026-07-03T20:44:33"/>
    <s v="Amar sahu"/>
    <d v="2026-07-03T00:00:00"/>
    <s v="26-06-2026 to 02-07-2026"/>
    <s v="Gomukh Gold 50KG"/>
    <s v="200900200005"/>
    <x v="0"/>
    <x v="5"/>
    <s v="PAKARIYO 2"/>
    <x v="2"/>
    <s v="Chanho"/>
    <s v="Daya Society"/>
    <n v="2"/>
    <n v="1270"/>
    <n v="2540"/>
    <n v="0"/>
    <n v="2540"/>
    <n v="2"/>
    <n v="2540"/>
    <m/>
  </r>
  <r>
    <d v="2026-07-03T20:45:12"/>
    <s v="Amar sahu"/>
    <d v="2026-07-03T00:00:00"/>
    <s v="26-06-2026 to 02-07-2026"/>
    <s v="Gomukh Gold 50KG"/>
    <s v="200900200002"/>
    <x v="0"/>
    <x v="5"/>
    <s v="PAKARIYO 2"/>
    <x v="4"/>
    <s v="Chanho"/>
    <s v="Daya Society"/>
    <n v="1"/>
    <n v="1270"/>
    <n v="1270"/>
    <n v="0"/>
    <n v="1270"/>
    <n v="1"/>
    <n v="1270"/>
    <m/>
  </r>
  <r>
    <d v="2026-07-03T20:45:31"/>
    <s v="Amar sahu"/>
    <d v="2026-07-03T00:00:00"/>
    <s v="26-06-2026 to 02-07-2026"/>
    <s v="Gomukh Gold 50KG"/>
    <s v="200900230002"/>
    <x v="0"/>
    <x v="6"/>
    <s v="KOKAR"/>
    <x v="4"/>
    <s v="Chanho"/>
    <s v="Daya Society"/>
    <n v="0"/>
    <n v="1270"/>
    <n v="0"/>
    <n v="635"/>
    <n v="635"/>
    <n v="0"/>
    <n v="635"/>
    <m/>
  </r>
  <r>
    <d v="2026-07-03T20:46:31"/>
    <s v="Amar sahu"/>
    <d v="2026-07-03T00:00:00"/>
    <s v="26-06-2026 to 02-07-2026"/>
    <s v="Gomukh Gold 50KG"/>
    <s v="200400010008"/>
    <x v="0"/>
    <x v="7"/>
    <s v="CHOREYA"/>
    <x v="6"/>
    <s v="CHOREYA"/>
    <s v="Daya Society"/>
    <n v="1"/>
    <n v="1270"/>
    <n v="1270"/>
    <n v="0"/>
    <n v="1270"/>
    <n v="1"/>
    <n v="1270"/>
    <m/>
  </r>
  <r>
    <d v="2026-07-03T20:46:50"/>
    <s v="Amar sahu"/>
    <d v="2026-07-03T00:00:00"/>
    <s v="26-06-2026 to 02-07-2026"/>
    <s v="Gomukh Gold 50KG"/>
    <s v="200400010003"/>
    <x v="0"/>
    <x v="7"/>
    <s v="CHOREYA"/>
    <x v="7"/>
    <s v="CHOREYA"/>
    <s v="Daya Society"/>
    <n v="1"/>
    <n v="1270"/>
    <n v="1270"/>
    <n v="0"/>
    <n v="1270"/>
    <n v="1"/>
    <n v="1270"/>
    <m/>
  </r>
  <r>
    <d v="2026-07-03T23:34:28"/>
    <s v="Satendra kumar"/>
    <d v="2026-07-03T00:00:00"/>
    <s v="26-06-2026 to 02-07-2026"/>
    <s v="Gomukh Gold 50KG"/>
    <s v="200600030002"/>
    <x v="0"/>
    <x v="8"/>
    <s v="DUMARDAGA"/>
    <x v="4"/>
    <s v="ORMANJHI"/>
    <s v="Daya Society"/>
    <n v="25"/>
    <n v="1270"/>
    <n v="31750"/>
    <n v="0"/>
    <n v="31750"/>
    <n v="25"/>
    <n v="31750"/>
    <m/>
  </r>
  <r>
    <d v="2026-07-03T23:35:26"/>
    <s v="Satendra kumar"/>
    <d v="2026-07-03T00:00:00"/>
    <s v="26-06-2026 to 02-07-2026"/>
    <s v="Gomukh Gold 50KG"/>
    <s v="200100030003"/>
    <x v="0"/>
    <x v="9"/>
    <s v="Bero"/>
    <x v="7"/>
    <s v="Itki"/>
    <s v="Daya Society"/>
    <n v="10"/>
    <n v="1270"/>
    <n v="12700"/>
    <n v="0"/>
    <n v="12700"/>
    <n v="10"/>
    <n v="12700"/>
    <m/>
  </r>
  <r>
    <d v="2026-07-04T22:42:48"/>
    <s v="Satendra kumar"/>
    <d v="2026-07-04T00:00:00"/>
    <s v="26-06-2026 to 02-07-2026"/>
    <s v="Gomukh Gold 50KG"/>
    <s v="200100080035"/>
    <x v="0"/>
    <x v="10"/>
    <s v="Erchoro"/>
    <x v="8"/>
    <s v="Itki"/>
    <s v="Daya Society"/>
    <n v="13"/>
    <n v="1270"/>
    <n v="16510"/>
    <n v="0"/>
    <n v="16510"/>
    <n v="13"/>
    <n v="16510"/>
    <m/>
  </r>
  <r>
    <d v="2026-07-04T22:45:09"/>
    <s v="Satendra kumar"/>
    <d v="2026-07-04T00:00:00"/>
    <s v="26-06-2026 to 02-07-2026"/>
    <s v="Gomukh Gold 50KG"/>
    <s v="200100080059"/>
    <x v="0"/>
    <x v="10"/>
    <s v="Erchoro"/>
    <x v="9"/>
    <s v="Itki"/>
    <s v="Daya Society"/>
    <n v="2"/>
    <n v="1270"/>
    <n v="2540"/>
    <n v="0"/>
    <n v="2540"/>
    <n v="2"/>
    <n v="2540"/>
    <m/>
  </r>
  <r>
    <d v="2026-07-05T19:11:06"/>
    <s v="Vikash"/>
    <d v="2026-07-05T00:00:00"/>
    <s v="26-06-2026 to 02-07-2026"/>
    <s v="Gomukh Gold 50KG"/>
    <s v="200200010103"/>
    <x v="0"/>
    <x v="11"/>
    <s v="Paali"/>
    <x v="10"/>
    <s v="Paali"/>
    <s v="Daya Society"/>
    <n v="1"/>
    <n v="1270"/>
    <n v="1270"/>
    <n v="0"/>
    <n v="1270"/>
    <n v="1"/>
    <n v="1270"/>
    <m/>
  </r>
  <r>
    <d v="2026-07-05T19:11:33"/>
    <s v="Vikash"/>
    <d v="2026-07-05T00:00:00"/>
    <s v="26-06-2026 to 02-07-2026"/>
    <s v="Gomukh Gold 50KG"/>
    <s v="200200010106"/>
    <x v="0"/>
    <x v="11"/>
    <s v="Paali"/>
    <x v="11"/>
    <s v="Paali"/>
    <s v="Daya Society"/>
    <n v="1"/>
    <n v="1270"/>
    <n v="1270"/>
    <n v="0"/>
    <n v="1270"/>
    <n v="1"/>
    <n v="1270"/>
    <m/>
  </r>
  <r>
    <d v="2026-07-05T19:12:05"/>
    <s v="Vikash"/>
    <d v="2026-07-05T00:00:00"/>
    <s v="26-06-2026 to 02-07-2026"/>
    <s v="Gomukh Gold 50KG"/>
    <s v="200200010047"/>
    <x v="0"/>
    <x v="11"/>
    <s v="Paali"/>
    <x v="12"/>
    <s v="Paali"/>
    <s v="Daya Society"/>
    <n v="1"/>
    <n v="1270"/>
    <n v="1270"/>
    <n v="0"/>
    <n v="1270"/>
    <n v="1"/>
    <n v="1270"/>
    <m/>
  </r>
  <r>
    <d v="2026-07-05T19:12:29"/>
    <s v="Vikash"/>
    <d v="2026-07-05T00:00:00"/>
    <s v="26-06-2026 to 02-07-2026"/>
    <s v="Gomukh Gold 50KG"/>
    <s v="200200010005"/>
    <x v="0"/>
    <x v="11"/>
    <s v="Paali"/>
    <x v="2"/>
    <s v="Paali"/>
    <s v="Daya Society"/>
    <n v="2"/>
    <n v="1270"/>
    <n v="2540"/>
    <n v="0"/>
    <n v="2540"/>
    <n v="2"/>
    <n v="2540"/>
    <m/>
  </r>
  <r>
    <d v="2026-07-05T19:12:56"/>
    <s v="Vikash"/>
    <d v="2026-07-05T00:00:00"/>
    <s v="26-06-2026 to 02-07-2026"/>
    <s v="Gomukh Gold 50KG"/>
    <s v="200200010121"/>
    <x v="0"/>
    <x v="11"/>
    <s v="Paali"/>
    <x v="13"/>
    <s v="Paali"/>
    <s v="Daya Society"/>
    <n v="2"/>
    <n v="1270"/>
    <n v="2540"/>
    <n v="0"/>
    <n v="2540"/>
    <n v="2"/>
    <n v="2540"/>
    <m/>
  </r>
  <r>
    <d v="2026-07-05T19:13:22"/>
    <s v="Vikash"/>
    <d v="2026-07-05T00:00:00"/>
    <s v="26-06-2026 to 02-07-2026"/>
    <s v="Gomukh Gold 50KG"/>
    <s v="200200010171"/>
    <x v="0"/>
    <x v="11"/>
    <s v="Paali"/>
    <x v="14"/>
    <s v="Paali"/>
    <s v="Daya Society"/>
    <n v="1"/>
    <n v="1270"/>
    <n v="1270"/>
    <n v="0"/>
    <n v="1270"/>
    <n v="1"/>
    <n v="1270"/>
    <m/>
  </r>
  <r>
    <d v="2026-07-05T19:14:02"/>
    <s v="Vikash"/>
    <d v="2026-07-05T00:00:00"/>
    <s v="26-06-2026 to 02-07-2026"/>
    <s v="Gomukh Gold 50KG"/>
    <s v="200200010180"/>
    <x v="0"/>
    <x v="11"/>
    <s v="Paali"/>
    <x v="15"/>
    <s v="Paali"/>
    <s v="Daya Society"/>
    <n v="1"/>
    <n v="1270"/>
    <n v="1270"/>
    <n v="0"/>
    <n v="1270"/>
    <n v="1"/>
    <n v="1270"/>
    <m/>
  </r>
  <r>
    <d v="2026-07-05T19:14:26"/>
    <s v="Vikash"/>
    <d v="2026-07-05T00:00:00"/>
    <s v="26-06-2026 to 02-07-2026"/>
    <s v="Gomukh Gold 50KG"/>
    <s v="200200010025"/>
    <x v="0"/>
    <x v="11"/>
    <s v="Paali"/>
    <x v="16"/>
    <s v="Paali"/>
    <s v="Daya Society"/>
    <n v="1"/>
    <n v="1270"/>
    <n v="1270"/>
    <n v="0"/>
    <n v="1270"/>
    <n v="1"/>
    <n v="1270"/>
    <m/>
  </r>
  <r>
    <d v="2026-07-05T19:14:50"/>
    <s v="Vikash"/>
    <d v="2026-07-05T00:00:00"/>
    <s v="26-06-2026 to 02-07-2026"/>
    <s v="Gomukh Gold 50KG"/>
    <s v="200200010123"/>
    <x v="0"/>
    <x v="11"/>
    <s v="Paali"/>
    <x v="17"/>
    <s v="Paali"/>
    <s v="Daya Society"/>
    <n v="1"/>
    <n v="1270"/>
    <n v="1270"/>
    <n v="0"/>
    <n v="1270"/>
    <n v="1"/>
    <n v="1270"/>
    <m/>
  </r>
  <r>
    <d v="2026-07-05T19:15:13"/>
    <s v="Vikash"/>
    <d v="2026-07-05T00:00:00"/>
    <s v="26-06-2026 to 02-07-2026"/>
    <s v="Gomukh Gold 50KG"/>
    <s v="200200010002"/>
    <x v="0"/>
    <x v="11"/>
    <s v="Paali"/>
    <x v="4"/>
    <s v="Paali"/>
    <s v="Daya Society"/>
    <n v="1"/>
    <n v="1270"/>
    <n v="1270"/>
    <n v="0"/>
    <n v="1270"/>
    <n v="1"/>
    <n v="1270"/>
    <m/>
  </r>
  <r>
    <d v="2026-07-05T19:15:42"/>
    <s v="Vikash"/>
    <d v="2026-07-05T00:00:00"/>
    <s v="26-06-2026 to 02-07-2026"/>
    <s v="Gomukh Gold 50KG"/>
    <s v="200200030002"/>
    <x v="0"/>
    <x v="12"/>
    <s v="Bijuliya"/>
    <x v="4"/>
    <s v="Paali"/>
    <s v="Daya Society"/>
    <n v="5"/>
    <n v="1270"/>
    <n v="6350"/>
    <n v="0"/>
    <n v="6350"/>
    <n v="5"/>
    <n v="6350"/>
    <m/>
  </r>
  <r>
    <d v="2026-07-05T19:16:23"/>
    <s v="Vikash"/>
    <d v="2026-07-05T00:00:00"/>
    <s v="26-06-2026 to 02-07-2026"/>
    <s v="Gomukh Gold 50KG"/>
    <s v="200200250004"/>
    <x v="0"/>
    <x v="13"/>
    <s v="AGRU"/>
    <x v="18"/>
    <s v="Paali"/>
    <s v="Daya Society"/>
    <n v="1"/>
    <n v="1270"/>
    <n v="1270"/>
    <n v="0"/>
    <n v="1270"/>
    <n v="1"/>
    <n v="1270"/>
    <m/>
  </r>
  <r>
    <d v="2026-07-05T19:16:48"/>
    <s v="Vikash"/>
    <d v="2026-07-05T00:00:00"/>
    <s v="26-06-2026 to 02-07-2026"/>
    <s v="Gomukh Gold 50KG"/>
    <s v="200200250003"/>
    <x v="0"/>
    <x v="13"/>
    <s v="AGRU"/>
    <x v="7"/>
    <s v="Paali"/>
    <s v="Daya Society"/>
    <n v="1"/>
    <n v="1270"/>
    <n v="1270"/>
    <n v="0"/>
    <n v="1270"/>
    <n v="1"/>
    <n v="1270"/>
    <m/>
  </r>
  <r>
    <d v="2026-07-05T19:17:34"/>
    <s v="Vikash"/>
    <d v="2026-07-05T00:00:00"/>
    <s v="26-06-2026 to 02-07-2026"/>
    <s v="Gomukh Gold 50KG"/>
    <s v="200200250008"/>
    <x v="0"/>
    <x v="13"/>
    <s v="AGRU"/>
    <x v="6"/>
    <s v="Paali"/>
    <s v="Daya Society"/>
    <n v="1"/>
    <n v="1270"/>
    <n v="1270"/>
    <n v="0"/>
    <n v="1270"/>
    <n v="1"/>
    <n v="1270"/>
    <m/>
  </r>
  <r>
    <d v="2026-07-05T19:18:03"/>
    <s v="Vikash"/>
    <d v="2026-07-05T00:00:00"/>
    <s v="26-06-2026 to 02-07-2026"/>
    <s v="Gomukh Gold 50KG"/>
    <s v="200200250022"/>
    <x v="0"/>
    <x v="13"/>
    <s v="AGRU"/>
    <x v="19"/>
    <s v="Paali"/>
    <s v="Daya Society"/>
    <n v="3"/>
    <n v="1270"/>
    <n v="3810"/>
    <n v="0"/>
    <n v="3810"/>
    <n v="3"/>
    <n v="3810"/>
    <m/>
  </r>
  <r>
    <d v="2026-07-05T19:18:30"/>
    <s v="Vikash"/>
    <d v="2026-07-05T00:00:00"/>
    <s v="26-06-2026 to 02-07-2026"/>
    <s v="Gomukh Gold 50KG"/>
    <s v="200200060002"/>
    <x v="0"/>
    <x v="14"/>
    <s v="RANIKHATANGA"/>
    <x v="4"/>
    <s v="Paali"/>
    <s v="Daya Society"/>
    <n v="5"/>
    <n v="1270"/>
    <n v="6350"/>
    <n v="0"/>
    <n v="6350"/>
    <n v="5"/>
    <n v="6350"/>
    <m/>
  </r>
  <r>
    <d v="2026-07-05T19:19:00"/>
    <s v="Vikash"/>
    <d v="2026-07-05T00:00:00"/>
    <s v="26-06-2026 to 02-07-2026"/>
    <s v="Gomukh Gold 50KG"/>
    <s v="200500010049"/>
    <x v="0"/>
    <x v="15"/>
    <s v="Baski 2"/>
    <x v="20"/>
    <s v="Paali"/>
    <s v="Daya Society"/>
    <n v="1"/>
    <n v="1270"/>
    <n v="1270"/>
    <n v="0"/>
    <n v="1270"/>
    <n v="1"/>
    <n v="1270"/>
    <m/>
  </r>
  <r>
    <d v="2026-07-05T19:19:28"/>
    <s v="Vikash"/>
    <d v="2026-07-05T00:00:00"/>
    <s v="26-06-2026 to 02-07-2026"/>
    <s v="Gomukh Gold 50KG"/>
    <s v="200500030026"/>
    <x v="0"/>
    <x v="16"/>
    <s v="UCHARI"/>
    <x v="21"/>
    <s v="Paali"/>
    <s v="Daya Society"/>
    <n v="1"/>
    <n v="1270"/>
    <n v="1270"/>
    <n v="0"/>
    <n v="1270"/>
    <n v="1"/>
    <n v="1270"/>
    <m/>
  </r>
  <r>
    <d v="2026-07-05T19:19:53"/>
    <s v="Vikash"/>
    <d v="2026-07-05T00:00:00"/>
    <s v="26-06-2026 to 02-07-2026"/>
    <s v="Gomukh Gold 50KG"/>
    <s v="200200270002"/>
    <x v="0"/>
    <x v="17"/>
    <s v="GARRI"/>
    <x v="4"/>
    <s v="Paali"/>
    <s v="Daya Society"/>
    <n v="2"/>
    <n v="1270"/>
    <n v="2540"/>
    <n v="0"/>
    <n v="2540"/>
    <n v="2"/>
    <n v="2540"/>
    <m/>
  </r>
  <r>
    <d v="2026-07-06T10:02:57"/>
    <s v="Amar sahu"/>
    <d v="2026-07-06T00:00:00"/>
    <s v="26-06-2026 to 02-07-2026"/>
    <s v="Gomukh Gold 50KG"/>
    <s v="200200020055"/>
    <x v="0"/>
    <x v="18"/>
    <s v="Jari"/>
    <x v="22"/>
    <s v="Paali"/>
    <s v="Daya Society"/>
    <n v="1"/>
    <n v="1270"/>
    <n v="1270"/>
    <n v="786"/>
    <n v="2056"/>
    <n v="1"/>
    <n v="2056"/>
    <m/>
  </r>
  <r>
    <d v="2026-07-03T20:45:59"/>
    <s v="Amar sahu"/>
    <d v="2026-07-03T00:00:00"/>
    <s v="26-06-2026 to 02-07-2026"/>
    <s v="Gomukh Gold 50KG"/>
    <s v="200900250002"/>
    <x v="1"/>
    <x v="19"/>
    <s v="KULLU"/>
    <x v="4"/>
    <s v="Chanho"/>
    <s v="Daya Society"/>
    <n v="2"/>
    <n v="1270"/>
    <n v="2540"/>
    <n v="0"/>
    <n v="2540"/>
    <n v="2"/>
    <n v="254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5E0DB-4125-4452-9DAA-080BFC7C66D7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43" firstHeaderRow="2" firstDataRow="2" firstDataCol="3"/>
  <pivotFields count="2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9"/>
        <item x="10"/>
        <item x="0"/>
        <item x="11"/>
        <item x="18"/>
        <item x="12"/>
        <item x="14"/>
        <item x="13"/>
        <item x="17"/>
        <item x="7"/>
        <item x="15"/>
        <item x="16"/>
        <item x="8"/>
        <item x="1"/>
        <item x="2"/>
        <item x="3"/>
        <item x="4"/>
        <item x="5"/>
        <item x="6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4">
        <item x="4"/>
        <item x="7"/>
        <item x="18"/>
        <item x="2"/>
        <item x="6"/>
        <item x="5"/>
        <item x="0"/>
        <item x="3"/>
        <item x="1"/>
        <item x="19"/>
        <item x="16"/>
        <item x="21"/>
        <item x="8"/>
        <item x="12"/>
        <item x="20"/>
        <item x="22"/>
        <item x="9"/>
        <item x="10"/>
        <item x="11"/>
        <item x="13"/>
        <item x="17"/>
        <item x="14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7"/>
    <field x="9"/>
  </rowFields>
  <rowItems count="39">
    <i>
      <x/>
      <x/>
      <x v="1"/>
    </i>
    <i r="1">
      <x v="1"/>
      <x v="12"/>
    </i>
    <i r="2">
      <x v="16"/>
    </i>
    <i r="1">
      <x v="2"/>
      <x v="6"/>
    </i>
    <i r="1">
      <x v="3"/>
      <x/>
    </i>
    <i r="2">
      <x v="3"/>
    </i>
    <i r="2">
      <x v="10"/>
    </i>
    <i r="2">
      <x v="13"/>
    </i>
    <i r="2">
      <x v="17"/>
    </i>
    <i r="2">
      <x v="18"/>
    </i>
    <i r="2">
      <x v="19"/>
    </i>
    <i r="2">
      <x v="20"/>
    </i>
    <i r="2">
      <x v="21"/>
    </i>
    <i r="2">
      <x v="22"/>
    </i>
    <i r="1">
      <x v="4"/>
      <x v="15"/>
    </i>
    <i r="1">
      <x v="5"/>
      <x/>
    </i>
    <i r="1">
      <x v="6"/>
      <x/>
    </i>
    <i r="1">
      <x v="7"/>
      <x v="1"/>
    </i>
    <i r="2">
      <x v="2"/>
    </i>
    <i r="2">
      <x v="4"/>
    </i>
    <i r="2">
      <x v="9"/>
    </i>
    <i r="1">
      <x v="8"/>
      <x/>
    </i>
    <i r="1">
      <x v="9"/>
      <x v="1"/>
    </i>
    <i r="2">
      <x v="4"/>
    </i>
    <i r="1">
      <x v="10"/>
      <x v="14"/>
    </i>
    <i r="1">
      <x v="11"/>
      <x v="11"/>
    </i>
    <i r="1">
      <x v="12"/>
      <x/>
    </i>
    <i r="1">
      <x v="13"/>
      <x v="8"/>
    </i>
    <i r="1">
      <x v="14"/>
      <x v="3"/>
    </i>
    <i r="1">
      <x v="15"/>
      <x v="7"/>
    </i>
    <i r="1">
      <x v="16"/>
      <x/>
    </i>
    <i r="2">
      <x v="5"/>
    </i>
    <i r="1">
      <x v="17"/>
      <x/>
    </i>
    <i r="2">
      <x v="3"/>
    </i>
    <i r="1">
      <x v="18"/>
      <x/>
    </i>
    <i t="default">
      <x/>
    </i>
    <i>
      <x v="1"/>
      <x v="19"/>
      <x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C3265-25B4-4CD4-A0C4-7B75C3F857E5}" name="Table7" displayName="Table7" ref="A1:T38" totalsRowCount="1" headerRowDxfId="43" totalsRowDxfId="40" headerRowBorderDxfId="42" tableBorderDxfId="41">
  <autoFilter ref="A1:T37" xr:uid="{72EC3265-25B4-4CD4-A0C4-7B75C3F857E5}"/>
  <sortState xmlns:xlrd2="http://schemas.microsoft.com/office/spreadsheetml/2017/richdata2" ref="A2:T37">
    <sortCondition ref="G1:G37"/>
  </sortState>
  <tableColumns count="20">
    <tableColumn id="1" xr3:uid="{7DE0567A-7662-4B7D-B58F-B769040CD37F}" name="Timestamp" dataDxfId="39" totalsRowDxfId="38"/>
    <tableColumn id="2" xr3:uid="{76C01228-87FE-4DD2-842C-76FD7C09C63B}" name="User Name" dataDxfId="37" totalsRowDxfId="36"/>
    <tableColumn id="3" xr3:uid="{B1273B6F-4AD2-465A-83C9-1B203E7D8F6B}" name="Order Date" dataDxfId="35" totalsRowDxfId="34"/>
    <tableColumn id="4" xr3:uid="{49662675-F10E-454C-944D-87E4179BCA07}" name="Deduction Cycle" dataDxfId="33" totalsRowDxfId="32"/>
    <tableColumn id="5" xr3:uid="{40432D91-05ED-4BC3-A0E2-87301674024E}" name="Item Name" dataDxfId="31" totalsRowDxfId="30"/>
    <tableColumn id="6" xr3:uid="{81743064-4ABB-447F-8336-76D387465986}" name="ID" dataDxfId="29" totalsRowDxfId="28">
      <calculatedColumnFormula>CONCATENATE(Table7[[#This Row],[MPG Code]],Table7[[#This Row],[Farmer code]])</calculatedColumnFormula>
    </tableColumn>
    <tableColumn id="20" xr3:uid="{9490DCB1-FAF7-4B03-9F5F-06121C50F423}" name="Type" dataDxfId="27" totalsRowDxfId="26"/>
    <tableColumn id="7" xr3:uid="{988840DA-704A-4D9E-BF4A-56533C4DB90E}" name="MPG Code" dataDxfId="25" totalsRowDxfId="24"/>
    <tableColumn id="8" xr3:uid="{3FF76004-8335-4782-9967-140BFAE21C38}" name="MPG Name" dataDxfId="23" totalsRowDxfId="22"/>
    <tableColumn id="9" xr3:uid="{D8D1ACF8-F1BB-48FC-8988-8041B4C7C5BB}" name="Farmer code" dataDxfId="21" totalsRowDxfId="20"/>
    <tableColumn id="10" xr3:uid="{E0433513-0675-47BE-8B99-5442CC065B65}" name="BMC Name" dataDxfId="19" totalsRowDxfId="18"/>
    <tableColumn id="11" xr3:uid="{AA3DA415-A9BC-4A97-B575-DEE058EA38D3}" name="CSP" dataDxfId="17" totalsRowDxfId="16"/>
    <tableColumn id="12" xr3:uid="{37E8F4F9-CEF0-41FE-B94A-8821F911D602}" name="Qty" dataDxfId="15" totalsRowDxfId="14"/>
    <tableColumn id="13" xr3:uid="{F1B361A4-7615-472A-98AE-C5509B8AF023}" name="Rate" dataDxfId="13" totalsRowDxfId="12"/>
    <tableColumn id="14" xr3:uid="{08178F18-8460-4341-BEE9-711303F79597}" name="Total Amount" dataDxfId="11" totalsRowDxfId="10"/>
    <tableColumn id="15" xr3:uid="{FF095998-E5A3-45CB-888E-FB46B55C85C2}" name="Other Due Amt" dataDxfId="9" totalsRowDxfId="8"/>
    <tableColumn id="16" xr3:uid="{998043A3-D15F-423B-B7B0-30C0729FB4E3}" name="Total Amount (Proposed)" dataDxfId="7" totalsRowDxfId="6"/>
    <tableColumn id="17" xr3:uid="{36755684-5F34-4CA8-87F3-C1718762C9B9}" name="Final Qty" dataDxfId="5" totalsRowDxfId="4"/>
    <tableColumn id="18" xr3:uid="{A38D51C8-23D0-41AF-BEB4-2E2D3765F5E8}" name="Final Amount" totalsRowFunction="sum" dataDxfId="3" totalsRowDxfId="2"/>
    <tableColumn id="19" xr3:uid="{90B381A1-4174-4565-BCDF-7377217FEED9}" name="Milk Amonnt" dataDxfId="1" totalsRowDxfId="0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A717-D8A3-49BF-B8B9-A8D9E371D066}">
  <dimension ref="A3:S43"/>
  <sheetViews>
    <sheetView tabSelected="1" topLeftCell="A2" workbookViewId="0">
      <selection activeCell="S17" sqref="S17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4.28515625" bestFit="1" customWidth="1"/>
    <col min="4" max="4" width="7" bestFit="1" customWidth="1"/>
    <col min="7" max="7" width="13.140625" bestFit="1" customWidth="1"/>
  </cols>
  <sheetData>
    <row r="3" spans="1:19" x14ac:dyDescent="0.25">
      <c r="A3" s="27" t="s">
        <v>77</v>
      </c>
    </row>
    <row r="4" spans="1:19" x14ac:dyDescent="0.25">
      <c r="A4" s="27" t="s">
        <v>71</v>
      </c>
      <c r="B4" s="27" t="s">
        <v>6</v>
      </c>
      <c r="C4" s="27" t="s">
        <v>8</v>
      </c>
      <c r="D4" t="s">
        <v>78</v>
      </c>
      <c r="G4" s="28" t="s">
        <v>79</v>
      </c>
      <c r="H4" s="28" t="s">
        <v>71</v>
      </c>
      <c r="I4" s="28" t="s">
        <v>6</v>
      </c>
      <c r="J4" s="28" t="s">
        <v>8</v>
      </c>
      <c r="K4" s="28" t="s">
        <v>78</v>
      </c>
      <c r="L4" s="28" t="s">
        <v>80</v>
      </c>
      <c r="O4" s="28" t="s">
        <v>71</v>
      </c>
      <c r="P4" s="28" t="s">
        <v>6</v>
      </c>
      <c r="Q4" s="28" t="s">
        <v>8</v>
      </c>
      <c r="R4" s="28" t="s">
        <v>78</v>
      </c>
      <c r="S4" s="28" t="s">
        <v>80</v>
      </c>
    </row>
    <row r="5" spans="1:19" x14ac:dyDescent="0.25">
      <c r="A5" t="s">
        <v>72</v>
      </c>
      <c r="B5">
        <v>20010003</v>
      </c>
      <c r="C5" t="s">
        <v>31</v>
      </c>
      <c r="D5">
        <v>12700</v>
      </c>
      <c r="G5" t="str">
        <f>CONCATENATE(I5,J5)</f>
        <v>200100030003</v>
      </c>
      <c r="H5" s="29" t="s">
        <v>72</v>
      </c>
      <c r="I5" s="29">
        <v>20010003</v>
      </c>
      <c r="J5" t="s">
        <v>31</v>
      </c>
      <c r="K5">
        <v>12700</v>
      </c>
      <c r="L5">
        <v>12700</v>
      </c>
      <c r="O5" s="30" t="s">
        <v>73</v>
      </c>
      <c r="P5" s="29">
        <v>20090025</v>
      </c>
      <c r="Q5" t="s">
        <v>22</v>
      </c>
      <c r="R5">
        <v>2540</v>
      </c>
      <c r="S5">
        <v>2540</v>
      </c>
    </row>
    <row r="6" spans="1:19" x14ac:dyDescent="0.25">
      <c r="A6" t="s">
        <v>72</v>
      </c>
      <c r="B6">
        <v>20010008</v>
      </c>
      <c r="C6" t="s">
        <v>37</v>
      </c>
      <c r="D6">
        <v>16510</v>
      </c>
      <c r="G6" t="str">
        <f t="shared" ref="G6:G39" si="0">CONCATENATE(I6,J6)</f>
        <v>200100080035</v>
      </c>
      <c r="H6" s="29" t="s">
        <v>72</v>
      </c>
      <c r="I6" s="29">
        <v>20010008</v>
      </c>
      <c r="J6" t="s">
        <v>37</v>
      </c>
      <c r="K6">
        <v>16510</v>
      </c>
      <c r="L6">
        <v>16510</v>
      </c>
      <c r="O6" s="31" t="s">
        <v>76</v>
      </c>
      <c r="P6" s="31"/>
      <c r="Q6" s="31"/>
      <c r="R6" s="31">
        <v>2540</v>
      </c>
      <c r="S6" s="31">
        <v>2540</v>
      </c>
    </row>
    <row r="7" spans="1:19" x14ac:dyDescent="0.25">
      <c r="A7" t="s">
        <v>72</v>
      </c>
      <c r="B7">
        <v>20010008</v>
      </c>
      <c r="C7" t="s">
        <v>36</v>
      </c>
      <c r="D7">
        <v>2540</v>
      </c>
      <c r="G7" t="str">
        <f t="shared" si="0"/>
        <v>200100080059</v>
      </c>
      <c r="H7" s="29" t="s">
        <v>72</v>
      </c>
      <c r="I7" s="29">
        <v>20010008</v>
      </c>
      <c r="J7" t="s">
        <v>36</v>
      </c>
      <c r="K7">
        <v>2540</v>
      </c>
      <c r="L7">
        <v>2540</v>
      </c>
      <c r="O7" s="31"/>
      <c r="P7" s="31"/>
      <c r="Q7" s="31"/>
      <c r="R7" s="31"/>
      <c r="S7" s="31"/>
    </row>
    <row r="8" spans="1:19" x14ac:dyDescent="0.25">
      <c r="A8" t="s">
        <v>72</v>
      </c>
      <c r="B8">
        <v>20010054</v>
      </c>
      <c r="C8" t="s">
        <v>30</v>
      </c>
      <c r="D8">
        <v>1270</v>
      </c>
      <c r="G8" t="str">
        <f t="shared" si="0"/>
        <v>200100540012</v>
      </c>
      <c r="H8" s="29" t="s">
        <v>72</v>
      </c>
      <c r="I8" s="29">
        <v>20010054</v>
      </c>
      <c r="J8" t="s">
        <v>30</v>
      </c>
      <c r="K8">
        <v>1270</v>
      </c>
      <c r="L8">
        <v>1270</v>
      </c>
      <c r="O8" s="28" t="s">
        <v>71</v>
      </c>
      <c r="P8" s="28" t="s">
        <v>6</v>
      </c>
      <c r="Q8" s="28" t="s">
        <v>8</v>
      </c>
      <c r="R8" s="28" t="s">
        <v>78</v>
      </c>
      <c r="S8" s="28" t="s">
        <v>80</v>
      </c>
    </row>
    <row r="9" spans="1:19" x14ac:dyDescent="0.25">
      <c r="A9" t="s">
        <v>72</v>
      </c>
      <c r="B9">
        <v>20020001</v>
      </c>
      <c r="C9" t="s">
        <v>22</v>
      </c>
      <c r="D9">
        <v>1270</v>
      </c>
      <c r="G9" t="str">
        <f t="shared" si="0"/>
        <v>200200010002</v>
      </c>
      <c r="H9" s="29" t="s">
        <v>72</v>
      </c>
      <c r="I9" s="29">
        <v>20020001</v>
      </c>
      <c r="J9" t="s">
        <v>22</v>
      </c>
      <c r="K9">
        <v>1270</v>
      </c>
      <c r="L9">
        <v>1270</v>
      </c>
      <c r="O9" s="30" t="s">
        <v>81</v>
      </c>
      <c r="P9" s="29">
        <v>20010015</v>
      </c>
      <c r="Q9">
        <v>0</v>
      </c>
      <c r="R9">
        <v>12700</v>
      </c>
      <c r="S9">
        <v>6350</v>
      </c>
    </row>
    <row r="10" spans="1:19" x14ac:dyDescent="0.25">
      <c r="A10" t="s">
        <v>72</v>
      </c>
      <c r="B10">
        <v>20020001</v>
      </c>
      <c r="C10" t="s">
        <v>41</v>
      </c>
      <c r="D10">
        <v>2540</v>
      </c>
      <c r="G10" t="str">
        <f t="shared" si="0"/>
        <v>200200010005</v>
      </c>
      <c r="H10" s="29" t="s">
        <v>72</v>
      </c>
      <c r="I10" s="29">
        <v>20020001</v>
      </c>
      <c r="J10" t="s">
        <v>41</v>
      </c>
      <c r="K10">
        <v>2540</v>
      </c>
      <c r="L10">
        <v>2540</v>
      </c>
      <c r="O10" s="31" t="s">
        <v>82</v>
      </c>
      <c r="P10" s="31"/>
      <c r="Q10" s="31"/>
      <c r="R10" s="31">
        <f>SUM(R9)</f>
        <v>12700</v>
      </c>
      <c r="S10" s="31">
        <f>SUM(S9)</f>
        <v>6350</v>
      </c>
    </row>
    <row r="11" spans="1:19" x14ac:dyDescent="0.25">
      <c r="A11" t="s">
        <v>72</v>
      </c>
      <c r="B11">
        <v>20020001</v>
      </c>
      <c r="C11" t="s">
        <v>68</v>
      </c>
      <c r="D11">
        <v>1270</v>
      </c>
      <c r="G11" t="str">
        <f t="shared" si="0"/>
        <v>200200010025</v>
      </c>
      <c r="H11" s="29" t="s">
        <v>72</v>
      </c>
      <c r="I11" s="29">
        <v>20020001</v>
      </c>
      <c r="J11" t="s">
        <v>68</v>
      </c>
      <c r="K11">
        <v>1270</v>
      </c>
      <c r="L11">
        <v>1270</v>
      </c>
    </row>
    <row r="12" spans="1:19" x14ac:dyDescent="0.25">
      <c r="A12" t="s">
        <v>72</v>
      </c>
      <c r="B12">
        <v>20020001</v>
      </c>
      <c r="C12" t="s">
        <v>65</v>
      </c>
      <c r="D12">
        <v>1270</v>
      </c>
      <c r="G12" t="str">
        <f t="shared" si="0"/>
        <v>200200010047</v>
      </c>
      <c r="H12" s="29" t="s">
        <v>72</v>
      </c>
      <c r="I12" s="29">
        <v>20020001</v>
      </c>
      <c r="J12" t="s">
        <v>65</v>
      </c>
      <c r="K12">
        <v>1270</v>
      </c>
      <c r="L12">
        <v>1020</v>
      </c>
    </row>
    <row r="13" spans="1:19" x14ac:dyDescent="0.25">
      <c r="A13" t="s">
        <v>72</v>
      </c>
      <c r="B13">
        <v>20020001</v>
      </c>
      <c r="C13" t="s">
        <v>63</v>
      </c>
      <c r="D13">
        <v>1270</v>
      </c>
      <c r="G13" t="str">
        <f t="shared" si="0"/>
        <v>200200010103</v>
      </c>
      <c r="H13" s="29" t="s">
        <v>72</v>
      </c>
      <c r="I13" s="29">
        <v>20020001</v>
      </c>
      <c r="J13" t="s">
        <v>63</v>
      </c>
      <c r="K13">
        <v>1270</v>
      </c>
      <c r="L13">
        <v>1270</v>
      </c>
    </row>
    <row r="14" spans="1:19" x14ac:dyDescent="0.25">
      <c r="A14" t="s">
        <v>72</v>
      </c>
      <c r="B14">
        <v>20020001</v>
      </c>
      <c r="C14" t="s">
        <v>64</v>
      </c>
      <c r="D14">
        <v>1270</v>
      </c>
      <c r="G14" t="str">
        <f t="shared" si="0"/>
        <v>200200010106</v>
      </c>
      <c r="H14" s="29" t="s">
        <v>72</v>
      </c>
      <c r="I14" s="29">
        <v>20020001</v>
      </c>
      <c r="J14" t="s">
        <v>64</v>
      </c>
      <c r="K14">
        <v>1270</v>
      </c>
      <c r="L14">
        <v>1270</v>
      </c>
      <c r="O14" s="31" t="s">
        <v>76</v>
      </c>
      <c r="P14" s="31"/>
      <c r="Q14" s="31"/>
      <c r="R14" s="31">
        <v>2540</v>
      </c>
      <c r="S14" s="31">
        <v>2540</v>
      </c>
    </row>
    <row r="15" spans="1:19" x14ac:dyDescent="0.25">
      <c r="A15" t="s">
        <v>72</v>
      </c>
      <c r="B15">
        <v>20020001</v>
      </c>
      <c r="C15" t="s">
        <v>58</v>
      </c>
      <c r="D15">
        <v>2540</v>
      </c>
      <c r="G15" t="str">
        <f t="shared" si="0"/>
        <v>200200010121</v>
      </c>
      <c r="H15" s="29" t="s">
        <v>72</v>
      </c>
      <c r="I15" s="29">
        <v>20020001</v>
      </c>
      <c r="J15" t="s">
        <v>58</v>
      </c>
      <c r="K15">
        <v>2540</v>
      </c>
      <c r="L15">
        <v>2540</v>
      </c>
      <c r="O15" s="31" t="s">
        <v>75</v>
      </c>
      <c r="P15" s="31"/>
      <c r="Q15" s="31"/>
      <c r="R15" s="31">
        <v>131596</v>
      </c>
      <c r="S15" s="31">
        <v>130319</v>
      </c>
    </row>
    <row r="16" spans="1:19" ht="15.75" thickBot="1" x14ac:dyDescent="0.3">
      <c r="A16" t="s">
        <v>72</v>
      </c>
      <c r="B16">
        <v>20020001</v>
      </c>
      <c r="C16" t="s">
        <v>69</v>
      </c>
      <c r="D16">
        <v>1270</v>
      </c>
      <c r="G16" t="str">
        <f t="shared" si="0"/>
        <v>200200010123</v>
      </c>
      <c r="H16" s="29" t="s">
        <v>72</v>
      </c>
      <c r="I16" s="29">
        <v>20020001</v>
      </c>
      <c r="J16" t="s">
        <v>69</v>
      </c>
      <c r="K16">
        <v>1270</v>
      </c>
      <c r="L16">
        <v>1270</v>
      </c>
      <c r="O16" s="32" t="s">
        <v>82</v>
      </c>
      <c r="P16" s="32"/>
      <c r="Q16" s="32"/>
      <c r="R16" s="32">
        <v>12700</v>
      </c>
      <c r="S16" s="32">
        <v>6350</v>
      </c>
    </row>
    <row r="17" spans="1:19" ht="16.5" thickTop="1" thickBot="1" x14ac:dyDescent="0.3">
      <c r="A17" t="s">
        <v>72</v>
      </c>
      <c r="B17">
        <v>20020001</v>
      </c>
      <c r="C17" t="s">
        <v>66</v>
      </c>
      <c r="D17">
        <v>1270</v>
      </c>
      <c r="G17" t="str">
        <f t="shared" si="0"/>
        <v>200200010171</v>
      </c>
      <c r="H17" s="29" t="s">
        <v>72</v>
      </c>
      <c r="I17" s="29">
        <v>20020001</v>
      </c>
      <c r="J17" t="s">
        <v>66</v>
      </c>
      <c r="K17">
        <v>1270</v>
      </c>
      <c r="L17">
        <v>1270</v>
      </c>
      <c r="O17" s="33" t="s">
        <v>83</v>
      </c>
      <c r="P17" s="33"/>
      <c r="Q17" s="33"/>
      <c r="R17" s="33"/>
      <c r="S17" s="33">
        <f>SUM(S14:S16)</f>
        <v>139209</v>
      </c>
    </row>
    <row r="18" spans="1:19" x14ac:dyDescent="0.25">
      <c r="A18" t="s">
        <v>72</v>
      </c>
      <c r="B18">
        <v>20020001</v>
      </c>
      <c r="C18" t="s">
        <v>67</v>
      </c>
      <c r="D18">
        <v>1270</v>
      </c>
      <c r="G18" t="str">
        <f t="shared" si="0"/>
        <v>200200010180</v>
      </c>
      <c r="H18" s="29" t="s">
        <v>72</v>
      </c>
      <c r="I18" s="29">
        <v>20020001</v>
      </c>
      <c r="J18" t="s">
        <v>67</v>
      </c>
      <c r="K18">
        <v>1270</v>
      </c>
      <c r="L18">
        <v>1270</v>
      </c>
    </row>
    <row r="19" spans="1:19" x14ac:dyDescent="0.25">
      <c r="A19" t="s">
        <v>72</v>
      </c>
      <c r="B19">
        <v>20020002</v>
      </c>
      <c r="C19" t="s">
        <v>55</v>
      </c>
      <c r="D19">
        <v>2056</v>
      </c>
      <c r="G19" t="str">
        <f t="shared" si="0"/>
        <v>200200020055</v>
      </c>
      <c r="H19" s="29" t="s">
        <v>72</v>
      </c>
      <c r="I19" s="29">
        <v>20020002</v>
      </c>
      <c r="J19" t="s">
        <v>55</v>
      </c>
      <c r="K19">
        <v>2056</v>
      </c>
      <c r="L19">
        <v>2056</v>
      </c>
    </row>
    <row r="20" spans="1:19" x14ac:dyDescent="0.25">
      <c r="A20" t="s">
        <v>72</v>
      </c>
      <c r="B20">
        <v>20020003</v>
      </c>
      <c r="C20" t="s">
        <v>22</v>
      </c>
      <c r="D20">
        <v>6350</v>
      </c>
      <c r="G20" t="str">
        <f t="shared" si="0"/>
        <v>200200030002</v>
      </c>
      <c r="H20" s="29" t="s">
        <v>72</v>
      </c>
      <c r="I20" s="29">
        <v>20020003</v>
      </c>
      <c r="J20" t="s">
        <v>22</v>
      </c>
      <c r="K20">
        <v>6350</v>
      </c>
      <c r="L20">
        <v>6350</v>
      </c>
    </row>
    <row r="21" spans="1:19" x14ac:dyDescent="0.25">
      <c r="A21" t="s">
        <v>72</v>
      </c>
      <c r="B21">
        <v>20020006</v>
      </c>
      <c r="C21" t="s">
        <v>22</v>
      </c>
      <c r="D21">
        <v>6350</v>
      </c>
      <c r="G21" t="str">
        <f t="shared" si="0"/>
        <v>200200060002</v>
      </c>
      <c r="H21" s="29" t="s">
        <v>72</v>
      </c>
      <c r="I21" s="29">
        <v>20020006</v>
      </c>
      <c r="J21" t="s">
        <v>22</v>
      </c>
      <c r="K21">
        <v>6350</v>
      </c>
      <c r="L21">
        <v>6350</v>
      </c>
    </row>
    <row r="22" spans="1:19" x14ac:dyDescent="0.25">
      <c r="A22" t="s">
        <v>72</v>
      </c>
      <c r="B22">
        <v>20020025</v>
      </c>
      <c r="C22" t="s">
        <v>31</v>
      </c>
      <c r="D22">
        <v>1270</v>
      </c>
      <c r="G22" t="str">
        <f t="shared" si="0"/>
        <v>200200250003</v>
      </c>
      <c r="H22" s="29" t="s">
        <v>72</v>
      </c>
      <c r="I22" s="29">
        <v>20020025</v>
      </c>
      <c r="J22" t="s">
        <v>31</v>
      </c>
      <c r="K22">
        <v>1270</v>
      </c>
      <c r="L22">
        <v>1270</v>
      </c>
    </row>
    <row r="23" spans="1:19" x14ac:dyDescent="0.25">
      <c r="A23" t="s">
        <v>72</v>
      </c>
      <c r="B23">
        <v>20020025</v>
      </c>
      <c r="C23" t="s">
        <v>50</v>
      </c>
      <c r="D23">
        <v>1270</v>
      </c>
      <c r="G23" t="str">
        <f t="shared" si="0"/>
        <v>200200250004</v>
      </c>
      <c r="H23" s="29" t="s">
        <v>72</v>
      </c>
      <c r="I23" s="29">
        <v>20020025</v>
      </c>
      <c r="J23" t="s">
        <v>50</v>
      </c>
      <c r="K23">
        <v>1270</v>
      </c>
      <c r="L23">
        <v>710</v>
      </c>
    </row>
    <row r="24" spans="1:19" x14ac:dyDescent="0.25">
      <c r="A24" t="s">
        <v>72</v>
      </c>
      <c r="B24">
        <v>20020025</v>
      </c>
      <c r="C24" t="s">
        <v>56</v>
      </c>
      <c r="D24">
        <v>1270</v>
      </c>
      <c r="G24" t="str">
        <f t="shared" si="0"/>
        <v>200200250008</v>
      </c>
      <c r="H24" s="29" t="s">
        <v>72</v>
      </c>
      <c r="I24" s="29">
        <v>20020025</v>
      </c>
      <c r="J24" t="s">
        <v>56</v>
      </c>
      <c r="K24">
        <v>1270</v>
      </c>
      <c r="L24">
        <v>1270</v>
      </c>
    </row>
    <row r="25" spans="1:19" x14ac:dyDescent="0.25">
      <c r="A25" t="s">
        <v>72</v>
      </c>
      <c r="B25">
        <v>20020025</v>
      </c>
      <c r="C25" t="s">
        <v>27</v>
      </c>
      <c r="D25">
        <v>3810</v>
      </c>
      <c r="G25" t="str">
        <f t="shared" si="0"/>
        <v>200200250022</v>
      </c>
      <c r="H25" s="29" t="s">
        <v>72</v>
      </c>
      <c r="I25" s="29">
        <v>20020025</v>
      </c>
      <c r="J25" t="s">
        <v>27</v>
      </c>
      <c r="K25">
        <v>3810</v>
      </c>
      <c r="L25">
        <v>3810</v>
      </c>
    </row>
    <row r="26" spans="1:19" x14ac:dyDescent="0.25">
      <c r="A26" t="s">
        <v>72</v>
      </c>
      <c r="B26">
        <v>20020027</v>
      </c>
      <c r="C26" t="s">
        <v>22</v>
      </c>
      <c r="D26">
        <v>2540</v>
      </c>
      <c r="G26" t="str">
        <f t="shared" si="0"/>
        <v>200200270002</v>
      </c>
      <c r="H26" s="29" t="s">
        <v>72</v>
      </c>
      <c r="I26" s="29">
        <v>20020027</v>
      </c>
      <c r="J26" t="s">
        <v>22</v>
      </c>
      <c r="K26">
        <v>2540</v>
      </c>
      <c r="L26">
        <v>2540</v>
      </c>
    </row>
    <row r="27" spans="1:19" x14ac:dyDescent="0.25">
      <c r="A27" t="s">
        <v>72</v>
      </c>
      <c r="B27">
        <v>20040001</v>
      </c>
      <c r="C27" t="s">
        <v>31</v>
      </c>
      <c r="D27">
        <v>1270</v>
      </c>
      <c r="G27" t="str">
        <f t="shared" si="0"/>
        <v>200400010003</v>
      </c>
      <c r="H27" s="29" t="s">
        <v>72</v>
      </c>
      <c r="I27" s="29">
        <v>20040001</v>
      </c>
      <c r="J27" t="s">
        <v>31</v>
      </c>
      <c r="K27">
        <v>1270</v>
      </c>
      <c r="L27">
        <v>1270</v>
      </c>
    </row>
    <row r="28" spans="1:19" x14ac:dyDescent="0.25">
      <c r="A28" t="s">
        <v>72</v>
      </c>
      <c r="B28">
        <v>20040001</v>
      </c>
      <c r="C28" t="s">
        <v>56</v>
      </c>
      <c r="D28">
        <v>1270</v>
      </c>
      <c r="G28" t="str">
        <f t="shared" si="0"/>
        <v>200400010008</v>
      </c>
      <c r="H28" s="29" t="s">
        <v>72</v>
      </c>
      <c r="I28" s="29">
        <v>20040001</v>
      </c>
      <c r="J28" t="s">
        <v>56</v>
      </c>
      <c r="K28">
        <v>1270</v>
      </c>
      <c r="L28">
        <v>1270</v>
      </c>
    </row>
    <row r="29" spans="1:19" x14ac:dyDescent="0.25">
      <c r="A29" t="s">
        <v>72</v>
      </c>
      <c r="B29">
        <v>20050001</v>
      </c>
      <c r="C29" t="s">
        <v>49</v>
      </c>
      <c r="D29">
        <v>1270</v>
      </c>
      <c r="G29" t="str">
        <f t="shared" si="0"/>
        <v>200500010049</v>
      </c>
      <c r="H29" s="29" t="s">
        <v>72</v>
      </c>
      <c r="I29" s="29">
        <v>20050001</v>
      </c>
      <c r="J29" t="s">
        <v>49</v>
      </c>
      <c r="K29">
        <v>1270</v>
      </c>
      <c r="L29">
        <v>1270</v>
      </c>
    </row>
    <row r="30" spans="1:19" x14ac:dyDescent="0.25">
      <c r="A30" t="s">
        <v>72</v>
      </c>
      <c r="B30">
        <v>20050003</v>
      </c>
      <c r="C30" t="s">
        <v>28</v>
      </c>
      <c r="D30">
        <v>1270</v>
      </c>
      <c r="G30" t="str">
        <f t="shared" si="0"/>
        <v>200500030026</v>
      </c>
      <c r="H30" s="29" t="s">
        <v>72</v>
      </c>
      <c r="I30" s="29">
        <v>20050003</v>
      </c>
      <c r="J30" t="s">
        <v>28</v>
      </c>
      <c r="K30">
        <v>1270</v>
      </c>
      <c r="L30">
        <v>1270</v>
      </c>
    </row>
    <row r="31" spans="1:19" x14ac:dyDescent="0.25">
      <c r="A31" t="s">
        <v>72</v>
      </c>
      <c r="B31">
        <v>20060003</v>
      </c>
      <c r="C31" t="s">
        <v>22</v>
      </c>
      <c r="D31">
        <v>31750</v>
      </c>
      <c r="G31" t="str">
        <f t="shared" si="0"/>
        <v>200600030002</v>
      </c>
      <c r="H31" s="29" t="s">
        <v>72</v>
      </c>
      <c r="I31" s="29">
        <v>20060003</v>
      </c>
      <c r="J31" t="s">
        <v>22</v>
      </c>
      <c r="K31">
        <v>31750</v>
      </c>
      <c r="L31">
        <v>31750</v>
      </c>
    </row>
    <row r="32" spans="1:19" x14ac:dyDescent="0.25">
      <c r="A32" t="s">
        <v>72</v>
      </c>
      <c r="B32">
        <v>20090004</v>
      </c>
      <c r="C32" t="s">
        <v>52</v>
      </c>
      <c r="D32">
        <v>1270</v>
      </c>
      <c r="G32" t="str">
        <f t="shared" si="0"/>
        <v>200900040021</v>
      </c>
      <c r="H32" s="29" t="s">
        <v>72</v>
      </c>
      <c r="I32" s="29">
        <v>20090004</v>
      </c>
      <c r="J32" t="s">
        <v>52</v>
      </c>
      <c r="K32">
        <v>1270</v>
      </c>
      <c r="L32">
        <v>1270</v>
      </c>
    </row>
    <row r="33" spans="1:12" x14ac:dyDescent="0.25">
      <c r="A33" t="s">
        <v>72</v>
      </c>
      <c r="B33">
        <v>20090008</v>
      </c>
      <c r="C33" t="s">
        <v>41</v>
      </c>
      <c r="D33">
        <v>635</v>
      </c>
      <c r="G33" t="str">
        <f t="shared" si="0"/>
        <v>200900080005</v>
      </c>
      <c r="H33" s="29" t="s">
        <v>72</v>
      </c>
      <c r="I33" s="29">
        <v>20090008</v>
      </c>
      <c r="J33" t="s">
        <v>41</v>
      </c>
      <c r="K33">
        <v>635</v>
      </c>
      <c r="L33">
        <v>635</v>
      </c>
    </row>
    <row r="34" spans="1:12" x14ac:dyDescent="0.25">
      <c r="A34" t="s">
        <v>72</v>
      </c>
      <c r="B34">
        <v>20090014</v>
      </c>
      <c r="C34" t="s">
        <v>59</v>
      </c>
      <c r="D34">
        <v>12700</v>
      </c>
      <c r="G34" t="str">
        <f t="shared" si="0"/>
        <v>200900140015</v>
      </c>
      <c r="H34" s="29" t="s">
        <v>72</v>
      </c>
      <c r="I34" s="29">
        <v>20090014</v>
      </c>
      <c r="J34" t="s">
        <v>59</v>
      </c>
      <c r="K34">
        <v>12700</v>
      </c>
      <c r="L34">
        <v>12700</v>
      </c>
    </row>
    <row r="35" spans="1:12" x14ac:dyDescent="0.25">
      <c r="A35" t="s">
        <v>72</v>
      </c>
      <c r="B35">
        <v>20090015</v>
      </c>
      <c r="C35" t="s">
        <v>22</v>
      </c>
      <c r="D35">
        <v>1270</v>
      </c>
      <c r="G35" t="str">
        <f t="shared" si="0"/>
        <v>200900150002</v>
      </c>
      <c r="H35" s="29" t="s">
        <v>72</v>
      </c>
      <c r="I35" s="29">
        <v>20090015</v>
      </c>
      <c r="J35" t="s">
        <v>22</v>
      </c>
      <c r="K35">
        <v>1270</v>
      </c>
      <c r="L35">
        <v>803</v>
      </c>
    </row>
    <row r="36" spans="1:12" x14ac:dyDescent="0.25">
      <c r="A36" t="s">
        <v>72</v>
      </c>
      <c r="B36">
        <v>20090015</v>
      </c>
      <c r="C36" t="s">
        <v>60</v>
      </c>
      <c r="D36">
        <v>1270</v>
      </c>
      <c r="G36" t="str">
        <f t="shared" si="0"/>
        <v>200900150010</v>
      </c>
      <c r="H36" s="29" t="s">
        <v>72</v>
      </c>
      <c r="I36" s="29">
        <v>20090015</v>
      </c>
      <c r="J36" t="s">
        <v>60</v>
      </c>
      <c r="K36">
        <v>1270</v>
      </c>
      <c r="L36">
        <v>1270</v>
      </c>
    </row>
    <row r="37" spans="1:12" x14ac:dyDescent="0.25">
      <c r="A37" t="s">
        <v>72</v>
      </c>
      <c r="B37">
        <v>20090020</v>
      </c>
      <c r="C37" t="s">
        <v>22</v>
      </c>
      <c r="D37">
        <v>1270</v>
      </c>
      <c r="G37" t="str">
        <f t="shared" si="0"/>
        <v>200900200002</v>
      </c>
      <c r="H37" s="29" t="s">
        <v>72</v>
      </c>
      <c r="I37" s="29">
        <v>20090020</v>
      </c>
      <c r="J37" t="s">
        <v>22</v>
      </c>
      <c r="K37">
        <v>1270</v>
      </c>
      <c r="L37">
        <v>1270</v>
      </c>
    </row>
    <row r="38" spans="1:12" x14ac:dyDescent="0.25">
      <c r="A38" t="s">
        <v>72</v>
      </c>
      <c r="B38">
        <v>20090020</v>
      </c>
      <c r="C38" t="s">
        <v>41</v>
      </c>
      <c r="D38">
        <v>2540</v>
      </c>
      <c r="G38" t="str">
        <f t="shared" si="0"/>
        <v>200900200005</v>
      </c>
      <c r="H38" s="29" t="s">
        <v>72</v>
      </c>
      <c r="I38" s="29">
        <v>20090020</v>
      </c>
      <c r="J38" t="s">
        <v>41</v>
      </c>
      <c r="K38">
        <v>2540</v>
      </c>
      <c r="L38">
        <v>2540</v>
      </c>
    </row>
    <row r="39" spans="1:12" x14ac:dyDescent="0.25">
      <c r="A39" t="s">
        <v>72</v>
      </c>
      <c r="B39">
        <v>20090023</v>
      </c>
      <c r="C39" t="s">
        <v>22</v>
      </c>
      <c r="D39">
        <v>635</v>
      </c>
      <c r="G39" t="str">
        <f t="shared" si="0"/>
        <v>200900230002</v>
      </c>
      <c r="H39" s="30" t="s">
        <v>72</v>
      </c>
      <c r="I39" s="29">
        <v>20090023</v>
      </c>
      <c r="J39" t="s">
        <v>22</v>
      </c>
      <c r="K39">
        <v>635</v>
      </c>
      <c r="L39">
        <v>635</v>
      </c>
    </row>
    <row r="40" spans="1:12" x14ac:dyDescent="0.25">
      <c r="A40" t="s">
        <v>75</v>
      </c>
      <c r="D40">
        <v>131596</v>
      </c>
      <c r="G40" s="31" t="s">
        <v>75</v>
      </c>
      <c r="H40" s="31"/>
      <c r="I40" s="31"/>
      <c r="J40" s="31"/>
      <c r="K40" s="31">
        <v>131596</v>
      </c>
      <c r="L40" s="31">
        <f>SUM(L5:L39)</f>
        <v>130319</v>
      </c>
    </row>
    <row r="41" spans="1:12" x14ac:dyDescent="0.25">
      <c r="A41" t="s">
        <v>73</v>
      </c>
      <c r="B41">
        <v>20090025</v>
      </c>
      <c r="C41" t="s">
        <v>22</v>
      </c>
      <c r="D41">
        <v>2540</v>
      </c>
    </row>
    <row r="42" spans="1:12" x14ac:dyDescent="0.25">
      <c r="A42" t="s">
        <v>76</v>
      </c>
      <c r="D42">
        <v>2540</v>
      </c>
    </row>
    <row r="43" spans="1:12" x14ac:dyDescent="0.25">
      <c r="A43" t="s">
        <v>74</v>
      </c>
      <c r="D43">
        <v>134136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549A-4498-4670-9FE1-FC93B1EDBDBC}">
  <dimension ref="A1:T38"/>
  <sheetViews>
    <sheetView topLeftCell="A2" workbookViewId="0">
      <selection sqref="A1:T37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11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4.42578125" customWidth="1"/>
    <col min="8" max="8" width="10.140625" bestFit="1" customWidth="1"/>
    <col min="9" max="9" width="15.42578125" bestFit="1" customWidth="1"/>
    <col min="11" max="11" width="15.42578125" bestFit="1" customWidth="1"/>
    <col min="12" max="12" width="11.7109375" bestFit="1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</row>
    <row r="2" spans="1:20" x14ac:dyDescent="0.25">
      <c r="A2" s="4">
        <v>46206.861194282406</v>
      </c>
      <c r="B2" s="5" t="s">
        <v>43</v>
      </c>
      <c r="C2" s="6">
        <v>46206</v>
      </c>
      <c r="D2" s="10" t="s">
        <v>61</v>
      </c>
      <c r="E2" s="5" t="s">
        <v>20</v>
      </c>
      <c r="F2" t="str">
        <f>CONCATENATE(Table7[[#This Row],[MPG Code]],Table7[[#This Row],[Farmer code]])</f>
        <v>200100540012</v>
      </c>
      <c r="G2" t="s">
        <v>72</v>
      </c>
      <c r="H2" s="7">
        <v>20010054</v>
      </c>
      <c r="I2" s="5" t="s">
        <v>29</v>
      </c>
      <c r="J2" s="8" t="s">
        <v>30</v>
      </c>
      <c r="K2" s="5" t="s">
        <v>25</v>
      </c>
      <c r="L2" s="5" t="s">
        <v>24</v>
      </c>
      <c r="M2" s="7">
        <v>1</v>
      </c>
      <c r="N2" s="7">
        <v>1270</v>
      </c>
      <c r="O2" s="7">
        <v>1270</v>
      </c>
      <c r="P2" s="7">
        <v>0</v>
      </c>
      <c r="Q2" s="7">
        <v>1270</v>
      </c>
      <c r="R2" s="7">
        <v>1</v>
      </c>
      <c r="S2" s="7">
        <v>1270</v>
      </c>
      <c r="T2" s="9"/>
    </row>
    <row r="3" spans="1:20" x14ac:dyDescent="0.25">
      <c r="A3" s="4">
        <v>46206.862034143516</v>
      </c>
      <c r="B3" s="5" t="s">
        <v>43</v>
      </c>
      <c r="C3" s="6">
        <v>46206</v>
      </c>
      <c r="D3" s="10" t="s">
        <v>61</v>
      </c>
      <c r="E3" s="5" t="s">
        <v>20</v>
      </c>
      <c r="F3" t="str">
        <f>CONCATENATE(Table7[[#This Row],[MPG Code]],Table7[[#This Row],[Farmer code]])</f>
        <v>200900040021</v>
      </c>
      <c r="G3" t="s">
        <v>72</v>
      </c>
      <c r="H3" s="7">
        <v>20090004</v>
      </c>
      <c r="I3" s="5" t="s">
        <v>53</v>
      </c>
      <c r="J3" s="8" t="s">
        <v>52</v>
      </c>
      <c r="K3" s="5" t="s">
        <v>25</v>
      </c>
      <c r="L3" s="5" t="s">
        <v>24</v>
      </c>
      <c r="M3" s="7">
        <v>1</v>
      </c>
      <c r="N3" s="7">
        <v>1270</v>
      </c>
      <c r="O3" s="7">
        <v>1270</v>
      </c>
      <c r="P3" s="7">
        <v>0</v>
      </c>
      <c r="Q3" s="7">
        <v>1270</v>
      </c>
      <c r="R3" s="7">
        <v>1</v>
      </c>
      <c r="S3" s="7">
        <v>1270</v>
      </c>
      <c r="T3" s="9"/>
    </row>
    <row r="4" spans="1:20" x14ac:dyDescent="0.25">
      <c r="A4" s="4">
        <v>46206.862533946754</v>
      </c>
      <c r="B4" s="5" t="s">
        <v>43</v>
      </c>
      <c r="C4" s="6">
        <v>46206</v>
      </c>
      <c r="D4" s="10" t="s">
        <v>61</v>
      </c>
      <c r="E4" s="5" t="s">
        <v>20</v>
      </c>
      <c r="F4" t="str">
        <f>CONCATENATE(Table7[[#This Row],[MPG Code]],Table7[[#This Row],[Farmer code]])</f>
        <v>200900080005</v>
      </c>
      <c r="G4" t="s">
        <v>72</v>
      </c>
      <c r="H4" s="7">
        <v>20090008</v>
      </c>
      <c r="I4" s="5" t="s">
        <v>44</v>
      </c>
      <c r="J4" s="8" t="s">
        <v>41</v>
      </c>
      <c r="K4" s="5" t="s">
        <v>25</v>
      </c>
      <c r="L4" s="5" t="s">
        <v>24</v>
      </c>
      <c r="M4" s="7">
        <v>0</v>
      </c>
      <c r="N4" s="7">
        <v>1270</v>
      </c>
      <c r="O4" s="7">
        <v>0</v>
      </c>
      <c r="P4" s="7">
        <v>635</v>
      </c>
      <c r="Q4" s="7">
        <v>635</v>
      </c>
      <c r="R4" s="7">
        <v>0</v>
      </c>
      <c r="S4" s="7">
        <v>635</v>
      </c>
      <c r="T4" s="9"/>
    </row>
    <row r="5" spans="1:20" x14ac:dyDescent="0.25">
      <c r="A5" s="4">
        <v>46206.863146724536</v>
      </c>
      <c r="B5" s="5" t="s">
        <v>43</v>
      </c>
      <c r="C5" s="6">
        <v>46206</v>
      </c>
      <c r="D5" s="10" t="s">
        <v>61</v>
      </c>
      <c r="E5" s="5" t="s">
        <v>20</v>
      </c>
      <c r="F5" t="str">
        <f>CONCATENATE(Table7[[#This Row],[MPG Code]],Table7[[#This Row],[Farmer code]])</f>
        <v>200900140015</v>
      </c>
      <c r="G5" t="s">
        <v>72</v>
      </c>
      <c r="H5" s="7">
        <v>20090014</v>
      </c>
      <c r="I5" s="5" t="s">
        <v>62</v>
      </c>
      <c r="J5" s="8" t="s">
        <v>59</v>
      </c>
      <c r="K5" s="5" t="s">
        <v>25</v>
      </c>
      <c r="L5" s="5" t="s">
        <v>24</v>
      </c>
      <c r="M5" s="7">
        <v>10</v>
      </c>
      <c r="N5" s="7">
        <v>1270</v>
      </c>
      <c r="O5" s="7">
        <v>12700</v>
      </c>
      <c r="P5" s="7">
        <v>0</v>
      </c>
      <c r="Q5" s="7">
        <v>12700</v>
      </c>
      <c r="R5" s="7">
        <v>10</v>
      </c>
      <c r="S5" s="7">
        <v>12700</v>
      </c>
      <c r="T5" s="9"/>
    </row>
    <row r="6" spans="1:20" x14ac:dyDescent="0.25">
      <c r="A6" s="4">
        <v>46206.863410104168</v>
      </c>
      <c r="B6" s="5" t="s">
        <v>43</v>
      </c>
      <c r="C6" s="6">
        <v>46206</v>
      </c>
      <c r="D6" s="10" t="s">
        <v>61</v>
      </c>
      <c r="E6" s="5" t="s">
        <v>20</v>
      </c>
      <c r="F6" t="str">
        <f>CONCATENATE(Table7[[#This Row],[MPG Code]],Table7[[#This Row],[Farmer code]])</f>
        <v>200900150002</v>
      </c>
      <c r="G6" t="s">
        <v>72</v>
      </c>
      <c r="H6" s="7">
        <v>20090015</v>
      </c>
      <c r="I6" s="5" t="s">
        <v>26</v>
      </c>
      <c r="J6" s="8" t="s">
        <v>22</v>
      </c>
      <c r="K6" s="5" t="s">
        <v>25</v>
      </c>
      <c r="L6" s="5" t="s">
        <v>24</v>
      </c>
      <c r="M6" s="7">
        <v>1</v>
      </c>
      <c r="N6" s="7">
        <v>1270</v>
      </c>
      <c r="O6" s="7">
        <v>1270</v>
      </c>
      <c r="P6" s="7">
        <v>0</v>
      </c>
      <c r="Q6" s="7">
        <v>1270</v>
      </c>
      <c r="R6" s="7">
        <v>1</v>
      </c>
      <c r="S6" s="7">
        <v>1270</v>
      </c>
      <c r="T6" s="9"/>
    </row>
    <row r="7" spans="1:20" x14ac:dyDescent="0.25">
      <c r="A7" s="4">
        <v>46206.863679745366</v>
      </c>
      <c r="B7" s="5" t="s">
        <v>43</v>
      </c>
      <c r="C7" s="6">
        <v>46206</v>
      </c>
      <c r="D7" s="10" t="s">
        <v>61</v>
      </c>
      <c r="E7" s="5" t="s">
        <v>20</v>
      </c>
      <c r="F7" t="str">
        <f>CONCATENATE(Table7[[#This Row],[MPG Code]],Table7[[#This Row],[Farmer code]])</f>
        <v>200900150010</v>
      </c>
      <c r="G7" t="s">
        <v>72</v>
      </c>
      <c r="H7" s="7">
        <v>20090015</v>
      </c>
      <c r="I7" s="5" t="s">
        <v>26</v>
      </c>
      <c r="J7" s="8" t="s">
        <v>60</v>
      </c>
      <c r="K7" s="5" t="s">
        <v>25</v>
      </c>
      <c r="L7" s="5" t="s">
        <v>24</v>
      </c>
      <c r="M7" s="7">
        <v>1</v>
      </c>
      <c r="N7" s="7">
        <v>1270</v>
      </c>
      <c r="O7" s="7">
        <v>1270</v>
      </c>
      <c r="P7" s="7">
        <v>0</v>
      </c>
      <c r="Q7" s="7">
        <v>1270</v>
      </c>
      <c r="R7" s="7">
        <v>1</v>
      </c>
      <c r="S7" s="7">
        <v>1270</v>
      </c>
      <c r="T7" s="9"/>
    </row>
    <row r="8" spans="1:20" x14ac:dyDescent="0.25">
      <c r="A8" s="4">
        <v>46206.864269814818</v>
      </c>
      <c r="B8" s="5" t="s">
        <v>43</v>
      </c>
      <c r="C8" s="6">
        <v>46206</v>
      </c>
      <c r="D8" s="10" t="s">
        <v>61</v>
      </c>
      <c r="E8" s="5" t="s">
        <v>20</v>
      </c>
      <c r="F8" t="str">
        <f>CONCATENATE(Table7[[#This Row],[MPG Code]],Table7[[#This Row],[Farmer code]])</f>
        <v>200900200005</v>
      </c>
      <c r="G8" t="s">
        <v>72</v>
      </c>
      <c r="H8" s="7">
        <v>20090020</v>
      </c>
      <c r="I8" s="5" t="s">
        <v>46</v>
      </c>
      <c r="J8" s="8" t="s">
        <v>41</v>
      </c>
      <c r="K8" s="5" t="s">
        <v>25</v>
      </c>
      <c r="L8" s="5" t="s">
        <v>24</v>
      </c>
      <c r="M8" s="7">
        <v>2</v>
      </c>
      <c r="N8" s="7">
        <v>1270</v>
      </c>
      <c r="O8" s="7">
        <v>2540</v>
      </c>
      <c r="P8" s="7">
        <v>0</v>
      </c>
      <c r="Q8" s="7">
        <v>2540</v>
      </c>
      <c r="R8" s="7">
        <v>2</v>
      </c>
      <c r="S8" s="7">
        <v>2540</v>
      </c>
      <c r="T8" s="9"/>
    </row>
    <row r="9" spans="1:20" x14ac:dyDescent="0.25">
      <c r="A9" s="4">
        <v>46206.864722719911</v>
      </c>
      <c r="B9" s="5" t="s">
        <v>43</v>
      </c>
      <c r="C9" s="6">
        <v>46206</v>
      </c>
      <c r="D9" s="10" t="s">
        <v>61</v>
      </c>
      <c r="E9" s="5" t="s">
        <v>20</v>
      </c>
      <c r="F9" t="str">
        <f>CONCATENATE(Table7[[#This Row],[MPG Code]],Table7[[#This Row],[Farmer code]])</f>
        <v>200900200002</v>
      </c>
      <c r="G9" t="s">
        <v>72</v>
      </c>
      <c r="H9" s="7">
        <v>20090020</v>
      </c>
      <c r="I9" s="5" t="s">
        <v>46</v>
      </c>
      <c r="J9" s="8" t="s">
        <v>22</v>
      </c>
      <c r="K9" s="5" t="s">
        <v>25</v>
      </c>
      <c r="L9" s="5" t="s">
        <v>24</v>
      </c>
      <c r="M9" s="7">
        <v>1</v>
      </c>
      <c r="N9" s="7">
        <v>1270</v>
      </c>
      <c r="O9" s="7">
        <v>1270</v>
      </c>
      <c r="P9" s="7">
        <v>0</v>
      </c>
      <c r="Q9" s="7">
        <v>1270</v>
      </c>
      <c r="R9" s="7">
        <v>1</v>
      </c>
      <c r="S9" s="7">
        <v>1270</v>
      </c>
      <c r="T9" s="9"/>
    </row>
    <row r="10" spans="1:20" x14ac:dyDescent="0.25">
      <c r="A10" s="4">
        <v>46206.864945335648</v>
      </c>
      <c r="B10" s="5" t="s">
        <v>43</v>
      </c>
      <c r="C10" s="6">
        <v>46206</v>
      </c>
      <c r="D10" s="10" t="s">
        <v>61</v>
      </c>
      <c r="E10" s="5" t="s">
        <v>20</v>
      </c>
      <c r="F10" t="str">
        <f>CONCATENATE(Table7[[#This Row],[MPG Code]],Table7[[#This Row],[Farmer code]])</f>
        <v>200900230002</v>
      </c>
      <c r="G10" t="s">
        <v>72</v>
      </c>
      <c r="H10" s="7">
        <v>20090023</v>
      </c>
      <c r="I10" s="5" t="s">
        <v>45</v>
      </c>
      <c r="J10" s="8" t="s">
        <v>22</v>
      </c>
      <c r="K10" s="5" t="s">
        <v>25</v>
      </c>
      <c r="L10" s="5" t="s">
        <v>24</v>
      </c>
      <c r="M10" s="7">
        <v>0</v>
      </c>
      <c r="N10" s="7">
        <v>1270</v>
      </c>
      <c r="O10" s="7">
        <v>0</v>
      </c>
      <c r="P10" s="7">
        <v>635</v>
      </c>
      <c r="Q10" s="7">
        <v>635</v>
      </c>
      <c r="R10" s="7">
        <v>0</v>
      </c>
      <c r="S10" s="7">
        <v>635</v>
      </c>
      <c r="T10" s="9"/>
    </row>
    <row r="11" spans="1:20" x14ac:dyDescent="0.25">
      <c r="A11" s="4">
        <v>46206.865638136573</v>
      </c>
      <c r="B11" s="5" t="s">
        <v>43</v>
      </c>
      <c r="C11" s="6">
        <v>46206</v>
      </c>
      <c r="D11" s="10" t="s">
        <v>61</v>
      </c>
      <c r="E11" s="5" t="s">
        <v>20</v>
      </c>
      <c r="F11" t="str">
        <f>CONCATENATE(Table7[[#This Row],[MPG Code]],Table7[[#This Row],[Farmer code]])</f>
        <v>200400010008</v>
      </c>
      <c r="G11" t="s">
        <v>72</v>
      </c>
      <c r="H11" s="7">
        <v>20040001</v>
      </c>
      <c r="I11" s="5" t="s">
        <v>51</v>
      </c>
      <c r="J11" s="8" t="s">
        <v>56</v>
      </c>
      <c r="K11" s="5" t="s">
        <v>51</v>
      </c>
      <c r="L11" s="5" t="s">
        <v>24</v>
      </c>
      <c r="M11" s="7">
        <v>1</v>
      </c>
      <c r="N11" s="7">
        <v>1270</v>
      </c>
      <c r="O11" s="7">
        <v>1270</v>
      </c>
      <c r="P11" s="7">
        <v>0</v>
      </c>
      <c r="Q11" s="7">
        <v>1270</v>
      </c>
      <c r="R11" s="7">
        <v>1</v>
      </c>
      <c r="S11" s="7">
        <v>1270</v>
      </c>
      <c r="T11" s="9"/>
    </row>
    <row r="12" spans="1:20" x14ac:dyDescent="0.25">
      <c r="A12" s="4">
        <v>46206.865860729165</v>
      </c>
      <c r="B12" s="5" t="s">
        <v>43</v>
      </c>
      <c r="C12" s="6">
        <v>46206</v>
      </c>
      <c r="D12" s="10" t="s">
        <v>61</v>
      </c>
      <c r="E12" s="5" t="s">
        <v>20</v>
      </c>
      <c r="F12" t="str">
        <f>CONCATENATE(Table7[[#This Row],[MPG Code]],Table7[[#This Row],[Farmer code]])</f>
        <v>200400010003</v>
      </c>
      <c r="G12" t="s">
        <v>72</v>
      </c>
      <c r="H12" s="7">
        <v>20040001</v>
      </c>
      <c r="I12" s="5" t="s">
        <v>51</v>
      </c>
      <c r="J12" s="8" t="s">
        <v>31</v>
      </c>
      <c r="K12" s="5" t="s">
        <v>51</v>
      </c>
      <c r="L12" s="5" t="s">
        <v>24</v>
      </c>
      <c r="M12" s="7">
        <v>1</v>
      </c>
      <c r="N12" s="7">
        <v>1270</v>
      </c>
      <c r="O12" s="7">
        <v>1270</v>
      </c>
      <c r="P12" s="7">
        <v>0</v>
      </c>
      <c r="Q12" s="7">
        <v>1270</v>
      </c>
      <c r="R12" s="7">
        <v>1</v>
      </c>
      <c r="S12" s="7">
        <v>1270</v>
      </c>
      <c r="T12" s="9"/>
    </row>
    <row r="13" spans="1:20" x14ac:dyDescent="0.25">
      <c r="A13" s="4">
        <v>46206.982268414351</v>
      </c>
      <c r="B13" s="5" t="s">
        <v>19</v>
      </c>
      <c r="C13" s="6">
        <v>46206</v>
      </c>
      <c r="D13" s="10" t="s">
        <v>61</v>
      </c>
      <c r="E13" s="5" t="s">
        <v>20</v>
      </c>
      <c r="F13" t="str">
        <f>CONCATENATE(Table7[[#This Row],[MPG Code]],Table7[[#This Row],[Farmer code]])</f>
        <v>200600030002</v>
      </c>
      <c r="G13" t="s">
        <v>72</v>
      </c>
      <c r="H13" s="7">
        <v>20060003</v>
      </c>
      <c r="I13" s="5" t="s">
        <v>21</v>
      </c>
      <c r="J13" s="8" t="s">
        <v>22</v>
      </c>
      <c r="K13" s="5" t="s">
        <v>23</v>
      </c>
      <c r="L13" s="5" t="s">
        <v>24</v>
      </c>
      <c r="M13" s="7">
        <v>25</v>
      </c>
      <c r="N13" s="7">
        <v>1270</v>
      </c>
      <c r="O13" s="7">
        <v>31750</v>
      </c>
      <c r="P13" s="7">
        <v>0</v>
      </c>
      <c r="Q13" s="7">
        <v>31750</v>
      </c>
      <c r="R13" s="7">
        <v>25</v>
      </c>
      <c r="S13" s="7">
        <v>31750</v>
      </c>
      <c r="T13" s="9"/>
    </row>
    <row r="14" spans="1:20" x14ac:dyDescent="0.25">
      <c r="A14" s="4">
        <v>46206.982944085648</v>
      </c>
      <c r="B14" s="5" t="s">
        <v>19</v>
      </c>
      <c r="C14" s="6">
        <v>46206</v>
      </c>
      <c r="D14" s="10" t="s">
        <v>61</v>
      </c>
      <c r="E14" s="5" t="s">
        <v>20</v>
      </c>
      <c r="F14" t="str">
        <f>CONCATENATE(Table7[[#This Row],[MPG Code]],Table7[[#This Row],[Farmer code]])</f>
        <v>200100030003</v>
      </c>
      <c r="G14" t="s">
        <v>72</v>
      </c>
      <c r="H14" s="7">
        <v>20010003</v>
      </c>
      <c r="I14" s="5" t="s">
        <v>33</v>
      </c>
      <c r="J14" s="8" t="s">
        <v>31</v>
      </c>
      <c r="K14" s="5" t="s">
        <v>34</v>
      </c>
      <c r="L14" s="5" t="s">
        <v>24</v>
      </c>
      <c r="M14" s="7">
        <v>10</v>
      </c>
      <c r="N14" s="7">
        <v>1270</v>
      </c>
      <c r="O14" s="7">
        <v>12700</v>
      </c>
      <c r="P14" s="7">
        <v>0</v>
      </c>
      <c r="Q14" s="7">
        <v>12700</v>
      </c>
      <c r="R14" s="7">
        <v>10</v>
      </c>
      <c r="S14" s="7">
        <v>12700</v>
      </c>
      <c r="T14" s="9"/>
    </row>
    <row r="15" spans="1:20" x14ac:dyDescent="0.25">
      <c r="A15" s="4">
        <v>46207.946383958333</v>
      </c>
      <c r="B15" s="5" t="s">
        <v>19</v>
      </c>
      <c r="C15" s="6">
        <v>46207</v>
      </c>
      <c r="D15" s="10" t="s">
        <v>61</v>
      </c>
      <c r="E15" s="5" t="s">
        <v>20</v>
      </c>
      <c r="F15" t="str">
        <f>CONCATENATE(Table7[[#This Row],[MPG Code]],Table7[[#This Row],[Farmer code]])</f>
        <v>200100080035</v>
      </c>
      <c r="G15" t="s">
        <v>72</v>
      </c>
      <c r="H15" s="7">
        <v>20010008</v>
      </c>
      <c r="I15" s="5" t="s">
        <v>35</v>
      </c>
      <c r="J15" s="8" t="s">
        <v>37</v>
      </c>
      <c r="K15" s="5" t="s">
        <v>34</v>
      </c>
      <c r="L15" s="5" t="s">
        <v>24</v>
      </c>
      <c r="M15" s="7">
        <v>13</v>
      </c>
      <c r="N15" s="7">
        <v>1270</v>
      </c>
      <c r="O15" s="7">
        <v>16510</v>
      </c>
      <c r="P15" s="7">
        <v>0</v>
      </c>
      <c r="Q15" s="7">
        <v>16510</v>
      </c>
      <c r="R15" s="7">
        <v>13</v>
      </c>
      <c r="S15" s="7">
        <v>16510</v>
      </c>
      <c r="T15" s="9"/>
    </row>
    <row r="16" spans="1:20" x14ac:dyDescent="0.25">
      <c r="A16" s="4">
        <v>46207.948017118055</v>
      </c>
      <c r="B16" s="5" t="s">
        <v>19</v>
      </c>
      <c r="C16" s="6">
        <v>46207</v>
      </c>
      <c r="D16" s="10" t="s">
        <v>61</v>
      </c>
      <c r="E16" s="5" t="s">
        <v>20</v>
      </c>
      <c r="F16" t="str">
        <f>CONCATENATE(Table7[[#This Row],[MPG Code]],Table7[[#This Row],[Farmer code]])</f>
        <v>200100080059</v>
      </c>
      <c r="G16" t="s">
        <v>72</v>
      </c>
      <c r="H16" s="7">
        <v>20010008</v>
      </c>
      <c r="I16" s="5" t="s">
        <v>35</v>
      </c>
      <c r="J16" s="8" t="s">
        <v>36</v>
      </c>
      <c r="K16" s="5" t="s">
        <v>34</v>
      </c>
      <c r="L16" s="5" t="s">
        <v>24</v>
      </c>
      <c r="M16" s="7">
        <v>2</v>
      </c>
      <c r="N16" s="7">
        <v>1270</v>
      </c>
      <c r="O16" s="7">
        <v>2540</v>
      </c>
      <c r="P16" s="7">
        <v>0</v>
      </c>
      <c r="Q16" s="7">
        <v>2540</v>
      </c>
      <c r="R16" s="7">
        <v>2</v>
      </c>
      <c r="S16" s="7">
        <v>2540</v>
      </c>
      <c r="T16" s="9"/>
    </row>
    <row r="17" spans="1:20" x14ac:dyDescent="0.25">
      <c r="A17" s="4">
        <v>46208.799380578705</v>
      </c>
      <c r="B17" s="5" t="s">
        <v>38</v>
      </c>
      <c r="C17" s="6">
        <v>46208</v>
      </c>
      <c r="D17" s="10" t="s">
        <v>61</v>
      </c>
      <c r="E17" s="5" t="s">
        <v>20</v>
      </c>
      <c r="F17" t="str">
        <f>CONCATENATE(Table7[[#This Row],[MPG Code]],Table7[[#This Row],[Farmer code]])</f>
        <v>200200010103</v>
      </c>
      <c r="G17" t="s">
        <v>72</v>
      </c>
      <c r="H17" s="7">
        <v>20020001</v>
      </c>
      <c r="I17" s="5" t="s">
        <v>40</v>
      </c>
      <c r="J17" s="8" t="s">
        <v>63</v>
      </c>
      <c r="K17" s="5" t="s">
        <v>40</v>
      </c>
      <c r="L17" s="5" t="s">
        <v>24</v>
      </c>
      <c r="M17" s="7">
        <v>1</v>
      </c>
      <c r="N17" s="7">
        <v>1270</v>
      </c>
      <c r="O17" s="7">
        <v>1270</v>
      </c>
      <c r="P17" s="7">
        <v>0</v>
      </c>
      <c r="Q17" s="7">
        <v>1270</v>
      </c>
      <c r="R17" s="7">
        <v>1</v>
      </c>
      <c r="S17" s="7">
        <v>1270</v>
      </c>
      <c r="T17" s="9"/>
    </row>
    <row r="18" spans="1:20" x14ac:dyDescent="0.25">
      <c r="A18" s="4">
        <v>46208.799692187502</v>
      </c>
      <c r="B18" s="5" t="s">
        <v>38</v>
      </c>
      <c r="C18" s="6">
        <v>46208</v>
      </c>
      <c r="D18" s="10" t="s">
        <v>61</v>
      </c>
      <c r="E18" s="5" t="s">
        <v>20</v>
      </c>
      <c r="F18" t="str">
        <f>CONCATENATE(Table7[[#This Row],[MPG Code]],Table7[[#This Row],[Farmer code]])</f>
        <v>200200010106</v>
      </c>
      <c r="G18" t="s">
        <v>72</v>
      </c>
      <c r="H18" s="7">
        <v>20020001</v>
      </c>
      <c r="I18" s="5" t="s">
        <v>40</v>
      </c>
      <c r="J18" s="8" t="s">
        <v>64</v>
      </c>
      <c r="K18" s="5" t="s">
        <v>40</v>
      </c>
      <c r="L18" s="5" t="s">
        <v>24</v>
      </c>
      <c r="M18" s="7">
        <v>1</v>
      </c>
      <c r="N18" s="7">
        <v>1270</v>
      </c>
      <c r="O18" s="7">
        <v>1270</v>
      </c>
      <c r="P18" s="7">
        <v>0</v>
      </c>
      <c r="Q18" s="7">
        <v>1270</v>
      </c>
      <c r="R18" s="7">
        <v>1</v>
      </c>
      <c r="S18" s="7">
        <v>1270</v>
      </c>
      <c r="T18" s="9"/>
    </row>
    <row r="19" spans="1:20" x14ac:dyDescent="0.25">
      <c r="A19" s="4">
        <v>46208.800063009257</v>
      </c>
      <c r="B19" s="5" t="s">
        <v>38</v>
      </c>
      <c r="C19" s="6">
        <v>46208</v>
      </c>
      <c r="D19" s="10" t="s">
        <v>61</v>
      </c>
      <c r="E19" s="5" t="s">
        <v>20</v>
      </c>
      <c r="F19" t="str">
        <f>CONCATENATE(Table7[[#This Row],[MPG Code]],Table7[[#This Row],[Farmer code]])</f>
        <v>200200010047</v>
      </c>
      <c r="G19" t="s">
        <v>72</v>
      </c>
      <c r="H19" s="7">
        <v>20020001</v>
      </c>
      <c r="I19" s="5" t="s">
        <v>40</v>
      </c>
      <c r="J19" s="8" t="s">
        <v>65</v>
      </c>
      <c r="K19" s="5" t="s">
        <v>40</v>
      </c>
      <c r="L19" s="5" t="s">
        <v>24</v>
      </c>
      <c r="M19" s="7">
        <v>1</v>
      </c>
      <c r="N19" s="7">
        <v>1270</v>
      </c>
      <c r="O19" s="7">
        <v>1270</v>
      </c>
      <c r="P19" s="7">
        <v>0</v>
      </c>
      <c r="Q19" s="7">
        <v>1270</v>
      </c>
      <c r="R19" s="7">
        <v>1</v>
      </c>
      <c r="S19" s="7">
        <v>1270</v>
      </c>
      <c r="T19" s="9"/>
    </row>
    <row r="20" spans="1:20" x14ac:dyDescent="0.25">
      <c r="A20" s="4">
        <v>46208.800331481485</v>
      </c>
      <c r="B20" s="5" t="s">
        <v>38</v>
      </c>
      <c r="C20" s="6">
        <v>46208</v>
      </c>
      <c r="D20" s="10" t="s">
        <v>61</v>
      </c>
      <c r="E20" s="5" t="s">
        <v>20</v>
      </c>
      <c r="F20" t="str">
        <f>CONCATENATE(Table7[[#This Row],[MPG Code]],Table7[[#This Row],[Farmer code]])</f>
        <v>200200010005</v>
      </c>
      <c r="G20" t="s">
        <v>72</v>
      </c>
      <c r="H20" s="7">
        <v>20020001</v>
      </c>
      <c r="I20" s="5" t="s">
        <v>40</v>
      </c>
      <c r="J20" s="8" t="s">
        <v>41</v>
      </c>
      <c r="K20" s="5" t="s">
        <v>40</v>
      </c>
      <c r="L20" s="5" t="s">
        <v>24</v>
      </c>
      <c r="M20" s="7">
        <v>2</v>
      </c>
      <c r="N20" s="7">
        <v>1270</v>
      </c>
      <c r="O20" s="7">
        <v>2540</v>
      </c>
      <c r="P20" s="7">
        <v>0</v>
      </c>
      <c r="Q20" s="7">
        <v>2540</v>
      </c>
      <c r="R20" s="7">
        <v>2</v>
      </c>
      <c r="S20" s="7">
        <v>2540</v>
      </c>
      <c r="T20" s="9"/>
    </row>
    <row r="21" spans="1:20" x14ac:dyDescent="0.25">
      <c r="A21" s="4">
        <v>46208.800642511575</v>
      </c>
      <c r="B21" s="5" t="s">
        <v>38</v>
      </c>
      <c r="C21" s="6">
        <v>46208</v>
      </c>
      <c r="D21" s="10" t="s">
        <v>61</v>
      </c>
      <c r="E21" s="5" t="s">
        <v>20</v>
      </c>
      <c r="F21" t="str">
        <f>CONCATENATE(Table7[[#This Row],[MPG Code]],Table7[[#This Row],[Farmer code]])</f>
        <v>200200010121</v>
      </c>
      <c r="G21" t="s">
        <v>72</v>
      </c>
      <c r="H21" s="7">
        <v>20020001</v>
      </c>
      <c r="I21" s="5" t="s">
        <v>40</v>
      </c>
      <c r="J21" s="8" t="s">
        <v>58</v>
      </c>
      <c r="K21" s="5" t="s">
        <v>40</v>
      </c>
      <c r="L21" s="5" t="s">
        <v>24</v>
      </c>
      <c r="M21" s="7">
        <v>2</v>
      </c>
      <c r="N21" s="7">
        <v>1270</v>
      </c>
      <c r="O21" s="7">
        <v>2540</v>
      </c>
      <c r="P21" s="7">
        <v>0</v>
      </c>
      <c r="Q21" s="7">
        <v>2540</v>
      </c>
      <c r="R21" s="7">
        <v>2</v>
      </c>
      <c r="S21" s="7">
        <v>2540</v>
      </c>
      <c r="T21" s="9"/>
    </row>
    <row r="22" spans="1:20" x14ac:dyDescent="0.25">
      <c r="A22" s="4">
        <v>46208.800945023148</v>
      </c>
      <c r="B22" s="5" t="s">
        <v>38</v>
      </c>
      <c r="C22" s="6">
        <v>46208</v>
      </c>
      <c r="D22" s="10" t="s">
        <v>61</v>
      </c>
      <c r="E22" s="5" t="s">
        <v>20</v>
      </c>
      <c r="F22" t="str">
        <f>CONCATENATE(Table7[[#This Row],[MPG Code]],Table7[[#This Row],[Farmer code]])</f>
        <v>200200010171</v>
      </c>
      <c r="G22" t="s">
        <v>72</v>
      </c>
      <c r="H22" s="7">
        <v>20020001</v>
      </c>
      <c r="I22" s="5" t="s">
        <v>40</v>
      </c>
      <c r="J22" s="8" t="s">
        <v>66</v>
      </c>
      <c r="K22" s="5" t="s">
        <v>40</v>
      </c>
      <c r="L22" s="5" t="s">
        <v>24</v>
      </c>
      <c r="M22" s="7">
        <v>1</v>
      </c>
      <c r="N22" s="7">
        <v>1270</v>
      </c>
      <c r="O22" s="7">
        <v>1270</v>
      </c>
      <c r="P22" s="7">
        <v>0</v>
      </c>
      <c r="Q22" s="7">
        <v>1270</v>
      </c>
      <c r="R22" s="7">
        <v>1</v>
      </c>
      <c r="S22" s="7">
        <v>1270</v>
      </c>
      <c r="T22" s="9"/>
    </row>
    <row r="23" spans="1:20" x14ac:dyDescent="0.25">
      <c r="A23" s="4">
        <v>46208.801413761576</v>
      </c>
      <c r="B23" s="5" t="s">
        <v>38</v>
      </c>
      <c r="C23" s="6">
        <v>46208</v>
      </c>
      <c r="D23" s="10" t="s">
        <v>61</v>
      </c>
      <c r="E23" s="5" t="s">
        <v>20</v>
      </c>
      <c r="F23" t="str">
        <f>CONCATENATE(Table7[[#This Row],[MPG Code]],Table7[[#This Row],[Farmer code]])</f>
        <v>200200010180</v>
      </c>
      <c r="G23" t="s">
        <v>72</v>
      </c>
      <c r="H23" s="7">
        <v>20020001</v>
      </c>
      <c r="I23" s="5" t="s">
        <v>40</v>
      </c>
      <c r="J23" s="8" t="s">
        <v>67</v>
      </c>
      <c r="K23" s="5" t="s">
        <v>40</v>
      </c>
      <c r="L23" s="5" t="s">
        <v>24</v>
      </c>
      <c r="M23" s="7">
        <v>1</v>
      </c>
      <c r="N23" s="7">
        <v>1270</v>
      </c>
      <c r="O23" s="7">
        <v>1270</v>
      </c>
      <c r="P23" s="7">
        <v>0</v>
      </c>
      <c r="Q23" s="7">
        <v>1270</v>
      </c>
      <c r="R23" s="7">
        <v>1</v>
      </c>
      <c r="S23" s="7">
        <v>1270</v>
      </c>
      <c r="T23" s="9"/>
    </row>
    <row r="24" spans="1:20" x14ac:dyDescent="0.25">
      <c r="A24" s="4">
        <v>46208.80168449074</v>
      </c>
      <c r="B24" s="5" t="s">
        <v>38</v>
      </c>
      <c r="C24" s="6">
        <v>46208</v>
      </c>
      <c r="D24" s="10" t="s">
        <v>61</v>
      </c>
      <c r="E24" s="5" t="s">
        <v>20</v>
      </c>
      <c r="F24" t="str">
        <f>CONCATENATE(Table7[[#This Row],[MPG Code]],Table7[[#This Row],[Farmer code]])</f>
        <v>200200010025</v>
      </c>
      <c r="G24" t="s">
        <v>72</v>
      </c>
      <c r="H24" s="7">
        <v>20020001</v>
      </c>
      <c r="I24" s="5" t="s">
        <v>40</v>
      </c>
      <c r="J24" s="8" t="s">
        <v>68</v>
      </c>
      <c r="K24" s="5" t="s">
        <v>40</v>
      </c>
      <c r="L24" s="5" t="s">
        <v>24</v>
      </c>
      <c r="M24" s="7">
        <v>1</v>
      </c>
      <c r="N24" s="7">
        <v>1270</v>
      </c>
      <c r="O24" s="7">
        <v>1270</v>
      </c>
      <c r="P24" s="7">
        <v>0</v>
      </c>
      <c r="Q24" s="7">
        <v>1270</v>
      </c>
      <c r="R24" s="7">
        <v>1</v>
      </c>
      <c r="S24" s="7">
        <v>1270</v>
      </c>
      <c r="T24" s="9"/>
    </row>
    <row r="25" spans="1:20" x14ac:dyDescent="0.25">
      <c r="A25" s="4">
        <v>46208.801962106481</v>
      </c>
      <c r="B25" s="5" t="s">
        <v>38</v>
      </c>
      <c r="C25" s="6">
        <v>46208</v>
      </c>
      <c r="D25" s="10" t="s">
        <v>61</v>
      </c>
      <c r="E25" s="5" t="s">
        <v>20</v>
      </c>
      <c r="F25" t="str">
        <f>CONCATENATE(Table7[[#This Row],[MPG Code]],Table7[[#This Row],[Farmer code]])</f>
        <v>200200010123</v>
      </c>
      <c r="G25" t="s">
        <v>72</v>
      </c>
      <c r="H25" s="7">
        <v>20020001</v>
      </c>
      <c r="I25" s="5" t="s">
        <v>40</v>
      </c>
      <c r="J25" s="8" t="s">
        <v>69</v>
      </c>
      <c r="K25" s="5" t="s">
        <v>40</v>
      </c>
      <c r="L25" s="5" t="s">
        <v>24</v>
      </c>
      <c r="M25" s="7">
        <v>1</v>
      </c>
      <c r="N25" s="7">
        <v>1270</v>
      </c>
      <c r="O25" s="7">
        <v>1270</v>
      </c>
      <c r="P25" s="7">
        <v>0</v>
      </c>
      <c r="Q25" s="7">
        <v>1270</v>
      </c>
      <c r="R25" s="7">
        <v>1</v>
      </c>
      <c r="S25" s="7">
        <v>1270</v>
      </c>
      <c r="T25" s="9"/>
    </row>
    <row r="26" spans="1:20" x14ac:dyDescent="0.25">
      <c r="A26" s="4">
        <v>46208.802237870375</v>
      </c>
      <c r="B26" s="5" t="s">
        <v>38</v>
      </c>
      <c r="C26" s="6">
        <v>46208</v>
      </c>
      <c r="D26" s="10" t="s">
        <v>61</v>
      </c>
      <c r="E26" s="5" t="s">
        <v>20</v>
      </c>
      <c r="F26" t="str">
        <f>CONCATENATE(Table7[[#This Row],[MPG Code]],Table7[[#This Row],[Farmer code]])</f>
        <v>200200010002</v>
      </c>
      <c r="G26" t="s">
        <v>72</v>
      </c>
      <c r="H26" s="7">
        <v>20020001</v>
      </c>
      <c r="I26" s="5" t="s">
        <v>40</v>
      </c>
      <c r="J26" s="8" t="s">
        <v>22</v>
      </c>
      <c r="K26" s="5" t="s">
        <v>40</v>
      </c>
      <c r="L26" s="5" t="s">
        <v>24</v>
      </c>
      <c r="M26" s="7">
        <v>1</v>
      </c>
      <c r="N26" s="7">
        <v>1270</v>
      </c>
      <c r="O26" s="7">
        <v>1270</v>
      </c>
      <c r="P26" s="7">
        <v>0</v>
      </c>
      <c r="Q26" s="7">
        <v>1270</v>
      </c>
      <c r="R26" s="7">
        <v>1</v>
      </c>
      <c r="S26" s="7">
        <v>1270</v>
      </c>
      <c r="T26" s="9"/>
    </row>
    <row r="27" spans="1:20" x14ac:dyDescent="0.25">
      <c r="A27" s="4">
        <v>46208.802568900464</v>
      </c>
      <c r="B27" s="5" t="s">
        <v>38</v>
      </c>
      <c r="C27" s="6">
        <v>46208</v>
      </c>
      <c r="D27" s="10" t="s">
        <v>61</v>
      </c>
      <c r="E27" s="5" t="s">
        <v>20</v>
      </c>
      <c r="F27" t="str">
        <f>CONCATENATE(Table7[[#This Row],[MPG Code]],Table7[[#This Row],[Farmer code]])</f>
        <v>200200030002</v>
      </c>
      <c r="G27" t="s">
        <v>72</v>
      </c>
      <c r="H27" s="7">
        <v>20020003</v>
      </c>
      <c r="I27" s="5" t="s">
        <v>39</v>
      </c>
      <c r="J27" s="8" t="s">
        <v>22</v>
      </c>
      <c r="K27" s="5" t="s">
        <v>40</v>
      </c>
      <c r="L27" s="5" t="s">
        <v>24</v>
      </c>
      <c r="M27" s="7">
        <v>5</v>
      </c>
      <c r="N27" s="7">
        <v>1270</v>
      </c>
      <c r="O27" s="7">
        <v>6350</v>
      </c>
      <c r="P27" s="7">
        <v>0</v>
      </c>
      <c r="Q27" s="7">
        <v>6350</v>
      </c>
      <c r="R27" s="7">
        <v>5</v>
      </c>
      <c r="S27" s="7">
        <v>6350</v>
      </c>
      <c r="T27" s="9"/>
    </row>
    <row r="28" spans="1:20" x14ac:dyDescent="0.25">
      <c r="A28" s="4">
        <v>46208.803048425922</v>
      </c>
      <c r="B28" s="5" t="s">
        <v>38</v>
      </c>
      <c r="C28" s="6">
        <v>46208</v>
      </c>
      <c r="D28" s="10" t="s">
        <v>61</v>
      </c>
      <c r="E28" s="5" t="s">
        <v>20</v>
      </c>
      <c r="F28" t="str">
        <f>CONCATENATE(Table7[[#This Row],[MPG Code]],Table7[[#This Row],[Farmer code]])</f>
        <v>200200250004</v>
      </c>
      <c r="G28" t="s">
        <v>72</v>
      </c>
      <c r="H28" s="7">
        <v>20020025</v>
      </c>
      <c r="I28" s="5" t="s">
        <v>48</v>
      </c>
      <c r="J28" s="8" t="s">
        <v>50</v>
      </c>
      <c r="K28" s="5" t="s">
        <v>40</v>
      </c>
      <c r="L28" s="5" t="s">
        <v>24</v>
      </c>
      <c r="M28" s="7">
        <v>1</v>
      </c>
      <c r="N28" s="7">
        <v>1270</v>
      </c>
      <c r="O28" s="7">
        <v>1270</v>
      </c>
      <c r="P28" s="7">
        <v>0</v>
      </c>
      <c r="Q28" s="7">
        <v>1270</v>
      </c>
      <c r="R28" s="7">
        <v>1</v>
      </c>
      <c r="S28" s="7">
        <v>1270</v>
      </c>
      <c r="T28" s="9"/>
    </row>
    <row r="29" spans="1:20" x14ac:dyDescent="0.25">
      <c r="A29" s="4">
        <v>46208.80333357639</v>
      </c>
      <c r="B29" s="5" t="s">
        <v>38</v>
      </c>
      <c r="C29" s="6">
        <v>46208</v>
      </c>
      <c r="D29" s="10" t="s">
        <v>61</v>
      </c>
      <c r="E29" s="5" t="s">
        <v>20</v>
      </c>
      <c r="F29" t="str">
        <f>CONCATENATE(Table7[[#This Row],[MPG Code]],Table7[[#This Row],[Farmer code]])</f>
        <v>200200250003</v>
      </c>
      <c r="G29" t="s">
        <v>72</v>
      </c>
      <c r="H29" s="7">
        <v>20020025</v>
      </c>
      <c r="I29" s="5" t="s">
        <v>48</v>
      </c>
      <c r="J29" s="8" t="s">
        <v>31</v>
      </c>
      <c r="K29" s="5" t="s">
        <v>40</v>
      </c>
      <c r="L29" s="5" t="s">
        <v>24</v>
      </c>
      <c r="M29" s="7">
        <v>1</v>
      </c>
      <c r="N29" s="7">
        <v>1270</v>
      </c>
      <c r="O29" s="7">
        <v>1270</v>
      </c>
      <c r="P29" s="7">
        <v>0</v>
      </c>
      <c r="Q29" s="7">
        <v>1270</v>
      </c>
      <c r="R29" s="7">
        <v>1</v>
      </c>
      <c r="S29" s="7">
        <v>1270</v>
      </c>
      <c r="T29" s="9"/>
    </row>
    <row r="30" spans="1:20" x14ac:dyDescent="0.25">
      <c r="A30" s="4">
        <v>46208.803867442126</v>
      </c>
      <c r="B30" s="5" t="s">
        <v>38</v>
      </c>
      <c r="C30" s="6">
        <v>46208</v>
      </c>
      <c r="D30" s="10" t="s">
        <v>61</v>
      </c>
      <c r="E30" s="5" t="s">
        <v>20</v>
      </c>
      <c r="F30" t="str">
        <f>CONCATENATE(Table7[[#This Row],[MPG Code]],Table7[[#This Row],[Farmer code]])</f>
        <v>200200250008</v>
      </c>
      <c r="G30" t="s">
        <v>72</v>
      </c>
      <c r="H30" s="7">
        <v>20020025</v>
      </c>
      <c r="I30" s="5" t="s">
        <v>48</v>
      </c>
      <c r="J30" s="8" t="s">
        <v>56</v>
      </c>
      <c r="K30" s="5" t="s">
        <v>40</v>
      </c>
      <c r="L30" s="5" t="s">
        <v>24</v>
      </c>
      <c r="M30" s="7">
        <v>1</v>
      </c>
      <c r="N30" s="7">
        <v>1270</v>
      </c>
      <c r="O30" s="7">
        <v>1270</v>
      </c>
      <c r="P30" s="7">
        <v>0</v>
      </c>
      <c r="Q30" s="7">
        <v>1270</v>
      </c>
      <c r="R30" s="7">
        <v>1</v>
      </c>
      <c r="S30" s="7">
        <v>1270</v>
      </c>
      <c r="T30" s="9"/>
    </row>
    <row r="31" spans="1:20" x14ac:dyDescent="0.25">
      <c r="A31" s="4">
        <v>46208.804204583328</v>
      </c>
      <c r="B31" s="5" t="s">
        <v>38</v>
      </c>
      <c r="C31" s="6">
        <v>46208</v>
      </c>
      <c r="D31" s="10" t="s">
        <v>61</v>
      </c>
      <c r="E31" s="5" t="s">
        <v>20</v>
      </c>
      <c r="F31" t="str">
        <f>CONCATENATE(Table7[[#This Row],[MPG Code]],Table7[[#This Row],[Farmer code]])</f>
        <v>200200250022</v>
      </c>
      <c r="G31" t="s">
        <v>72</v>
      </c>
      <c r="H31" s="7">
        <v>20020025</v>
      </c>
      <c r="I31" s="5" t="s">
        <v>48</v>
      </c>
      <c r="J31" s="8" t="s">
        <v>27</v>
      </c>
      <c r="K31" s="5" t="s">
        <v>40</v>
      </c>
      <c r="L31" s="5" t="s">
        <v>24</v>
      </c>
      <c r="M31" s="7">
        <v>3</v>
      </c>
      <c r="N31" s="7">
        <v>1270</v>
      </c>
      <c r="O31" s="7">
        <v>3810</v>
      </c>
      <c r="P31" s="7">
        <v>0</v>
      </c>
      <c r="Q31" s="7">
        <v>3810</v>
      </c>
      <c r="R31" s="7">
        <v>3</v>
      </c>
      <c r="S31" s="7">
        <v>3810</v>
      </c>
      <c r="T31" s="9"/>
    </row>
    <row r="32" spans="1:20" x14ac:dyDescent="0.25">
      <c r="A32" s="4">
        <v>46208.804514212963</v>
      </c>
      <c r="B32" s="5" t="s">
        <v>38</v>
      </c>
      <c r="C32" s="6">
        <v>46208</v>
      </c>
      <c r="D32" s="10" t="s">
        <v>61</v>
      </c>
      <c r="E32" s="5" t="s">
        <v>20</v>
      </c>
      <c r="F32" t="str">
        <f>CONCATENATE(Table7[[#This Row],[MPG Code]],Table7[[#This Row],[Farmer code]])</f>
        <v>200200060002</v>
      </c>
      <c r="G32" t="s">
        <v>72</v>
      </c>
      <c r="H32" s="7">
        <v>20020006</v>
      </c>
      <c r="I32" s="5" t="s">
        <v>47</v>
      </c>
      <c r="J32" s="8" t="s">
        <v>22</v>
      </c>
      <c r="K32" s="5" t="s">
        <v>40</v>
      </c>
      <c r="L32" s="5" t="s">
        <v>24</v>
      </c>
      <c r="M32" s="7">
        <v>5</v>
      </c>
      <c r="N32" s="7">
        <v>1270</v>
      </c>
      <c r="O32" s="7">
        <v>6350</v>
      </c>
      <c r="P32" s="7">
        <v>0</v>
      </c>
      <c r="Q32" s="7">
        <v>6350</v>
      </c>
      <c r="R32" s="7">
        <v>5</v>
      </c>
      <c r="S32" s="7">
        <v>6350</v>
      </c>
      <c r="T32" s="9"/>
    </row>
    <row r="33" spans="1:20" x14ac:dyDescent="0.25">
      <c r="A33" s="4">
        <v>46208.804862569443</v>
      </c>
      <c r="B33" s="5" t="s">
        <v>38</v>
      </c>
      <c r="C33" s="6">
        <v>46208</v>
      </c>
      <c r="D33" s="10" t="s">
        <v>61</v>
      </c>
      <c r="E33" s="5" t="s">
        <v>20</v>
      </c>
      <c r="F33" t="str">
        <f>CONCATENATE(Table7[[#This Row],[MPG Code]],Table7[[#This Row],[Farmer code]])</f>
        <v>200500010049</v>
      </c>
      <c r="G33" t="s">
        <v>72</v>
      </c>
      <c r="H33" s="7">
        <v>20050001</v>
      </c>
      <c r="I33" s="5" t="s">
        <v>42</v>
      </c>
      <c r="J33" s="8" t="s">
        <v>49</v>
      </c>
      <c r="K33" s="5" t="s">
        <v>40</v>
      </c>
      <c r="L33" s="5" t="s">
        <v>24</v>
      </c>
      <c r="M33" s="7">
        <v>1</v>
      </c>
      <c r="N33" s="7">
        <v>1270</v>
      </c>
      <c r="O33" s="7">
        <v>1270</v>
      </c>
      <c r="P33" s="7">
        <v>0</v>
      </c>
      <c r="Q33" s="7">
        <v>1270</v>
      </c>
      <c r="R33" s="7">
        <v>1</v>
      </c>
      <c r="S33" s="7">
        <v>1270</v>
      </c>
      <c r="T33" s="9"/>
    </row>
    <row r="34" spans="1:20" x14ac:dyDescent="0.25">
      <c r="A34" s="4">
        <v>46208.805188715276</v>
      </c>
      <c r="B34" s="5" t="s">
        <v>38</v>
      </c>
      <c r="C34" s="6">
        <v>46208</v>
      </c>
      <c r="D34" s="10" t="s">
        <v>61</v>
      </c>
      <c r="E34" s="5" t="s">
        <v>20</v>
      </c>
      <c r="F34" t="str">
        <f>CONCATENATE(Table7[[#This Row],[MPG Code]],Table7[[#This Row],[Farmer code]])</f>
        <v>200500030026</v>
      </c>
      <c r="G34" t="s">
        <v>72</v>
      </c>
      <c r="H34" s="7">
        <v>20050003</v>
      </c>
      <c r="I34" s="5" t="s">
        <v>57</v>
      </c>
      <c r="J34" s="8" t="s">
        <v>28</v>
      </c>
      <c r="K34" s="5" t="s">
        <v>40</v>
      </c>
      <c r="L34" s="5" t="s">
        <v>24</v>
      </c>
      <c r="M34" s="7">
        <v>1</v>
      </c>
      <c r="N34" s="7">
        <v>1270</v>
      </c>
      <c r="O34" s="7">
        <v>1270</v>
      </c>
      <c r="P34" s="7">
        <v>0</v>
      </c>
      <c r="Q34" s="7">
        <v>1270</v>
      </c>
      <c r="R34" s="7">
        <v>1</v>
      </c>
      <c r="S34" s="7">
        <v>1270</v>
      </c>
      <c r="T34" s="9"/>
    </row>
    <row r="35" spans="1:20" x14ac:dyDescent="0.25">
      <c r="A35" s="4">
        <v>46208.805471331019</v>
      </c>
      <c r="B35" s="5" t="s">
        <v>38</v>
      </c>
      <c r="C35" s="6">
        <v>46208</v>
      </c>
      <c r="D35" s="10" t="s">
        <v>61</v>
      </c>
      <c r="E35" s="5" t="s">
        <v>20</v>
      </c>
      <c r="F35" t="str">
        <f>CONCATENATE(Table7[[#This Row],[MPG Code]],Table7[[#This Row],[Farmer code]])</f>
        <v>200200270002</v>
      </c>
      <c r="G35" t="s">
        <v>72</v>
      </c>
      <c r="H35" s="7">
        <v>20020027</v>
      </c>
      <c r="I35" s="5" t="s">
        <v>70</v>
      </c>
      <c r="J35" s="8" t="s">
        <v>22</v>
      </c>
      <c r="K35" s="5" t="s">
        <v>40</v>
      </c>
      <c r="L35" s="5" t="s">
        <v>24</v>
      </c>
      <c r="M35" s="7">
        <v>2</v>
      </c>
      <c r="N35" s="7">
        <v>1270</v>
      </c>
      <c r="O35" s="7">
        <v>2540</v>
      </c>
      <c r="P35" s="7">
        <v>0</v>
      </c>
      <c r="Q35" s="7">
        <v>2540</v>
      </c>
      <c r="R35" s="7">
        <v>2</v>
      </c>
      <c r="S35" s="7">
        <v>2540</v>
      </c>
      <c r="T35" s="9"/>
    </row>
    <row r="36" spans="1:20" x14ac:dyDescent="0.25">
      <c r="A36" s="13">
        <v>46209.418715277781</v>
      </c>
      <c r="B36" s="15" t="s">
        <v>43</v>
      </c>
      <c r="C36" s="17">
        <v>46209</v>
      </c>
      <c r="D36" s="15" t="s">
        <v>61</v>
      </c>
      <c r="E36" s="15" t="s">
        <v>20</v>
      </c>
      <c r="F36" t="str">
        <f>CONCATENATE(Table7[[#This Row],[MPG Code]],Table7[[#This Row],[Farmer code]])</f>
        <v>200200020055</v>
      </c>
      <c r="G36" t="s">
        <v>72</v>
      </c>
      <c r="H36" s="20">
        <v>20020002</v>
      </c>
      <c r="I36" s="15" t="s">
        <v>54</v>
      </c>
      <c r="J36" s="22" t="s">
        <v>55</v>
      </c>
      <c r="K36" s="15" t="s">
        <v>40</v>
      </c>
      <c r="L36" s="15" t="s">
        <v>24</v>
      </c>
      <c r="M36" s="20">
        <v>1</v>
      </c>
      <c r="N36" s="20">
        <v>1270</v>
      </c>
      <c r="O36" s="20">
        <v>1270</v>
      </c>
      <c r="P36" s="20">
        <v>786</v>
      </c>
      <c r="Q36" s="20">
        <v>2056</v>
      </c>
      <c r="R36" s="20">
        <v>1</v>
      </c>
      <c r="S36" s="20">
        <v>2056</v>
      </c>
      <c r="T36" s="24"/>
    </row>
    <row r="37" spans="1:20" x14ac:dyDescent="0.25">
      <c r="A37" s="14">
        <v>46206.86526943287</v>
      </c>
      <c r="B37" s="16" t="s">
        <v>43</v>
      </c>
      <c r="C37" s="18">
        <v>46206</v>
      </c>
      <c r="D37" s="19" t="s">
        <v>61</v>
      </c>
      <c r="E37" s="16" t="s">
        <v>20</v>
      </c>
      <c r="F37" t="str">
        <f>CONCATENATE(Table7[[#This Row],[MPG Code]],Table7[[#This Row],[Farmer code]])</f>
        <v>200900250002</v>
      </c>
      <c r="G37" t="s">
        <v>73</v>
      </c>
      <c r="H37" s="21">
        <v>20090025</v>
      </c>
      <c r="I37" s="16" t="s">
        <v>32</v>
      </c>
      <c r="J37" s="23" t="s">
        <v>22</v>
      </c>
      <c r="K37" s="16" t="s">
        <v>25</v>
      </c>
      <c r="L37" s="16" t="s">
        <v>24</v>
      </c>
      <c r="M37" s="21">
        <v>2</v>
      </c>
      <c r="N37" s="21">
        <v>1270</v>
      </c>
      <c r="O37" s="21">
        <v>2540</v>
      </c>
      <c r="P37" s="21">
        <v>0</v>
      </c>
      <c r="Q37" s="21">
        <v>2540</v>
      </c>
      <c r="R37" s="21">
        <v>2</v>
      </c>
      <c r="S37" s="21">
        <v>2540</v>
      </c>
      <c r="T37" s="25"/>
    </row>
    <row r="38" spans="1:20" x14ac:dyDescent="0.25">
      <c r="A38" s="12"/>
      <c r="B38" s="26"/>
      <c r="C38" s="26"/>
      <c r="D38" s="26"/>
      <c r="E38" s="26"/>
      <c r="F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>
        <f>SUBTOTAL(109,Table7[Final Amount])</f>
        <v>134136</v>
      </c>
      <c r="T38" s="11"/>
    </row>
  </sheetData>
  <dataValidations disablePrompts="1" count="1">
    <dataValidation type="list" allowBlank="1" sqref="E2:E37" xr:uid="{05D066BE-4B97-4E53-9ACF-B08A52B5E84D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2026-07-06T04:21:21Z</dcterms:created>
  <dcterms:modified xsi:type="dcterms:W3CDTF">2026-07-10T09:39:22Z</dcterms:modified>
</cp:coreProperties>
</file>